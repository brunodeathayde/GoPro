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7/4. Modelos de Redes Neurais para séries temporais (RNN)/Data/"/>
    </mc:Choice>
  </mc:AlternateContent>
  <xr:revisionPtr revIDLastSave="1" documentId="11_4546F4A1E20A485E023AB662447E6564C8C9B814" xr6:coauthVersionLast="47" xr6:coauthVersionMax="47" xr10:uidLastSave="{22675E68-D319-49EB-B383-783246DCCC9D}"/>
  <bookViews>
    <workbookView xWindow="1596" yWindow="1320" windowWidth="20976" windowHeight="10920" xr2:uid="{00000000-000D-0000-FFFF-FFFF00000000}"/>
  </bookViews>
  <sheets>
    <sheet name="Leia_Me" sheetId="1" r:id="rId1"/>
    <sheet name="Cadastro_Hoteis" sheetId="2" r:id="rId2"/>
    <sheet name="Calendario" sheetId="3" r:id="rId3"/>
    <sheet name="Serie_Diaria" sheetId="4" r:id="rId4"/>
    <sheet name="Dados_Longos" sheetId="5" r:id="rId5"/>
    <sheet name="Dicionario" sheetId="6" r:id="rId6"/>
    <sheet name="Paine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7" l="1"/>
  <c r="E6" i="7"/>
  <c r="D6" i="7"/>
  <c r="C6" i="7"/>
  <c r="F5" i="7"/>
  <c r="E5" i="7"/>
  <c r="D5" i="7"/>
  <c r="C5" i="7"/>
  <c r="F4" i="7"/>
  <c r="E4" i="7"/>
  <c r="D4" i="7"/>
  <c r="C4" i="7"/>
  <c r="W1097" i="4"/>
  <c r="W1096" i="4"/>
  <c r="W1095" i="4"/>
  <c r="W1094" i="4"/>
  <c r="W1093" i="4"/>
  <c r="W1092" i="4"/>
  <c r="W1091" i="4"/>
  <c r="W1090" i="4"/>
  <c r="W1089" i="4"/>
  <c r="W1088" i="4"/>
  <c r="W1087" i="4"/>
  <c r="W1086" i="4"/>
  <c r="W1085" i="4"/>
  <c r="W1084" i="4"/>
  <c r="W1083" i="4"/>
  <c r="W1082" i="4"/>
  <c r="W1081" i="4"/>
  <c r="W1080" i="4"/>
  <c r="W1079" i="4"/>
  <c r="W1078" i="4"/>
  <c r="W1077" i="4"/>
  <c r="W1076" i="4"/>
  <c r="W1075" i="4"/>
  <c r="W1074" i="4"/>
  <c r="W1073" i="4"/>
  <c r="W1072" i="4"/>
  <c r="W1071" i="4"/>
  <c r="W1070" i="4"/>
  <c r="W1069" i="4"/>
  <c r="W1068" i="4"/>
  <c r="W1067" i="4"/>
  <c r="W1066" i="4"/>
  <c r="W1065" i="4"/>
  <c r="W1064" i="4"/>
  <c r="W1063" i="4"/>
  <c r="W1062" i="4"/>
  <c r="W1061" i="4"/>
  <c r="W1060" i="4"/>
  <c r="W1059" i="4"/>
  <c r="W1058" i="4"/>
  <c r="W1057" i="4"/>
  <c r="W1056" i="4"/>
  <c r="W1055" i="4"/>
  <c r="W1054" i="4"/>
  <c r="W1053" i="4"/>
  <c r="W1052" i="4"/>
  <c r="W1051" i="4"/>
  <c r="W1050" i="4"/>
  <c r="W1049" i="4"/>
  <c r="W1048" i="4"/>
  <c r="W1047" i="4"/>
  <c r="W1046" i="4"/>
  <c r="W1045" i="4"/>
  <c r="W1044" i="4"/>
  <c r="W1043" i="4"/>
  <c r="W1042" i="4"/>
  <c r="W1041" i="4"/>
  <c r="W1040" i="4"/>
  <c r="W1039" i="4"/>
  <c r="W1038" i="4"/>
  <c r="W1037" i="4"/>
  <c r="W1036" i="4"/>
  <c r="W1035" i="4"/>
  <c r="W1034" i="4"/>
  <c r="W1033" i="4"/>
  <c r="W1032" i="4"/>
  <c r="W1031" i="4"/>
  <c r="W1030" i="4"/>
  <c r="W1029" i="4"/>
  <c r="W1028" i="4"/>
  <c r="W1027" i="4"/>
  <c r="W1026" i="4"/>
  <c r="W1025" i="4"/>
  <c r="W1024" i="4"/>
  <c r="W1023" i="4"/>
  <c r="W1022" i="4"/>
  <c r="W1021" i="4"/>
  <c r="W1020" i="4"/>
  <c r="W1019" i="4"/>
  <c r="W1018" i="4"/>
  <c r="W1017" i="4"/>
  <c r="W1016" i="4"/>
  <c r="W1015" i="4"/>
  <c r="W1014" i="4"/>
  <c r="W1013" i="4"/>
  <c r="W1012" i="4"/>
  <c r="W1011" i="4"/>
  <c r="W1010" i="4"/>
  <c r="W1009" i="4"/>
  <c r="W1008" i="4"/>
  <c r="W1007" i="4"/>
  <c r="W1006" i="4"/>
  <c r="W1005" i="4"/>
  <c r="W1004" i="4"/>
  <c r="W1003" i="4"/>
  <c r="W1002" i="4"/>
  <c r="W1001" i="4"/>
  <c r="W1000" i="4"/>
  <c r="W999" i="4"/>
  <c r="W998" i="4"/>
  <c r="W997" i="4"/>
  <c r="W996" i="4"/>
  <c r="W995" i="4"/>
  <c r="W994" i="4"/>
  <c r="W993" i="4"/>
  <c r="W992" i="4"/>
  <c r="W991" i="4"/>
  <c r="W990" i="4"/>
  <c r="W989" i="4"/>
  <c r="W988" i="4"/>
  <c r="W987" i="4"/>
  <c r="W986" i="4"/>
  <c r="W985" i="4"/>
  <c r="W984" i="4"/>
  <c r="W983" i="4"/>
  <c r="W982" i="4"/>
  <c r="W981" i="4"/>
  <c r="W980" i="4"/>
  <c r="W979" i="4"/>
  <c r="W978" i="4"/>
  <c r="W977" i="4"/>
  <c r="W976" i="4"/>
  <c r="W975" i="4"/>
  <c r="W974" i="4"/>
  <c r="W973" i="4"/>
  <c r="W972" i="4"/>
  <c r="W971" i="4"/>
  <c r="W970" i="4"/>
  <c r="W969" i="4"/>
  <c r="W968" i="4"/>
  <c r="W967" i="4"/>
  <c r="W966" i="4"/>
  <c r="W965" i="4"/>
  <c r="W964" i="4"/>
  <c r="W963" i="4"/>
  <c r="W962" i="4"/>
  <c r="W961" i="4"/>
  <c r="W960" i="4"/>
  <c r="W959" i="4"/>
  <c r="W958" i="4"/>
  <c r="W957" i="4"/>
  <c r="W956" i="4"/>
  <c r="W955" i="4"/>
  <c r="W954" i="4"/>
  <c r="W953" i="4"/>
  <c r="W952" i="4"/>
  <c r="W951" i="4"/>
  <c r="W950" i="4"/>
  <c r="W949" i="4"/>
  <c r="W948" i="4"/>
  <c r="W947" i="4"/>
  <c r="W946" i="4"/>
  <c r="W945" i="4"/>
  <c r="W944" i="4"/>
  <c r="W943" i="4"/>
  <c r="W942" i="4"/>
  <c r="W941" i="4"/>
  <c r="W940" i="4"/>
  <c r="W939" i="4"/>
  <c r="W938" i="4"/>
  <c r="W937" i="4"/>
  <c r="W936" i="4"/>
  <c r="W935" i="4"/>
  <c r="W934" i="4"/>
  <c r="W933" i="4"/>
  <c r="W932" i="4"/>
  <c r="W931" i="4"/>
  <c r="W930" i="4"/>
  <c r="W929" i="4"/>
  <c r="W928" i="4"/>
  <c r="W927" i="4"/>
  <c r="W926" i="4"/>
  <c r="W925" i="4"/>
  <c r="W924" i="4"/>
  <c r="W923" i="4"/>
  <c r="W922" i="4"/>
  <c r="W921" i="4"/>
  <c r="W920" i="4"/>
  <c r="W919" i="4"/>
  <c r="W918" i="4"/>
  <c r="W917" i="4"/>
  <c r="W916" i="4"/>
  <c r="W915" i="4"/>
  <c r="W914" i="4"/>
  <c r="W913" i="4"/>
  <c r="W912" i="4"/>
  <c r="W911" i="4"/>
  <c r="W910" i="4"/>
  <c r="W909" i="4"/>
  <c r="W908" i="4"/>
  <c r="W907" i="4"/>
  <c r="W906" i="4"/>
  <c r="W905" i="4"/>
  <c r="W904" i="4"/>
  <c r="W903" i="4"/>
  <c r="W902" i="4"/>
  <c r="W901" i="4"/>
  <c r="W900" i="4"/>
  <c r="W899" i="4"/>
  <c r="W898" i="4"/>
  <c r="W897" i="4"/>
  <c r="W896" i="4"/>
  <c r="W895" i="4"/>
  <c r="W894" i="4"/>
  <c r="W893" i="4"/>
  <c r="W892" i="4"/>
  <c r="W891" i="4"/>
  <c r="W890" i="4"/>
  <c r="W889" i="4"/>
  <c r="W888" i="4"/>
  <c r="W887" i="4"/>
  <c r="W886" i="4"/>
  <c r="W885" i="4"/>
  <c r="W884" i="4"/>
  <c r="W883" i="4"/>
  <c r="W882" i="4"/>
  <c r="W881" i="4"/>
  <c r="W880" i="4"/>
  <c r="W879" i="4"/>
  <c r="W878" i="4"/>
  <c r="W877" i="4"/>
  <c r="W876" i="4"/>
  <c r="W875" i="4"/>
  <c r="W874" i="4"/>
  <c r="W873" i="4"/>
  <c r="W872" i="4"/>
  <c r="W871" i="4"/>
  <c r="W870" i="4"/>
  <c r="W869" i="4"/>
  <c r="W868" i="4"/>
  <c r="W867" i="4"/>
  <c r="W866" i="4"/>
  <c r="W865" i="4"/>
  <c r="W864" i="4"/>
  <c r="W863" i="4"/>
  <c r="W862" i="4"/>
  <c r="W861" i="4"/>
  <c r="W860" i="4"/>
  <c r="W859" i="4"/>
  <c r="W858" i="4"/>
  <c r="W857" i="4"/>
  <c r="W856" i="4"/>
  <c r="W855" i="4"/>
  <c r="W854" i="4"/>
  <c r="W853" i="4"/>
  <c r="W852" i="4"/>
  <c r="W851" i="4"/>
  <c r="W850" i="4"/>
  <c r="W849" i="4"/>
  <c r="W848" i="4"/>
  <c r="W847" i="4"/>
  <c r="W846" i="4"/>
  <c r="W845" i="4"/>
  <c r="W844" i="4"/>
  <c r="W843" i="4"/>
  <c r="W842" i="4"/>
  <c r="W841" i="4"/>
  <c r="W840" i="4"/>
  <c r="W839" i="4"/>
  <c r="W838" i="4"/>
  <c r="W837" i="4"/>
  <c r="W836" i="4"/>
  <c r="W835" i="4"/>
  <c r="W834" i="4"/>
  <c r="W833" i="4"/>
  <c r="W832" i="4"/>
  <c r="W831" i="4"/>
  <c r="W830" i="4"/>
  <c r="W829" i="4"/>
  <c r="W828" i="4"/>
  <c r="W827" i="4"/>
  <c r="W826" i="4"/>
  <c r="W825" i="4"/>
  <c r="W824" i="4"/>
  <c r="W823" i="4"/>
  <c r="W822" i="4"/>
  <c r="W821" i="4"/>
  <c r="W820" i="4"/>
  <c r="W819" i="4"/>
  <c r="W818" i="4"/>
  <c r="W817" i="4"/>
  <c r="W816" i="4"/>
  <c r="W815" i="4"/>
  <c r="W814" i="4"/>
  <c r="W813" i="4"/>
  <c r="W812" i="4"/>
  <c r="W811" i="4"/>
  <c r="W810" i="4"/>
  <c r="W809" i="4"/>
  <c r="W808" i="4"/>
  <c r="W807" i="4"/>
  <c r="W806" i="4"/>
  <c r="W805" i="4"/>
  <c r="W804" i="4"/>
  <c r="W803" i="4"/>
  <c r="W802" i="4"/>
  <c r="W801" i="4"/>
  <c r="W800" i="4"/>
  <c r="W799" i="4"/>
  <c r="W798" i="4"/>
  <c r="W797" i="4"/>
  <c r="W796" i="4"/>
  <c r="W795" i="4"/>
  <c r="W794" i="4"/>
  <c r="W793" i="4"/>
  <c r="W792" i="4"/>
  <c r="W791" i="4"/>
  <c r="W790" i="4"/>
  <c r="W789" i="4"/>
  <c r="W788" i="4"/>
  <c r="W787" i="4"/>
  <c r="W786" i="4"/>
  <c r="W785" i="4"/>
  <c r="W784" i="4"/>
  <c r="W783" i="4"/>
  <c r="W782" i="4"/>
  <c r="W781" i="4"/>
  <c r="W780" i="4"/>
  <c r="W779" i="4"/>
  <c r="W778" i="4"/>
  <c r="W777" i="4"/>
  <c r="W776" i="4"/>
  <c r="W775" i="4"/>
  <c r="W774" i="4"/>
  <c r="W773" i="4"/>
  <c r="W772" i="4"/>
  <c r="W771" i="4"/>
  <c r="W770" i="4"/>
  <c r="W769" i="4"/>
  <c r="W768" i="4"/>
  <c r="W767" i="4"/>
  <c r="W766" i="4"/>
  <c r="W765" i="4"/>
  <c r="W764" i="4"/>
  <c r="W763" i="4"/>
  <c r="W762" i="4"/>
  <c r="W761" i="4"/>
  <c r="W760" i="4"/>
  <c r="W759" i="4"/>
  <c r="W758" i="4"/>
  <c r="W757" i="4"/>
  <c r="W756" i="4"/>
  <c r="W755" i="4"/>
  <c r="W754" i="4"/>
  <c r="W753" i="4"/>
  <c r="W752" i="4"/>
  <c r="W751" i="4"/>
  <c r="W750" i="4"/>
  <c r="W749" i="4"/>
  <c r="W748" i="4"/>
  <c r="W747" i="4"/>
  <c r="W746" i="4"/>
  <c r="W745" i="4"/>
  <c r="W744" i="4"/>
  <c r="W743" i="4"/>
  <c r="W742" i="4"/>
  <c r="W741" i="4"/>
  <c r="W740" i="4"/>
  <c r="W739" i="4"/>
  <c r="W738" i="4"/>
  <c r="W737" i="4"/>
  <c r="W736" i="4"/>
  <c r="W735" i="4"/>
  <c r="W734" i="4"/>
  <c r="W733" i="4"/>
  <c r="W732" i="4"/>
  <c r="W731" i="4"/>
  <c r="W730" i="4"/>
  <c r="W729" i="4"/>
  <c r="W728" i="4"/>
  <c r="W727" i="4"/>
  <c r="W726" i="4"/>
  <c r="W725" i="4"/>
  <c r="W724" i="4"/>
  <c r="W723" i="4"/>
  <c r="W722" i="4"/>
  <c r="W721" i="4"/>
  <c r="W720" i="4"/>
  <c r="W719" i="4"/>
  <c r="W718" i="4"/>
  <c r="W717" i="4"/>
  <c r="W716" i="4"/>
  <c r="W715" i="4"/>
  <c r="W714" i="4"/>
  <c r="W713" i="4"/>
  <c r="W712" i="4"/>
  <c r="W711" i="4"/>
  <c r="W710" i="4"/>
  <c r="W709" i="4"/>
  <c r="W708" i="4"/>
  <c r="W707" i="4"/>
  <c r="W706" i="4"/>
  <c r="W705" i="4"/>
  <c r="W704" i="4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7" i="4"/>
  <c r="W606" i="4"/>
  <c r="W605" i="4"/>
  <c r="W604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6" i="4"/>
  <c r="W505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7" i="4"/>
  <c r="W426" i="4"/>
  <c r="W425" i="4"/>
  <c r="W424" i="4"/>
  <c r="W423" i="4"/>
  <c r="W422" i="4"/>
  <c r="W421" i="4"/>
  <c r="W420" i="4"/>
  <c r="W419" i="4"/>
  <c r="W418" i="4"/>
  <c r="W417" i="4"/>
  <c r="W416" i="4"/>
  <c r="W415" i="4"/>
  <c r="W414" i="4"/>
  <c r="W413" i="4"/>
  <c r="W412" i="4"/>
  <c r="W411" i="4"/>
  <c r="W410" i="4"/>
  <c r="W409" i="4"/>
  <c r="W408" i="4"/>
  <c r="W407" i="4"/>
  <c r="W406" i="4"/>
  <c r="W405" i="4"/>
  <c r="W404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</calcChain>
</file>

<file path=xl/sharedStrings.xml><?xml version="1.0" encoding="utf-8"?>
<sst xmlns="http://schemas.openxmlformats.org/spreadsheetml/2006/main" count="19010" uniqueCount="195">
  <si>
    <t>PREVISÃO DE DEMANDA HOTELEIRA — LITORAL DO CEARÁ | MODELOS RNN</t>
  </si>
  <si>
    <t>Objetivo</t>
  </si>
  <si>
    <t>Variável-alvo</t>
  </si>
  <si>
    <t>Hospedes_Hospedados: quantidade de hóspedes presentes no hotel por dia.</t>
  </si>
  <si>
    <t>Período</t>
  </si>
  <si>
    <t>01/01/2023 a 31/12/2025 (1.096 dias por hotel; 3.288 observações hotel-dia).</t>
  </si>
  <si>
    <t>Hotéis</t>
  </si>
  <si>
    <t>Modelo</t>
  </si>
  <si>
    <t>RNN para séries temporais: SimpleRNN, LSTM ou GRU. Pode-se treinar um modelo por hotel ou um modelo global com identificação do hotel.</t>
  </si>
  <si>
    <t>Janela inicial sugerida</t>
  </si>
  <si>
    <t>28 dias de histórico para prever o próximo dia; testar janelas de 7, 14, 28 e 56 dias.</t>
  </si>
  <si>
    <t>Atenção — uso</t>
  </si>
  <si>
    <t>Hospedes_Checkin, Hospedes_Checkout, Quartos_Ocupados, Taxa_Ocupacao e Diaria_Media_R$ são indicadores operacionais de apoio; não use valores observados do próprio dia como preditores se eles não forem conhecidos no instante da previsão.</t>
  </si>
  <si>
    <t>Atenção — reservas</t>
  </si>
  <si>
    <t>Reservas_Confirmadas_D14 representa hóspedes em reservas conhecidas 14 dias antes da data de hospedagem; é uma variável exógena simulada e disponível com antecedência.</t>
  </si>
  <si>
    <t>Atenção — clima</t>
  </si>
  <si>
    <t>Chuva_mm e Temperatura_Max_C são observações climáticas sintéticas. Para prever datas futuras, substitua-as por previsões meteorológicas disponíveis no momento da decisão ou exclua-as.</t>
  </si>
  <si>
    <t>Atenção — calendário</t>
  </si>
  <si>
    <t>Evento_Local_Simulado marca eventos ilustrativos, sem correspondência garantida com datas oficiais de eventos turísticos.</t>
  </si>
  <si>
    <t>Importação Python</t>
  </si>
  <si>
    <t>Use a aba Dados_Longos para treinar modelos individuais ou globais; ordene por Hotel_ID e Data e não embaralhe aleatoriamente as datas.</t>
  </si>
  <si>
    <t>Arquivos</t>
  </si>
  <si>
    <t>Serie_Diaria = formato amplo; Dados_Longos = formato recomendado para RNN; Calendario = variáveis de calendário; Cadastro_Hoteis = características de cada hotel; Dicionario = variáveis; Painel = estatísticas e gráfico.</t>
  </si>
  <si>
    <t>Hotel_ID</t>
  </si>
  <si>
    <t>Hotel</t>
  </si>
  <si>
    <t>Municipio</t>
  </si>
  <si>
    <t>Regiao_Litoranea</t>
  </si>
  <si>
    <t>Perfil</t>
  </si>
  <si>
    <t>Numero_Quartos</t>
  </si>
  <si>
    <t>Capacidade_Hospedes</t>
  </si>
  <si>
    <t>Hospedes_Medios_por_Quarto</t>
  </si>
  <si>
    <t>H01</t>
  </si>
  <si>
    <t>Hotel Atlântico Fortaleza</t>
  </si>
  <si>
    <t>Fortaleza</t>
  </si>
  <si>
    <t>Litoral de Fortaleza</t>
  </si>
  <si>
    <t>Urbano / lazer e negócios</t>
  </si>
  <si>
    <t>H02</t>
  </si>
  <si>
    <t>Resort Dunas do Porto</t>
  </si>
  <si>
    <t>Aquiraz</t>
  </si>
  <si>
    <t>Porto das Dunas</t>
  </si>
  <si>
    <t>Resort / famílias e lazer</t>
  </si>
  <si>
    <t>H03</t>
  </si>
  <si>
    <t>Pousada Jericoacoara Azul</t>
  </si>
  <si>
    <t>Jijoca de Jericoacoara</t>
  </si>
  <si>
    <t>Litoral Oeste</t>
  </si>
  <si>
    <t>Praia / lazer e natureza</t>
  </si>
  <si>
    <t>Data</t>
  </si>
  <si>
    <t>Dia_Semana_Nome</t>
  </si>
  <si>
    <t>Dia_Semana</t>
  </si>
  <si>
    <t>Mes</t>
  </si>
  <si>
    <t>Dia_Ano</t>
  </si>
  <si>
    <t>Fim_De_Semana</t>
  </si>
  <si>
    <t>Feriado</t>
  </si>
  <si>
    <t>Nome_Feriado</t>
  </si>
  <si>
    <t>Ferias_Escolares</t>
  </si>
  <si>
    <t>Carnaval</t>
  </si>
  <si>
    <t>Reveillon</t>
  </si>
  <si>
    <t>Evento_Local_Simulado</t>
  </si>
  <si>
    <t>Chuva_mm</t>
  </si>
  <si>
    <t>Temperatura_Max_C</t>
  </si>
  <si>
    <t>Domingo</t>
  </si>
  <si>
    <t>Confraternização Universal</t>
  </si>
  <si>
    <t>Segunda</t>
  </si>
  <si>
    <t>Terça</t>
  </si>
  <si>
    <t>Quarta</t>
  </si>
  <si>
    <t>Quinta</t>
  </si>
  <si>
    <t>Sexta</t>
  </si>
  <si>
    <t>Sábado</t>
  </si>
  <si>
    <t>Dia de São José (CE)</t>
  </si>
  <si>
    <t>Data Magna do Ceará</t>
  </si>
  <si>
    <t>Tiradentes</t>
  </si>
  <si>
    <t>Dia do Trabalho</t>
  </si>
  <si>
    <t>Independência do Brasil</t>
  </si>
  <si>
    <t>Nossa Senhora Aparecida</t>
  </si>
  <si>
    <t>Finados</t>
  </si>
  <si>
    <t>Proclamação da República</t>
  </si>
  <si>
    <t>Natal</t>
  </si>
  <si>
    <t>Hospedes_H01</t>
  </si>
  <si>
    <t>Reservas_D14_H01</t>
  </si>
  <si>
    <t>Taxa_Ocupacao_H01</t>
  </si>
  <si>
    <t>Hospedes_H02</t>
  </si>
  <si>
    <t>Reservas_D14_H02</t>
  </si>
  <si>
    <t>Taxa_Ocupacao_H02</t>
  </si>
  <si>
    <t>Hospedes_H03</t>
  </si>
  <si>
    <t>Reservas_D14_H03</t>
  </si>
  <si>
    <t>Taxa_Ocupacao_H03</t>
  </si>
  <si>
    <t>Total_Hospedes</t>
  </si>
  <si>
    <t>Hospedes_Hospedados</t>
  </si>
  <si>
    <t>Quartos_Ocupados</t>
  </si>
  <si>
    <t>Taxa_Ocupacao</t>
  </si>
  <si>
    <t>Hospedes_Checkin</t>
  </si>
  <si>
    <t>Hospedes_Checkout</t>
  </si>
  <si>
    <t>Reservas_Confirmadas_D14</t>
  </si>
  <si>
    <t>Diaria_Media_R$</t>
  </si>
  <si>
    <t>Dia_Semana_Sin</t>
  </si>
  <si>
    <t>Dia_Semana_Cos</t>
  </si>
  <si>
    <t>Dia_Ano_Sin</t>
  </si>
  <si>
    <t>Dia_Ano_Cos</t>
  </si>
  <si>
    <t>Variável</t>
  </si>
  <si>
    <t>Descrição</t>
  </si>
  <si>
    <t>Uso no estudo / observação</t>
  </si>
  <si>
    <t>Data de referência da observação diária.</t>
  </si>
  <si>
    <t>Índice temporal; manter ordenação cronológica.</t>
  </si>
  <si>
    <t>Hotel_ID / Hotel</t>
  </si>
  <si>
    <t>Identificador e nome do estabelecimento.</t>
  </si>
  <si>
    <t>Permite treinar uma RNN por hotel ou uma RNN global.</t>
  </si>
  <si>
    <t>Quantidade de hóspedes presentes no hotel na data.</t>
  </si>
  <si>
    <t>Variável-alvo (y) recomendada para previsão de carga operacional.</t>
  </si>
  <si>
    <t>Hóspedes associados a reservas registradas 14 dias antes da data de hospedagem.</t>
  </si>
  <si>
    <t>Preditor exógeno simulado; é conhecido com antecedência. Deve ser tratado conforme o horizonte de previsão.</t>
  </si>
  <si>
    <t>Quantidade estimada de hóspedes que realizaram check-in no dia.</t>
  </si>
  <si>
    <t>Indicador auxiliar para recepção e processos de entrada; não usar como preditor contemporâneo se desconhecido na previsão.</t>
  </si>
  <si>
    <t>Quantidade estimada de hóspedes que realizaram check-out no dia.</t>
  </si>
  <si>
    <t>Indicador auxiliar para recepção e arrumação; não usar como preditor contemporâneo se desconhecido na previsão.</t>
  </si>
  <si>
    <t>Quantidade de quartos ocupados.</t>
  </si>
  <si>
    <t>Indicador para dimensionamento de governança/limpeza; derivado da demanda simulada.</t>
  </si>
  <si>
    <t>Quartos ocupados divididos pelo total de quartos.</t>
  </si>
  <si>
    <t>Indicador de utilização da capacidade; derivado, portanto não deve ser usado junto com o alvo do mesmo dia.</t>
  </si>
  <si>
    <t>Tarifa média diária simulada.</t>
  </si>
  <si>
    <t>Variável de contexto comercial; usar como preditor somente se conhecida no instante da previsão.</t>
  </si>
  <si>
    <t>Chuva_mm / Temperatura_Max_C</t>
  </si>
  <si>
    <t>Condições climáticas diárias simuladas.</t>
  </si>
  <si>
    <t>Observações sintéticas; para previsão futura, substituir por previsão meteorológica ou excluir.</t>
  </si>
  <si>
    <t>Dia_Semana / Mes / Dia_Ano</t>
  </si>
  <si>
    <t>Componentes de calendário.</t>
  </si>
  <si>
    <t>Podem ser codificados por seno/cosseno ou one-hot encoding.</t>
  </si>
  <si>
    <t>Dia_Semana_Sin/Cos</t>
  </si>
  <si>
    <t>Codificação cíclica do dia da semana.</t>
  </si>
  <si>
    <t>Evita descontinuidade artificial entre domingo e segunda-feira.</t>
  </si>
  <si>
    <t>Dia_Ano_Sin/Cos</t>
  </si>
  <si>
    <t>Codificação cíclica da posição no ano.</t>
  </si>
  <si>
    <t>Representa sazonalidade anual para modelos neurais.</t>
  </si>
  <si>
    <t>Indicador binário de sábado/domingo.</t>
  </si>
  <si>
    <t>Variável exógena conhecida antecipadamente.</t>
  </si>
  <si>
    <t>Feriado / Nome_Feriado</t>
  </si>
  <si>
    <t>Indicador e nome de feriado presente no calendário didático.</t>
  </si>
  <si>
    <t>Variável exógena conhecida antecipadamente; conferir abrangência local antes de uso real.</t>
  </si>
  <si>
    <t>Indicador de períodos de férias (janeiro, julho e fim de dezembro).</t>
  </si>
  <si>
    <t>Representa períodos de maior potencial de viagens familiares; regra didática.</t>
  </si>
  <si>
    <t>Carnaval / Reveillon</t>
  </si>
  <si>
    <t>Indicadores de períodos festivos.</t>
  </si>
  <si>
    <t>Representam eventos sazonais de turismo; calendários são simplificados.</t>
  </si>
  <si>
    <t>Marcador de datas de eventos turísticos ilustrativos.</t>
  </si>
  <si>
    <t>Não representa calendário oficial de eventos.</t>
  </si>
  <si>
    <t>PAINEL — DEMANDA HOTELEIRA SINTÉTICA | LITORAL DO CEARÁ</t>
  </si>
  <si>
    <t>Mês</t>
  </si>
  <si>
    <t>Hotel H01</t>
  </si>
  <si>
    <t>Hotel H02</t>
  </si>
  <si>
    <t>Hotel H03</t>
  </si>
  <si>
    <t>jan/23</t>
  </si>
  <si>
    <t>Média hóspedes/dia</t>
  </si>
  <si>
    <t>Mínimo diário</t>
  </si>
  <si>
    <t>Máximo diário</t>
  </si>
  <si>
    <t>Total de hóspedes-dia</t>
  </si>
  <si>
    <t>fev/23</t>
  </si>
  <si>
    <t>mar/23</t>
  </si>
  <si>
    <t>abr/23</t>
  </si>
  <si>
    <t>mai/23</t>
  </si>
  <si>
    <t>jun/23</t>
  </si>
  <si>
    <t>jul/23</t>
  </si>
  <si>
    <t>Observação</t>
  </si>
  <si>
    <t>Os valores do painel são calculados a partir de Dados_Longos. Dados sintéticos, não oficiais.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</si>
  <si>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</si>
  <si>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</si>
  <si>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</si>
  <si>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</si>
  <si>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</si>
  <si>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</si>
  <si>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</si>
  <si>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</si>
  <si>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</si>
  <si>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</si>
  <si>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</si>
  <si>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</si>
  <si>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</si>
  <si>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</si>
  <si>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</si>
  <si>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</si>
  <si>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</si>
  <si>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</si>
  <si>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</si>
  <si>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</si>
  <si>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</si>
  <si>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</si>
  <si>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</si>
  <si>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</si>
  <si>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</si>
  <si>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</si>
  <si>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</si>
  <si>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</si>
  <si>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</si>
  <si>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Instância para previsão diária de hóspedes hospedados em três hotéis do litoral do Ceará, apoiando planejamento de capacidade, equipes e serviços.</t>
  </si>
  <si>
    <t>Hotel Oceano Fortaleza (Fortaleza); Resort Dunas Portuárias (Aquiraz/Porto das Dunas); Pousada Jericoacoara Azul (Jijoca de Jericoacoara).</t>
  </si>
  <si>
    <t>Hotel Oceano Fortaleza</t>
  </si>
  <si>
    <t>Resort Dunas Portuária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</si>
</sst>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R$&quot;\ #,##0.00"/>
    <numFmt numFmtId="167" formatCode="0.000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12304A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475569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7F1F7"/>
      </patternFill>
    </fill>
    <fill>
      <patternFill patternType="solid">
        <fgColor rgb="FF1F6E8C"/>
      </patternFill>
    </fill>
    <fill>
      <patternFill patternType="solid">
        <fgColor rgb="FFE6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0" fontId="5" fillId="5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3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Média mensal de hóspedes hospedados por hotel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Hotel H01</c:v>
          </c:tx>
          <c:marker>
            <c:symbol val="none"/>
          </c:marker>
          <c:cat>
            <c:strRef>
              <c:f>Painel!$H$2:$H$37</c:f>
              <c:strCache>
                <c:ptCount val="36"/>
                <c:pt idx="0">
                  <c:v>jan/23</c:v>
                </c:pt>
                <c:pt idx="1">
                  <c:v>fev/23</c:v>
                </c:pt>
                <c:pt idx="2">
                  <c:v>mar/23</c:v>
                </c:pt>
                <c:pt idx="3">
                  <c:v>abr/23</c:v>
                </c:pt>
                <c:pt idx="4">
                  <c:v>mai/23</c:v>
                </c:pt>
                <c:pt idx="5">
                  <c:v>jun/23</c:v>
                </c:pt>
                <c:pt idx="6">
                  <c:v>jul/23</c:v>
                </c:pt>
                <c:pt idx="7">
                  <c:v>ago/23</c:v>
                </c:pt>
                <c:pt idx="8">
                  <c:v>set/23</c:v>
                </c:pt>
                <c:pt idx="9">
                  <c:v>out/23</c:v>
                </c:pt>
                <c:pt idx="10">
                  <c:v>nov/23</c:v>
                </c:pt>
                <c:pt idx="11">
                  <c:v>dez/23</c:v>
                </c:pt>
                <c:pt idx="12">
                  <c:v>jan/24</c:v>
                </c:pt>
                <c:pt idx="13">
                  <c:v>fev/24</c:v>
                </c:pt>
                <c:pt idx="14">
                  <c:v>mar/24</c:v>
                </c:pt>
                <c:pt idx="15">
                  <c:v>abr/24</c:v>
                </c:pt>
                <c:pt idx="16">
                  <c:v>mai/24</c:v>
                </c:pt>
                <c:pt idx="17">
                  <c:v>jun/24</c:v>
                </c:pt>
                <c:pt idx="18">
                  <c:v>jul/24</c:v>
                </c:pt>
                <c:pt idx="19">
                  <c:v>ago/24</c:v>
                </c:pt>
                <c:pt idx="20">
                  <c:v>set/24</c:v>
                </c:pt>
                <c:pt idx="21">
                  <c:v>out/24</c:v>
                </c:pt>
                <c:pt idx="22">
                  <c:v>nov/24</c:v>
                </c:pt>
                <c:pt idx="23">
                  <c:v>dez/24</c:v>
                </c:pt>
                <c:pt idx="24">
                  <c:v>jan/25</c:v>
                </c:pt>
                <c:pt idx="25">
                  <c:v>fev/25</c:v>
                </c:pt>
                <c:pt idx="26">
                  <c:v>mar/25</c:v>
                </c:pt>
                <c:pt idx="27">
                  <c:v>abr/25</c:v>
                </c:pt>
                <c:pt idx="28">
                  <c:v>mai/25</c:v>
                </c:pt>
                <c:pt idx="29">
                  <c:v>jun/25</c:v>
                </c:pt>
                <c:pt idx="30">
                  <c:v>jul/25</c:v>
                </c:pt>
                <c:pt idx="31">
                  <c:v>ago/25</c:v>
                </c:pt>
                <c:pt idx="32">
                  <c:v>set/25</c:v>
                </c:pt>
                <c:pt idx="33">
                  <c:v>out/25</c:v>
                </c:pt>
                <c:pt idx="34">
                  <c:v>nov/25</c:v>
                </c:pt>
                <c:pt idx="35">
                  <c:v>dez/25</c:v>
                </c:pt>
              </c:strCache>
            </c:strRef>
          </c:cat>
          <c:val>
            <c:numRef>
              <c:f>Painel!$I$2:$I$37</c:f>
              <c:numCache>
                <c:formatCode>0.0</c:formatCode>
                <c:ptCount val="36"/>
                <c:pt idx="0">
                  <c:v>231.8</c:v>
                </c:pt>
                <c:pt idx="1">
                  <c:v>204.7</c:v>
                </c:pt>
                <c:pt idx="2">
                  <c:v>184.7</c:v>
                </c:pt>
                <c:pt idx="3">
                  <c:v>182.9</c:v>
                </c:pt>
                <c:pt idx="4">
                  <c:v>182.6</c:v>
                </c:pt>
                <c:pt idx="5">
                  <c:v>195</c:v>
                </c:pt>
                <c:pt idx="6">
                  <c:v>234.2</c:v>
                </c:pt>
                <c:pt idx="7">
                  <c:v>205.7</c:v>
                </c:pt>
                <c:pt idx="8">
                  <c:v>184.9</c:v>
                </c:pt>
                <c:pt idx="9">
                  <c:v>178.3</c:v>
                </c:pt>
                <c:pt idx="10">
                  <c:v>187.7</c:v>
                </c:pt>
                <c:pt idx="11">
                  <c:v>219.5</c:v>
                </c:pt>
                <c:pt idx="12">
                  <c:v>233.9</c:v>
                </c:pt>
                <c:pt idx="13">
                  <c:v>207</c:v>
                </c:pt>
                <c:pt idx="14">
                  <c:v>192.8</c:v>
                </c:pt>
                <c:pt idx="15">
                  <c:v>184.4</c:v>
                </c:pt>
                <c:pt idx="16">
                  <c:v>182.2</c:v>
                </c:pt>
                <c:pt idx="17">
                  <c:v>202.5</c:v>
                </c:pt>
                <c:pt idx="18">
                  <c:v>233</c:v>
                </c:pt>
                <c:pt idx="19">
                  <c:v>204.4</c:v>
                </c:pt>
                <c:pt idx="20">
                  <c:v>185.3</c:v>
                </c:pt>
                <c:pt idx="21">
                  <c:v>185.5</c:v>
                </c:pt>
                <c:pt idx="22">
                  <c:v>193</c:v>
                </c:pt>
                <c:pt idx="23">
                  <c:v>228.7</c:v>
                </c:pt>
                <c:pt idx="24">
                  <c:v>232</c:v>
                </c:pt>
                <c:pt idx="25">
                  <c:v>211.7</c:v>
                </c:pt>
                <c:pt idx="26">
                  <c:v>195.8</c:v>
                </c:pt>
                <c:pt idx="27">
                  <c:v>185.3</c:v>
                </c:pt>
                <c:pt idx="28">
                  <c:v>190</c:v>
                </c:pt>
                <c:pt idx="29">
                  <c:v>200.3</c:v>
                </c:pt>
                <c:pt idx="30">
                  <c:v>234.5</c:v>
                </c:pt>
                <c:pt idx="31">
                  <c:v>206.8</c:v>
                </c:pt>
                <c:pt idx="32">
                  <c:v>194.8</c:v>
                </c:pt>
                <c:pt idx="33">
                  <c:v>190.7</c:v>
                </c:pt>
                <c:pt idx="34">
                  <c:v>197.1</c:v>
                </c:pt>
                <c:pt idx="35">
                  <c:v>226.4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F-46F6-9715-687C313AF60C}"/>
            </c:ext>
          </c:extLst>
        </c:ser>
        <c:ser>
          <c:idx val="1"/>
          <c:order val="1"/>
          <c:tx>
            <c:v>Hotel H02</c:v>
          </c:tx>
          <c:marker>
            <c:symbol val="none"/>
          </c:marker>
          <c:cat>
            <c:strRef>
              <c:f>Painel!$H$2:$H$37</c:f>
              <c:strCache>
                <c:ptCount val="36"/>
                <c:pt idx="0">
                  <c:v>jan/23</c:v>
                </c:pt>
                <c:pt idx="1">
                  <c:v>fev/23</c:v>
                </c:pt>
                <c:pt idx="2">
                  <c:v>mar/23</c:v>
                </c:pt>
                <c:pt idx="3">
                  <c:v>abr/23</c:v>
                </c:pt>
                <c:pt idx="4">
                  <c:v>mai/23</c:v>
                </c:pt>
                <c:pt idx="5">
                  <c:v>jun/23</c:v>
                </c:pt>
                <c:pt idx="6">
                  <c:v>jul/23</c:v>
                </c:pt>
                <c:pt idx="7">
                  <c:v>ago/23</c:v>
                </c:pt>
                <c:pt idx="8">
                  <c:v>set/23</c:v>
                </c:pt>
                <c:pt idx="9">
                  <c:v>out/23</c:v>
                </c:pt>
                <c:pt idx="10">
                  <c:v>nov/23</c:v>
                </c:pt>
                <c:pt idx="11">
                  <c:v>dez/23</c:v>
                </c:pt>
                <c:pt idx="12">
                  <c:v>jan/24</c:v>
                </c:pt>
                <c:pt idx="13">
                  <c:v>fev/24</c:v>
                </c:pt>
                <c:pt idx="14">
                  <c:v>mar/24</c:v>
                </c:pt>
                <c:pt idx="15">
                  <c:v>abr/24</c:v>
                </c:pt>
                <c:pt idx="16">
                  <c:v>mai/24</c:v>
                </c:pt>
                <c:pt idx="17">
                  <c:v>jun/24</c:v>
                </c:pt>
                <c:pt idx="18">
                  <c:v>jul/24</c:v>
                </c:pt>
                <c:pt idx="19">
                  <c:v>ago/24</c:v>
                </c:pt>
                <c:pt idx="20">
                  <c:v>set/24</c:v>
                </c:pt>
                <c:pt idx="21">
                  <c:v>out/24</c:v>
                </c:pt>
                <c:pt idx="22">
                  <c:v>nov/24</c:v>
                </c:pt>
                <c:pt idx="23">
                  <c:v>dez/24</c:v>
                </c:pt>
                <c:pt idx="24">
                  <c:v>jan/25</c:v>
                </c:pt>
                <c:pt idx="25">
                  <c:v>fev/25</c:v>
                </c:pt>
                <c:pt idx="26">
                  <c:v>mar/25</c:v>
                </c:pt>
                <c:pt idx="27">
                  <c:v>abr/25</c:v>
                </c:pt>
                <c:pt idx="28">
                  <c:v>mai/25</c:v>
                </c:pt>
                <c:pt idx="29">
                  <c:v>jun/25</c:v>
                </c:pt>
                <c:pt idx="30">
                  <c:v>jul/25</c:v>
                </c:pt>
                <c:pt idx="31">
                  <c:v>ago/25</c:v>
                </c:pt>
                <c:pt idx="32">
                  <c:v>set/25</c:v>
                </c:pt>
                <c:pt idx="33">
                  <c:v>out/25</c:v>
                </c:pt>
                <c:pt idx="34">
                  <c:v>nov/25</c:v>
                </c:pt>
                <c:pt idx="35">
                  <c:v>dez/25</c:v>
                </c:pt>
              </c:strCache>
            </c:strRef>
          </c:cat>
          <c:val>
            <c:numRef>
              <c:f>Painel!$J$2:$J$37</c:f>
              <c:numCache>
                <c:formatCode>0.0</c:formatCode>
                <c:ptCount val="36"/>
                <c:pt idx="0">
                  <c:v>231</c:v>
                </c:pt>
                <c:pt idx="1">
                  <c:v>182.8</c:v>
                </c:pt>
                <c:pt idx="2">
                  <c:v>160.6</c:v>
                </c:pt>
                <c:pt idx="3">
                  <c:v>162.30000000000001</c:v>
                </c:pt>
                <c:pt idx="4">
                  <c:v>159.9</c:v>
                </c:pt>
                <c:pt idx="5">
                  <c:v>170.9</c:v>
                </c:pt>
                <c:pt idx="6">
                  <c:v>232.5</c:v>
                </c:pt>
                <c:pt idx="7">
                  <c:v>176.6</c:v>
                </c:pt>
                <c:pt idx="8">
                  <c:v>163.69999999999999</c:v>
                </c:pt>
                <c:pt idx="9">
                  <c:v>159.1</c:v>
                </c:pt>
                <c:pt idx="10">
                  <c:v>166.1</c:v>
                </c:pt>
                <c:pt idx="11">
                  <c:v>212.4</c:v>
                </c:pt>
                <c:pt idx="12">
                  <c:v>235.2</c:v>
                </c:pt>
                <c:pt idx="13">
                  <c:v>183.8</c:v>
                </c:pt>
                <c:pt idx="14">
                  <c:v>172.4</c:v>
                </c:pt>
                <c:pt idx="15">
                  <c:v>163.4</c:v>
                </c:pt>
                <c:pt idx="16">
                  <c:v>164.1</c:v>
                </c:pt>
                <c:pt idx="17">
                  <c:v>176.8</c:v>
                </c:pt>
                <c:pt idx="18">
                  <c:v>234.6</c:v>
                </c:pt>
                <c:pt idx="19">
                  <c:v>181.1</c:v>
                </c:pt>
                <c:pt idx="20">
                  <c:v>167.1</c:v>
                </c:pt>
                <c:pt idx="21">
                  <c:v>163.9</c:v>
                </c:pt>
                <c:pt idx="22">
                  <c:v>172.7</c:v>
                </c:pt>
                <c:pt idx="23">
                  <c:v>216.9</c:v>
                </c:pt>
                <c:pt idx="24">
                  <c:v>239.1</c:v>
                </c:pt>
                <c:pt idx="25">
                  <c:v>189.7</c:v>
                </c:pt>
                <c:pt idx="26">
                  <c:v>175.4</c:v>
                </c:pt>
                <c:pt idx="27">
                  <c:v>169.9</c:v>
                </c:pt>
                <c:pt idx="28">
                  <c:v>171.7</c:v>
                </c:pt>
                <c:pt idx="29">
                  <c:v>182.4</c:v>
                </c:pt>
                <c:pt idx="30">
                  <c:v>241.4</c:v>
                </c:pt>
                <c:pt idx="31">
                  <c:v>188.5</c:v>
                </c:pt>
                <c:pt idx="32">
                  <c:v>175.7</c:v>
                </c:pt>
                <c:pt idx="33">
                  <c:v>167.9</c:v>
                </c:pt>
                <c:pt idx="34">
                  <c:v>176.9</c:v>
                </c:pt>
                <c:pt idx="35">
                  <c:v>219.8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F-46F6-9715-687C313AF60C}"/>
            </c:ext>
          </c:extLst>
        </c:ser>
        <c:ser>
          <c:idx val="2"/>
          <c:order val="2"/>
          <c:tx>
            <c:v>Hotel H03</c:v>
          </c:tx>
          <c:marker>
            <c:symbol val="none"/>
          </c:marker>
          <c:cat>
            <c:strRef>
              <c:f>Painel!$H$2:$H$37</c:f>
              <c:strCache>
                <c:ptCount val="36"/>
                <c:pt idx="0">
                  <c:v>jan/23</c:v>
                </c:pt>
                <c:pt idx="1">
                  <c:v>fev/23</c:v>
                </c:pt>
                <c:pt idx="2">
                  <c:v>mar/23</c:v>
                </c:pt>
                <c:pt idx="3">
                  <c:v>abr/23</c:v>
                </c:pt>
                <c:pt idx="4">
                  <c:v>mai/23</c:v>
                </c:pt>
                <c:pt idx="5">
                  <c:v>jun/23</c:v>
                </c:pt>
                <c:pt idx="6">
                  <c:v>jul/23</c:v>
                </c:pt>
                <c:pt idx="7">
                  <c:v>ago/23</c:v>
                </c:pt>
                <c:pt idx="8">
                  <c:v>set/23</c:v>
                </c:pt>
                <c:pt idx="9">
                  <c:v>out/23</c:v>
                </c:pt>
                <c:pt idx="10">
                  <c:v>nov/23</c:v>
                </c:pt>
                <c:pt idx="11">
                  <c:v>dez/23</c:v>
                </c:pt>
                <c:pt idx="12">
                  <c:v>jan/24</c:v>
                </c:pt>
                <c:pt idx="13">
                  <c:v>fev/24</c:v>
                </c:pt>
                <c:pt idx="14">
                  <c:v>mar/24</c:v>
                </c:pt>
                <c:pt idx="15">
                  <c:v>abr/24</c:v>
                </c:pt>
                <c:pt idx="16">
                  <c:v>mai/24</c:v>
                </c:pt>
                <c:pt idx="17">
                  <c:v>jun/24</c:v>
                </c:pt>
                <c:pt idx="18">
                  <c:v>jul/24</c:v>
                </c:pt>
                <c:pt idx="19">
                  <c:v>ago/24</c:v>
                </c:pt>
                <c:pt idx="20">
                  <c:v>set/24</c:v>
                </c:pt>
                <c:pt idx="21">
                  <c:v>out/24</c:v>
                </c:pt>
                <c:pt idx="22">
                  <c:v>nov/24</c:v>
                </c:pt>
                <c:pt idx="23">
                  <c:v>dez/24</c:v>
                </c:pt>
                <c:pt idx="24">
                  <c:v>jan/25</c:v>
                </c:pt>
                <c:pt idx="25">
                  <c:v>fev/25</c:v>
                </c:pt>
                <c:pt idx="26">
                  <c:v>mar/25</c:v>
                </c:pt>
                <c:pt idx="27">
                  <c:v>abr/25</c:v>
                </c:pt>
                <c:pt idx="28">
                  <c:v>mai/25</c:v>
                </c:pt>
                <c:pt idx="29">
                  <c:v>jun/25</c:v>
                </c:pt>
                <c:pt idx="30">
                  <c:v>jul/25</c:v>
                </c:pt>
                <c:pt idx="31">
                  <c:v>ago/25</c:v>
                </c:pt>
                <c:pt idx="32">
                  <c:v>set/25</c:v>
                </c:pt>
                <c:pt idx="33">
                  <c:v>out/25</c:v>
                </c:pt>
                <c:pt idx="34">
                  <c:v>nov/25</c:v>
                </c:pt>
                <c:pt idx="35">
                  <c:v>dez/25</c:v>
                </c:pt>
              </c:strCache>
            </c:strRef>
          </c:cat>
          <c:val>
            <c:numRef>
              <c:f>Painel!$K$2:$K$37</c:f>
              <c:numCache>
                <c:formatCode>0.0</c:formatCode>
                <c:ptCount val="36"/>
                <c:pt idx="0">
                  <c:v>163.6</c:v>
                </c:pt>
                <c:pt idx="1">
                  <c:v>130.6</c:v>
                </c:pt>
                <c:pt idx="2">
                  <c:v>117.8</c:v>
                </c:pt>
                <c:pt idx="3">
                  <c:v>117.5</c:v>
                </c:pt>
                <c:pt idx="4">
                  <c:v>117.1</c:v>
                </c:pt>
                <c:pt idx="5">
                  <c:v>122.9</c:v>
                </c:pt>
                <c:pt idx="6">
                  <c:v>159.5</c:v>
                </c:pt>
                <c:pt idx="7">
                  <c:v>127.3</c:v>
                </c:pt>
                <c:pt idx="8">
                  <c:v>119.4</c:v>
                </c:pt>
                <c:pt idx="9">
                  <c:v>116.9</c:v>
                </c:pt>
                <c:pt idx="10">
                  <c:v>121.6</c:v>
                </c:pt>
                <c:pt idx="11">
                  <c:v>148.80000000000001</c:v>
                </c:pt>
                <c:pt idx="12">
                  <c:v>165.8</c:v>
                </c:pt>
                <c:pt idx="13">
                  <c:v>133</c:v>
                </c:pt>
                <c:pt idx="14">
                  <c:v>121.6</c:v>
                </c:pt>
                <c:pt idx="15">
                  <c:v>118</c:v>
                </c:pt>
                <c:pt idx="16">
                  <c:v>118.3</c:v>
                </c:pt>
                <c:pt idx="17">
                  <c:v>129.69999999999999</c:v>
                </c:pt>
                <c:pt idx="18">
                  <c:v>166.5</c:v>
                </c:pt>
                <c:pt idx="19">
                  <c:v>134</c:v>
                </c:pt>
                <c:pt idx="20">
                  <c:v>121.4</c:v>
                </c:pt>
                <c:pt idx="21">
                  <c:v>119.6</c:v>
                </c:pt>
                <c:pt idx="22">
                  <c:v>127</c:v>
                </c:pt>
                <c:pt idx="23">
                  <c:v>153.5</c:v>
                </c:pt>
                <c:pt idx="24">
                  <c:v>165.3</c:v>
                </c:pt>
                <c:pt idx="25">
                  <c:v>134.69999999999999</c:v>
                </c:pt>
                <c:pt idx="26">
                  <c:v>127.9</c:v>
                </c:pt>
                <c:pt idx="27">
                  <c:v>122.2</c:v>
                </c:pt>
                <c:pt idx="28">
                  <c:v>122.3</c:v>
                </c:pt>
                <c:pt idx="29">
                  <c:v>129.69999999999999</c:v>
                </c:pt>
                <c:pt idx="30">
                  <c:v>168.6</c:v>
                </c:pt>
                <c:pt idx="31">
                  <c:v>135.69999999999999</c:v>
                </c:pt>
                <c:pt idx="32">
                  <c:v>123.8</c:v>
                </c:pt>
                <c:pt idx="33">
                  <c:v>124.7</c:v>
                </c:pt>
                <c:pt idx="34">
                  <c:v>128.1</c:v>
                </c:pt>
                <c:pt idx="35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F-46F6-9715-687C313A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3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dastroHoteis" displayName="CadastroHoteis" ref="A1:H4" totalsRowShown="0">
  <tableColumns count="8">
    <tableColumn id="1" xr3:uid="{00000000-0010-0000-0000-000001000000}" name="Hotel_ID"/>
    <tableColumn id="2" xr3:uid="{00000000-0010-0000-0000-000002000000}" name="Hotel"/>
    <tableColumn id="3" xr3:uid="{00000000-0010-0000-0000-000003000000}" name="Municipio"/>
    <tableColumn id="4" xr3:uid="{00000000-0010-0000-0000-000004000000}" name="Regiao_Litoranea"/>
    <tableColumn id="5" xr3:uid="{00000000-0010-0000-0000-000005000000}" name="Perfil"/>
    <tableColumn id="6" xr3:uid="{00000000-0010-0000-0000-000006000000}" name="Numero_Quartos"/>
    <tableColumn id="7" xr3:uid="{00000000-0010-0000-0000-000007000000}" name="Capacidade_Hospedes"/>
    <tableColumn id="8" xr3:uid="{00000000-0010-0000-0000-000008000000}" name="Hospedes_Medios_por_Quar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arioHotel" displayName="CalendarioHotel" ref="A1:N1097" totalsRowShown="0">
  <tableColumns count="14">
    <tableColumn id="1" xr3:uid="{00000000-0010-0000-0100-000001000000}" name="Data"/>
    <tableColumn id="2" xr3:uid="{00000000-0010-0000-0100-000002000000}" name="Dia_Semana_Nome"/>
    <tableColumn id="3" xr3:uid="{00000000-0010-0000-0100-000003000000}" name="Dia_Semana"/>
    <tableColumn id="4" xr3:uid="{00000000-0010-0000-0100-000004000000}" name="Mes"/>
    <tableColumn id="5" xr3:uid="{00000000-0010-0000-0100-000005000000}" name="Dia_Ano"/>
    <tableColumn id="6" xr3:uid="{00000000-0010-0000-0100-000006000000}" name="Fim_De_Semana"/>
    <tableColumn id="7" xr3:uid="{00000000-0010-0000-0100-000007000000}" name="Feriado"/>
    <tableColumn id="8" xr3:uid="{00000000-0010-0000-0100-000008000000}" name="Nome_Feriado"/>
    <tableColumn id="9" xr3:uid="{00000000-0010-0000-0100-000009000000}" name="Ferias_Escolares"/>
    <tableColumn id="10" xr3:uid="{00000000-0010-0000-0100-00000A000000}" name="Carnaval"/>
    <tableColumn id="11" xr3:uid="{00000000-0010-0000-0100-00000B000000}" name="Reveillon"/>
    <tableColumn id="12" xr3:uid="{00000000-0010-0000-0100-00000C000000}" name="Evento_Local_Simulado"/>
    <tableColumn id="13" xr3:uid="{00000000-0010-0000-0100-00000D000000}" name="Chuva_mm"/>
    <tableColumn id="14" xr3:uid="{00000000-0010-0000-0100-00000E000000}" name="Temperatura_Max_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ieDiariaHotel" displayName="SerieDiariaHotel" ref="A1:W1097" totalsRowShown="0">
  <tableColumns count="23">
    <tableColumn id="1" xr3:uid="{00000000-0010-0000-0200-000001000000}" name="Data"/>
    <tableColumn id="2" xr3:uid="{00000000-0010-0000-0200-000002000000}" name="Dia_Semana_Nome"/>
    <tableColumn id="3" xr3:uid="{00000000-0010-0000-0200-000003000000}" name="Dia_Semana"/>
    <tableColumn id="4" xr3:uid="{00000000-0010-0000-0200-000004000000}" name="Mes"/>
    <tableColumn id="5" xr3:uid="{00000000-0010-0000-0200-000005000000}" name="Fim_De_Semana"/>
    <tableColumn id="6" xr3:uid="{00000000-0010-0000-0200-000006000000}" name="Feriado"/>
    <tableColumn id="7" xr3:uid="{00000000-0010-0000-0200-000007000000}" name="Nome_Feriado"/>
    <tableColumn id="8" xr3:uid="{00000000-0010-0000-0200-000008000000}" name="Ferias_Escolares"/>
    <tableColumn id="9" xr3:uid="{00000000-0010-0000-0200-000009000000}" name="Carnaval"/>
    <tableColumn id="10" xr3:uid="{00000000-0010-0000-0200-00000A000000}" name="Reveillon"/>
    <tableColumn id="11" xr3:uid="{00000000-0010-0000-0200-00000B000000}" name="Evento_Local_Simulado"/>
    <tableColumn id="12" xr3:uid="{00000000-0010-0000-0200-00000C000000}" name="Chuva_mm"/>
    <tableColumn id="13" xr3:uid="{00000000-0010-0000-0200-00000D000000}" name="Temperatura_Max_C"/>
    <tableColumn id="14" xr3:uid="{00000000-0010-0000-0200-00000E000000}" name="Hospedes_H01"/>
    <tableColumn id="15" xr3:uid="{00000000-0010-0000-0200-00000F000000}" name="Reservas_D14_H01"/>
    <tableColumn id="16" xr3:uid="{00000000-0010-0000-0200-000010000000}" name="Taxa_Ocupacao_H01"/>
    <tableColumn id="17" xr3:uid="{00000000-0010-0000-0200-000011000000}" name="Hospedes_H02"/>
    <tableColumn id="18" xr3:uid="{00000000-0010-0000-0200-000012000000}" name="Reservas_D14_H02"/>
    <tableColumn id="19" xr3:uid="{00000000-0010-0000-0200-000013000000}" name="Taxa_Ocupacao_H02"/>
    <tableColumn id="20" xr3:uid="{00000000-0010-0000-0200-000014000000}" name="Hospedes_H03"/>
    <tableColumn id="21" xr3:uid="{00000000-0010-0000-0200-000015000000}" name="Reservas_D14_H03"/>
    <tableColumn id="22" xr3:uid="{00000000-0010-0000-0200-000016000000}" name="Taxa_Ocupacao_H03"/>
    <tableColumn id="23" xr3:uid="{00000000-0010-0000-0200-000017000000}" name="Total_Hospe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dosLongosHotel" displayName="DadosLongosHotel" ref="A1:AE3289" totalsRowShown="0">
  <tableColumns count="31">
    <tableColumn id="1" xr3:uid="{00000000-0010-0000-0300-000001000000}" name="Data"/>
    <tableColumn id="2" xr3:uid="{00000000-0010-0000-0300-000002000000}" name="Hotel_ID"/>
    <tableColumn id="3" xr3:uid="{00000000-0010-0000-0300-000003000000}" name="Hotel"/>
    <tableColumn id="4" xr3:uid="{00000000-0010-0000-0300-000004000000}" name="Municipio"/>
    <tableColumn id="5" xr3:uid="{00000000-0010-0000-0300-000005000000}" name="Regiao_Litoranea"/>
    <tableColumn id="6" xr3:uid="{00000000-0010-0000-0300-000006000000}" name="Numero_Quartos"/>
    <tableColumn id="7" xr3:uid="{00000000-0010-0000-0300-000007000000}" name="Capacidade_Hospedes"/>
    <tableColumn id="8" xr3:uid="{00000000-0010-0000-0300-000008000000}" name="Hospedes_Hospedados"/>
    <tableColumn id="9" xr3:uid="{00000000-0010-0000-0300-000009000000}" name="Quartos_Ocupados"/>
    <tableColumn id="10" xr3:uid="{00000000-0010-0000-0300-00000A000000}" name="Taxa_Ocupacao"/>
    <tableColumn id="11" xr3:uid="{00000000-0010-0000-0300-00000B000000}" name="Hospedes_Checkin"/>
    <tableColumn id="12" xr3:uid="{00000000-0010-0000-0300-00000C000000}" name="Hospedes_Checkout"/>
    <tableColumn id="13" xr3:uid="{00000000-0010-0000-0300-00000D000000}" name="Reservas_Confirmadas_D14"/>
    <tableColumn id="14" xr3:uid="{00000000-0010-0000-0300-00000E000000}" name="Diaria_Media_R$"/>
    <tableColumn id="15" xr3:uid="{00000000-0010-0000-0300-00000F000000}" name="Chuva_mm"/>
    <tableColumn id="16" xr3:uid="{00000000-0010-0000-0300-000010000000}" name="Temperatura_Max_C"/>
    <tableColumn id="17" xr3:uid="{00000000-0010-0000-0300-000011000000}" name="Dia_Semana"/>
    <tableColumn id="18" xr3:uid="{00000000-0010-0000-0300-000012000000}" name="Dia_Semana_Nome"/>
    <tableColumn id="19" xr3:uid="{00000000-0010-0000-0300-000013000000}" name="Mes"/>
    <tableColumn id="20" xr3:uid="{00000000-0010-0000-0300-000014000000}" name="Dia_Ano"/>
    <tableColumn id="21" xr3:uid="{00000000-0010-0000-0300-000015000000}" name="Dia_Semana_Sin"/>
    <tableColumn id="22" xr3:uid="{00000000-0010-0000-0300-000016000000}" name="Dia_Semana_Cos"/>
    <tableColumn id="23" xr3:uid="{00000000-0010-0000-0300-000017000000}" name="Dia_Ano_Sin"/>
    <tableColumn id="24" xr3:uid="{00000000-0010-0000-0300-000018000000}" name="Dia_Ano_Cos"/>
    <tableColumn id="25" xr3:uid="{00000000-0010-0000-0300-000019000000}" name="Fim_De_Semana"/>
    <tableColumn id="26" xr3:uid="{00000000-0010-0000-0300-00001A000000}" name="Feriado"/>
    <tableColumn id="27" xr3:uid="{00000000-0010-0000-0300-00001B000000}" name="Nome_Feriado"/>
    <tableColumn id="28" xr3:uid="{00000000-0010-0000-0300-00001C000000}" name="Ferias_Escolares"/>
    <tableColumn id="29" xr3:uid="{00000000-0010-0000-0300-00001D000000}" name="Carnaval"/>
    <tableColumn id="30" xr3:uid="{00000000-0010-0000-0300-00001E000000}" name="Reveillon"/>
    <tableColumn id="31" xr3:uid="{00000000-0010-0000-0300-00001F000000}" name="Evento_Local_Simul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ionarioHotel" displayName="DicionarioHotel" ref="A1:C19" totalsRowShown="0">
  <tableColumns count="3">
    <tableColumn id="1" xr3:uid="{00000000-0010-0000-0400-000001000000}" name="Variável"/>
    <tableColumn id="2" xr3:uid="{00000000-0010-0000-0400-000002000000}" name="Descrição"/>
    <tableColumn id="3" xr3:uid="{00000000-0010-0000-0400-000003000000}" name="Uso no estudo / 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 sqref="A1:B1"/>
    </sheetView>
  </sheetViews>
  <sheetFormatPr defaultRowHeight="13.8"/>
  <cols>
    <col min="1" max="1" width="24" customWidth="1"/>
    <col min="2" max="2" width="105" customWidth="1"/>
  </cols>
  <sheetData>
    <row r="1" spans="1:2" ht="30" customHeight="1">
      <c r="A1" s="17" t="s">
        <v>0</v>
      </c>
      <c r="B1" s="17"/>
    </row>
    <row r="2" spans="1:2" ht="34.049999999999997" customHeight="1">
      <c r="A2" s="1" t="s">
        <v>1</v>
      </c>
      <c r="B2" s="3" t="s">
        <v>191</v>
      </c>
    </row>
    <row r="3" spans="1:2" ht="34.049999999999997" customHeight="1">
      <c r="A3" s="1" t="s">
        <v>2</v>
      </c>
      <c r="B3" s="3" t="s">
        <v>3</v>
      </c>
    </row>
    <row r="4" spans="1:2" ht="34.049999999999997" customHeight="1">
      <c r="A4" s="1" t="s">
        <v>4</v>
      </c>
      <c r="B4" s="3" t="s">
        <v>5</v>
      </c>
    </row>
    <row r="5" spans="1:2" ht="34.049999999999997" customHeight="1">
      <c r="A5" s="1" t="s">
        <v>6</v>
      </c>
      <c r="B5" s="3" t="s">
        <v>192</v>
      </c>
    </row>
    <row r="6" spans="1:2" ht="34.049999999999997" customHeight="1">
      <c r="A6" s="1" t="s">
        <v>7</v>
      </c>
      <c r="B6" s="3" t="s">
        <v>8</v>
      </c>
    </row>
    <row r="7" spans="1:2" ht="34.049999999999997" customHeight="1">
      <c r="A7" s="1" t="s">
        <v>9</v>
      </c>
      <c r="B7" s="3" t="s">
        <v>10</v>
      </c>
    </row>
    <row r="8" spans="1:2" ht="34.049999999999997" customHeight="1">
      <c r="A8" s="1" t="s">
        <v>11</v>
      </c>
      <c r="B8" s="3" t="s">
        <v>12</v>
      </c>
    </row>
    <row r="9" spans="1:2" ht="34.049999999999997" customHeight="1">
      <c r="A9" s="1" t="s">
        <v>13</v>
      </c>
      <c r="B9" s="3" t="s">
        <v>14</v>
      </c>
    </row>
    <row r="10" spans="1:2" ht="34.049999999999997" customHeight="1">
      <c r="A10" s="1" t="s">
        <v>15</v>
      </c>
      <c r="B10" s="3" t="s">
        <v>16</v>
      </c>
    </row>
    <row r="11" spans="1:2" ht="34.049999999999997" customHeight="1">
      <c r="A11" s="1" t="s">
        <v>17</v>
      </c>
      <c r="B11" s="3" t="s">
        <v>18</v>
      </c>
    </row>
    <row r="12" spans="1:2" ht="34.049999999999997" customHeight="1">
      <c r="A12" s="1" t="s">
        <v>19</v>
      </c>
      <c r="B12" s="3" t="s">
        <v>20</v>
      </c>
    </row>
    <row r="13" spans="1:2" ht="34.049999999999997" customHeight="1">
      <c r="A13" s="1" t="s">
        <v>21</v>
      </c>
      <c r="B13" s="3" t="s">
        <v>22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pane ySplit="1" topLeftCell="A2" activePane="bottomLeft" state="frozen"/>
      <selection pane="bottomLeft" activeCell="B4" sqref="B4"/>
    </sheetView>
  </sheetViews>
  <sheetFormatPr defaultRowHeight="13.8"/>
  <cols>
    <col min="1" max="1" width="12" customWidth="1"/>
    <col min="2" max="2" width="31" customWidth="1"/>
    <col min="3" max="4" width="22" customWidth="1"/>
    <col min="5" max="5" width="28" customWidth="1"/>
    <col min="6" max="8" width="22" customWidth="1"/>
  </cols>
  <sheetData>
    <row r="1" spans="1:8" ht="28.05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spans="1:8" ht="28.05" customHeight="1">
      <c r="A2" s="2" t="s">
        <v>31</v>
      </c>
      <c r="B2" s="2" t="s">
        <v>193</v>
      </c>
      <c r="C2" s="2" t="s">
        <v>33</v>
      </c>
      <c r="D2" s="2" t="s">
        <v>34</v>
      </c>
      <c r="E2" s="2" t="s">
        <v>35</v>
      </c>
      <c r="F2" s="2">
        <v>140</v>
      </c>
      <c r="G2" s="2">
        <v>360</v>
      </c>
      <c r="H2" s="2">
        <v>2.35</v>
      </c>
    </row>
    <row r="3" spans="1:8" ht="28.05" customHeight="1">
      <c r="A3" s="2" t="s">
        <v>36</v>
      </c>
      <c r="B3" s="2" t="s">
        <v>194</v>
      </c>
      <c r="C3" s="2" t="s">
        <v>38</v>
      </c>
      <c r="D3" s="2" t="s">
        <v>39</v>
      </c>
      <c r="E3" s="2" t="s">
        <v>40</v>
      </c>
      <c r="F3" s="2">
        <v>125</v>
      </c>
      <c r="G3" s="2">
        <v>320</v>
      </c>
      <c r="H3" s="2">
        <v>2.4</v>
      </c>
    </row>
    <row r="4" spans="1:8" ht="28.05" customHeight="1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>
        <v>85</v>
      </c>
      <c r="G4" s="2">
        <v>210</v>
      </c>
      <c r="H4" s="2">
        <v>2.25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97"/>
  <sheetViews>
    <sheetView topLeftCell="F1" workbookViewId="0">
      <pane ySplit="1" topLeftCell="A2" activePane="bottomLeft" state="frozen"/>
      <selection pane="bottomLeft" activeCell="O1" sqref="O1:O1048576"/>
    </sheetView>
  </sheetViews>
  <sheetFormatPr defaultRowHeight="13.8"/>
  <cols>
    <col min="1" max="1" width="13" customWidth="1"/>
    <col min="2" max="2" width="18" customWidth="1"/>
    <col min="3" max="3" width="13" customWidth="1"/>
    <col min="4" max="4" width="9" customWidth="1"/>
    <col min="5" max="5" width="10" customWidth="1"/>
    <col min="6" max="6" width="15" customWidth="1"/>
    <col min="7" max="7" width="10" customWidth="1"/>
    <col min="8" max="8" width="34" customWidth="1"/>
    <col min="9" max="9" width="18" customWidth="1"/>
    <col min="10" max="11" width="12" customWidth="1"/>
    <col min="12" max="12" width="22" customWidth="1"/>
    <col min="13" max="13" width="12" customWidth="1"/>
    <col min="14" max="14" width="19" customWidth="1"/>
  </cols>
  <sheetData>
    <row r="1" spans="1:14" ht="19.95" customHeight="1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</row>
    <row r="2" spans="1:14" ht="19.95" customHeight="1">
      <c r="A2" s="6">
        <v>44927</v>
      </c>
      <c r="B2" t="s">
        <v>60</v>
      </c>
      <c r="C2">
        <v>6</v>
      </c>
      <c r="D2">
        <v>1</v>
      </c>
      <c r="E2">
        <v>1</v>
      </c>
      <c r="F2">
        <v>1</v>
      </c>
      <c r="G2">
        <v>1</v>
      </c>
      <c r="H2" t="s">
        <v>61</v>
      </c>
      <c r="I2">
        <v>1</v>
      </c>
      <c r="J2">
        <v>0</v>
      </c>
      <c r="K2">
        <v>1</v>
      </c>
      <c r="L2">
        <v>0</v>
      </c>
      <c r="M2" s="7">
        <v>1.2</v>
      </c>
      <c r="N2" s="7">
        <v>28</v>
      </c>
    </row>
    <row r="3" spans="1:14" ht="19.95" customHeight="1">
      <c r="A3" s="6">
        <v>44928</v>
      </c>
      <c r="B3" t="s">
        <v>62</v>
      </c>
      <c r="C3">
        <v>0</v>
      </c>
      <c r="D3">
        <v>1</v>
      </c>
      <c r="E3">
        <v>2</v>
      </c>
      <c r="F3">
        <v>0</v>
      </c>
      <c r="G3">
        <v>0</v>
      </c>
      <c r="I3">
        <v>1</v>
      </c>
      <c r="J3">
        <v>0</v>
      </c>
      <c r="K3">
        <v>1</v>
      </c>
      <c r="L3">
        <v>0</v>
      </c>
      <c r="M3" s="7">
        <v>1.4</v>
      </c>
      <c r="N3" s="7">
        <v>28</v>
      </c>
    </row>
    <row r="4" spans="1:14" ht="19.95" customHeight="1">
      <c r="A4" s="6">
        <v>44929</v>
      </c>
      <c r="B4" t="s">
        <v>63</v>
      </c>
      <c r="C4">
        <v>1</v>
      </c>
      <c r="D4">
        <v>1</v>
      </c>
      <c r="E4">
        <v>3</v>
      </c>
      <c r="F4">
        <v>0</v>
      </c>
      <c r="G4">
        <v>0</v>
      </c>
      <c r="I4">
        <v>1</v>
      </c>
      <c r="J4">
        <v>0</v>
      </c>
      <c r="K4">
        <v>0</v>
      </c>
      <c r="L4">
        <v>0</v>
      </c>
      <c r="M4" s="7">
        <v>0</v>
      </c>
      <c r="N4" s="7">
        <v>29.9</v>
      </c>
    </row>
    <row r="5" spans="1:14" ht="19.95" customHeight="1">
      <c r="A5" s="6">
        <v>44930</v>
      </c>
      <c r="B5" t="s">
        <v>64</v>
      </c>
      <c r="C5">
        <v>2</v>
      </c>
      <c r="D5">
        <v>1</v>
      </c>
      <c r="E5">
        <v>4</v>
      </c>
      <c r="F5">
        <v>0</v>
      </c>
      <c r="G5">
        <v>0</v>
      </c>
      <c r="I5">
        <v>1</v>
      </c>
      <c r="J5">
        <v>0</v>
      </c>
      <c r="K5">
        <v>0</v>
      </c>
      <c r="L5">
        <v>0</v>
      </c>
      <c r="M5" s="7">
        <v>0</v>
      </c>
      <c r="N5" s="7">
        <v>29</v>
      </c>
    </row>
    <row r="6" spans="1:14" ht="19.95" customHeight="1">
      <c r="A6" s="6">
        <v>44931</v>
      </c>
      <c r="B6" t="s">
        <v>65</v>
      </c>
      <c r="C6">
        <v>3</v>
      </c>
      <c r="D6">
        <v>1</v>
      </c>
      <c r="E6">
        <v>5</v>
      </c>
      <c r="F6">
        <v>0</v>
      </c>
      <c r="G6">
        <v>0</v>
      </c>
      <c r="I6">
        <v>1</v>
      </c>
      <c r="J6">
        <v>0</v>
      </c>
      <c r="K6">
        <v>0</v>
      </c>
      <c r="L6">
        <v>0</v>
      </c>
      <c r="M6" s="7">
        <v>0</v>
      </c>
      <c r="N6" s="7">
        <v>29.3</v>
      </c>
    </row>
    <row r="7" spans="1:14" ht="19.95" customHeight="1">
      <c r="A7" s="6">
        <v>44932</v>
      </c>
      <c r="B7" t="s">
        <v>66</v>
      </c>
      <c r="C7">
        <v>4</v>
      </c>
      <c r="D7">
        <v>1</v>
      </c>
      <c r="E7">
        <v>6</v>
      </c>
      <c r="F7">
        <v>0</v>
      </c>
      <c r="G7">
        <v>0</v>
      </c>
      <c r="I7">
        <v>1</v>
      </c>
      <c r="J7">
        <v>0</v>
      </c>
      <c r="K7">
        <v>0</v>
      </c>
      <c r="L7">
        <v>0</v>
      </c>
      <c r="M7" s="7">
        <v>1.1000000000000001</v>
      </c>
      <c r="N7" s="7">
        <v>28.2</v>
      </c>
    </row>
    <row r="8" spans="1:14" ht="19.95" customHeight="1">
      <c r="A8" s="6">
        <v>44933</v>
      </c>
      <c r="B8" t="s">
        <v>67</v>
      </c>
      <c r="C8">
        <v>5</v>
      </c>
      <c r="D8">
        <v>1</v>
      </c>
      <c r="E8">
        <v>7</v>
      </c>
      <c r="F8">
        <v>1</v>
      </c>
      <c r="G8">
        <v>0</v>
      </c>
      <c r="I8">
        <v>1</v>
      </c>
      <c r="J8">
        <v>0</v>
      </c>
      <c r="K8">
        <v>0</v>
      </c>
      <c r="L8">
        <v>0</v>
      </c>
      <c r="M8" s="7">
        <v>0</v>
      </c>
      <c r="N8" s="7">
        <v>28.6</v>
      </c>
    </row>
    <row r="9" spans="1:14" ht="19.95" customHeight="1">
      <c r="A9" s="6">
        <v>44934</v>
      </c>
      <c r="B9" t="s">
        <v>60</v>
      </c>
      <c r="C9">
        <v>6</v>
      </c>
      <c r="D9">
        <v>1</v>
      </c>
      <c r="E9">
        <v>8</v>
      </c>
      <c r="F9">
        <v>1</v>
      </c>
      <c r="G9">
        <v>0</v>
      </c>
      <c r="I9">
        <v>1</v>
      </c>
      <c r="J9">
        <v>0</v>
      </c>
      <c r="K9">
        <v>0</v>
      </c>
      <c r="L9">
        <v>0</v>
      </c>
      <c r="M9" s="7">
        <v>18.7</v>
      </c>
      <c r="N9" s="7">
        <v>27.4</v>
      </c>
    </row>
    <row r="10" spans="1:14" ht="19.95" customHeight="1">
      <c r="A10" s="6">
        <v>44935</v>
      </c>
      <c r="B10" t="s">
        <v>62</v>
      </c>
      <c r="C10">
        <v>0</v>
      </c>
      <c r="D10">
        <v>1</v>
      </c>
      <c r="E10">
        <v>9</v>
      </c>
      <c r="F10">
        <v>0</v>
      </c>
      <c r="G10">
        <v>0</v>
      </c>
      <c r="I10">
        <v>1</v>
      </c>
      <c r="J10">
        <v>0</v>
      </c>
      <c r="K10">
        <v>0</v>
      </c>
      <c r="L10">
        <v>0</v>
      </c>
      <c r="M10" s="7">
        <v>3.8</v>
      </c>
      <c r="N10" s="7">
        <v>28.4</v>
      </c>
    </row>
    <row r="11" spans="1:14" ht="19.95" customHeight="1">
      <c r="A11" s="6">
        <v>44936</v>
      </c>
      <c r="B11" t="s">
        <v>63</v>
      </c>
      <c r="C11">
        <v>1</v>
      </c>
      <c r="D11">
        <v>1</v>
      </c>
      <c r="E11">
        <v>10</v>
      </c>
      <c r="F11">
        <v>0</v>
      </c>
      <c r="G11">
        <v>0</v>
      </c>
      <c r="I11">
        <v>1</v>
      </c>
      <c r="J11">
        <v>0</v>
      </c>
      <c r="K11">
        <v>0</v>
      </c>
      <c r="L11">
        <v>0</v>
      </c>
      <c r="M11" s="7">
        <v>1</v>
      </c>
      <c r="N11" s="7">
        <v>28.5</v>
      </c>
    </row>
    <row r="12" spans="1:14" ht="19.95" customHeight="1">
      <c r="A12" s="6">
        <v>44937</v>
      </c>
      <c r="B12" t="s">
        <v>64</v>
      </c>
      <c r="C12">
        <v>2</v>
      </c>
      <c r="D12">
        <v>1</v>
      </c>
      <c r="E12">
        <v>11</v>
      </c>
      <c r="F12">
        <v>0</v>
      </c>
      <c r="G12">
        <v>0</v>
      </c>
      <c r="I12">
        <v>1</v>
      </c>
      <c r="J12">
        <v>0</v>
      </c>
      <c r="K12">
        <v>0</v>
      </c>
      <c r="L12">
        <v>0</v>
      </c>
      <c r="M12" s="7">
        <v>0</v>
      </c>
      <c r="N12" s="7">
        <v>28.8</v>
      </c>
    </row>
    <row r="13" spans="1:14" ht="19.95" customHeight="1">
      <c r="A13" s="6">
        <v>44938</v>
      </c>
      <c r="B13" t="s">
        <v>65</v>
      </c>
      <c r="C13">
        <v>3</v>
      </c>
      <c r="D13">
        <v>1</v>
      </c>
      <c r="E13">
        <v>12</v>
      </c>
      <c r="F13">
        <v>0</v>
      </c>
      <c r="G13">
        <v>0</v>
      </c>
      <c r="I13">
        <v>1</v>
      </c>
      <c r="J13">
        <v>0</v>
      </c>
      <c r="K13">
        <v>0</v>
      </c>
      <c r="L13">
        <v>0</v>
      </c>
      <c r="M13" s="7">
        <v>0</v>
      </c>
      <c r="N13" s="7">
        <v>28.1</v>
      </c>
    </row>
    <row r="14" spans="1:14" ht="19.95" customHeight="1">
      <c r="A14" s="6">
        <v>44939</v>
      </c>
      <c r="B14" t="s">
        <v>66</v>
      </c>
      <c r="C14">
        <v>4</v>
      </c>
      <c r="D14">
        <v>1</v>
      </c>
      <c r="E14">
        <v>13</v>
      </c>
      <c r="F14">
        <v>0</v>
      </c>
      <c r="G14">
        <v>0</v>
      </c>
      <c r="I14">
        <v>1</v>
      </c>
      <c r="J14">
        <v>0</v>
      </c>
      <c r="K14">
        <v>0</v>
      </c>
      <c r="L14">
        <v>0</v>
      </c>
      <c r="M14" s="7">
        <v>0</v>
      </c>
      <c r="N14" s="7">
        <v>29.8</v>
      </c>
    </row>
    <row r="15" spans="1:14" ht="19.95" customHeight="1">
      <c r="A15" s="6">
        <v>44940</v>
      </c>
      <c r="B15" t="s">
        <v>67</v>
      </c>
      <c r="C15">
        <v>5</v>
      </c>
      <c r="D15">
        <v>1</v>
      </c>
      <c r="E15">
        <v>14</v>
      </c>
      <c r="F15">
        <v>1</v>
      </c>
      <c r="G15">
        <v>0</v>
      </c>
      <c r="I15">
        <v>1</v>
      </c>
      <c r="J15">
        <v>0</v>
      </c>
      <c r="K15">
        <v>0</v>
      </c>
      <c r="L15">
        <v>0</v>
      </c>
      <c r="M15" s="7">
        <v>2.5</v>
      </c>
      <c r="N15" s="7">
        <v>27.5</v>
      </c>
    </row>
    <row r="16" spans="1:14" ht="19.95" customHeight="1">
      <c r="A16" s="6">
        <v>44941</v>
      </c>
      <c r="B16" t="s">
        <v>60</v>
      </c>
      <c r="C16">
        <v>6</v>
      </c>
      <c r="D16">
        <v>1</v>
      </c>
      <c r="E16">
        <v>15</v>
      </c>
      <c r="F16">
        <v>1</v>
      </c>
      <c r="G16">
        <v>0</v>
      </c>
      <c r="I16">
        <v>1</v>
      </c>
      <c r="J16">
        <v>0</v>
      </c>
      <c r="K16">
        <v>0</v>
      </c>
      <c r="L16">
        <v>0</v>
      </c>
      <c r="M16" s="7">
        <v>1.9</v>
      </c>
      <c r="N16" s="7">
        <v>29.5</v>
      </c>
    </row>
    <row r="17" spans="1:14" ht="19.95" customHeight="1">
      <c r="A17" s="6">
        <v>44942</v>
      </c>
      <c r="B17" t="s">
        <v>62</v>
      </c>
      <c r="C17">
        <v>0</v>
      </c>
      <c r="D17">
        <v>1</v>
      </c>
      <c r="E17">
        <v>16</v>
      </c>
      <c r="F17">
        <v>0</v>
      </c>
      <c r="G17">
        <v>0</v>
      </c>
      <c r="I17">
        <v>1</v>
      </c>
      <c r="J17">
        <v>0</v>
      </c>
      <c r="K17">
        <v>0</v>
      </c>
      <c r="L17">
        <v>0</v>
      </c>
      <c r="M17" s="7">
        <v>0</v>
      </c>
      <c r="N17" s="7">
        <v>28.4</v>
      </c>
    </row>
    <row r="18" spans="1:14" ht="19.95" customHeight="1">
      <c r="A18" s="6">
        <v>44943</v>
      </c>
      <c r="B18" t="s">
        <v>63</v>
      </c>
      <c r="C18">
        <v>1</v>
      </c>
      <c r="D18">
        <v>1</v>
      </c>
      <c r="E18">
        <v>17</v>
      </c>
      <c r="F18">
        <v>0</v>
      </c>
      <c r="G18">
        <v>0</v>
      </c>
      <c r="I18">
        <v>1</v>
      </c>
      <c r="J18">
        <v>0</v>
      </c>
      <c r="K18">
        <v>0</v>
      </c>
      <c r="L18">
        <v>0</v>
      </c>
      <c r="M18" s="7">
        <v>3.3</v>
      </c>
      <c r="N18" s="7">
        <v>27.8</v>
      </c>
    </row>
    <row r="19" spans="1:14" ht="19.95" customHeight="1">
      <c r="A19" s="6">
        <v>44944</v>
      </c>
      <c r="B19" t="s">
        <v>64</v>
      </c>
      <c r="C19">
        <v>2</v>
      </c>
      <c r="D19">
        <v>1</v>
      </c>
      <c r="E19">
        <v>18</v>
      </c>
      <c r="F19">
        <v>0</v>
      </c>
      <c r="G19">
        <v>0</v>
      </c>
      <c r="I19">
        <v>1</v>
      </c>
      <c r="J19">
        <v>0</v>
      </c>
      <c r="K19">
        <v>0</v>
      </c>
      <c r="L19">
        <v>0</v>
      </c>
      <c r="M19" s="7">
        <v>15.8</v>
      </c>
      <c r="N19" s="7">
        <v>29.4</v>
      </c>
    </row>
    <row r="20" spans="1:14" ht="19.95" customHeight="1">
      <c r="A20" s="6">
        <v>44945</v>
      </c>
      <c r="B20" t="s">
        <v>65</v>
      </c>
      <c r="C20">
        <v>3</v>
      </c>
      <c r="D20">
        <v>1</v>
      </c>
      <c r="E20">
        <v>19</v>
      </c>
      <c r="F20">
        <v>0</v>
      </c>
      <c r="G20">
        <v>0</v>
      </c>
      <c r="I20">
        <v>1</v>
      </c>
      <c r="J20">
        <v>0</v>
      </c>
      <c r="K20">
        <v>0</v>
      </c>
      <c r="L20">
        <v>0</v>
      </c>
      <c r="M20" s="7">
        <v>0.8</v>
      </c>
      <c r="N20" s="7">
        <v>27.4</v>
      </c>
    </row>
    <row r="21" spans="1:14" ht="19.95" customHeight="1">
      <c r="A21" s="6">
        <v>44946</v>
      </c>
      <c r="B21" t="s">
        <v>66</v>
      </c>
      <c r="C21">
        <v>4</v>
      </c>
      <c r="D21">
        <v>1</v>
      </c>
      <c r="E21">
        <v>20</v>
      </c>
      <c r="F21">
        <v>0</v>
      </c>
      <c r="G21">
        <v>0</v>
      </c>
      <c r="I21">
        <v>1</v>
      </c>
      <c r="J21">
        <v>0</v>
      </c>
      <c r="K21">
        <v>0</v>
      </c>
      <c r="L21">
        <v>0</v>
      </c>
      <c r="M21" s="7">
        <v>2.8</v>
      </c>
      <c r="N21" s="7">
        <v>29</v>
      </c>
    </row>
    <row r="22" spans="1:14" ht="19.95" customHeight="1">
      <c r="A22" s="6">
        <v>44947</v>
      </c>
      <c r="B22" t="s">
        <v>67</v>
      </c>
      <c r="C22">
        <v>5</v>
      </c>
      <c r="D22">
        <v>1</v>
      </c>
      <c r="E22">
        <v>21</v>
      </c>
      <c r="F22">
        <v>1</v>
      </c>
      <c r="G22">
        <v>0</v>
      </c>
      <c r="I22">
        <v>1</v>
      </c>
      <c r="J22">
        <v>0</v>
      </c>
      <c r="K22">
        <v>0</v>
      </c>
      <c r="L22">
        <v>0</v>
      </c>
      <c r="M22" s="7">
        <v>11.9</v>
      </c>
      <c r="N22" s="7">
        <v>27.7</v>
      </c>
    </row>
    <row r="23" spans="1:14" ht="19.95" customHeight="1">
      <c r="A23" s="6">
        <v>44948</v>
      </c>
      <c r="B23" t="s">
        <v>60</v>
      </c>
      <c r="C23">
        <v>6</v>
      </c>
      <c r="D23">
        <v>1</v>
      </c>
      <c r="E23">
        <v>22</v>
      </c>
      <c r="F23">
        <v>1</v>
      </c>
      <c r="G23">
        <v>0</v>
      </c>
      <c r="I23">
        <v>1</v>
      </c>
      <c r="J23">
        <v>0</v>
      </c>
      <c r="K23">
        <v>0</v>
      </c>
      <c r="L23">
        <v>0</v>
      </c>
      <c r="M23" s="7">
        <v>0</v>
      </c>
      <c r="N23" s="7">
        <v>29.2</v>
      </c>
    </row>
    <row r="24" spans="1:14" ht="19.95" customHeight="1">
      <c r="A24" s="6">
        <v>44949</v>
      </c>
      <c r="B24" t="s">
        <v>62</v>
      </c>
      <c r="C24">
        <v>0</v>
      </c>
      <c r="D24">
        <v>1</v>
      </c>
      <c r="E24">
        <v>23</v>
      </c>
      <c r="F24">
        <v>0</v>
      </c>
      <c r="G24">
        <v>0</v>
      </c>
      <c r="I24">
        <v>1</v>
      </c>
      <c r="J24">
        <v>0</v>
      </c>
      <c r="K24">
        <v>0</v>
      </c>
      <c r="L24">
        <v>0</v>
      </c>
      <c r="M24" s="7">
        <v>0</v>
      </c>
      <c r="N24" s="7">
        <v>28.4</v>
      </c>
    </row>
    <row r="25" spans="1:14" ht="19.95" customHeight="1">
      <c r="A25" s="6">
        <v>44950</v>
      </c>
      <c r="B25" t="s">
        <v>63</v>
      </c>
      <c r="C25">
        <v>1</v>
      </c>
      <c r="D25">
        <v>1</v>
      </c>
      <c r="E25">
        <v>24</v>
      </c>
      <c r="F25">
        <v>0</v>
      </c>
      <c r="G25">
        <v>0</v>
      </c>
      <c r="I25">
        <v>1</v>
      </c>
      <c r="J25">
        <v>0</v>
      </c>
      <c r="K25">
        <v>0</v>
      </c>
      <c r="L25">
        <v>0</v>
      </c>
      <c r="M25" s="7">
        <v>12.3</v>
      </c>
      <c r="N25" s="7">
        <v>29</v>
      </c>
    </row>
    <row r="26" spans="1:14" ht="19.95" customHeight="1">
      <c r="A26" s="6">
        <v>44951</v>
      </c>
      <c r="B26" t="s">
        <v>64</v>
      </c>
      <c r="C26">
        <v>2</v>
      </c>
      <c r="D26">
        <v>1</v>
      </c>
      <c r="E26">
        <v>25</v>
      </c>
      <c r="F26">
        <v>0</v>
      </c>
      <c r="G26">
        <v>0</v>
      </c>
      <c r="I26">
        <v>1</v>
      </c>
      <c r="J26">
        <v>0</v>
      </c>
      <c r="K26">
        <v>0</v>
      </c>
      <c r="L26">
        <v>0</v>
      </c>
      <c r="M26" s="7">
        <v>9</v>
      </c>
      <c r="N26" s="7">
        <v>29.3</v>
      </c>
    </row>
    <row r="27" spans="1:14" ht="19.95" customHeight="1">
      <c r="A27" s="6">
        <v>44952</v>
      </c>
      <c r="B27" t="s">
        <v>65</v>
      </c>
      <c r="C27">
        <v>3</v>
      </c>
      <c r="D27">
        <v>1</v>
      </c>
      <c r="E27">
        <v>26</v>
      </c>
      <c r="F27">
        <v>0</v>
      </c>
      <c r="G27">
        <v>0</v>
      </c>
      <c r="I27">
        <v>1</v>
      </c>
      <c r="J27">
        <v>0</v>
      </c>
      <c r="K27">
        <v>0</v>
      </c>
      <c r="L27">
        <v>0</v>
      </c>
      <c r="M27" s="7">
        <v>1.9</v>
      </c>
      <c r="N27" s="7">
        <v>29.1</v>
      </c>
    </row>
    <row r="28" spans="1:14" ht="19.95" customHeight="1">
      <c r="A28" s="6">
        <v>44953</v>
      </c>
      <c r="B28" t="s">
        <v>66</v>
      </c>
      <c r="C28">
        <v>4</v>
      </c>
      <c r="D28">
        <v>1</v>
      </c>
      <c r="E28">
        <v>27</v>
      </c>
      <c r="F28">
        <v>0</v>
      </c>
      <c r="G28">
        <v>0</v>
      </c>
      <c r="I28">
        <v>1</v>
      </c>
      <c r="J28">
        <v>0</v>
      </c>
      <c r="K28">
        <v>0</v>
      </c>
      <c r="L28">
        <v>0</v>
      </c>
      <c r="M28" s="7">
        <v>3.2</v>
      </c>
      <c r="N28" s="7">
        <v>27.6</v>
      </c>
    </row>
    <row r="29" spans="1:14" ht="19.95" customHeight="1">
      <c r="A29" s="6">
        <v>44954</v>
      </c>
      <c r="B29" t="s">
        <v>67</v>
      </c>
      <c r="C29">
        <v>5</v>
      </c>
      <c r="D29">
        <v>1</v>
      </c>
      <c r="E29">
        <v>28</v>
      </c>
      <c r="F29">
        <v>1</v>
      </c>
      <c r="G29">
        <v>0</v>
      </c>
      <c r="I29">
        <v>1</v>
      </c>
      <c r="J29">
        <v>0</v>
      </c>
      <c r="K29">
        <v>0</v>
      </c>
      <c r="L29">
        <v>0</v>
      </c>
      <c r="M29" s="7">
        <v>5.8</v>
      </c>
      <c r="N29" s="7">
        <v>27.6</v>
      </c>
    </row>
    <row r="30" spans="1:14" ht="19.95" customHeight="1">
      <c r="A30" s="6">
        <v>44955</v>
      </c>
      <c r="B30" t="s">
        <v>60</v>
      </c>
      <c r="C30">
        <v>6</v>
      </c>
      <c r="D30">
        <v>1</v>
      </c>
      <c r="E30">
        <v>29</v>
      </c>
      <c r="F30">
        <v>1</v>
      </c>
      <c r="G30">
        <v>0</v>
      </c>
      <c r="I30">
        <v>1</v>
      </c>
      <c r="J30">
        <v>0</v>
      </c>
      <c r="K30">
        <v>0</v>
      </c>
      <c r="L30">
        <v>0</v>
      </c>
      <c r="M30" s="7">
        <v>15.5</v>
      </c>
      <c r="N30" s="7">
        <v>28.3</v>
      </c>
    </row>
    <row r="31" spans="1:14" ht="19.95" customHeight="1">
      <c r="A31" s="6">
        <v>44956</v>
      </c>
      <c r="B31" t="s">
        <v>62</v>
      </c>
      <c r="C31">
        <v>0</v>
      </c>
      <c r="D31">
        <v>1</v>
      </c>
      <c r="E31">
        <v>30</v>
      </c>
      <c r="F31">
        <v>0</v>
      </c>
      <c r="G31">
        <v>0</v>
      </c>
      <c r="I31">
        <v>1</v>
      </c>
      <c r="J31">
        <v>0</v>
      </c>
      <c r="K31">
        <v>0</v>
      </c>
      <c r="L31">
        <v>0</v>
      </c>
      <c r="M31" s="7">
        <v>8.5</v>
      </c>
      <c r="N31" s="7">
        <v>28.5</v>
      </c>
    </row>
    <row r="32" spans="1:14" ht="19.95" customHeight="1">
      <c r="A32" s="6">
        <v>44957</v>
      </c>
      <c r="B32" t="s">
        <v>63</v>
      </c>
      <c r="C32">
        <v>1</v>
      </c>
      <c r="D32">
        <v>1</v>
      </c>
      <c r="E32">
        <v>31</v>
      </c>
      <c r="F32">
        <v>0</v>
      </c>
      <c r="G32">
        <v>0</v>
      </c>
      <c r="I32">
        <v>1</v>
      </c>
      <c r="J32">
        <v>0</v>
      </c>
      <c r="K32">
        <v>0</v>
      </c>
      <c r="L32">
        <v>0</v>
      </c>
      <c r="M32" s="7">
        <v>11.1</v>
      </c>
      <c r="N32" s="7">
        <v>29.3</v>
      </c>
    </row>
    <row r="33" spans="1:14" ht="19.95" customHeight="1">
      <c r="A33" s="6">
        <v>44958</v>
      </c>
      <c r="B33" t="s">
        <v>64</v>
      </c>
      <c r="C33">
        <v>2</v>
      </c>
      <c r="D33">
        <v>2</v>
      </c>
      <c r="E33">
        <v>32</v>
      </c>
      <c r="F33">
        <v>0</v>
      </c>
      <c r="G33">
        <v>0</v>
      </c>
      <c r="I33">
        <v>0</v>
      </c>
      <c r="J33">
        <v>0</v>
      </c>
      <c r="K33">
        <v>0</v>
      </c>
      <c r="L33">
        <v>0</v>
      </c>
      <c r="M33" s="7">
        <v>0</v>
      </c>
      <c r="N33" s="7">
        <v>28.5</v>
      </c>
    </row>
    <row r="34" spans="1:14" ht="19.95" customHeight="1">
      <c r="A34" s="6">
        <v>44959</v>
      </c>
      <c r="B34" t="s">
        <v>65</v>
      </c>
      <c r="C34">
        <v>3</v>
      </c>
      <c r="D34">
        <v>2</v>
      </c>
      <c r="E34">
        <v>33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  <c r="M34" s="7">
        <v>0</v>
      </c>
      <c r="N34" s="7">
        <v>28.3</v>
      </c>
    </row>
    <row r="35" spans="1:14" ht="19.95" customHeight="1">
      <c r="A35" s="6">
        <v>44960</v>
      </c>
      <c r="B35" t="s">
        <v>66</v>
      </c>
      <c r="C35">
        <v>4</v>
      </c>
      <c r="D35">
        <v>2</v>
      </c>
      <c r="E35">
        <v>34</v>
      </c>
      <c r="F35">
        <v>0</v>
      </c>
      <c r="G35">
        <v>0</v>
      </c>
      <c r="I35">
        <v>0</v>
      </c>
      <c r="J35">
        <v>0</v>
      </c>
      <c r="K35">
        <v>0</v>
      </c>
      <c r="L35">
        <v>0</v>
      </c>
      <c r="M35" s="7">
        <v>17.8</v>
      </c>
      <c r="N35" s="7">
        <v>27.6</v>
      </c>
    </row>
    <row r="36" spans="1:14" ht="19.95" customHeight="1">
      <c r="A36" s="6">
        <v>44961</v>
      </c>
      <c r="B36" t="s">
        <v>67</v>
      </c>
      <c r="C36">
        <v>5</v>
      </c>
      <c r="D36">
        <v>2</v>
      </c>
      <c r="E36">
        <v>35</v>
      </c>
      <c r="F36">
        <v>1</v>
      </c>
      <c r="G36">
        <v>0</v>
      </c>
      <c r="I36">
        <v>0</v>
      </c>
      <c r="J36">
        <v>0</v>
      </c>
      <c r="K36">
        <v>0</v>
      </c>
      <c r="L36">
        <v>0</v>
      </c>
      <c r="M36" s="7">
        <v>10.1</v>
      </c>
      <c r="N36" s="7">
        <v>28.7</v>
      </c>
    </row>
    <row r="37" spans="1:14" ht="19.95" customHeight="1">
      <c r="A37" s="6">
        <v>44962</v>
      </c>
      <c r="B37" t="s">
        <v>60</v>
      </c>
      <c r="C37">
        <v>6</v>
      </c>
      <c r="D37">
        <v>2</v>
      </c>
      <c r="E37">
        <v>36</v>
      </c>
      <c r="F37">
        <v>1</v>
      </c>
      <c r="G37">
        <v>0</v>
      </c>
      <c r="I37">
        <v>0</v>
      </c>
      <c r="J37">
        <v>0</v>
      </c>
      <c r="K37">
        <v>0</v>
      </c>
      <c r="L37">
        <v>0</v>
      </c>
      <c r="M37" s="7">
        <v>11.4</v>
      </c>
      <c r="N37" s="7">
        <v>29.5</v>
      </c>
    </row>
    <row r="38" spans="1:14" ht="19.95" customHeight="1">
      <c r="A38" s="6">
        <v>44963</v>
      </c>
      <c r="B38" t="s">
        <v>62</v>
      </c>
      <c r="C38">
        <v>0</v>
      </c>
      <c r="D38">
        <v>2</v>
      </c>
      <c r="E38">
        <v>37</v>
      </c>
      <c r="F38">
        <v>0</v>
      </c>
      <c r="G38">
        <v>0</v>
      </c>
      <c r="I38">
        <v>0</v>
      </c>
      <c r="J38">
        <v>0</v>
      </c>
      <c r="K38">
        <v>0</v>
      </c>
      <c r="L38">
        <v>0</v>
      </c>
      <c r="M38" s="7">
        <v>0</v>
      </c>
      <c r="N38" s="7">
        <v>29.1</v>
      </c>
    </row>
    <row r="39" spans="1:14" ht="19.95" customHeight="1">
      <c r="A39" s="6">
        <v>44964</v>
      </c>
      <c r="B39" t="s">
        <v>63</v>
      </c>
      <c r="C39">
        <v>1</v>
      </c>
      <c r="D39">
        <v>2</v>
      </c>
      <c r="E39">
        <v>38</v>
      </c>
      <c r="F39">
        <v>0</v>
      </c>
      <c r="G39">
        <v>0</v>
      </c>
      <c r="I39">
        <v>0</v>
      </c>
      <c r="J39">
        <v>0</v>
      </c>
      <c r="K39">
        <v>0</v>
      </c>
      <c r="L39">
        <v>0</v>
      </c>
      <c r="M39" s="7">
        <v>1.6</v>
      </c>
      <c r="N39" s="7">
        <v>28.5</v>
      </c>
    </row>
    <row r="40" spans="1:14" ht="19.95" customHeight="1">
      <c r="A40" s="6">
        <v>44965</v>
      </c>
      <c r="B40" t="s">
        <v>64</v>
      </c>
      <c r="C40">
        <v>2</v>
      </c>
      <c r="D40">
        <v>2</v>
      </c>
      <c r="E40">
        <v>39</v>
      </c>
      <c r="F40">
        <v>0</v>
      </c>
      <c r="G40">
        <v>0</v>
      </c>
      <c r="I40">
        <v>0</v>
      </c>
      <c r="J40">
        <v>0</v>
      </c>
      <c r="K40">
        <v>0</v>
      </c>
      <c r="L40">
        <v>0</v>
      </c>
      <c r="M40" s="7">
        <v>0</v>
      </c>
      <c r="N40" s="7">
        <v>27.6</v>
      </c>
    </row>
    <row r="41" spans="1:14" ht="19.95" customHeight="1">
      <c r="A41" s="6">
        <v>44966</v>
      </c>
      <c r="B41" t="s">
        <v>65</v>
      </c>
      <c r="C41">
        <v>3</v>
      </c>
      <c r="D41">
        <v>2</v>
      </c>
      <c r="E41">
        <v>40</v>
      </c>
      <c r="F41">
        <v>0</v>
      </c>
      <c r="G41">
        <v>0</v>
      </c>
      <c r="I41">
        <v>0</v>
      </c>
      <c r="J41">
        <v>0</v>
      </c>
      <c r="K41">
        <v>0</v>
      </c>
      <c r="L41">
        <v>0</v>
      </c>
      <c r="M41" s="7">
        <v>7.1</v>
      </c>
      <c r="N41" s="7">
        <v>27.8</v>
      </c>
    </row>
    <row r="42" spans="1:14" ht="19.95" customHeight="1">
      <c r="A42" s="6">
        <v>44967</v>
      </c>
      <c r="B42" t="s">
        <v>66</v>
      </c>
      <c r="C42">
        <v>4</v>
      </c>
      <c r="D42">
        <v>2</v>
      </c>
      <c r="E42">
        <v>41</v>
      </c>
      <c r="F42">
        <v>0</v>
      </c>
      <c r="G42">
        <v>0</v>
      </c>
      <c r="I42">
        <v>0</v>
      </c>
      <c r="J42">
        <v>0</v>
      </c>
      <c r="K42">
        <v>0</v>
      </c>
      <c r="L42">
        <v>0</v>
      </c>
      <c r="M42" s="7">
        <v>3.5</v>
      </c>
      <c r="N42" s="7">
        <v>28.3</v>
      </c>
    </row>
    <row r="43" spans="1:14" ht="19.95" customHeight="1">
      <c r="A43" s="6">
        <v>44968</v>
      </c>
      <c r="B43" t="s">
        <v>67</v>
      </c>
      <c r="C43">
        <v>5</v>
      </c>
      <c r="D43">
        <v>2</v>
      </c>
      <c r="E43">
        <v>42</v>
      </c>
      <c r="F43">
        <v>1</v>
      </c>
      <c r="G43">
        <v>0</v>
      </c>
      <c r="I43">
        <v>0</v>
      </c>
      <c r="J43">
        <v>0</v>
      </c>
      <c r="K43">
        <v>0</v>
      </c>
      <c r="L43">
        <v>0</v>
      </c>
      <c r="M43" s="7">
        <v>7.3</v>
      </c>
      <c r="N43" s="7">
        <v>27.6</v>
      </c>
    </row>
    <row r="44" spans="1:14" ht="19.95" customHeight="1">
      <c r="A44" s="6">
        <v>44969</v>
      </c>
      <c r="B44" t="s">
        <v>60</v>
      </c>
      <c r="C44">
        <v>6</v>
      </c>
      <c r="D44">
        <v>2</v>
      </c>
      <c r="E44">
        <v>43</v>
      </c>
      <c r="F44">
        <v>1</v>
      </c>
      <c r="G44">
        <v>0</v>
      </c>
      <c r="I44">
        <v>0</v>
      </c>
      <c r="J44">
        <v>0</v>
      </c>
      <c r="K44">
        <v>0</v>
      </c>
      <c r="L44">
        <v>0</v>
      </c>
      <c r="M44" s="7">
        <v>9.1</v>
      </c>
      <c r="N44" s="7">
        <v>27</v>
      </c>
    </row>
    <row r="45" spans="1:14" ht="19.95" customHeight="1">
      <c r="A45" s="6">
        <v>44970</v>
      </c>
      <c r="B45" t="s">
        <v>62</v>
      </c>
      <c r="C45">
        <v>0</v>
      </c>
      <c r="D45">
        <v>2</v>
      </c>
      <c r="E45">
        <v>44</v>
      </c>
      <c r="F45">
        <v>0</v>
      </c>
      <c r="G45">
        <v>0</v>
      </c>
      <c r="I45">
        <v>0</v>
      </c>
      <c r="J45">
        <v>0</v>
      </c>
      <c r="K45">
        <v>0</v>
      </c>
      <c r="L45">
        <v>0</v>
      </c>
      <c r="M45" s="7">
        <v>0</v>
      </c>
      <c r="N45" s="7">
        <v>29.4</v>
      </c>
    </row>
    <row r="46" spans="1:14" ht="19.95" customHeight="1">
      <c r="A46" s="6">
        <v>44971</v>
      </c>
      <c r="B46" t="s">
        <v>63</v>
      </c>
      <c r="C46">
        <v>1</v>
      </c>
      <c r="D46">
        <v>2</v>
      </c>
      <c r="E46">
        <v>45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M46" s="7">
        <v>16.3</v>
      </c>
      <c r="N46" s="7">
        <v>28.3</v>
      </c>
    </row>
    <row r="47" spans="1:14" ht="19.95" customHeight="1">
      <c r="A47" s="6">
        <v>44972</v>
      </c>
      <c r="B47" t="s">
        <v>64</v>
      </c>
      <c r="C47">
        <v>2</v>
      </c>
      <c r="D47">
        <v>2</v>
      </c>
      <c r="E47">
        <v>46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 s="7">
        <v>0</v>
      </c>
      <c r="N47" s="7">
        <v>27.4</v>
      </c>
    </row>
    <row r="48" spans="1:14" ht="19.95" customHeight="1">
      <c r="A48" s="6">
        <v>44973</v>
      </c>
      <c r="B48" t="s">
        <v>65</v>
      </c>
      <c r="C48">
        <v>3</v>
      </c>
      <c r="D48">
        <v>2</v>
      </c>
      <c r="E48">
        <v>47</v>
      </c>
      <c r="F48">
        <v>0</v>
      </c>
      <c r="G48">
        <v>0</v>
      </c>
      <c r="I48">
        <v>0</v>
      </c>
      <c r="J48">
        <v>0</v>
      </c>
      <c r="K48">
        <v>0</v>
      </c>
      <c r="L48">
        <v>0</v>
      </c>
      <c r="M48" s="7">
        <v>6.6</v>
      </c>
      <c r="N48" s="7">
        <v>27.9</v>
      </c>
    </row>
    <row r="49" spans="1:14" ht="19.95" customHeight="1">
      <c r="A49" s="6">
        <v>44974</v>
      </c>
      <c r="B49" t="s">
        <v>66</v>
      </c>
      <c r="C49">
        <v>4</v>
      </c>
      <c r="D49">
        <v>2</v>
      </c>
      <c r="E49">
        <v>48</v>
      </c>
      <c r="F49">
        <v>0</v>
      </c>
      <c r="G49">
        <v>0</v>
      </c>
      <c r="I49">
        <v>0</v>
      </c>
      <c r="J49">
        <v>1</v>
      </c>
      <c r="K49">
        <v>0</v>
      </c>
      <c r="L49">
        <v>0</v>
      </c>
      <c r="M49" s="7">
        <v>0</v>
      </c>
      <c r="N49" s="7">
        <v>28.5</v>
      </c>
    </row>
    <row r="50" spans="1:14" ht="19.95" customHeight="1">
      <c r="A50" s="6">
        <v>44975</v>
      </c>
      <c r="B50" t="s">
        <v>67</v>
      </c>
      <c r="C50">
        <v>5</v>
      </c>
      <c r="D50">
        <v>2</v>
      </c>
      <c r="E50">
        <v>49</v>
      </c>
      <c r="F50">
        <v>1</v>
      </c>
      <c r="G50">
        <v>0</v>
      </c>
      <c r="I50">
        <v>0</v>
      </c>
      <c r="J50">
        <v>1</v>
      </c>
      <c r="K50">
        <v>0</v>
      </c>
      <c r="L50">
        <v>0</v>
      </c>
      <c r="M50" s="7">
        <v>11</v>
      </c>
      <c r="N50" s="7">
        <v>27.2</v>
      </c>
    </row>
    <row r="51" spans="1:14" ht="19.95" customHeight="1">
      <c r="A51" s="6">
        <v>44976</v>
      </c>
      <c r="B51" t="s">
        <v>60</v>
      </c>
      <c r="C51">
        <v>6</v>
      </c>
      <c r="D51">
        <v>2</v>
      </c>
      <c r="E51">
        <v>50</v>
      </c>
      <c r="F51">
        <v>1</v>
      </c>
      <c r="G51">
        <v>0</v>
      </c>
      <c r="I51">
        <v>0</v>
      </c>
      <c r="J51">
        <v>1</v>
      </c>
      <c r="K51">
        <v>0</v>
      </c>
      <c r="L51">
        <v>0</v>
      </c>
      <c r="M51" s="7">
        <v>2</v>
      </c>
      <c r="N51" s="7">
        <v>27</v>
      </c>
    </row>
    <row r="52" spans="1:14" ht="19.95" customHeight="1">
      <c r="A52" s="6">
        <v>44977</v>
      </c>
      <c r="B52" t="s">
        <v>62</v>
      </c>
      <c r="C52">
        <v>0</v>
      </c>
      <c r="D52">
        <v>2</v>
      </c>
      <c r="E52">
        <v>51</v>
      </c>
      <c r="F52">
        <v>0</v>
      </c>
      <c r="G52">
        <v>0</v>
      </c>
      <c r="I52">
        <v>0</v>
      </c>
      <c r="J52">
        <v>1</v>
      </c>
      <c r="K52">
        <v>0</v>
      </c>
      <c r="L52">
        <v>0</v>
      </c>
      <c r="M52" s="7">
        <v>10.1</v>
      </c>
      <c r="N52" s="7">
        <v>27.7</v>
      </c>
    </row>
    <row r="53" spans="1:14" ht="19.95" customHeight="1">
      <c r="A53" s="6">
        <v>44978</v>
      </c>
      <c r="B53" t="s">
        <v>63</v>
      </c>
      <c r="C53">
        <v>1</v>
      </c>
      <c r="D53">
        <v>2</v>
      </c>
      <c r="E53">
        <v>52</v>
      </c>
      <c r="F53">
        <v>0</v>
      </c>
      <c r="G53">
        <v>0</v>
      </c>
      <c r="I53">
        <v>0</v>
      </c>
      <c r="J53">
        <v>1</v>
      </c>
      <c r="K53">
        <v>0</v>
      </c>
      <c r="L53">
        <v>0</v>
      </c>
      <c r="M53" s="7">
        <v>0</v>
      </c>
      <c r="N53" s="7">
        <v>27.9</v>
      </c>
    </row>
    <row r="54" spans="1:14" ht="19.95" customHeight="1">
      <c r="A54" s="6">
        <v>44979</v>
      </c>
      <c r="B54" t="s">
        <v>64</v>
      </c>
      <c r="C54">
        <v>2</v>
      </c>
      <c r="D54">
        <v>2</v>
      </c>
      <c r="E54">
        <v>53</v>
      </c>
      <c r="F54">
        <v>0</v>
      </c>
      <c r="G54">
        <v>0</v>
      </c>
      <c r="I54">
        <v>0</v>
      </c>
      <c r="J54">
        <v>0</v>
      </c>
      <c r="K54">
        <v>0</v>
      </c>
      <c r="L54">
        <v>0</v>
      </c>
      <c r="M54" s="7">
        <v>1.9</v>
      </c>
      <c r="N54" s="7">
        <v>28.2</v>
      </c>
    </row>
    <row r="55" spans="1:14" ht="19.95" customHeight="1">
      <c r="A55" s="6">
        <v>44980</v>
      </c>
      <c r="B55" t="s">
        <v>65</v>
      </c>
      <c r="C55">
        <v>3</v>
      </c>
      <c r="D55">
        <v>2</v>
      </c>
      <c r="E55">
        <v>54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 s="7">
        <v>0</v>
      </c>
      <c r="N55" s="7">
        <v>27.9</v>
      </c>
    </row>
    <row r="56" spans="1:14" ht="19.95" customHeight="1">
      <c r="A56" s="6">
        <v>44981</v>
      </c>
      <c r="B56" t="s">
        <v>66</v>
      </c>
      <c r="C56">
        <v>4</v>
      </c>
      <c r="D56">
        <v>2</v>
      </c>
      <c r="E56">
        <v>55</v>
      </c>
      <c r="F56">
        <v>0</v>
      </c>
      <c r="G56">
        <v>0</v>
      </c>
      <c r="I56">
        <v>0</v>
      </c>
      <c r="J56">
        <v>0</v>
      </c>
      <c r="K56">
        <v>0</v>
      </c>
      <c r="L56">
        <v>0</v>
      </c>
      <c r="M56" s="7">
        <v>18.2</v>
      </c>
      <c r="N56" s="7">
        <v>27.6</v>
      </c>
    </row>
    <row r="57" spans="1:14" ht="19.95" customHeight="1">
      <c r="A57" s="6">
        <v>44982</v>
      </c>
      <c r="B57" t="s">
        <v>67</v>
      </c>
      <c r="C57">
        <v>5</v>
      </c>
      <c r="D57">
        <v>2</v>
      </c>
      <c r="E57">
        <v>56</v>
      </c>
      <c r="F57">
        <v>1</v>
      </c>
      <c r="G57">
        <v>0</v>
      </c>
      <c r="I57">
        <v>0</v>
      </c>
      <c r="J57">
        <v>0</v>
      </c>
      <c r="K57">
        <v>0</v>
      </c>
      <c r="L57">
        <v>0</v>
      </c>
      <c r="M57" s="7">
        <v>6</v>
      </c>
      <c r="N57" s="7">
        <v>27.5</v>
      </c>
    </row>
    <row r="58" spans="1:14" ht="19.95" customHeight="1">
      <c r="A58" s="6">
        <v>44983</v>
      </c>
      <c r="B58" t="s">
        <v>60</v>
      </c>
      <c r="C58">
        <v>6</v>
      </c>
      <c r="D58">
        <v>2</v>
      </c>
      <c r="E58">
        <v>57</v>
      </c>
      <c r="F58">
        <v>1</v>
      </c>
      <c r="G58">
        <v>0</v>
      </c>
      <c r="I58">
        <v>0</v>
      </c>
      <c r="J58">
        <v>0</v>
      </c>
      <c r="K58">
        <v>0</v>
      </c>
      <c r="L58">
        <v>0</v>
      </c>
      <c r="M58" s="7">
        <v>0</v>
      </c>
      <c r="N58" s="7">
        <v>29.3</v>
      </c>
    </row>
    <row r="59" spans="1:14" ht="19.95" customHeight="1">
      <c r="A59" s="6">
        <v>44984</v>
      </c>
      <c r="B59" t="s">
        <v>62</v>
      </c>
      <c r="C59">
        <v>0</v>
      </c>
      <c r="D59">
        <v>2</v>
      </c>
      <c r="E59">
        <v>58</v>
      </c>
      <c r="F59">
        <v>0</v>
      </c>
      <c r="G59">
        <v>0</v>
      </c>
      <c r="I59">
        <v>0</v>
      </c>
      <c r="J59">
        <v>0</v>
      </c>
      <c r="K59">
        <v>0</v>
      </c>
      <c r="L59">
        <v>0</v>
      </c>
      <c r="M59" s="7">
        <v>0</v>
      </c>
      <c r="N59" s="7">
        <v>28.4</v>
      </c>
    </row>
    <row r="60" spans="1:14" ht="19.95" customHeight="1">
      <c r="A60" s="6">
        <v>44985</v>
      </c>
      <c r="B60" t="s">
        <v>63</v>
      </c>
      <c r="C60">
        <v>1</v>
      </c>
      <c r="D60">
        <v>2</v>
      </c>
      <c r="E60">
        <v>59</v>
      </c>
      <c r="F60">
        <v>0</v>
      </c>
      <c r="G60">
        <v>0</v>
      </c>
      <c r="I60">
        <v>0</v>
      </c>
      <c r="J60">
        <v>0</v>
      </c>
      <c r="K60">
        <v>0</v>
      </c>
      <c r="L60">
        <v>0</v>
      </c>
      <c r="M60" s="7">
        <v>15.9</v>
      </c>
      <c r="N60" s="7">
        <v>28</v>
      </c>
    </row>
    <row r="61" spans="1:14" ht="19.95" customHeight="1">
      <c r="A61" s="6">
        <v>44986</v>
      </c>
      <c r="B61" t="s">
        <v>64</v>
      </c>
      <c r="C61">
        <v>2</v>
      </c>
      <c r="D61">
        <v>3</v>
      </c>
      <c r="E61">
        <v>60</v>
      </c>
      <c r="F61">
        <v>0</v>
      </c>
      <c r="G61">
        <v>0</v>
      </c>
      <c r="I61">
        <v>0</v>
      </c>
      <c r="J61">
        <v>0</v>
      </c>
      <c r="K61">
        <v>0</v>
      </c>
      <c r="L61">
        <v>0</v>
      </c>
      <c r="M61" s="7">
        <v>0</v>
      </c>
      <c r="N61" s="7">
        <v>27.9</v>
      </c>
    </row>
    <row r="62" spans="1:14" ht="19.95" customHeight="1">
      <c r="A62" s="6">
        <v>44987</v>
      </c>
      <c r="B62" t="s">
        <v>65</v>
      </c>
      <c r="C62">
        <v>3</v>
      </c>
      <c r="D62">
        <v>3</v>
      </c>
      <c r="E62">
        <v>61</v>
      </c>
      <c r="F62">
        <v>0</v>
      </c>
      <c r="G62">
        <v>0</v>
      </c>
      <c r="I62">
        <v>0</v>
      </c>
      <c r="J62">
        <v>0</v>
      </c>
      <c r="K62">
        <v>0</v>
      </c>
      <c r="L62">
        <v>0</v>
      </c>
      <c r="M62" s="7">
        <v>3.8</v>
      </c>
      <c r="N62" s="7">
        <v>28.2</v>
      </c>
    </row>
    <row r="63" spans="1:14" ht="19.95" customHeight="1">
      <c r="A63" s="6">
        <v>44988</v>
      </c>
      <c r="B63" t="s">
        <v>66</v>
      </c>
      <c r="C63">
        <v>4</v>
      </c>
      <c r="D63">
        <v>3</v>
      </c>
      <c r="E63">
        <v>62</v>
      </c>
      <c r="F63">
        <v>0</v>
      </c>
      <c r="G63">
        <v>0</v>
      </c>
      <c r="I63">
        <v>0</v>
      </c>
      <c r="J63">
        <v>0</v>
      </c>
      <c r="K63">
        <v>0</v>
      </c>
      <c r="L63">
        <v>0</v>
      </c>
      <c r="M63" s="7">
        <v>15.6</v>
      </c>
      <c r="N63" s="7">
        <v>27.8</v>
      </c>
    </row>
    <row r="64" spans="1:14" ht="19.95" customHeight="1">
      <c r="A64" s="6">
        <v>44989</v>
      </c>
      <c r="B64" t="s">
        <v>67</v>
      </c>
      <c r="C64">
        <v>5</v>
      </c>
      <c r="D64">
        <v>3</v>
      </c>
      <c r="E64">
        <v>63</v>
      </c>
      <c r="F64">
        <v>1</v>
      </c>
      <c r="G64">
        <v>0</v>
      </c>
      <c r="I64">
        <v>0</v>
      </c>
      <c r="J64">
        <v>0</v>
      </c>
      <c r="K64">
        <v>0</v>
      </c>
      <c r="L64">
        <v>0</v>
      </c>
      <c r="M64" s="7">
        <v>2.4</v>
      </c>
      <c r="N64" s="7">
        <v>28.6</v>
      </c>
    </row>
    <row r="65" spans="1:14" ht="19.95" customHeight="1">
      <c r="A65" s="6">
        <v>44990</v>
      </c>
      <c r="B65" t="s">
        <v>60</v>
      </c>
      <c r="C65">
        <v>6</v>
      </c>
      <c r="D65">
        <v>3</v>
      </c>
      <c r="E65">
        <v>64</v>
      </c>
      <c r="F65">
        <v>1</v>
      </c>
      <c r="G65">
        <v>0</v>
      </c>
      <c r="I65">
        <v>0</v>
      </c>
      <c r="J65">
        <v>0</v>
      </c>
      <c r="K65">
        <v>0</v>
      </c>
      <c r="L65">
        <v>0</v>
      </c>
      <c r="M65" s="7">
        <v>10.7</v>
      </c>
      <c r="N65" s="7">
        <v>27.1</v>
      </c>
    </row>
    <row r="66" spans="1:14" ht="19.95" customHeight="1">
      <c r="A66" s="6">
        <v>44991</v>
      </c>
      <c r="B66" t="s">
        <v>62</v>
      </c>
      <c r="C66">
        <v>0</v>
      </c>
      <c r="D66">
        <v>3</v>
      </c>
      <c r="E66">
        <v>65</v>
      </c>
      <c r="F66">
        <v>0</v>
      </c>
      <c r="G66">
        <v>0</v>
      </c>
      <c r="I66">
        <v>0</v>
      </c>
      <c r="J66">
        <v>0</v>
      </c>
      <c r="K66">
        <v>0</v>
      </c>
      <c r="L66">
        <v>0</v>
      </c>
      <c r="M66" s="7">
        <v>15.5</v>
      </c>
      <c r="N66" s="7">
        <v>26.9</v>
      </c>
    </row>
    <row r="67" spans="1:14" ht="19.95" customHeight="1">
      <c r="A67" s="6">
        <v>44992</v>
      </c>
      <c r="B67" t="s">
        <v>63</v>
      </c>
      <c r="C67">
        <v>1</v>
      </c>
      <c r="D67">
        <v>3</v>
      </c>
      <c r="E67">
        <v>66</v>
      </c>
      <c r="F67">
        <v>0</v>
      </c>
      <c r="G67">
        <v>0</v>
      </c>
      <c r="I67">
        <v>0</v>
      </c>
      <c r="J67">
        <v>0</v>
      </c>
      <c r="K67">
        <v>0</v>
      </c>
      <c r="L67">
        <v>0</v>
      </c>
      <c r="M67" s="7">
        <v>5.2</v>
      </c>
      <c r="N67" s="7">
        <v>26.9</v>
      </c>
    </row>
    <row r="68" spans="1:14" ht="19.95" customHeight="1">
      <c r="A68" s="6">
        <v>44993</v>
      </c>
      <c r="B68" t="s">
        <v>64</v>
      </c>
      <c r="C68">
        <v>2</v>
      </c>
      <c r="D68">
        <v>3</v>
      </c>
      <c r="E68">
        <v>67</v>
      </c>
      <c r="F68">
        <v>0</v>
      </c>
      <c r="G68">
        <v>0</v>
      </c>
      <c r="I68">
        <v>0</v>
      </c>
      <c r="J68">
        <v>0</v>
      </c>
      <c r="K68">
        <v>0</v>
      </c>
      <c r="L68">
        <v>0</v>
      </c>
      <c r="M68" s="7">
        <v>7.9</v>
      </c>
      <c r="N68" s="7">
        <v>28.1</v>
      </c>
    </row>
    <row r="69" spans="1:14" ht="19.95" customHeight="1">
      <c r="A69" s="6">
        <v>44994</v>
      </c>
      <c r="B69" t="s">
        <v>65</v>
      </c>
      <c r="C69">
        <v>3</v>
      </c>
      <c r="D69">
        <v>3</v>
      </c>
      <c r="E69">
        <v>68</v>
      </c>
      <c r="F69">
        <v>0</v>
      </c>
      <c r="G69">
        <v>0</v>
      </c>
      <c r="I69">
        <v>0</v>
      </c>
      <c r="J69">
        <v>0</v>
      </c>
      <c r="K69">
        <v>0</v>
      </c>
      <c r="L69">
        <v>0</v>
      </c>
      <c r="M69" s="7">
        <v>3.4</v>
      </c>
      <c r="N69" s="7">
        <v>25.7</v>
      </c>
    </row>
    <row r="70" spans="1:14" ht="19.95" customHeight="1">
      <c r="A70" s="6">
        <v>44995</v>
      </c>
      <c r="B70" t="s">
        <v>66</v>
      </c>
      <c r="C70">
        <v>4</v>
      </c>
      <c r="D70">
        <v>3</v>
      </c>
      <c r="E70">
        <v>69</v>
      </c>
      <c r="F70">
        <v>0</v>
      </c>
      <c r="G70">
        <v>0</v>
      </c>
      <c r="I70">
        <v>0</v>
      </c>
      <c r="J70">
        <v>0</v>
      </c>
      <c r="K70">
        <v>0</v>
      </c>
      <c r="L70">
        <v>0</v>
      </c>
      <c r="M70" s="7">
        <v>11.7</v>
      </c>
      <c r="N70" s="7">
        <v>26.6</v>
      </c>
    </row>
    <row r="71" spans="1:14" ht="19.95" customHeight="1">
      <c r="A71" s="6">
        <v>44996</v>
      </c>
      <c r="B71" t="s">
        <v>67</v>
      </c>
      <c r="C71">
        <v>5</v>
      </c>
      <c r="D71">
        <v>3</v>
      </c>
      <c r="E71">
        <v>70</v>
      </c>
      <c r="F71">
        <v>1</v>
      </c>
      <c r="G71">
        <v>0</v>
      </c>
      <c r="I71">
        <v>0</v>
      </c>
      <c r="J71">
        <v>0</v>
      </c>
      <c r="K71">
        <v>0</v>
      </c>
      <c r="L71">
        <v>0</v>
      </c>
      <c r="M71" s="7">
        <v>7.9</v>
      </c>
      <c r="N71" s="7">
        <v>26.6</v>
      </c>
    </row>
    <row r="72" spans="1:14" ht="19.95" customHeight="1">
      <c r="A72" s="6">
        <v>44997</v>
      </c>
      <c r="B72" t="s">
        <v>60</v>
      </c>
      <c r="C72">
        <v>6</v>
      </c>
      <c r="D72">
        <v>3</v>
      </c>
      <c r="E72">
        <v>71</v>
      </c>
      <c r="F72">
        <v>1</v>
      </c>
      <c r="G72">
        <v>0</v>
      </c>
      <c r="I72">
        <v>0</v>
      </c>
      <c r="J72">
        <v>0</v>
      </c>
      <c r="K72">
        <v>0</v>
      </c>
      <c r="L72">
        <v>0</v>
      </c>
      <c r="M72" s="7">
        <v>3.1</v>
      </c>
      <c r="N72" s="7">
        <v>26.4</v>
      </c>
    </row>
    <row r="73" spans="1:14" ht="19.95" customHeight="1">
      <c r="A73" s="6">
        <v>44998</v>
      </c>
      <c r="B73" t="s">
        <v>62</v>
      </c>
      <c r="C73">
        <v>0</v>
      </c>
      <c r="D73">
        <v>3</v>
      </c>
      <c r="E73">
        <v>72</v>
      </c>
      <c r="F73">
        <v>0</v>
      </c>
      <c r="G73">
        <v>0</v>
      </c>
      <c r="I73">
        <v>0</v>
      </c>
      <c r="J73">
        <v>0</v>
      </c>
      <c r="K73">
        <v>0</v>
      </c>
      <c r="L73">
        <v>0</v>
      </c>
      <c r="M73" s="7">
        <v>11</v>
      </c>
      <c r="N73" s="7">
        <v>27.5</v>
      </c>
    </row>
    <row r="74" spans="1:14" ht="19.95" customHeight="1">
      <c r="A74" s="6">
        <v>44999</v>
      </c>
      <c r="B74" t="s">
        <v>63</v>
      </c>
      <c r="C74">
        <v>1</v>
      </c>
      <c r="D74">
        <v>3</v>
      </c>
      <c r="E74">
        <v>73</v>
      </c>
      <c r="F74">
        <v>0</v>
      </c>
      <c r="G74">
        <v>0</v>
      </c>
      <c r="I74">
        <v>0</v>
      </c>
      <c r="J74">
        <v>0</v>
      </c>
      <c r="K74">
        <v>0</v>
      </c>
      <c r="L74">
        <v>0</v>
      </c>
      <c r="M74" s="7">
        <v>15.5</v>
      </c>
      <c r="N74" s="7">
        <v>27.8</v>
      </c>
    </row>
    <row r="75" spans="1:14" ht="19.95" customHeight="1">
      <c r="A75" s="6">
        <v>45000</v>
      </c>
      <c r="B75" t="s">
        <v>64</v>
      </c>
      <c r="C75">
        <v>2</v>
      </c>
      <c r="D75">
        <v>3</v>
      </c>
      <c r="E75">
        <v>74</v>
      </c>
      <c r="F75">
        <v>0</v>
      </c>
      <c r="G75">
        <v>0</v>
      </c>
      <c r="I75">
        <v>0</v>
      </c>
      <c r="J75">
        <v>0</v>
      </c>
      <c r="K75">
        <v>0</v>
      </c>
      <c r="L75">
        <v>0</v>
      </c>
      <c r="M75" s="7">
        <v>10</v>
      </c>
      <c r="N75" s="7">
        <v>25.7</v>
      </c>
    </row>
    <row r="76" spans="1:14" ht="19.95" customHeight="1">
      <c r="A76" s="6">
        <v>45001</v>
      </c>
      <c r="B76" t="s">
        <v>65</v>
      </c>
      <c r="C76">
        <v>3</v>
      </c>
      <c r="D76">
        <v>3</v>
      </c>
      <c r="E76">
        <v>75</v>
      </c>
      <c r="F76">
        <v>0</v>
      </c>
      <c r="G76">
        <v>0</v>
      </c>
      <c r="I76">
        <v>0</v>
      </c>
      <c r="J76">
        <v>0</v>
      </c>
      <c r="K76">
        <v>0</v>
      </c>
      <c r="L76">
        <v>0</v>
      </c>
      <c r="M76" s="7">
        <v>24.2</v>
      </c>
      <c r="N76" s="7">
        <v>27</v>
      </c>
    </row>
    <row r="77" spans="1:14" ht="19.95" customHeight="1">
      <c r="A77" s="6">
        <v>45002</v>
      </c>
      <c r="B77" t="s">
        <v>66</v>
      </c>
      <c r="C77">
        <v>4</v>
      </c>
      <c r="D77">
        <v>3</v>
      </c>
      <c r="E77">
        <v>76</v>
      </c>
      <c r="F77">
        <v>0</v>
      </c>
      <c r="G77">
        <v>0</v>
      </c>
      <c r="I77">
        <v>0</v>
      </c>
      <c r="J77">
        <v>0</v>
      </c>
      <c r="K77">
        <v>0</v>
      </c>
      <c r="L77">
        <v>0</v>
      </c>
      <c r="M77" s="7">
        <v>0.6</v>
      </c>
      <c r="N77" s="7">
        <v>28</v>
      </c>
    </row>
    <row r="78" spans="1:14" ht="19.95" customHeight="1">
      <c r="A78" s="6">
        <v>45003</v>
      </c>
      <c r="B78" t="s">
        <v>67</v>
      </c>
      <c r="C78">
        <v>5</v>
      </c>
      <c r="D78">
        <v>3</v>
      </c>
      <c r="E78">
        <v>77</v>
      </c>
      <c r="F78">
        <v>1</v>
      </c>
      <c r="G78">
        <v>0</v>
      </c>
      <c r="I78">
        <v>0</v>
      </c>
      <c r="J78">
        <v>0</v>
      </c>
      <c r="K78">
        <v>0</v>
      </c>
      <c r="L78">
        <v>0</v>
      </c>
      <c r="M78" s="7">
        <v>10.1</v>
      </c>
      <c r="N78" s="7">
        <v>27.7</v>
      </c>
    </row>
    <row r="79" spans="1:14" ht="19.95" customHeight="1">
      <c r="A79" s="6">
        <v>45004</v>
      </c>
      <c r="B79" t="s">
        <v>60</v>
      </c>
      <c r="C79">
        <v>6</v>
      </c>
      <c r="D79">
        <v>3</v>
      </c>
      <c r="E79">
        <v>78</v>
      </c>
      <c r="F79">
        <v>1</v>
      </c>
      <c r="G79">
        <v>1</v>
      </c>
      <c r="H79" t="s">
        <v>68</v>
      </c>
      <c r="I79">
        <v>0</v>
      </c>
      <c r="J79">
        <v>0</v>
      </c>
      <c r="K79">
        <v>0</v>
      </c>
      <c r="L79">
        <v>0</v>
      </c>
      <c r="M79" s="7">
        <v>10.6</v>
      </c>
      <c r="N79" s="7">
        <v>25.4</v>
      </c>
    </row>
    <row r="80" spans="1:14" ht="19.95" customHeight="1">
      <c r="A80" s="6">
        <v>45005</v>
      </c>
      <c r="B80" t="s">
        <v>62</v>
      </c>
      <c r="C80">
        <v>0</v>
      </c>
      <c r="D80">
        <v>3</v>
      </c>
      <c r="E80">
        <v>79</v>
      </c>
      <c r="F80">
        <v>0</v>
      </c>
      <c r="G80">
        <v>0</v>
      </c>
      <c r="I80">
        <v>0</v>
      </c>
      <c r="J80">
        <v>0</v>
      </c>
      <c r="K80">
        <v>0</v>
      </c>
      <c r="L80">
        <v>0</v>
      </c>
      <c r="M80" s="7">
        <v>32.4</v>
      </c>
      <c r="N80" s="7">
        <v>28.4</v>
      </c>
    </row>
    <row r="81" spans="1:14" ht="19.95" customHeight="1">
      <c r="A81" s="6">
        <v>45006</v>
      </c>
      <c r="B81" t="s">
        <v>63</v>
      </c>
      <c r="C81">
        <v>1</v>
      </c>
      <c r="D81">
        <v>3</v>
      </c>
      <c r="E81">
        <v>80</v>
      </c>
      <c r="F81">
        <v>0</v>
      </c>
      <c r="G81">
        <v>0</v>
      </c>
      <c r="I81">
        <v>0</v>
      </c>
      <c r="J81">
        <v>0</v>
      </c>
      <c r="K81">
        <v>0</v>
      </c>
      <c r="L81">
        <v>0</v>
      </c>
      <c r="M81" s="7">
        <v>4.8</v>
      </c>
      <c r="N81" s="7">
        <v>28.1</v>
      </c>
    </row>
    <row r="82" spans="1:14" ht="19.95" customHeight="1">
      <c r="A82" s="6">
        <v>45007</v>
      </c>
      <c r="B82" t="s">
        <v>64</v>
      </c>
      <c r="C82">
        <v>2</v>
      </c>
      <c r="D82">
        <v>3</v>
      </c>
      <c r="E82">
        <v>81</v>
      </c>
      <c r="F82">
        <v>0</v>
      </c>
      <c r="G82">
        <v>0</v>
      </c>
      <c r="I82">
        <v>0</v>
      </c>
      <c r="J82">
        <v>0</v>
      </c>
      <c r="K82">
        <v>0</v>
      </c>
      <c r="L82">
        <v>0</v>
      </c>
      <c r="M82" s="7">
        <v>21</v>
      </c>
      <c r="N82" s="7">
        <v>28.6</v>
      </c>
    </row>
    <row r="83" spans="1:14" ht="19.95" customHeight="1">
      <c r="A83" s="6">
        <v>45008</v>
      </c>
      <c r="B83" t="s">
        <v>65</v>
      </c>
      <c r="C83">
        <v>3</v>
      </c>
      <c r="D83">
        <v>3</v>
      </c>
      <c r="E83">
        <v>82</v>
      </c>
      <c r="F83">
        <v>0</v>
      </c>
      <c r="G83">
        <v>0</v>
      </c>
      <c r="I83">
        <v>0</v>
      </c>
      <c r="J83">
        <v>0</v>
      </c>
      <c r="K83">
        <v>0</v>
      </c>
      <c r="L83">
        <v>0</v>
      </c>
      <c r="M83" s="7">
        <v>14.3</v>
      </c>
      <c r="N83" s="7">
        <v>26.1</v>
      </c>
    </row>
    <row r="84" spans="1:14" ht="19.95" customHeight="1">
      <c r="A84" s="6">
        <v>45009</v>
      </c>
      <c r="B84" t="s">
        <v>66</v>
      </c>
      <c r="C84">
        <v>4</v>
      </c>
      <c r="D84">
        <v>3</v>
      </c>
      <c r="E84">
        <v>83</v>
      </c>
      <c r="F84">
        <v>0</v>
      </c>
      <c r="G84">
        <v>0</v>
      </c>
      <c r="I84">
        <v>0</v>
      </c>
      <c r="J84">
        <v>0</v>
      </c>
      <c r="K84">
        <v>0</v>
      </c>
      <c r="L84">
        <v>0</v>
      </c>
      <c r="M84" s="7">
        <v>15.6</v>
      </c>
      <c r="N84" s="7">
        <v>28</v>
      </c>
    </row>
    <row r="85" spans="1:14" ht="19.95" customHeight="1">
      <c r="A85" s="6">
        <v>45010</v>
      </c>
      <c r="B85" t="s">
        <v>67</v>
      </c>
      <c r="C85">
        <v>5</v>
      </c>
      <c r="D85">
        <v>3</v>
      </c>
      <c r="E85">
        <v>84</v>
      </c>
      <c r="F85">
        <v>1</v>
      </c>
      <c r="G85">
        <v>1</v>
      </c>
      <c r="H85" t="s">
        <v>69</v>
      </c>
      <c r="I85">
        <v>0</v>
      </c>
      <c r="J85">
        <v>0</v>
      </c>
      <c r="K85">
        <v>0</v>
      </c>
      <c r="L85">
        <v>0</v>
      </c>
      <c r="M85" s="7">
        <v>2.1</v>
      </c>
      <c r="N85" s="7">
        <v>27.3</v>
      </c>
    </row>
    <row r="86" spans="1:14" ht="19.95" customHeight="1">
      <c r="A86" s="6">
        <v>45011</v>
      </c>
      <c r="B86" t="s">
        <v>60</v>
      </c>
      <c r="C86">
        <v>6</v>
      </c>
      <c r="D86">
        <v>3</v>
      </c>
      <c r="E86">
        <v>85</v>
      </c>
      <c r="F86">
        <v>1</v>
      </c>
      <c r="G86">
        <v>0</v>
      </c>
      <c r="I86">
        <v>0</v>
      </c>
      <c r="J86">
        <v>0</v>
      </c>
      <c r="K86">
        <v>0</v>
      </c>
      <c r="L86">
        <v>0</v>
      </c>
      <c r="M86" s="7">
        <v>6.9</v>
      </c>
      <c r="N86" s="7">
        <v>27.9</v>
      </c>
    </row>
    <row r="87" spans="1:14" ht="19.95" customHeight="1">
      <c r="A87" s="6">
        <v>45012</v>
      </c>
      <c r="B87" t="s">
        <v>62</v>
      </c>
      <c r="C87">
        <v>0</v>
      </c>
      <c r="D87">
        <v>3</v>
      </c>
      <c r="E87">
        <v>86</v>
      </c>
      <c r="F87">
        <v>0</v>
      </c>
      <c r="G87">
        <v>0</v>
      </c>
      <c r="I87">
        <v>0</v>
      </c>
      <c r="J87">
        <v>0</v>
      </c>
      <c r="K87">
        <v>0</v>
      </c>
      <c r="L87">
        <v>0</v>
      </c>
      <c r="M87" s="7">
        <v>12.1</v>
      </c>
      <c r="N87" s="7">
        <v>26.6</v>
      </c>
    </row>
    <row r="88" spans="1:14" ht="19.95" customHeight="1">
      <c r="A88" s="6">
        <v>45013</v>
      </c>
      <c r="B88" t="s">
        <v>63</v>
      </c>
      <c r="C88">
        <v>1</v>
      </c>
      <c r="D88">
        <v>3</v>
      </c>
      <c r="E88">
        <v>87</v>
      </c>
      <c r="F88">
        <v>0</v>
      </c>
      <c r="G88">
        <v>0</v>
      </c>
      <c r="I88">
        <v>0</v>
      </c>
      <c r="J88">
        <v>0</v>
      </c>
      <c r="K88">
        <v>0</v>
      </c>
      <c r="L88">
        <v>0</v>
      </c>
      <c r="M88" s="7">
        <v>5.4</v>
      </c>
      <c r="N88" s="7">
        <v>26.5</v>
      </c>
    </row>
    <row r="89" spans="1:14" ht="19.95" customHeight="1">
      <c r="A89" s="6">
        <v>45014</v>
      </c>
      <c r="B89" t="s">
        <v>64</v>
      </c>
      <c r="C89">
        <v>2</v>
      </c>
      <c r="D89">
        <v>3</v>
      </c>
      <c r="E89">
        <v>88</v>
      </c>
      <c r="F89">
        <v>0</v>
      </c>
      <c r="G89">
        <v>0</v>
      </c>
      <c r="I89">
        <v>0</v>
      </c>
      <c r="J89">
        <v>0</v>
      </c>
      <c r="K89">
        <v>0</v>
      </c>
      <c r="L89">
        <v>0</v>
      </c>
      <c r="M89" s="7">
        <v>10.6</v>
      </c>
      <c r="N89" s="7">
        <v>28.8</v>
      </c>
    </row>
    <row r="90" spans="1:14" ht="19.95" customHeight="1">
      <c r="A90" s="6">
        <v>45015</v>
      </c>
      <c r="B90" t="s">
        <v>65</v>
      </c>
      <c r="C90">
        <v>3</v>
      </c>
      <c r="D90">
        <v>3</v>
      </c>
      <c r="E90">
        <v>89</v>
      </c>
      <c r="F90">
        <v>0</v>
      </c>
      <c r="G90">
        <v>0</v>
      </c>
      <c r="I90">
        <v>0</v>
      </c>
      <c r="J90">
        <v>0</v>
      </c>
      <c r="K90">
        <v>0</v>
      </c>
      <c r="L90">
        <v>0</v>
      </c>
      <c r="M90" s="7">
        <v>12.2</v>
      </c>
      <c r="N90" s="7">
        <v>27.8</v>
      </c>
    </row>
    <row r="91" spans="1:14" ht="19.95" customHeight="1">
      <c r="A91" s="6">
        <v>45016</v>
      </c>
      <c r="B91" t="s">
        <v>66</v>
      </c>
      <c r="C91">
        <v>4</v>
      </c>
      <c r="D91">
        <v>3</v>
      </c>
      <c r="E91">
        <v>90</v>
      </c>
      <c r="F91">
        <v>0</v>
      </c>
      <c r="G91">
        <v>0</v>
      </c>
      <c r="I91">
        <v>0</v>
      </c>
      <c r="J91">
        <v>0</v>
      </c>
      <c r="K91">
        <v>0</v>
      </c>
      <c r="L91">
        <v>0</v>
      </c>
      <c r="M91" s="7">
        <v>18.899999999999999</v>
      </c>
      <c r="N91" s="7">
        <v>27.5</v>
      </c>
    </row>
    <row r="92" spans="1:14" ht="19.95" customHeight="1">
      <c r="A92" s="6">
        <v>45017</v>
      </c>
      <c r="B92" t="s">
        <v>67</v>
      </c>
      <c r="C92">
        <v>5</v>
      </c>
      <c r="D92">
        <v>4</v>
      </c>
      <c r="E92">
        <v>91</v>
      </c>
      <c r="F92">
        <v>1</v>
      </c>
      <c r="G92">
        <v>0</v>
      </c>
      <c r="I92">
        <v>0</v>
      </c>
      <c r="J92">
        <v>0</v>
      </c>
      <c r="K92">
        <v>0</v>
      </c>
      <c r="L92">
        <v>0</v>
      </c>
      <c r="M92" s="7">
        <v>7.5</v>
      </c>
      <c r="N92" s="7">
        <v>26.6</v>
      </c>
    </row>
    <row r="93" spans="1:14" ht="19.95" customHeight="1">
      <c r="A93" s="6">
        <v>45018</v>
      </c>
      <c r="B93" t="s">
        <v>60</v>
      </c>
      <c r="C93">
        <v>6</v>
      </c>
      <c r="D93">
        <v>4</v>
      </c>
      <c r="E93">
        <v>92</v>
      </c>
      <c r="F93">
        <v>1</v>
      </c>
      <c r="G93">
        <v>0</v>
      </c>
      <c r="I93">
        <v>0</v>
      </c>
      <c r="J93">
        <v>0</v>
      </c>
      <c r="K93">
        <v>0</v>
      </c>
      <c r="L93">
        <v>0</v>
      </c>
      <c r="M93" s="7">
        <v>6.9</v>
      </c>
      <c r="N93" s="7">
        <v>27</v>
      </c>
    </row>
    <row r="94" spans="1:14" ht="19.95" customHeight="1">
      <c r="A94" s="6">
        <v>45019</v>
      </c>
      <c r="B94" t="s">
        <v>62</v>
      </c>
      <c r="C94">
        <v>0</v>
      </c>
      <c r="D94">
        <v>4</v>
      </c>
      <c r="E94">
        <v>93</v>
      </c>
      <c r="F94">
        <v>0</v>
      </c>
      <c r="G94">
        <v>0</v>
      </c>
      <c r="I94">
        <v>0</v>
      </c>
      <c r="J94">
        <v>0</v>
      </c>
      <c r="K94">
        <v>0</v>
      </c>
      <c r="L94">
        <v>0</v>
      </c>
      <c r="M94" s="7">
        <v>12.1</v>
      </c>
      <c r="N94" s="7">
        <v>27.3</v>
      </c>
    </row>
    <row r="95" spans="1:14" ht="19.95" customHeight="1">
      <c r="A95" s="6">
        <v>45020</v>
      </c>
      <c r="B95" t="s">
        <v>63</v>
      </c>
      <c r="C95">
        <v>1</v>
      </c>
      <c r="D95">
        <v>4</v>
      </c>
      <c r="E95">
        <v>94</v>
      </c>
      <c r="F95">
        <v>0</v>
      </c>
      <c r="G95">
        <v>0</v>
      </c>
      <c r="I95">
        <v>0</v>
      </c>
      <c r="J95">
        <v>0</v>
      </c>
      <c r="K95">
        <v>0</v>
      </c>
      <c r="L95">
        <v>0</v>
      </c>
      <c r="M95" s="7">
        <v>2.4</v>
      </c>
      <c r="N95" s="7">
        <v>27</v>
      </c>
    </row>
    <row r="96" spans="1:14" ht="19.95" customHeight="1">
      <c r="A96" s="6">
        <v>45021</v>
      </c>
      <c r="B96" t="s">
        <v>64</v>
      </c>
      <c r="C96">
        <v>2</v>
      </c>
      <c r="D96">
        <v>4</v>
      </c>
      <c r="E96">
        <v>95</v>
      </c>
      <c r="F96">
        <v>0</v>
      </c>
      <c r="G96">
        <v>0</v>
      </c>
      <c r="I96">
        <v>0</v>
      </c>
      <c r="J96">
        <v>0</v>
      </c>
      <c r="K96">
        <v>0</v>
      </c>
      <c r="L96">
        <v>0</v>
      </c>
      <c r="M96" s="7">
        <v>0</v>
      </c>
      <c r="N96" s="7">
        <v>27.3</v>
      </c>
    </row>
    <row r="97" spans="1:14" ht="19.95" customHeight="1">
      <c r="A97" s="6">
        <v>45022</v>
      </c>
      <c r="B97" t="s">
        <v>65</v>
      </c>
      <c r="C97">
        <v>3</v>
      </c>
      <c r="D97">
        <v>4</v>
      </c>
      <c r="E97">
        <v>96</v>
      </c>
      <c r="F97">
        <v>0</v>
      </c>
      <c r="G97">
        <v>0</v>
      </c>
      <c r="I97">
        <v>0</v>
      </c>
      <c r="J97">
        <v>0</v>
      </c>
      <c r="K97">
        <v>0</v>
      </c>
      <c r="L97">
        <v>0</v>
      </c>
      <c r="M97" s="7">
        <v>8.1</v>
      </c>
      <c r="N97" s="7">
        <v>27</v>
      </c>
    </row>
    <row r="98" spans="1:14" ht="19.95" customHeight="1">
      <c r="A98" s="6">
        <v>45023</v>
      </c>
      <c r="B98" t="s">
        <v>66</v>
      </c>
      <c r="C98">
        <v>4</v>
      </c>
      <c r="D98">
        <v>4</v>
      </c>
      <c r="E98">
        <v>97</v>
      </c>
      <c r="F98">
        <v>0</v>
      </c>
      <c r="G98">
        <v>0</v>
      </c>
      <c r="I98">
        <v>0</v>
      </c>
      <c r="J98">
        <v>0</v>
      </c>
      <c r="K98">
        <v>0</v>
      </c>
      <c r="L98">
        <v>0</v>
      </c>
      <c r="M98" s="7">
        <v>9.9</v>
      </c>
      <c r="N98" s="7">
        <v>28.3</v>
      </c>
    </row>
    <row r="99" spans="1:14" ht="19.95" customHeight="1">
      <c r="A99" s="6">
        <v>45024</v>
      </c>
      <c r="B99" t="s">
        <v>67</v>
      </c>
      <c r="C99">
        <v>5</v>
      </c>
      <c r="D99">
        <v>4</v>
      </c>
      <c r="E99">
        <v>98</v>
      </c>
      <c r="F99">
        <v>1</v>
      </c>
      <c r="G99">
        <v>0</v>
      </c>
      <c r="I99">
        <v>0</v>
      </c>
      <c r="J99">
        <v>0</v>
      </c>
      <c r="K99">
        <v>0</v>
      </c>
      <c r="L99">
        <v>0</v>
      </c>
      <c r="M99" s="7">
        <v>7.3</v>
      </c>
      <c r="N99" s="7">
        <v>27.2</v>
      </c>
    </row>
    <row r="100" spans="1:14" ht="19.95" customHeight="1">
      <c r="A100" s="6">
        <v>45025</v>
      </c>
      <c r="B100" t="s">
        <v>60</v>
      </c>
      <c r="C100">
        <v>6</v>
      </c>
      <c r="D100">
        <v>4</v>
      </c>
      <c r="E100">
        <v>99</v>
      </c>
      <c r="F100">
        <v>1</v>
      </c>
      <c r="G100">
        <v>0</v>
      </c>
      <c r="I100">
        <v>0</v>
      </c>
      <c r="J100">
        <v>0</v>
      </c>
      <c r="K100">
        <v>0</v>
      </c>
      <c r="L100">
        <v>0</v>
      </c>
      <c r="M100" s="7">
        <v>8.6</v>
      </c>
      <c r="N100" s="7">
        <v>28.3</v>
      </c>
    </row>
    <row r="101" spans="1:14" ht="19.95" customHeight="1">
      <c r="A101" s="6">
        <v>45026</v>
      </c>
      <c r="B101" t="s">
        <v>62</v>
      </c>
      <c r="C101">
        <v>0</v>
      </c>
      <c r="D101">
        <v>4</v>
      </c>
      <c r="E101">
        <v>100</v>
      </c>
      <c r="F101">
        <v>0</v>
      </c>
      <c r="G101">
        <v>0</v>
      </c>
      <c r="I101">
        <v>0</v>
      </c>
      <c r="J101">
        <v>0</v>
      </c>
      <c r="K101">
        <v>0</v>
      </c>
      <c r="L101">
        <v>0</v>
      </c>
      <c r="M101" s="7">
        <v>2.7</v>
      </c>
      <c r="N101" s="7">
        <v>27.2</v>
      </c>
    </row>
    <row r="102" spans="1:14" ht="19.95" customHeight="1">
      <c r="A102" s="6">
        <v>45027</v>
      </c>
      <c r="B102" t="s">
        <v>63</v>
      </c>
      <c r="C102">
        <v>1</v>
      </c>
      <c r="D102">
        <v>4</v>
      </c>
      <c r="E102">
        <v>101</v>
      </c>
      <c r="F102">
        <v>0</v>
      </c>
      <c r="G102">
        <v>0</v>
      </c>
      <c r="I102">
        <v>0</v>
      </c>
      <c r="J102">
        <v>0</v>
      </c>
      <c r="K102">
        <v>0</v>
      </c>
      <c r="L102">
        <v>0</v>
      </c>
      <c r="M102" s="7">
        <v>7.1</v>
      </c>
      <c r="N102" s="7">
        <v>27.4</v>
      </c>
    </row>
    <row r="103" spans="1:14" ht="19.95" customHeight="1">
      <c r="A103" s="6">
        <v>45028</v>
      </c>
      <c r="B103" t="s">
        <v>64</v>
      </c>
      <c r="C103">
        <v>2</v>
      </c>
      <c r="D103">
        <v>4</v>
      </c>
      <c r="E103">
        <v>102</v>
      </c>
      <c r="F103">
        <v>0</v>
      </c>
      <c r="G103">
        <v>0</v>
      </c>
      <c r="I103">
        <v>0</v>
      </c>
      <c r="J103">
        <v>0</v>
      </c>
      <c r="K103">
        <v>0</v>
      </c>
      <c r="L103">
        <v>0</v>
      </c>
      <c r="M103" s="7">
        <v>1.4</v>
      </c>
      <c r="N103" s="7">
        <v>28.4</v>
      </c>
    </row>
    <row r="104" spans="1:14" ht="19.95" customHeight="1">
      <c r="A104" s="6">
        <v>45029</v>
      </c>
      <c r="B104" t="s">
        <v>65</v>
      </c>
      <c r="C104">
        <v>3</v>
      </c>
      <c r="D104">
        <v>4</v>
      </c>
      <c r="E104">
        <v>103</v>
      </c>
      <c r="F104">
        <v>0</v>
      </c>
      <c r="G104">
        <v>0</v>
      </c>
      <c r="I104">
        <v>0</v>
      </c>
      <c r="J104">
        <v>0</v>
      </c>
      <c r="K104">
        <v>0</v>
      </c>
      <c r="L104">
        <v>0</v>
      </c>
      <c r="M104" s="7">
        <v>9.4</v>
      </c>
      <c r="N104" s="7">
        <v>27.3</v>
      </c>
    </row>
    <row r="105" spans="1:14" ht="19.95" customHeight="1">
      <c r="A105" s="6">
        <v>45030</v>
      </c>
      <c r="B105" t="s">
        <v>66</v>
      </c>
      <c r="C105">
        <v>4</v>
      </c>
      <c r="D105">
        <v>4</v>
      </c>
      <c r="E105">
        <v>104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0</v>
      </c>
      <c r="M105" s="7">
        <v>12.2</v>
      </c>
      <c r="N105" s="7">
        <v>27.3</v>
      </c>
    </row>
    <row r="106" spans="1:14" ht="19.95" customHeight="1">
      <c r="A106" s="6">
        <v>45031</v>
      </c>
      <c r="B106" t="s">
        <v>67</v>
      </c>
      <c r="C106">
        <v>5</v>
      </c>
      <c r="D106">
        <v>4</v>
      </c>
      <c r="E106">
        <v>105</v>
      </c>
      <c r="F106">
        <v>1</v>
      </c>
      <c r="G106">
        <v>0</v>
      </c>
      <c r="I106">
        <v>0</v>
      </c>
      <c r="J106">
        <v>0</v>
      </c>
      <c r="K106">
        <v>0</v>
      </c>
      <c r="L106">
        <v>0</v>
      </c>
      <c r="M106" s="7">
        <v>5.7</v>
      </c>
      <c r="N106" s="7">
        <v>27.2</v>
      </c>
    </row>
    <row r="107" spans="1:14" ht="19.95" customHeight="1">
      <c r="A107" s="6">
        <v>45032</v>
      </c>
      <c r="B107" t="s">
        <v>60</v>
      </c>
      <c r="C107">
        <v>6</v>
      </c>
      <c r="D107">
        <v>4</v>
      </c>
      <c r="E107">
        <v>106</v>
      </c>
      <c r="F107">
        <v>1</v>
      </c>
      <c r="G107">
        <v>0</v>
      </c>
      <c r="I107">
        <v>0</v>
      </c>
      <c r="J107">
        <v>0</v>
      </c>
      <c r="K107">
        <v>0</v>
      </c>
      <c r="L107">
        <v>0</v>
      </c>
      <c r="M107" s="7">
        <v>26.3</v>
      </c>
      <c r="N107" s="7">
        <v>28.1</v>
      </c>
    </row>
    <row r="108" spans="1:14" ht="19.95" customHeight="1">
      <c r="A108" s="6">
        <v>45033</v>
      </c>
      <c r="B108" t="s">
        <v>62</v>
      </c>
      <c r="C108">
        <v>0</v>
      </c>
      <c r="D108">
        <v>4</v>
      </c>
      <c r="E108">
        <v>107</v>
      </c>
      <c r="F108">
        <v>0</v>
      </c>
      <c r="G108">
        <v>0</v>
      </c>
      <c r="I108">
        <v>0</v>
      </c>
      <c r="J108">
        <v>0</v>
      </c>
      <c r="K108">
        <v>0</v>
      </c>
      <c r="L108">
        <v>0</v>
      </c>
      <c r="M108" s="7">
        <v>18.100000000000001</v>
      </c>
      <c r="N108" s="7">
        <v>29.5</v>
      </c>
    </row>
    <row r="109" spans="1:14" ht="19.95" customHeight="1">
      <c r="A109" s="6">
        <v>45034</v>
      </c>
      <c r="B109" t="s">
        <v>63</v>
      </c>
      <c r="C109">
        <v>1</v>
      </c>
      <c r="D109">
        <v>4</v>
      </c>
      <c r="E109">
        <v>108</v>
      </c>
      <c r="F109">
        <v>0</v>
      </c>
      <c r="G109">
        <v>0</v>
      </c>
      <c r="I109">
        <v>0</v>
      </c>
      <c r="J109">
        <v>0</v>
      </c>
      <c r="K109">
        <v>0</v>
      </c>
      <c r="L109">
        <v>0</v>
      </c>
      <c r="M109" s="7">
        <v>7.2</v>
      </c>
      <c r="N109" s="7">
        <v>26.5</v>
      </c>
    </row>
    <row r="110" spans="1:14" ht="19.95" customHeight="1">
      <c r="A110" s="6">
        <v>45035</v>
      </c>
      <c r="B110" t="s">
        <v>64</v>
      </c>
      <c r="C110">
        <v>2</v>
      </c>
      <c r="D110">
        <v>4</v>
      </c>
      <c r="E110">
        <v>109</v>
      </c>
      <c r="F110">
        <v>0</v>
      </c>
      <c r="G110">
        <v>0</v>
      </c>
      <c r="I110">
        <v>0</v>
      </c>
      <c r="J110">
        <v>0</v>
      </c>
      <c r="K110">
        <v>0</v>
      </c>
      <c r="L110">
        <v>0</v>
      </c>
      <c r="M110" s="7">
        <v>5.2</v>
      </c>
      <c r="N110" s="7">
        <v>26.8</v>
      </c>
    </row>
    <row r="111" spans="1:14" ht="19.95" customHeight="1">
      <c r="A111" s="6">
        <v>45036</v>
      </c>
      <c r="B111" t="s">
        <v>65</v>
      </c>
      <c r="C111">
        <v>3</v>
      </c>
      <c r="D111">
        <v>4</v>
      </c>
      <c r="E111">
        <v>110</v>
      </c>
      <c r="F111">
        <v>0</v>
      </c>
      <c r="G111">
        <v>0</v>
      </c>
      <c r="I111">
        <v>0</v>
      </c>
      <c r="J111">
        <v>0</v>
      </c>
      <c r="K111">
        <v>0</v>
      </c>
      <c r="L111">
        <v>0</v>
      </c>
      <c r="M111" s="7">
        <v>23.5</v>
      </c>
      <c r="N111" s="7">
        <v>26.6</v>
      </c>
    </row>
    <row r="112" spans="1:14" ht="19.95" customHeight="1">
      <c r="A112" s="6">
        <v>45037</v>
      </c>
      <c r="B112" t="s">
        <v>66</v>
      </c>
      <c r="C112">
        <v>4</v>
      </c>
      <c r="D112">
        <v>4</v>
      </c>
      <c r="E112">
        <v>111</v>
      </c>
      <c r="F112">
        <v>0</v>
      </c>
      <c r="G112">
        <v>1</v>
      </c>
      <c r="H112" t="s">
        <v>70</v>
      </c>
      <c r="I112">
        <v>0</v>
      </c>
      <c r="J112">
        <v>0</v>
      </c>
      <c r="K112">
        <v>0</v>
      </c>
      <c r="L112">
        <v>0</v>
      </c>
      <c r="M112" s="7">
        <v>5</v>
      </c>
      <c r="N112" s="7">
        <v>28</v>
      </c>
    </row>
    <row r="113" spans="1:14" ht="19.95" customHeight="1">
      <c r="A113" s="6">
        <v>45038</v>
      </c>
      <c r="B113" t="s">
        <v>67</v>
      </c>
      <c r="C113">
        <v>5</v>
      </c>
      <c r="D113">
        <v>4</v>
      </c>
      <c r="E113">
        <v>112</v>
      </c>
      <c r="F113">
        <v>1</v>
      </c>
      <c r="G113">
        <v>0</v>
      </c>
      <c r="I113">
        <v>0</v>
      </c>
      <c r="J113">
        <v>0</v>
      </c>
      <c r="K113">
        <v>0</v>
      </c>
      <c r="L113">
        <v>0</v>
      </c>
      <c r="M113" s="7">
        <v>10.5</v>
      </c>
      <c r="N113" s="7">
        <v>27.3</v>
      </c>
    </row>
    <row r="114" spans="1:14" ht="19.95" customHeight="1">
      <c r="A114" s="6">
        <v>45039</v>
      </c>
      <c r="B114" t="s">
        <v>60</v>
      </c>
      <c r="C114">
        <v>6</v>
      </c>
      <c r="D114">
        <v>4</v>
      </c>
      <c r="E114">
        <v>113</v>
      </c>
      <c r="F114">
        <v>1</v>
      </c>
      <c r="G114">
        <v>0</v>
      </c>
      <c r="I114">
        <v>0</v>
      </c>
      <c r="J114">
        <v>0</v>
      </c>
      <c r="K114">
        <v>0</v>
      </c>
      <c r="L114">
        <v>0</v>
      </c>
      <c r="M114" s="7">
        <v>6</v>
      </c>
      <c r="N114" s="7">
        <v>28.2</v>
      </c>
    </row>
    <row r="115" spans="1:14" ht="19.95" customHeight="1">
      <c r="A115" s="6">
        <v>45040</v>
      </c>
      <c r="B115" t="s">
        <v>62</v>
      </c>
      <c r="C115">
        <v>0</v>
      </c>
      <c r="D115">
        <v>4</v>
      </c>
      <c r="E115">
        <v>114</v>
      </c>
      <c r="F115">
        <v>0</v>
      </c>
      <c r="G115">
        <v>0</v>
      </c>
      <c r="I115">
        <v>0</v>
      </c>
      <c r="J115">
        <v>0</v>
      </c>
      <c r="K115">
        <v>0</v>
      </c>
      <c r="L115">
        <v>0</v>
      </c>
      <c r="M115" s="7">
        <v>15.3</v>
      </c>
      <c r="N115" s="7">
        <v>25.4</v>
      </c>
    </row>
    <row r="116" spans="1:14" ht="19.95" customHeight="1">
      <c r="A116" s="6">
        <v>45041</v>
      </c>
      <c r="B116" t="s">
        <v>63</v>
      </c>
      <c r="C116">
        <v>1</v>
      </c>
      <c r="D116">
        <v>4</v>
      </c>
      <c r="E116">
        <v>115</v>
      </c>
      <c r="F116">
        <v>0</v>
      </c>
      <c r="G116">
        <v>0</v>
      </c>
      <c r="I116">
        <v>0</v>
      </c>
      <c r="J116">
        <v>0</v>
      </c>
      <c r="K116">
        <v>0</v>
      </c>
      <c r="L116">
        <v>0</v>
      </c>
      <c r="M116" s="7">
        <v>14.8</v>
      </c>
      <c r="N116" s="7">
        <v>25.7</v>
      </c>
    </row>
    <row r="117" spans="1:14" ht="19.95" customHeight="1">
      <c r="A117" s="6">
        <v>45042</v>
      </c>
      <c r="B117" t="s">
        <v>64</v>
      </c>
      <c r="C117">
        <v>2</v>
      </c>
      <c r="D117">
        <v>4</v>
      </c>
      <c r="E117">
        <v>116</v>
      </c>
      <c r="F117">
        <v>0</v>
      </c>
      <c r="G117">
        <v>0</v>
      </c>
      <c r="I117">
        <v>0</v>
      </c>
      <c r="J117">
        <v>0</v>
      </c>
      <c r="K117">
        <v>0</v>
      </c>
      <c r="L117">
        <v>0</v>
      </c>
      <c r="M117" s="7">
        <v>11.8</v>
      </c>
      <c r="N117" s="7">
        <v>27.7</v>
      </c>
    </row>
    <row r="118" spans="1:14" ht="19.95" customHeight="1">
      <c r="A118" s="6">
        <v>45043</v>
      </c>
      <c r="B118" t="s">
        <v>65</v>
      </c>
      <c r="C118">
        <v>3</v>
      </c>
      <c r="D118">
        <v>4</v>
      </c>
      <c r="E118">
        <v>117</v>
      </c>
      <c r="F118">
        <v>0</v>
      </c>
      <c r="G118">
        <v>0</v>
      </c>
      <c r="I118">
        <v>0</v>
      </c>
      <c r="J118">
        <v>0</v>
      </c>
      <c r="K118">
        <v>0</v>
      </c>
      <c r="L118">
        <v>0</v>
      </c>
      <c r="M118" s="7">
        <v>7.3</v>
      </c>
      <c r="N118" s="7">
        <v>27.7</v>
      </c>
    </row>
    <row r="119" spans="1:14" ht="19.95" customHeight="1">
      <c r="A119" s="6">
        <v>45044</v>
      </c>
      <c r="B119" t="s">
        <v>66</v>
      </c>
      <c r="C119">
        <v>4</v>
      </c>
      <c r="D119">
        <v>4</v>
      </c>
      <c r="E119">
        <v>118</v>
      </c>
      <c r="F119">
        <v>0</v>
      </c>
      <c r="G119">
        <v>0</v>
      </c>
      <c r="I119">
        <v>0</v>
      </c>
      <c r="J119">
        <v>0</v>
      </c>
      <c r="K119">
        <v>0</v>
      </c>
      <c r="L119">
        <v>0</v>
      </c>
      <c r="M119" s="7">
        <v>13.7</v>
      </c>
      <c r="N119" s="7">
        <v>27.5</v>
      </c>
    </row>
    <row r="120" spans="1:14" ht="19.95" customHeight="1">
      <c r="A120" s="6">
        <v>45045</v>
      </c>
      <c r="B120" t="s">
        <v>67</v>
      </c>
      <c r="C120">
        <v>5</v>
      </c>
      <c r="D120">
        <v>4</v>
      </c>
      <c r="E120">
        <v>119</v>
      </c>
      <c r="F120">
        <v>1</v>
      </c>
      <c r="G120">
        <v>0</v>
      </c>
      <c r="I120">
        <v>0</v>
      </c>
      <c r="J120">
        <v>0</v>
      </c>
      <c r="K120">
        <v>0</v>
      </c>
      <c r="L120">
        <v>0</v>
      </c>
      <c r="M120" s="7">
        <v>12.7</v>
      </c>
      <c r="N120" s="7">
        <v>27.7</v>
      </c>
    </row>
    <row r="121" spans="1:14" ht="19.95" customHeight="1">
      <c r="A121" s="6">
        <v>45046</v>
      </c>
      <c r="B121" t="s">
        <v>60</v>
      </c>
      <c r="C121">
        <v>6</v>
      </c>
      <c r="D121">
        <v>4</v>
      </c>
      <c r="E121">
        <v>120</v>
      </c>
      <c r="F121">
        <v>1</v>
      </c>
      <c r="G121">
        <v>0</v>
      </c>
      <c r="I121">
        <v>0</v>
      </c>
      <c r="J121">
        <v>0</v>
      </c>
      <c r="K121">
        <v>0</v>
      </c>
      <c r="L121">
        <v>0</v>
      </c>
      <c r="M121" s="7">
        <v>14</v>
      </c>
      <c r="N121" s="7">
        <v>26.4</v>
      </c>
    </row>
    <row r="122" spans="1:14" ht="19.95" customHeight="1">
      <c r="A122" s="6">
        <v>45047</v>
      </c>
      <c r="B122" t="s">
        <v>62</v>
      </c>
      <c r="C122">
        <v>0</v>
      </c>
      <c r="D122">
        <v>5</v>
      </c>
      <c r="E122">
        <v>121</v>
      </c>
      <c r="F122">
        <v>0</v>
      </c>
      <c r="G122">
        <v>1</v>
      </c>
      <c r="H122" t="s">
        <v>71</v>
      </c>
      <c r="I122">
        <v>0</v>
      </c>
      <c r="J122">
        <v>0</v>
      </c>
      <c r="K122">
        <v>0</v>
      </c>
      <c r="L122">
        <v>0</v>
      </c>
      <c r="M122" s="7">
        <v>9.6</v>
      </c>
      <c r="N122" s="7">
        <v>29.3</v>
      </c>
    </row>
    <row r="123" spans="1:14" ht="19.95" customHeight="1">
      <c r="A123" s="6">
        <v>45048</v>
      </c>
      <c r="B123" t="s">
        <v>63</v>
      </c>
      <c r="C123">
        <v>1</v>
      </c>
      <c r="D123">
        <v>5</v>
      </c>
      <c r="E123">
        <v>122</v>
      </c>
      <c r="F123">
        <v>0</v>
      </c>
      <c r="G123">
        <v>0</v>
      </c>
      <c r="I123">
        <v>0</v>
      </c>
      <c r="J123">
        <v>0</v>
      </c>
      <c r="K123">
        <v>0</v>
      </c>
      <c r="L123">
        <v>0</v>
      </c>
      <c r="M123" s="7">
        <v>3.8</v>
      </c>
      <c r="N123" s="7">
        <v>28.5</v>
      </c>
    </row>
    <row r="124" spans="1:14" ht="19.95" customHeight="1">
      <c r="A124" s="6">
        <v>45049</v>
      </c>
      <c r="B124" t="s">
        <v>64</v>
      </c>
      <c r="C124">
        <v>2</v>
      </c>
      <c r="D124">
        <v>5</v>
      </c>
      <c r="E124">
        <v>123</v>
      </c>
      <c r="F124">
        <v>0</v>
      </c>
      <c r="G124">
        <v>0</v>
      </c>
      <c r="I124">
        <v>0</v>
      </c>
      <c r="J124">
        <v>0</v>
      </c>
      <c r="K124">
        <v>0</v>
      </c>
      <c r="L124">
        <v>0</v>
      </c>
      <c r="M124" s="7">
        <v>26.9</v>
      </c>
      <c r="N124" s="7">
        <v>27.9</v>
      </c>
    </row>
    <row r="125" spans="1:14" ht="19.95" customHeight="1">
      <c r="A125" s="6">
        <v>45050</v>
      </c>
      <c r="B125" t="s">
        <v>65</v>
      </c>
      <c r="C125">
        <v>3</v>
      </c>
      <c r="D125">
        <v>5</v>
      </c>
      <c r="E125">
        <v>124</v>
      </c>
      <c r="F125">
        <v>0</v>
      </c>
      <c r="G125">
        <v>0</v>
      </c>
      <c r="I125">
        <v>0</v>
      </c>
      <c r="J125">
        <v>0</v>
      </c>
      <c r="K125">
        <v>0</v>
      </c>
      <c r="L125">
        <v>0</v>
      </c>
      <c r="M125" s="7">
        <v>11.5</v>
      </c>
      <c r="N125" s="7">
        <v>27.5</v>
      </c>
    </row>
    <row r="126" spans="1:14" ht="19.95" customHeight="1">
      <c r="A126" s="6">
        <v>45051</v>
      </c>
      <c r="B126" t="s">
        <v>66</v>
      </c>
      <c r="C126">
        <v>4</v>
      </c>
      <c r="D126">
        <v>5</v>
      </c>
      <c r="E126">
        <v>125</v>
      </c>
      <c r="F126">
        <v>0</v>
      </c>
      <c r="G126">
        <v>0</v>
      </c>
      <c r="I126">
        <v>0</v>
      </c>
      <c r="J126">
        <v>0</v>
      </c>
      <c r="K126">
        <v>0</v>
      </c>
      <c r="L126">
        <v>0</v>
      </c>
      <c r="M126" s="7">
        <v>13.1</v>
      </c>
      <c r="N126" s="7">
        <v>27.1</v>
      </c>
    </row>
    <row r="127" spans="1:14" ht="19.95" customHeight="1">
      <c r="A127" s="6">
        <v>45052</v>
      </c>
      <c r="B127" t="s">
        <v>67</v>
      </c>
      <c r="C127">
        <v>5</v>
      </c>
      <c r="D127">
        <v>5</v>
      </c>
      <c r="E127">
        <v>126</v>
      </c>
      <c r="F127">
        <v>1</v>
      </c>
      <c r="G127">
        <v>0</v>
      </c>
      <c r="I127">
        <v>0</v>
      </c>
      <c r="J127">
        <v>0</v>
      </c>
      <c r="K127">
        <v>0</v>
      </c>
      <c r="L127">
        <v>0</v>
      </c>
      <c r="M127" s="7">
        <v>1.9</v>
      </c>
      <c r="N127" s="7">
        <v>26.3</v>
      </c>
    </row>
    <row r="128" spans="1:14" ht="19.95" customHeight="1">
      <c r="A128" s="6">
        <v>45053</v>
      </c>
      <c r="B128" t="s">
        <v>60</v>
      </c>
      <c r="C128">
        <v>6</v>
      </c>
      <c r="D128">
        <v>5</v>
      </c>
      <c r="E128">
        <v>127</v>
      </c>
      <c r="F128">
        <v>1</v>
      </c>
      <c r="G128">
        <v>0</v>
      </c>
      <c r="I128">
        <v>0</v>
      </c>
      <c r="J128">
        <v>0</v>
      </c>
      <c r="K128">
        <v>0</v>
      </c>
      <c r="L128">
        <v>0</v>
      </c>
      <c r="M128" s="7">
        <v>11.7</v>
      </c>
      <c r="N128" s="7">
        <v>27.2</v>
      </c>
    </row>
    <row r="129" spans="1:14" ht="19.95" customHeight="1">
      <c r="A129" s="6">
        <v>45054</v>
      </c>
      <c r="B129" t="s">
        <v>62</v>
      </c>
      <c r="C129">
        <v>0</v>
      </c>
      <c r="D129">
        <v>5</v>
      </c>
      <c r="E129">
        <v>128</v>
      </c>
      <c r="F129">
        <v>0</v>
      </c>
      <c r="G129">
        <v>0</v>
      </c>
      <c r="I129">
        <v>0</v>
      </c>
      <c r="J129">
        <v>0</v>
      </c>
      <c r="K129">
        <v>0</v>
      </c>
      <c r="L129">
        <v>0</v>
      </c>
      <c r="M129" s="7">
        <v>14.6</v>
      </c>
      <c r="N129" s="7">
        <v>28.1</v>
      </c>
    </row>
    <row r="130" spans="1:14" ht="19.95" customHeight="1">
      <c r="A130" s="6">
        <v>45055</v>
      </c>
      <c r="B130" t="s">
        <v>63</v>
      </c>
      <c r="C130">
        <v>1</v>
      </c>
      <c r="D130">
        <v>5</v>
      </c>
      <c r="E130">
        <v>129</v>
      </c>
      <c r="F130">
        <v>0</v>
      </c>
      <c r="G130">
        <v>0</v>
      </c>
      <c r="I130">
        <v>0</v>
      </c>
      <c r="J130">
        <v>0</v>
      </c>
      <c r="K130">
        <v>0</v>
      </c>
      <c r="L130">
        <v>0</v>
      </c>
      <c r="M130" s="7">
        <v>28.2</v>
      </c>
      <c r="N130" s="7">
        <v>27.3</v>
      </c>
    </row>
    <row r="131" spans="1:14" ht="19.95" customHeight="1">
      <c r="A131" s="6">
        <v>45056</v>
      </c>
      <c r="B131" t="s">
        <v>64</v>
      </c>
      <c r="C131">
        <v>2</v>
      </c>
      <c r="D131">
        <v>5</v>
      </c>
      <c r="E131">
        <v>130</v>
      </c>
      <c r="F131">
        <v>0</v>
      </c>
      <c r="G131">
        <v>0</v>
      </c>
      <c r="I131">
        <v>0</v>
      </c>
      <c r="J131">
        <v>0</v>
      </c>
      <c r="K131">
        <v>0</v>
      </c>
      <c r="L131">
        <v>0</v>
      </c>
      <c r="M131" s="7">
        <v>15.5</v>
      </c>
      <c r="N131" s="7">
        <v>27.6</v>
      </c>
    </row>
    <row r="132" spans="1:14" ht="19.95" customHeight="1">
      <c r="A132" s="6">
        <v>45057</v>
      </c>
      <c r="B132" t="s">
        <v>65</v>
      </c>
      <c r="C132">
        <v>3</v>
      </c>
      <c r="D132">
        <v>5</v>
      </c>
      <c r="E132">
        <v>131</v>
      </c>
      <c r="F132">
        <v>0</v>
      </c>
      <c r="G132">
        <v>0</v>
      </c>
      <c r="I132">
        <v>0</v>
      </c>
      <c r="J132">
        <v>0</v>
      </c>
      <c r="K132">
        <v>0</v>
      </c>
      <c r="L132">
        <v>0</v>
      </c>
      <c r="M132" s="7">
        <v>15.5</v>
      </c>
      <c r="N132" s="7">
        <v>26.3</v>
      </c>
    </row>
    <row r="133" spans="1:14" ht="19.95" customHeight="1">
      <c r="A133" s="6">
        <v>45058</v>
      </c>
      <c r="B133" t="s">
        <v>66</v>
      </c>
      <c r="C133">
        <v>4</v>
      </c>
      <c r="D133">
        <v>5</v>
      </c>
      <c r="E133">
        <v>132</v>
      </c>
      <c r="F133">
        <v>0</v>
      </c>
      <c r="G133">
        <v>0</v>
      </c>
      <c r="I133">
        <v>0</v>
      </c>
      <c r="J133">
        <v>0</v>
      </c>
      <c r="K133">
        <v>0</v>
      </c>
      <c r="L133">
        <v>0</v>
      </c>
      <c r="M133" s="7">
        <v>7.5</v>
      </c>
      <c r="N133" s="7">
        <v>26.1</v>
      </c>
    </row>
    <row r="134" spans="1:14" ht="19.95" customHeight="1">
      <c r="A134" s="6">
        <v>45059</v>
      </c>
      <c r="B134" t="s">
        <v>67</v>
      </c>
      <c r="C134">
        <v>5</v>
      </c>
      <c r="D134">
        <v>5</v>
      </c>
      <c r="E134">
        <v>133</v>
      </c>
      <c r="F134">
        <v>1</v>
      </c>
      <c r="G134">
        <v>0</v>
      </c>
      <c r="I134">
        <v>0</v>
      </c>
      <c r="J134">
        <v>0</v>
      </c>
      <c r="K134">
        <v>0</v>
      </c>
      <c r="L134">
        <v>0</v>
      </c>
      <c r="M134" s="7">
        <v>15.4</v>
      </c>
      <c r="N134" s="7">
        <v>27.8</v>
      </c>
    </row>
    <row r="135" spans="1:14" ht="19.95" customHeight="1">
      <c r="A135" s="6">
        <v>45060</v>
      </c>
      <c r="B135" t="s">
        <v>60</v>
      </c>
      <c r="C135">
        <v>6</v>
      </c>
      <c r="D135">
        <v>5</v>
      </c>
      <c r="E135">
        <v>134</v>
      </c>
      <c r="F135">
        <v>1</v>
      </c>
      <c r="G135">
        <v>0</v>
      </c>
      <c r="I135">
        <v>0</v>
      </c>
      <c r="J135">
        <v>0</v>
      </c>
      <c r="K135">
        <v>0</v>
      </c>
      <c r="L135">
        <v>0</v>
      </c>
      <c r="M135" s="7">
        <v>18.399999999999999</v>
      </c>
      <c r="N135" s="7">
        <v>27.7</v>
      </c>
    </row>
    <row r="136" spans="1:14" ht="19.95" customHeight="1">
      <c r="A136" s="6">
        <v>45061</v>
      </c>
      <c r="B136" t="s">
        <v>62</v>
      </c>
      <c r="C136">
        <v>0</v>
      </c>
      <c r="D136">
        <v>5</v>
      </c>
      <c r="E136">
        <v>135</v>
      </c>
      <c r="F136">
        <v>0</v>
      </c>
      <c r="G136">
        <v>0</v>
      </c>
      <c r="I136">
        <v>0</v>
      </c>
      <c r="J136">
        <v>0</v>
      </c>
      <c r="K136">
        <v>0</v>
      </c>
      <c r="L136">
        <v>0</v>
      </c>
      <c r="M136" s="7">
        <v>9.3000000000000007</v>
      </c>
      <c r="N136" s="7">
        <v>27.8</v>
      </c>
    </row>
    <row r="137" spans="1:14" ht="19.95" customHeight="1">
      <c r="A137" s="6">
        <v>45062</v>
      </c>
      <c r="B137" t="s">
        <v>63</v>
      </c>
      <c r="C137">
        <v>1</v>
      </c>
      <c r="D137">
        <v>5</v>
      </c>
      <c r="E137">
        <v>136</v>
      </c>
      <c r="F137">
        <v>0</v>
      </c>
      <c r="G137">
        <v>0</v>
      </c>
      <c r="I137">
        <v>0</v>
      </c>
      <c r="J137">
        <v>0</v>
      </c>
      <c r="K137">
        <v>0</v>
      </c>
      <c r="L137">
        <v>0</v>
      </c>
      <c r="M137" s="7">
        <v>7.3</v>
      </c>
      <c r="N137" s="7">
        <v>27.2</v>
      </c>
    </row>
    <row r="138" spans="1:14" ht="19.95" customHeight="1">
      <c r="A138" s="6">
        <v>45063</v>
      </c>
      <c r="B138" t="s">
        <v>64</v>
      </c>
      <c r="C138">
        <v>2</v>
      </c>
      <c r="D138">
        <v>5</v>
      </c>
      <c r="E138">
        <v>137</v>
      </c>
      <c r="F138">
        <v>0</v>
      </c>
      <c r="G138">
        <v>0</v>
      </c>
      <c r="I138">
        <v>0</v>
      </c>
      <c r="J138">
        <v>0</v>
      </c>
      <c r="K138">
        <v>0</v>
      </c>
      <c r="L138">
        <v>0</v>
      </c>
      <c r="M138" s="7">
        <v>17.8</v>
      </c>
      <c r="N138" s="7">
        <v>28.3</v>
      </c>
    </row>
    <row r="139" spans="1:14" ht="19.95" customHeight="1">
      <c r="A139" s="6">
        <v>45064</v>
      </c>
      <c r="B139" t="s">
        <v>65</v>
      </c>
      <c r="C139">
        <v>3</v>
      </c>
      <c r="D139">
        <v>5</v>
      </c>
      <c r="E139">
        <v>138</v>
      </c>
      <c r="F139">
        <v>0</v>
      </c>
      <c r="G139">
        <v>0</v>
      </c>
      <c r="I139">
        <v>0</v>
      </c>
      <c r="J139">
        <v>0</v>
      </c>
      <c r="K139">
        <v>0</v>
      </c>
      <c r="L139">
        <v>0</v>
      </c>
      <c r="M139" s="7">
        <v>11.2</v>
      </c>
      <c r="N139" s="7">
        <v>28.4</v>
      </c>
    </row>
    <row r="140" spans="1:14" ht="19.95" customHeight="1">
      <c r="A140" s="6">
        <v>45065</v>
      </c>
      <c r="B140" t="s">
        <v>66</v>
      </c>
      <c r="C140">
        <v>4</v>
      </c>
      <c r="D140">
        <v>5</v>
      </c>
      <c r="E140">
        <v>139</v>
      </c>
      <c r="F140">
        <v>0</v>
      </c>
      <c r="G140">
        <v>0</v>
      </c>
      <c r="I140">
        <v>0</v>
      </c>
      <c r="J140">
        <v>0</v>
      </c>
      <c r="K140">
        <v>0</v>
      </c>
      <c r="L140">
        <v>0</v>
      </c>
      <c r="M140" s="7">
        <v>20.6</v>
      </c>
      <c r="N140" s="7">
        <v>28.2</v>
      </c>
    </row>
    <row r="141" spans="1:14" ht="19.95" customHeight="1">
      <c r="A141" s="6">
        <v>45066</v>
      </c>
      <c r="B141" t="s">
        <v>67</v>
      </c>
      <c r="C141">
        <v>5</v>
      </c>
      <c r="D141">
        <v>5</v>
      </c>
      <c r="E141">
        <v>140</v>
      </c>
      <c r="F141">
        <v>1</v>
      </c>
      <c r="G141">
        <v>0</v>
      </c>
      <c r="I141">
        <v>0</v>
      </c>
      <c r="J141">
        <v>0</v>
      </c>
      <c r="K141">
        <v>0</v>
      </c>
      <c r="L141">
        <v>0</v>
      </c>
      <c r="M141" s="7">
        <v>6</v>
      </c>
      <c r="N141" s="7">
        <v>28.1</v>
      </c>
    </row>
    <row r="142" spans="1:14" ht="19.95" customHeight="1">
      <c r="A142" s="6">
        <v>45067</v>
      </c>
      <c r="B142" t="s">
        <v>60</v>
      </c>
      <c r="C142">
        <v>6</v>
      </c>
      <c r="D142">
        <v>5</v>
      </c>
      <c r="E142">
        <v>141</v>
      </c>
      <c r="F142">
        <v>1</v>
      </c>
      <c r="G142">
        <v>0</v>
      </c>
      <c r="I142">
        <v>0</v>
      </c>
      <c r="J142">
        <v>0</v>
      </c>
      <c r="K142">
        <v>0</v>
      </c>
      <c r="L142">
        <v>0</v>
      </c>
      <c r="M142" s="7">
        <v>7</v>
      </c>
      <c r="N142" s="7">
        <v>27.4</v>
      </c>
    </row>
    <row r="143" spans="1:14" ht="19.95" customHeight="1">
      <c r="A143" s="6">
        <v>45068</v>
      </c>
      <c r="B143" t="s">
        <v>62</v>
      </c>
      <c r="C143">
        <v>0</v>
      </c>
      <c r="D143">
        <v>5</v>
      </c>
      <c r="E143">
        <v>142</v>
      </c>
      <c r="F143">
        <v>0</v>
      </c>
      <c r="G143">
        <v>0</v>
      </c>
      <c r="I143">
        <v>0</v>
      </c>
      <c r="J143">
        <v>0</v>
      </c>
      <c r="K143">
        <v>0</v>
      </c>
      <c r="L143">
        <v>0</v>
      </c>
      <c r="M143" s="7">
        <v>14.3</v>
      </c>
      <c r="N143" s="7">
        <v>25.8</v>
      </c>
    </row>
    <row r="144" spans="1:14" ht="19.95" customHeight="1">
      <c r="A144" s="6">
        <v>45069</v>
      </c>
      <c r="B144" t="s">
        <v>63</v>
      </c>
      <c r="C144">
        <v>1</v>
      </c>
      <c r="D144">
        <v>5</v>
      </c>
      <c r="E144">
        <v>143</v>
      </c>
      <c r="F144">
        <v>0</v>
      </c>
      <c r="G144">
        <v>0</v>
      </c>
      <c r="I144">
        <v>0</v>
      </c>
      <c r="J144">
        <v>0</v>
      </c>
      <c r="K144">
        <v>0</v>
      </c>
      <c r="L144">
        <v>0</v>
      </c>
      <c r="M144" s="7">
        <v>15.6</v>
      </c>
      <c r="N144" s="7">
        <v>27.9</v>
      </c>
    </row>
    <row r="145" spans="1:14" ht="19.95" customHeight="1">
      <c r="A145" s="6">
        <v>45070</v>
      </c>
      <c r="B145" t="s">
        <v>64</v>
      </c>
      <c r="C145">
        <v>2</v>
      </c>
      <c r="D145">
        <v>5</v>
      </c>
      <c r="E145">
        <v>144</v>
      </c>
      <c r="F145">
        <v>0</v>
      </c>
      <c r="G145">
        <v>0</v>
      </c>
      <c r="I145">
        <v>0</v>
      </c>
      <c r="J145">
        <v>0</v>
      </c>
      <c r="K145">
        <v>0</v>
      </c>
      <c r="L145">
        <v>0</v>
      </c>
      <c r="M145" s="7">
        <v>9.1</v>
      </c>
      <c r="N145" s="7">
        <v>26.9</v>
      </c>
    </row>
    <row r="146" spans="1:14" ht="19.95" customHeight="1">
      <c r="A146" s="6">
        <v>45071</v>
      </c>
      <c r="B146" t="s">
        <v>65</v>
      </c>
      <c r="C146">
        <v>3</v>
      </c>
      <c r="D146">
        <v>5</v>
      </c>
      <c r="E146">
        <v>145</v>
      </c>
      <c r="F146">
        <v>0</v>
      </c>
      <c r="G146">
        <v>0</v>
      </c>
      <c r="I146">
        <v>0</v>
      </c>
      <c r="J146">
        <v>0</v>
      </c>
      <c r="K146">
        <v>0</v>
      </c>
      <c r="L146">
        <v>0</v>
      </c>
      <c r="M146" s="7">
        <v>5.3</v>
      </c>
      <c r="N146" s="7">
        <v>27.9</v>
      </c>
    </row>
    <row r="147" spans="1:14" ht="19.95" customHeight="1">
      <c r="A147" s="6">
        <v>45072</v>
      </c>
      <c r="B147" t="s">
        <v>66</v>
      </c>
      <c r="C147">
        <v>4</v>
      </c>
      <c r="D147">
        <v>5</v>
      </c>
      <c r="E147">
        <v>146</v>
      </c>
      <c r="F147">
        <v>0</v>
      </c>
      <c r="G147">
        <v>0</v>
      </c>
      <c r="I147">
        <v>0</v>
      </c>
      <c r="J147">
        <v>0</v>
      </c>
      <c r="K147">
        <v>0</v>
      </c>
      <c r="L147">
        <v>0</v>
      </c>
      <c r="M147" s="7">
        <v>8.1999999999999993</v>
      </c>
      <c r="N147" s="7">
        <v>26.8</v>
      </c>
    </row>
    <row r="148" spans="1:14" ht="19.95" customHeight="1">
      <c r="A148" s="6">
        <v>45073</v>
      </c>
      <c r="B148" t="s">
        <v>67</v>
      </c>
      <c r="C148">
        <v>5</v>
      </c>
      <c r="D148">
        <v>5</v>
      </c>
      <c r="E148">
        <v>147</v>
      </c>
      <c r="F148">
        <v>1</v>
      </c>
      <c r="G148">
        <v>0</v>
      </c>
      <c r="I148">
        <v>0</v>
      </c>
      <c r="J148">
        <v>0</v>
      </c>
      <c r="K148">
        <v>0</v>
      </c>
      <c r="L148">
        <v>0</v>
      </c>
      <c r="M148" s="7">
        <v>24.4</v>
      </c>
      <c r="N148" s="7">
        <v>25.1</v>
      </c>
    </row>
    <row r="149" spans="1:14" ht="19.95" customHeight="1">
      <c r="A149" s="6">
        <v>45074</v>
      </c>
      <c r="B149" t="s">
        <v>60</v>
      </c>
      <c r="C149">
        <v>6</v>
      </c>
      <c r="D149">
        <v>5</v>
      </c>
      <c r="E149">
        <v>148</v>
      </c>
      <c r="F149">
        <v>1</v>
      </c>
      <c r="G149">
        <v>0</v>
      </c>
      <c r="I149">
        <v>0</v>
      </c>
      <c r="J149">
        <v>0</v>
      </c>
      <c r="K149">
        <v>0</v>
      </c>
      <c r="L149">
        <v>0</v>
      </c>
      <c r="M149" s="7">
        <v>23.4</v>
      </c>
      <c r="N149" s="7">
        <v>26.9</v>
      </c>
    </row>
    <row r="150" spans="1:14" ht="19.95" customHeight="1">
      <c r="A150" s="6">
        <v>45075</v>
      </c>
      <c r="B150" t="s">
        <v>62</v>
      </c>
      <c r="C150">
        <v>0</v>
      </c>
      <c r="D150">
        <v>5</v>
      </c>
      <c r="E150">
        <v>149</v>
      </c>
      <c r="F150">
        <v>0</v>
      </c>
      <c r="G150">
        <v>0</v>
      </c>
      <c r="I150">
        <v>0</v>
      </c>
      <c r="J150">
        <v>0</v>
      </c>
      <c r="K150">
        <v>0</v>
      </c>
      <c r="L150">
        <v>0</v>
      </c>
      <c r="M150" s="7">
        <v>0</v>
      </c>
      <c r="N150" s="7">
        <v>27.4</v>
      </c>
    </row>
    <row r="151" spans="1:14" ht="19.95" customHeight="1">
      <c r="A151" s="6">
        <v>45076</v>
      </c>
      <c r="B151" t="s">
        <v>63</v>
      </c>
      <c r="C151">
        <v>1</v>
      </c>
      <c r="D151">
        <v>5</v>
      </c>
      <c r="E151">
        <v>150</v>
      </c>
      <c r="F151">
        <v>0</v>
      </c>
      <c r="G151">
        <v>0</v>
      </c>
      <c r="I151">
        <v>0</v>
      </c>
      <c r="J151">
        <v>0</v>
      </c>
      <c r="K151">
        <v>0</v>
      </c>
      <c r="L151">
        <v>0</v>
      </c>
      <c r="M151" s="7">
        <v>20.9</v>
      </c>
      <c r="N151" s="7">
        <v>26.8</v>
      </c>
    </row>
    <row r="152" spans="1:14" ht="19.95" customHeight="1">
      <c r="A152" s="6">
        <v>45077</v>
      </c>
      <c r="B152" t="s">
        <v>64</v>
      </c>
      <c r="C152">
        <v>2</v>
      </c>
      <c r="D152">
        <v>5</v>
      </c>
      <c r="E152">
        <v>151</v>
      </c>
      <c r="F152">
        <v>0</v>
      </c>
      <c r="G152">
        <v>0</v>
      </c>
      <c r="I152">
        <v>0</v>
      </c>
      <c r="J152">
        <v>0</v>
      </c>
      <c r="K152">
        <v>0</v>
      </c>
      <c r="L152">
        <v>0</v>
      </c>
      <c r="M152" s="7">
        <v>4.8</v>
      </c>
      <c r="N152" s="7">
        <v>28.5</v>
      </c>
    </row>
    <row r="153" spans="1:14" ht="19.95" customHeight="1">
      <c r="A153" s="6">
        <v>45078</v>
      </c>
      <c r="B153" t="s">
        <v>65</v>
      </c>
      <c r="C153">
        <v>3</v>
      </c>
      <c r="D153">
        <v>6</v>
      </c>
      <c r="E153">
        <v>152</v>
      </c>
      <c r="F153">
        <v>0</v>
      </c>
      <c r="G153">
        <v>0</v>
      </c>
      <c r="I153">
        <v>0</v>
      </c>
      <c r="J153">
        <v>0</v>
      </c>
      <c r="K153">
        <v>0</v>
      </c>
      <c r="L153">
        <v>0</v>
      </c>
      <c r="M153" s="7">
        <v>4.0999999999999996</v>
      </c>
      <c r="N153" s="7">
        <v>28.9</v>
      </c>
    </row>
    <row r="154" spans="1:14" ht="19.95" customHeight="1">
      <c r="A154" s="6">
        <v>45079</v>
      </c>
      <c r="B154" t="s">
        <v>66</v>
      </c>
      <c r="C154">
        <v>4</v>
      </c>
      <c r="D154">
        <v>6</v>
      </c>
      <c r="E154">
        <v>153</v>
      </c>
      <c r="F154">
        <v>0</v>
      </c>
      <c r="G154">
        <v>0</v>
      </c>
      <c r="I154">
        <v>0</v>
      </c>
      <c r="J154">
        <v>0</v>
      </c>
      <c r="K154">
        <v>0</v>
      </c>
      <c r="L154">
        <v>0</v>
      </c>
      <c r="M154" s="7">
        <v>9.4</v>
      </c>
      <c r="N154" s="7">
        <v>26.5</v>
      </c>
    </row>
    <row r="155" spans="1:14" ht="19.95" customHeight="1">
      <c r="A155" s="6">
        <v>45080</v>
      </c>
      <c r="B155" t="s">
        <v>67</v>
      </c>
      <c r="C155">
        <v>5</v>
      </c>
      <c r="D155">
        <v>6</v>
      </c>
      <c r="E155">
        <v>154</v>
      </c>
      <c r="F155">
        <v>1</v>
      </c>
      <c r="G155">
        <v>0</v>
      </c>
      <c r="I155">
        <v>0</v>
      </c>
      <c r="J155">
        <v>0</v>
      </c>
      <c r="K155">
        <v>0</v>
      </c>
      <c r="L155">
        <v>0</v>
      </c>
      <c r="M155" s="7">
        <v>1.7</v>
      </c>
      <c r="N155" s="7">
        <v>27.6</v>
      </c>
    </row>
    <row r="156" spans="1:14" ht="19.95" customHeight="1">
      <c r="A156" s="6">
        <v>45081</v>
      </c>
      <c r="B156" t="s">
        <v>60</v>
      </c>
      <c r="C156">
        <v>6</v>
      </c>
      <c r="D156">
        <v>6</v>
      </c>
      <c r="E156">
        <v>155</v>
      </c>
      <c r="F156">
        <v>1</v>
      </c>
      <c r="G156">
        <v>0</v>
      </c>
      <c r="I156">
        <v>0</v>
      </c>
      <c r="J156">
        <v>0</v>
      </c>
      <c r="K156">
        <v>0</v>
      </c>
      <c r="L156">
        <v>0</v>
      </c>
      <c r="M156" s="7">
        <v>0</v>
      </c>
      <c r="N156" s="7">
        <v>26.6</v>
      </c>
    </row>
    <row r="157" spans="1:14" ht="19.95" customHeight="1">
      <c r="A157" s="6">
        <v>45082</v>
      </c>
      <c r="B157" t="s">
        <v>62</v>
      </c>
      <c r="C157">
        <v>0</v>
      </c>
      <c r="D157">
        <v>6</v>
      </c>
      <c r="E157">
        <v>156</v>
      </c>
      <c r="F157">
        <v>0</v>
      </c>
      <c r="G157">
        <v>0</v>
      </c>
      <c r="I157">
        <v>0</v>
      </c>
      <c r="J157">
        <v>0</v>
      </c>
      <c r="K157">
        <v>0</v>
      </c>
      <c r="L157">
        <v>0</v>
      </c>
      <c r="M157" s="7">
        <v>12.1</v>
      </c>
      <c r="N157" s="7">
        <v>27.7</v>
      </c>
    </row>
    <row r="158" spans="1:14" ht="19.95" customHeight="1">
      <c r="A158" s="6">
        <v>45083</v>
      </c>
      <c r="B158" t="s">
        <v>63</v>
      </c>
      <c r="C158">
        <v>1</v>
      </c>
      <c r="D158">
        <v>6</v>
      </c>
      <c r="E158">
        <v>157</v>
      </c>
      <c r="F158">
        <v>0</v>
      </c>
      <c r="G158">
        <v>0</v>
      </c>
      <c r="I158">
        <v>0</v>
      </c>
      <c r="J158">
        <v>0</v>
      </c>
      <c r="K158">
        <v>0</v>
      </c>
      <c r="L158">
        <v>0</v>
      </c>
      <c r="M158" s="7">
        <v>6.2</v>
      </c>
      <c r="N158" s="7">
        <v>26.7</v>
      </c>
    </row>
    <row r="159" spans="1:14" ht="19.95" customHeight="1">
      <c r="A159" s="6">
        <v>45084</v>
      </c>
      <c r="B159" t="s">
        <v>64</v>
      </c>
      <c r="C159">
        <v>2</v>
      </c>
      <c r="D159">
        <v>6</v>
      </c>
      <c r="E159">
        <v>158</v>
      </c>
      <c r="F159">
        <v>0</v>
      </c>
      <c r="G159">
        <v>0</v>
      </c>
      <c r="I159">
        <v>0</v>
      </c>
      <c r="J159">
        <v>0</v>
      </c>
      <c r="K159">
        <v>0</v>
      </c>
      <c r="L159">
        <v>0</v>
      </c>
      <c r="M159" s="7">
        <v>18.399999999999999</v>
      </c>
      <c r="N159" s="7">
        <v>27.6</v>
      </c>
    </row>
    <row r="160" spans="1:14" ht="19.95" customHeight="1">
      <c r="A160" s="6">
        <v>45085</v>
      </c>
      <c r="B160" t="s">
        <v>65</v>
      </c>
      <c r="C160">
        <v>3</v>
      </c>
      <c r="D160">
        <v>6</v>
      </c>
      <c r="E160">
        <v>159</v>
      </c>
      <c r="F160">
        <v>0</v>
      </c>
      <c r="G160">
        <v>0</v>
      </c>
      <c r="I160">
        <v>0</v>
      </c>
      <c r="J160">
        <v>0</v>
      </c>
      <c r="K160">
        <v>0</v>
      </c>
      <c r="L160">
        <v>0</v>
      </c>
      <c r="M160" s="7">
        <v>8.6</v>
      </c>
      <c r="N160" s="7">
        <v>27.2</v>
      </c>
    </row>
    <row r="161" spans="1:14" ht="19.95" customHeight="1">
      <c r="A161" s="6">
        <v>45086</v>
      </c>
      <c r="B161" t="s">
        <v>66</v>
      </c>
      <c r="C161">
        <v>4</v>
      </c>
      <c r="D161">
        <v>6</v>
      </c>
      <c r="E161">
        <v>160</v>
      </c>
      <c r="F161">
        <v>0</v>
      </c>
      <c r="G161">
        <v>0</v>
      </c>
      <c r="I161">
        <v>0</v>
      </c>
      <c r="J161">
        <v>0</v>
      </c>
      <c r="K161">
        <v>0</v>
      </c>
      <c r="L161">
        <v>0</v>
      </c>
      <c r="M161" s="7">
        <v>2.4</v>
      </c>
      <c r="N161" s="7">
        <v>29</v>
      </c>
    </row>
    <row r="162" spans="1:14" ht="19.95" customHeight="1">
      <c r="A162" s="6">
        <v>45087</v>
      </c>
      <c r="B162" t="s">
        <v>67</v>
      </c>
      <c r="C162">
        <v>5</v>
      </c>
      <c r="D162">
        <v>6</v>
      </c>
      <c r="E162">
        <v>161</v>
      </c>
      <c r="F162">
        <v>1</v>
      </c>
      <c r="G162">
        <v>0</v>
      </c>
      <c r="I162">
        <v>0</v>
      </c>
      <c r="J162">
        <v>0</v>
      </c>
      <c r="K162">
        <v>0</v>
      </c>
      <c r="L162">
        <v>0</v>
      </c>
      <c r="M162" s="7">
        <v>9.6</v>
      </c>
      <c r="N162" s="7">
        <v>26.7</v>
      </c>
    </row>
    <row r="163" spans="1:14" ht="19.95" customHeight="1">
      <c r="A163" s="6">
        <v>45088</v>
      </c>
      <c r="B163" t="s">
        <v>60</v>
      </c>
      <c r="C163">
        <v>6</v>
      </c>
      <c r="D163">
        <v>6</v>
      </c>
      <c r="E163">
        <v>162</v>
      </c>
      <c r="F163">
        <v>1</v>
      </c>
      <c r="G163">
        <v>0</v>
      </c>
      <c r="I163">
        <v>0</v>
      </c>
      <c r="J163">
        <v>0</v>
      </c>
      <c r="K163">
        <v>0</v>
      </c>
      <c r="L163">
        <v>0</v>
      </c>
      <c r="M163" s="7">
        <v>3.7</v>
      </c>
      <c r="N163" s="7">
        <v>27.7</v>
      </c>
    </row>
    <row r="164" spans="1:14" ht="19.95" customHeight="1">
      <c r="A164" s="6">
        <v>45089</v>
      </c>
      <c r="B164" t="s">
        <v>62</v>
      </c>
      <c r="C164">
        <v>0</v>
      </c>
      <c r="D164">
        <v>6</v>
      </c>
      <c r="E164">
        <v>163</v>
      </c>
      <c r="F164">
        <v>0</v>
      </c>
      <c r="G164">
        <v>0</v>
      </c>
      <c r="I164">
        <v>0</v>
      </c>
      <c r="J164">
        <v>0</v>
      </c>
      <c r="K164">
        <v>0</v>
      </c>
      <c r="L164">
        <v>0</v>
      </c>
      <c r="M164" s="7">
        <v>4.7</v>
      </c>
      <c r="N164" s="7">
        <v>27.1</v>
      </c>
    </row>
    <row r="165" spans="1:14" ht="19.95" customHeight="1">
      <c r="A165" s="6">
        <v>45090</v>
      </c>
      <c r="B165" t="s">
        <v>63</v>
      </c>
      <c r="C165">
        <v>1</v>
      </c>
      <c r="D165">
        <v>6</v>
      </c>
      <c r="E165">
        <v>164</v>
      </c>
      <c r="F165">
        <v>0</v>
      </c>
      <c r="G165">
        <v>0</v>
      </c>
      <c r="I165">
        <v>0</v>
      </c>
      <c r="J165">
        <v>0</v>
      </c>
      <c r="K165">
        <v>0</v>
      </c>
      <c r="L165">
        <v>0</v>
      </c>
      <c r="M165" s="7">
        <v>9</v>
      </c>
      <c r="N165" s="7">
        <v>28</v>
      </c>
    </row>
    <row r="166" spans="1:14" ht="19.95" customHeight="1">
      <c r="A166" s="6">
        <v>45091</v>
      </c>
      <c r="B166" t="s">
        <v>64</v>
      </c>
      <c r="C166">
        <v>2</v>
      </c>
      <c r="D166">
        <v>6</v>
      </c>
      <c r="E166">
        <v>165</v>
      </c>
      <c r="F166">
        <v>0</v>
      </c>
      <c r="G166">
        <v>0</v>
      </c>
      <c r="I166">
        <v>0</v>
      </c>
      <c r="J166">
        <v>0</v>
      </c>
      <c r="K166">
        <v>0</v>
      </c>
      <c r="L166">
        <v>0</v>
      </c>
      <c r="M166" s="7">
        <v>1.6</v>
      </c>
      <c r="N166" s="7">
        <v>28.5</v>
      </c>
    </row>
    <row r="167" spans="1:14" ht="19.95" customHeight="1">
      <c r="A167" s="6">
        <v>45092</v>
      </c>
      <c r="B167" t="s">
        <v>65</v>
      </c>
      <c r="C167">
        <v>3</v>
      </c>
      <c r="D167">
        <v>6</v>
      </c>
      <c r="E167">
        <v>166</v>
      </c>
      <c r="F167">
        <v>0</v>
      </c>
      <c r="G167">
        <v>0</v>
      </c>
      <c r="I167">
        <v>0</v>
      </c>
      <c r="J167">
        <v>0</v>
      </c>
      <c r="K167">
        <v>0</v>
      </c>
      <c r="L167">
        <v>0</v>
      </c>
      <c r="M167" s="7">
        <v>0</v>
      </c>
      <c r="N167" s="7">
        <v>25.9</v>
      </c>
    </row>
    <row r="168" spans="1:14" ht="19.95" customHeight="1">
      <c r="A168" s="6">
        <v>45093</v>
      </c>
      <c r="B168" t="s">
        <v>66</v>
      </c>
      <c r="C168">
        <v>4</v>
      </c>
      <c r="D168">
        <v>6</v>
      </c>
      <c r="E168">
        <v>167</v>
      </c>
      <c r="F168">
        <v>0</v>
      </c>
      <c r="G168">
        <v>0</v>
      </c>
      <c r="I168">
        <v>0</v>
      </c>
      <c r="J168">
        <v>0</v>
      </c>
      <c r="K168">
        <v>0</v>
      </c>
      <c r="L168">
        <v>0</v>
      </c>
      <c r="M168" s="7">
        <v>17.600000000000001</v>
      </c>
      <c r="N168" s="7">
        <v>27</v>
      </c>
    </row>
    <row r="169" spans="1:14" ht="19.95" customHeight="1">
      <c r="A169" s="6">
        <v>45094</v>
      </c>
      <c r="B169" t="s">
        <v>67</v>
      </c>
      <c r="C169">
        <v>5</v>
      </c>
      <c r="D169">
        <v>6</v>
      </c>
      <c r="E169">
        <v>168</v>
      </c>
      <c r="F169">
        <v>1</v>
      </c>
      <c r="G169">
        <v>0</v>
      </c>
      <c r="I169">
        <v>0</v>
      </c>
      <c r="J169">
        <v>0</v>
      </c>
      <c r="K169">
        <v>0</v>
      </c>
      <c r="L169">
        <v>0</v>
      </c>
      <c r="M169" s="7">
        <v>9.8000000000000007</v>
      </c>
      <c r="N169" s="7">
        <v>27.8</v>
      </c>
    </row>
    <row r="170" spans="1:14" ht="19.95" customHeight="1">
      <c r="A170" s="6">
        <v>45095</v>
      </c>
      <c r="B170" t="s">
        <v>60</v>
      </c>
      <c r="C170">
        <v>6</v>
      </c>
      <c r="D170">
        <v>6</v>
      </c>
      <c r="E170">
        <v>169</v>
      </c>
      <c r="F170">
        <v>1</v>
      </c>
      <c r="G170">
        <v>0</v>
      </c>
      <c r="I170">
        <v>0</v>
      </c>
      <c r="J170">
        <v>0</v>
      </c>
      <c r="K170">
        <v>0</v>
      </c>
      <c r="L170">
        <v>0</v>
      </c>
      <c r="M170" s="7">
        <v>15</v>
      </c>
      <c r="N170" s="7">
        <v>27.5</v>
      </c>
    </row>
    <row r="171" spans="1:14" ht="19.95" customHeight="1">
      <c r="A171" s="6">
        <v>45096</v>
      </c>
      <c r="B171" t="s">
        <v>62</v>
      </c>
      <c r="C171">
        <v>0</v>
      </c>
      <c r="D171">
        <v>6</v>
      </c>
      <c r="E171">
        <v>170</v>
      </c>
      <c r="F171">
        <v>0</v>
      </c>
      <c r="G171">
        <v>0</v>
      </c>
      <c r="I171">
        <v>0</v>
      </c>
      <c r="J171">
        <v>0</v>
      </c>
      <c r="K171">
        <v>0</v>
      </c>
      <c r="L171">
        <v>0</v>
      </c>
      <c r="M171" s="7">
        <v>29.5</v>
      </c>
      <c r="N171" s="7">
        <v>26.7</v>
      </c>
    </row>
    <row r="172" spans="1:14" ht="19.95" customHeight="1">
      <c r="A172" s="6">
        <v>45097</v>
      </c>
      <c r="B172" t="s">
        <v>63</v>
      </c>
      <c r="C172">
        <v>1</v>
      </c>
      <c r="D172">
        <v>6</v>
      </c>
      <c r="E172">
        <v>171</v>
      </c>
      <c r="F172">
        <v>0</v>
      </c>
      <c r="G172">
        <v>0</v>
      </c>
      <c r="I172">
        <v>0</v>
      </c>
      <c r="J172">
        <v>0</v>
      </c>
      <c r="K172">
        <v>0</v>
      </c>
      <c r="L172">
        <v>0</v>
      </c>
      <c r="M172" s="7">
        <v>13.8</v>
      </c>
      <c r="N172" s="7">
        <v>28.8</v>
      </c>
    </row>
    <row r="173" spans="1:14" ht="19.95" customHeight="1">
      <c r="A173" s="6">
        <v>45098</v>
      </c>
      <c r="B173" t="s">
        <v>64</v>
      </c>
      <c r="C173">
        <v>2</v>
      </c>
      <c r="D173">
        <v>6</v>
      </c>
      <c r="E173">
        <v>172</v>
      </c>
      <c r="F173">
        <v>0</v>
      </c>
      <c r="G173">
        <v>0</v>
      </c>
      <c r="I173">
        <v>0</v>
      </c>
      <c r="J173">
        <v>0</v>
      </c>
      <c r="K173">
        <v>0</v>
      </c>
      <c r="L173">
        <v>0</v>
      </c>
      <c r="M173" s="7">
        <v>4.5999999999999996</v>
      </c>
      <c r="N173" s="7">
        <v>28.1</v>
      </c>
    </row>
    <row r="174" spans="1:14" ht="19.95" customHeight="1">
      <c r="A174" s="6">
        <v>45099</v>
      </c>
      <c r="B174" t="s">
        <v>65</v>
      </c>
      <c r="C174">
        <v>3</v>
      </c>
      <c r="D174">
        <v>6</v>
      </c>
      <c r="E174">
        <v>173</v>
      </c>
      <c r="F174">
        <v>0</v>
      </c>
      <c r="G174">
        <v>0</v>
      </c>
      <c r="I174">
        <v>0</v>
      </c>
      <c r="J174">
        <v>0</v>
      </c>
      <c r="K174">
        <v>0</v>
      </c>
      <c r="L174">
        <v>0</v>
      </c>
      <c r="M174" s="7">
        <v>13</v>
      </c>
      <c r="N174" s="7">
        <v>27.9</v>
      </c>
    </row>
    <row r="175" spans="1:14" ht="19.95" customHeight="1">
      <c r="A175" s="6">
        <v>45100</v>
      </c>
      <c r="B175" t="s">
        <v>66</v>
      </c>
      <c r="C175">
        <v>4</v>
      </c>
      <c r="D175">
        <v>6</v>
      </c>
      <c r="E175">
        <v>174</v>
      </c>
      <c r="F175">
        <v>0</v>
      </c>
      <c r="G175">
        <v>0</v>
      </c>
      <c r="I175">
        <v>0</v>
      </c>
      <c r="J175">
        <v>0</v>
      </c>
      <c r="K175">
        <v>0</v>
      </c>
      <c r="L175">
        <v>0</v>
      </c>
      <c r="M175" s="7">
        <v>0</v>
      </c>
      <c r="N175" s="7">
        <v>27.9</v>
      </c>
    </row>
    <row r="176" spans="1:14" ht="19.95" customHeight="1">
      <c r="A176" s="6">
        <v>45101</v>
      </c>
      <c r="B176" t="s">
        <v>67</v>
      </c>
      <c r="C176">
        <v>5</v>
      </c>
      <c r="D176">
        <v>6</v>
      </c>
      <c r="E176">
        <v>175</v>
      </c>
      <c r="F176">
        <v>1</v>
      </c>
      <c r="G176">
        <v>0</v>
      </c>
      <c r="I176">
        <v>0</v>
      </c>
      <c r="J176">
        <v>0</v>
      </c>
      <c r="K176">
        <v>0</v>
      </c>
      <c r="L176">
        <v>0</v>
      </c>
      <c r="M176" s="7">
        <v>0.2</v>
      </c>
      <c r="N176" s="7">
        <v>29.9</v>
      </c>
    </row>
    <row r="177" spans="1:14" ht="19.95" customHeight="1">
      <c r="A177" s="6">
        <v>45102</v>
      </c>
      <c r="B177" t="s">
        <v>60</v>
      </c>
      <c r="C177">
        <v>6</v>
      </c>
      <c r="D177">
        <v>6</v>
      </c>
      <c r="E177">
        <v>176</v>
      </c>
      <c r="F177">
        <v>1</v>
      </c>
      <c r="G177">
        <v>0</v>
      </c>
      <c r="I177">
        <v>0</v>
      </c>
      <c r="J177">
        <v>0</v>
      </c>
      <c r="K177">
        <v>0</v>
      </c>
      <c r="L177">
        <v>0</v>
      </c>
      <c r="M177" s="7">
        <v>5.4</v>
      </c>
      <c r="N177" s="7">
        <v>28.7</v>
      </c>
    </row>
    <row r="178" spans="1:14" ht="19.95" customHeight="1">
      <c r="A178" s="6">
        <v>45103</v>
      </c>
      <c r="B178" t="s">
        <v>62</v>
      </c>
      <c r="C178">
        <v>0</v>
      </c>
      <c r="D178">
        <v>6</v>
      </c>
      <c r="E178">
        <v>177</v>
      </c>
      <c r="F178">
        <v>0</v>
      </c>
      <c r="G178">
        <v>0</v>
      </c>
      <c r="I178">
        <v>0</v>
      </c>
      <c r="J178">
        <v>0</v>
      </c>
      <c r="K178">
        <v>0</v>
      </c>
      <c r="L178">
        <v>0</v>
      </c>
      <c r="M178" s="7">
        <v>0</v>
      </c>
      <c r="N178" s="7">
        <v>27.7</v>
      </c>
    </row>
    <row r="179" spans="1:14" ht="19.95" customHeight="1">
      <c r="A179" s="6">
        <v>45104</v>
      </c>
      <c r="B179" t="s">
        <v>63</v>
      </c>
      <c r="C179">
        <v>1</v>
      </c>
      <c r="D179">
        <v>6</v>
      </c>
      <c r="E179">
        <v>178</v>
      </c>
      <c r="F179">
        <v>0</v>
      </c>
      <c r="G179">
        <v>0</v>
      </c>
      <c r="I179">
        <v>0</v>
      </c>
      <c r="J179">
        <v>0</v>
      </c>
      <c r="K179">
        <v>0</v>
      </c>
      <c r="L179">
        <v>0</v>
      </c>
      <c r="M179" s="7">
        <v>9.6</v>
      </c>
      <c r="N179" s="7">
        <v>27.8</v>
      </c>
    </row>
    <row r="180" spans="1:14" ht="19.95" customHeight="1">
      <c r="A180" s="6">
        <v>45105</v>
      </c>
      <c r="B180" t="s">
        <v>64</v>
      </c>
      <c r="C180">
        <v>2</v>
      </c>
      <c r="D180">
        <v>6</v>
      </c>
      <c r="E180">
        <v>179</v>
      </c>
      <c r="F180">
        <v>0</v>
      </c>
      <c r="G180">
        <v>0</v>
      </c>
      <c r="I180">
        <v>0</v>
      </c>
      <c r="J180">
        <v>0</v>
      </c>
      <c r="K180">
        <v>0</v>
      </c>
      <c r="L180">
        <v>0</v>
      </c>
      <c r="M180" s="7">
        <v>12.6</v>
      </c>
      <c r="N180" s="7">
        <v>26.6</v>
      </c>
    </row>
    <row r="181" spans="1:14" ht="19.95" customHeight="1">
      <c r="A181" s="6">
        <v>45106</v>
      </c>
      <c r="B181" t="s">
        <v>65</v>
      </c>
      <c r="C181">
        <v>3</v>
      </c>
      <c r="D181">
        <v>6</v>
      </c>
      <c r="E181">
        <v>180</v>
      </c>
      <c r="F181">
        <v>0</v>
      </c>
      <c r="G181">
        <v>0</v>
      </c>
      <c r="I181">
        <v>0</v>
      </c>
      <c r="J181">
        <v>0</v>
      </c>
      <c r="K181">
        <v>0</v>
      </c>
      <c r="L181">
        <v>0</v>
      </c>
      <c r="M181" s="7">
        <v>12.2</v>
      </c>
      <c r="N181" s="7">
        <v>28.5</v>
      </c>
    </row>
    <row r="182" spans="1:14" ht="19.95" customHeight="1">
      <c r="A182" s="6">
        <v>45107</v>
      </c>
      <c r="B182" t="s">
        <v>66</v>
      </c>
      <c r="C182">
        <v>4</v>
      </c>
      <c r="D182">
        <v>6</v>
      </c>
      <c r="E182">
        <v>181</v>
      </c>
      <c r="F182">
        <v>0</v>
      </c>
      <c r="G182">
        <v>0</v>
      </c>
      <c r="I182">
        <v>0</v>
      </c>
      <c r="J182">
        <v>0</v>
      </c>
      <c r="K182">
        <v>0</v>
      </c>
      <c r="L182">
        <v>0</v>
      </c>
      <c r="M182" s="7">
        <v>16.399999999999999</v>
      </c>
      <c r="N182" s="7">
        <v>27.4</v>
      </c>
    </row>
    <row r="183" spans="1:14" ht="19.95" customHeight="1">
      <c r="A183" s="6">
        <v>45108</v>
      </c>
      <c r="B183" t="s">
        <v>67</v>
      </c>
      <c r="C183">
        <v>5</v>
      </c>
      <c r="D183">
        <v>7</v>
      </c>
      <c r="E183">
        <v>182</v>
      </c>
      <c r="F183">
        <v>1</v>
      </c>
      <c r="G183">
        <v>0</v>
      </c>
      <c r="I183">
        <v>1</v>
      </c>
      <c r="J183">
        <v>0</v>
      </c>
      <c r="K183">
        <v>0</v>
      </c>
      <c r="L183">
        <v>0</v>
      </c>
      <c r="M183" s="7">
        <v>0</v>
      </c>
      <c r="N183" s="7">
        <v>28.6</v>
      </c>
    </row>
    <row r="184" spans="1:14" ht="19.95" customHeight="1">
      <c r="A184" s="6">
        <v>45109</v>
      </c>
      <c r="B184" t="s">
        <v>60</v>
      </c>
      <c r="C184">
        <v>6</v>
      </c>
      <c r="D184">
        <v>7</v>
      </c>
      <c r="E184">
        <v>183</v>
      </c>
      <c r="F184">
        <v>1</v>
      </c>
      <c r="G184">
        <v>0</v>
      </c>
      <c r="I184">
        <v>1</v>
      </c>
      <c r="J184">
        <v>0</v>
      </c>
      <c r="K184">
        <v>0</v>
      </c>
      <c r="L184">
        <v>0</v>
      </c>
      <c r="M184" s="7">
        <v>7.1</v>
      </c>
      <c r="N184" s="7">
        <v>28</v>
      </c>
    </row>
    <row r="185" spans="1:14" ht="19.95" customHeight="1">
      <c r="A185" s="6">
        <v>45110</v>
      </c>
      <c r="B185" t="s">
        <v>62</v>
      </c>
      <c r="C185">
        <v>0</v>
      </c>
      <c r="D185">
        <v>7</v>
      </c>
      <c r="E185">
        <v>184</v>
      </c>
      <c r="F185">
        <v>0</v>
      </c>
      <c r="G185">
        <v>0</v>
      </c>
      <c r="I185">
        <v>1</v>
      </c>
      <c r="J185">
        <v>0</v>
      </c>
      <c r="K185">
        <v>0</v>
      </c>
      <c r="L185">
        <v>0</v>
      </c>
      <c r="M185" s="7">
        <v>5.9</v>
      </c>
      <c r="N185" s="7">
        <v>28.6</v>
      </c>
    </row>
    <row r="186" spans="1:14" ht="19.95" customHeight="1">
      <c r="A186" s="6">
        <v>45111</v>
      </c>
      <c r="B186" t="s">
        <v>63</v>
      </c>
      <c r="C186">
        <v>1</v>
      </c>
      <c r="D186">
        <v>7</v>
      </c>
      <c r="E186">
        <v>185</v>
      </c>
      <c r="F186">
        <v>0</v>
      </c>
      <c r="G186">
        <v>0</v>
      </c>
      <c r="I186">
        <v>1</v>
      </c>
      <c r="J186">
        <v>0</v>
      </c>
      <c r="K186">
        <v>0</v>
      </c>
      <c r="L186">
        <v>0</v>
      </c>
      <c r="M186" s="7">
        <v>8.9</v>
      </c>
      <c r="N186" s="7">
        <v>28.5</v>
      </c>
    </row>
    <row r="187" spans="1:14" ht="19.95" customHeight="1">
      <c r="A187" s="6">
        <v>45112</v>
      </c>
      <c r="B187" t="s">
        <v>64</v>
      </c>
      <c r="C187">
        <v>2</v>
      </c>
      <c r="D187">
        <v>7</v>
      </c>
      <c r="E187">
        <v>186</v>
      </c>
      <c r="F187">
        <v>0</v>
      </c>
      <c r="G187">
        <v>0</v>
      </c>
      <c r="I187">
        <v>1</v>
      </c>
      <c r="J187">
        <v>0</v>
      </c>
      <c r="K187">
        <v>0</v>
      </c>
      <c r="L187">
        <v>0</v>
      </c>
      <c r="M187" s="7">
        <v>13.2</v>
      </c>
      <c r="N187" s="7">
        <v>28.9</v>
      </c>
    </row>
    <row r="188" spans="1:14" ht="19.95" customHeight="1">
      <c r="A188" s="6">
        <v>45113</v>
      </c>
      <c r="B188" t="s">
        <v>65</v>
      </c>
      <c r="C188">
        <v>3</v>
      </c>
      <c r="D188">
        <v>7</v>
      </c>
      <c r="E188">
        <v>187</v>
      </c>
      <c r="F188">
        <v>0</v>
      </c>
      <c r="G188">
        <v>0</v>
      </c>
      <c r="I188">
        <v>1</v>
      </c>
      <c r="J188">
        <v>0</v>
      </c>
      <c r="K188">
        <v>0</v>
      </c>
      <c r="L188">
        <v>0</v>
      </c>
      <c r="M188" s="7">
        <v>6.7</v>
      </c>
      <c r="N188" s="7">
        <v>29.1</v>
      </c>
    </row>
    <row r="189" spans="1:14" ht="19.95" customHeight="1">
      <c r="A189" s="6">
        <v>45114</v>
      </c>
      <c r="B189" t="s">
        <v>66</v>
      </c>
      <c r="C189">
        <v>4</v>
      </c>
      <c r="D189">
        <v>7</v>
      </c>
      <c r="E189">
        <v>188</v>
      </c>
      <c r="F189">
        <v>0</v>
      </c>
      <c r="G189">
        <v>0</v>
      </c>
      <c r="I189">
        <v>1</v>
      </c>
      <c r="J189">
        <v>0</v>
      </c>
      <c r="K189">
        <v>0</v>
      </c>
      <c r="L189">
        <v>0</v>
      </c>
      <c r="M189" s="7">
        <v>3.1</v>
      </c>
      <c r="N189" s="7">
        <v>29.2</v>
      </c>
    </row>
    <row r="190" spans="1:14" ht="19.95" customHeight="1">
      <c r="A190" s="6">
        <v>45115</v>
      </c>
      <c r="B190" t="s">
        <v>67</v>
      </c>
      <c r="C190">
        <v>5</v>
      </c>
      <c r="D190">
        <v>7</v>
      </c>
      <c r="E190">
        <v>189</v>
      </c>
      <c r="F190">
        <v>1</v>
      </c>
      <c r="G190">
        <v>0</v>
      </c>
      <c r="I190">
        <v>1</v>
      </c>
      <c r="J190">
        <v>0</v>
      </c>
      <c r="K190">
        <v>0</v>
      </c>
      <c r="L190">
        <v>0</v>
      </c>
      <c r="M190" s="7">
        <v>8.6</v>
      </c>
      <c r="N190" s="7">
        <v>28.5</v>
      </c>
    </row>
    <row r="191" spans="1:14" ht="19.95" customHeight="1">
      <c r="A191" s="6">
        <v>45116</v>
      </c>
      <c r="B191" t="s">
        <v>60</v>
      </c>
      <c r="C191">
        <v>6</v>
      </c>
      <c r="D191">
        <v>7</v>
      </c>
      <c r="E191">
        <v>190</v>
      </c>
      <c r="F191">
        <v>1</v>
      </c>
      <c r="G191">
        <v>0</v>
      </c>
      <c r="I191">
        <v>1</v>
      </c>
      <c r="J191">
        <v>0</v>
      </c>
      <c r="K191">
        <v>0</v>
      </c>
      <c r="L191">
        <v>0</v>
      </c>
      <c r="M191" s="7">
        <v>0</v>
      </c>
      <c r="N191" s="7">
        <v>28.5</v>
      </c>
    </row>
    <row r="192" spans="1:14" ht="19.95" customHeight="1">
      <c r="A192" s="6">
        <v>45117</v>
      </c>
      <c r="B192" t="s">
        <v>62</v>
      </c>
      <c r="C192">
        <v>0</v>
      </c>
      <c r="D192">
        <v>7</v>
      </c>
      <c r="E192">
        <v>191</v>
      </c>
      <c r="F192">
        <v>0</v>
      </c>
      <c r="G192">
        <v>0</v>
      </c>
      <c r="I192">
        <v>1</v>
      </c>
      <c r="J192">
        <v>0</v>
      </c>
      <c r="K192">
        <v>0</v>
      </c>
      <c r="L192">
        <v>0</v>
      </c>
      <c r="M192" s="7">
        <v>10.8</v>
      </c>
      <c r="N192" s="7">
        <v>29</v>
      </c>
    </row>
    <row r="193" spans="1:14" ht="19.95" customHeight="1">
      <c r="A193" s="6">
        <v>45118</v>
      </c>
      <c r="B193" t="s">
        <v>63</v>
      </c>
      <c r="C193">
        <v>1</v>
      </c>
      <c r="D193">
        <v>7</v>
      </c>
      <c r="E193">
        <v>192</v>
      </c>
      <c r="F193">
        <v>0</v>
      </c>
      <c r="G193">
        <v>0</v>
      </c>
      <c r="I193">
        <v>1</v>
      </c>
      <c r="J193">
        <v>0</v>
      </c>
      <c r="K193">
        <v>0</v>
      </c>
      <c r="L193">
        <v>0</v>
      </c>
      <c r="M193" s="7">
        <v>5.2</v>
      </c>
      <c r="N193" s="7">
        <v>28.9</v>
      </c>
    </row>
    <row r="194" spans="1:14" ht="19.95" customHeight="1">
      <c r="A194" s="6">
        <v>45119</v>
      </c>
      <c r="B194" t="s">
        <v>64</v>
      </c>
      <c r="C194">
        <v>2</v>
      </c>
      <c r="D194">
        <v>7</v>
      </c>
      <c r="E194">
        <v>193</v>
      </c>
      <c r="F194">
        <v>0</v>
      </c>
      <c r="G194">
        <v>0</v>
      </c>
      <c r="I194">
        <v>1</v>
      </c>
      <c r="J194">
        <v>0</v>
      </c>
      <c r="K194">
        <v>0</v>
      </c>
      <c r="L194">
        <v>0</v>
      </c>
      <c r="M194" s="7">
        <v>6.1</v>
      </c>
      <c r="N194" s="7">
        <v>29.2</v>
      </c>
    </row>
    <row r="195" spans="1:14" ht="19.95" customHeight="1">
      <c r="A195" s="6">
        <v>45120</v>
      </c>
      <c r="B195" t="s">
        <v>65</v>
      </c>
      <c r="C195">
        <v>3</v>
      </c>
      <c r="D195">
        <v>7</v>
      </c>
      <c r="E195">
        <v>194</v>
      </c>
      <c r="F195">
        <v>0</v>
      </c>
      <c r="G195">
        <v>0</v>
      </c>
      <c r="I195">
        <v>1</v>
      </c>
      <c r="J195">
        <v>0</v>
      </c>
      <c r="K195">
        <v>0</v>
      </c>
      <c r="L195">
        <v>0</v>
      </c>
      <c r="M195" s="7">
        <v>12.4</v>
      </c>
      <c r="N195" s="7">
        <v>28.7</v>
      </c>
    </row>
    <row r="196" spans="1:14" ht="19.95" customHeight="1">
      <c r="A196" s="6">
        <v>45121</v>
      </c>
      <c r="B196" t="s">
        <v>66</v>
      </c>
      <c r="C196">
        <v>4</v>
      </c>
      <c r="D196">
        <v>7</v>
      </c>
      <c r="E196">
        <v>195</v>
      </c>
      <c r="F196">
        <v>0</v>
      </c>
      <c r="G196">
        <v>0</v>
      </c>
      <c r="I196">
        <v>1</v>
      </c>
      <c r="J196">
        <v>0</v>
      </c>
      <c r="K196">
        <v>0</v>
      </c>
      <c r="L196">
        <v>0</v>
      </c>
      <c r="M196" s="7">
        <v>4.7</v>
      </c>
      <c r="N196" s="7">
        <v>26.2</v>
      </c>
    </row>
    <row r="197" spans="1:14" ht="19.95" customHeight="1">
      <c r="A197" s="6">
        <v>45122</v>
      </c>
      <c r="B197" t="s">
        <v>67</v>
      </c>
      <c r="C197">
        <v>5</v>
      </c>
      <c r="D197">
        <v>7</v>
      </c>
      <c r="E197">
        <v>196</v>
      </c>
      <c r="F197">
        <v>1</v>
      </c>
      <c r="G197">
        <v>0</v>
      </c>
      <c r="I197">
        <v>1</v>
      </c>
      <c r="J197">
        <v>0</v>
      </c>
      <c r="K197">
        <v>0</v>
      </c>
      <c r="L197">
        <v>1</v>
      </c>
      <c r="M197" s="7">
        <v>4.2</v>
      </c>
      <c r="N197" s="7">
        <v>29</v>
      </c>
    </row>
    <row r="198" spans="1:14" ht="19.95" customHeight="1">
      <c r="A198" s="6">
        <v>45123</v>
      </c>
      <c r="B198" t="s">
        <v>60</v>
      </c>
      <c r="C198">
        <v>6</v>
      </c>
      <c r="D198">
        <v>7</v>
      </c>
      <c r="E198">
        <v>197</v>
      </c>
      <c r="F198">
        <v>1</v>
      </c>
      <c r="G198">
        <v>0</v>
      </c>
      <c r="I198">
        <v>1</v>
      </c>
      <c r="J198">
        <v>0</v>
      </c>
      <c r="K198">
        <v>0</v>
      </c>
      <c r="L198">
        <v>1</v>
      </c>
      <c r="M198" s="7">
        <v>0.3</v>
      </c>
      <c r="N198" s="7">
        <v>28.9</v>
      </c>
    </row>
    <row r="199" spans="1:14" ht="19.95" customHeight="1">
      <c r="A199" s="6">
        <v>45124</v>
      </c>
      <c r="B199" t="s">
        <v>62</v>
      </c>
      <c r="C199">
        <v>0</v>
      </c>
      <c r="D199">
        <v>7</v>
      </c>
      <c r="E199">
        <v>198</v>
      </c>
      <c r="F199">
        <v>0</v>
      </c>
      <c r="G199">
        <v>0</v>
      </c>
      <c r="I199">
        <v>1</v>
      </c>
      <c r="J199">
        <v>0</v>
      </c>
      <c r="K199">
        <v>0</v>
      </c>
      <c r="L199">
        <v>0</v>
      </c>
      <c r="M199" s="7">
        <v>4.5999999999999996</v>
      </c>
      <c r="N199" s="7">
        <v>28.8</v>
      </c>
    </row>
    <row r="200" spans="1:14" ht="19.95" customHeight="1">
      <c r="A200" s="6">
        <v>45125</v>
      </c>
      <c r="B200" t="s">
        <v>63</v>
      </c>
      <c r="C200">
        <v>1</v>
      </c>
      <c r="D200">
        <v>7</v>
      </c>
      <c r="E200">
        <v>199</v>
      </c>
      <c r="F200">
        <v>0</v>
      </c>
      <c r="G200">
        <v>0</v>
      </c>
      <c r="I200">
        <v>1</v>
      </c>
      <c r="J200">
        <v>0</v>
      </c>
      <c r="K200">
        <v>0</v>
      </c>
      <c r="L200">
        <v>0</v>
      </c>
      <c r="M200" s="7">
        <v>25.7</v>
      </c>
      <c r="N200" s="7">
        <v>29.7</v>
      </c>
    </row>
    <row r="201" spans="1:14" ht="19.95" customHeight="1">
      <c r="A201" s="6">
        <v>45126</v>
      </c>
      <c r="B201" t="s">
        <v>64</v>
      </c>
      <c r="C201">
        <v>2</v>
      </c>
      <c r="D201">
        <v>7</v>
      </c>
      <c r="E201">
        <v>200</v>
      </c>
      <c r="F201">
        <v>0</v>
      </c>
      <c r="G201">
        <v>0</v>
      </c>
      <c r="I201">
        <v>1</v>
      </c>
      <c r="J201">
        <v>0</v>
      </c>
      <c r="K201">
        <v>0</v>
      </c>
      <c r="L201">
        <v>0</v>
      </c>
      <c r="M201" s="7">
        <v>0</v>
      </c>
      <c r="N201" s="7">
        <v>27.9</v>
      </c>
    </row>
    <row r="202" spans="1:14" ht="19.95" customHeight="1">
      <c r="A202" s="6">
        <v>45127</v>
      </c>
      <c r="B202" t="s">
        <v>65</v>
      </c>
      <c r="C202">
        <v>3</v>
      </c>
      <c r="D202">
        <v>7</v>
      </c>
      <c r="E202">
        <v>201</v>
      </c>
      <c r="F202">
        <v>0</v>
      </c>
      <c r="G202">
        <v>0</v>
      </c>
      <c r="I202">
        <v>1</v>
      </c>
      <c r="J202">
        <v>0</v>
      </c>
      <c r="K202">
        <v>0</v>
      </c>
      <c r="L202">
        <v>0</v>
      </c>
      <c r="M202" s="7">
        <v>4.3</v>
      </c>
      <c r="N202" s="7">
        <v>28.6</v>
      </c>
    </row>
    <row r="203" spans="1:14" ht="19.95" customHeight="1">
      <c r="A203" s="6">
        <v>45128</v>
      </c>
      <c r="B203" t="s">
        <v>66</v>
      </c>
      <c r="C203">
        <v>4</v>
      </c>
      <c r="D203">
        <v>7</v>
      </c>
      <c r="E203">
        <v>202</v>
      </c>
      <c r="F203">
        <v>0</v>
      </c>
      <c r="G203">
        <v>0</v>
      </c>
      <c r="I203">
        <v>1</v>
      </c>
      <c r="J203">
        <v>0</v>
      </c>
      <c r="K203">
        <v>0</v>
      </c>
      <c r="L203">
        <v>0</v>
      </c>
      <c r="M203" s="7">
        <v>4.3</v>
      </c>
      <c r="N203" s="7">
        <v>27.4</v>
      </c>
    </row>
    <row r="204" spans="1:14" ht="19.95" customHeight="1">
      <c r="A204" s="6">
        <v>45129</v>
      </c>
      <c r="B204" t="s">
        <v>67</v>
      </c>
      <c r="C204">
        <v>5</v>
      </c>
      <c r="D204">
        <v>7</v>
      </c>
      <c r="E204">
        <v>203</v>
      </c>
      <c r="F204">
        <v>1</v>
      </c>
      <c r="G204">
        <v>0</v>
      </c>
      <c r="I204">
        <v>1</v>
      </c>
      <c r="J204">
        <v>0</v>
      </c>
      <c r="K204">
        <v>0</v>
      </c>
      <c r="L204">
        <v>1</v>
      </c>
      <c r="M204" s="7">
        <v>5.3</v>
      </c>
      <c r="N204" s="7">
        <v>28.4</v>
      </c>
    </row>
    <row r="205" spans="1:14" ht="19.95" customHeight="1">
      <c r="A205" s="6">
        <v>45130</v>
      </c>
      <c r="B205" t="s">
        <v>60</v>
      </c>
      <c r="C205">
        <v>6</v>
      </c>
      <c r="D205">
        <v>7</v>
      </c>
      <c r="E205">
        <v>204</v>
      </c>
      <c r="F205">
        <v>1</v>
      </c>
      <c r="G205">
        <v>0</v>
      </c>
      <c r="I205">
        <v>1</v>
      </c>
      <c r="J205">
        <v>0</v>
      </c>
      <c r="K205">
        <v>0</v>
      </c>
      <c r="L205">
        <v>1</v>
      </c>
      <c r="M205" s="7">
        <v>9.1999999999999993</v>
      </c>
      <c r="N205" s="7">
        <v>28.5</v>
      </c>
    </row>
    <row r="206" spans="1:14" ht="19.95" customHeight="1">
      <c r="A206" s="6">
        <v>45131</v>
      </c>
      <c r="B206" t="s">
        <v>62</v>
      </c>
      <c r="C206">
        <v>0</v>
      </c>
      <c r="D206">
        <v>7</v>
      </c>
      <c r="E206">
        <v>205</v>
      </c>
      <c r="F206">
        <v>0</v>
      </c>
      <c r="G206">
        <v>0</v>
      </c>
      <c r="I206">
        <v>1</v>
      </c>
      <c r="J206">
        <v>0</v>
      </c>
      <c r="K206">
        <v>0</v>
      </c>
      <c r="L206">
        <v>0</v>
      </c>
      <c r="M206" s="7">
        <v>0.6</v>
      </c>
      <c r="N206" s="7">
        <v>29.3</v>
      </c>
    </row>
    <row r="207" spans="1:14" ht="19.95" customHeight="1">
      <c r="A207" s="6">
        <v>45132</v>
      </c>
      <c r="B207" t="s">
        <v>63</v>
      </c>
      <c r="C207">
        <v>1</v>
      </c>
      <c r="D207">
        <v>7</v>
      </c>
      <c r="E207">
        <v>206</v>
      </c>
      <c r="F207">
        <v>0</v>
      </c>
      <c r="G207">
        <v>0</v>
      </c>
      <c r="I207">
        <v>1</v>
      </c>
      <c r="J207">
        <v>0</v>
      </c>
      <c r="K207">
        <v>0</v>
      </c>
      <c r="L207">
        <v>0</v>
      </c>
      <c r="M207" s="7">
        <v>0</v>
      </c>
      <c r="N207" s="7">
        <v>28</v>
      </c>
    </row>
    <row r="208" spans="1:14" ht="19.95" customHeight="1">
      <c r="A208" s="6">
        <v>45133</v>
      </c>
      <c r="B208" t="s">
        <v>64</v>
      </c>
      <c r="C208">
        <v>2</v>
      </c>
      <c r="D208">
        <v>7</v>
      </c>
      <c r="E208">
        <v>207</v>
      </c>
      <c r="F208">
        <v>0</v>
      </c>
      <c r="G208">
        <v>0</v>
      </c>
      <c r="I208">
        <v>1</v>
      </c>
      <c r="J208">
        <v>0</v>
      </c>
      <c r="K208">
        <v>0</v>
      </c>
      <c r="L208">
        <v>0</v>
      </c>
      <c r="M208" s="7">
        <v>1.1000000000000001</v>
      </c>
      <c r="N208" s="7">
        <v>28.9</v>
      </c>
    </row>
    <row r="209" spans="1:14" ht="19.95" customHeight="1">
      <c r="A209" s="6">
        <v>45134</v>
      </c>
      <c r="B209" t="s">
        <v>65</v>
      </c>
      <c r="C209">
        <v>3</v>
      </c>
      <c r="D209">
        <v>7</v>
      </c>
      <c r="E209">
        <v>208</v>
      </c>
      <c r="F209">
        <v>0</v>
      </c>
      <c r="G209">
        <v>0</v>
      </c>
      <c r="I209">
        <v>1</v>
      </c>
      <c r="J209">
        <v>0</v>
      </c>
      <c r="K209">
        <v>0</v>
      </c>
      <c r="L209">
        <v>0</v>
      </c>
      <c r="M209" s="7">
        <v>0</v>
      </c>
      <c r="N209" s="7">
        <v>29</v>
      </c>
    </row>
    <row r="210" spans="1:14" ht="19.95" customHeight="1">
      <c r="A210" s="6">
        <v>45135</v>
      </c>
      <c r="B210" t="s">
        <v>66</v>
      </c>
      <c r="C210">
        <v>4</v>
      </c>
      <c r="D210">
        <v>7</v>
      </c>
      <c r="E210">
        <v>209</v>
      </c>
      <c r="F210">
        <v>0</v>
      </c>
      <c r="G210">
        <v>0</v>
      </c>
      <c r="I210">
        <v>1</v>
      </c>
      <c r="J210">
        <v>0</v>
      </c>
      <c r="K210">
        <v>0</v>
      </c>
      <c r="L210">
        <v>0</v>
      </c>
      <c r="M210" s="7">
        <v>0</v>
      </c>
      <c r="N210" s="7">
        <v>28.7</v>
      </c>
    </row>
    <row r="211" spans="1:14" ht="19.95" customHeight="1">
      <c r="A211" s="6">
        <v>45136</v>
      </c>
      <c r="B211" t="s">
        <v>67</v>
      </c>
      <c r="C211">
        <v>5</v>
      </c>
      <c r="D211">
        <v>7</v>
      </c>
      <c r="E211">
        <v>210</v>
      </c>
      <c r="F211">
        <v>1</v>
      </c>
      <c r="G211">
        <v>0</v>
      </c>
      <c r="I211">
        <v>1</v>
      </c>
      <c r="J211">
        <v>0</v>
      </c>
      <c r="K211">
        <v>0</v>
      </c>
      <c r="L211">
        <v>0</v>
      </c>
      <c r="M211" s="7">
        <v>5.3</v>
      </c>
      <c r="N211" s="7">
        <v>29.7</v>
      </c>
    </row>
    <row r="212" spans="1:14" ht="19.95" customHeight="1">
      <c r="A212" s="6">
        <v>45137</v>
      </c>
      <c r="B212" t="s">
        <v>60</v>
      </c>
      <c r="C212">
        <v>6</v>
      </c>
      <c r="D212">
        <v>7</v>
      </c>
      <c r="E212">
        <v>211</v>
      </c>
      <c r="F212">
        <v>1</v>
      </c>
      <c r="G212">
        <v>0</v>
      </c>
      <c r="I212">
        <v>1</v>
      </c>
      <c r="J212">
        <v>0</v>
      </c>
      <c r="K212">
        <v>0</v>
      </c>
      <c r="L212">
        <v>0</v>
      </c>
      <c r="M212" s="7">
        <v>0.3</v>
      </c>
      <c r="N212" s="7">
        <v>30.1</v>
      </c>
    </row>
    <row r="213" spans="1:14" ht="19.95" customHeight="1">
      <c r="A213" s="6">
        <v>45138</v>
      </c>
      <c r="B213" t="s">
        <v>62</v>
      </c>
      <c r="C213">
        <v>0</v>
      </c>
      <c r="D213">
        <v>7</v>
      </c>
      <c r="E213">
        <v>212</v>
      </c>
      <c r="F213">
        <v>0</v>
      </c>
      <c r="G213">
        <v>0</v>
      </c>
      <c r="I213">
        <v>1</v>
      </c>
      <c r="J213">
        <v>0</v>
      </c>
      <c r="K213">
        <v>0</v>
      </c>
      <c r="L213">
        <v>0</v>
      </c>
      <c r="M213" s="7">
        <v>3.4</v>
      </c>
      <c r="N213" s="7">
        <v>29.1</v>
      </c>
    </row>
    <row r="214" spans="1:14" ht="19.95" customHeight="1">
      <c r="A214" s="6">
        <v>45139</v>
      </c>
      <c r="B214" t="s">
        <v>63</v>
      </c>
      <c r="C214">
        <v>1</v>
      </c>
      <c r="D214">
        <v>8</v>
      </c>
      <c r="E214">
        <v>213</v>
      </c>
      <c r="F214">
        <v>0</v>
      </c>
      <c r="G214">
        <v>0</v>
      </c>
      <c r="I214">
        <v>0</v>
      </c>
      <c r="J214">
        <v>0</v>
      </c>
      <c r="K214">
        <v>0</v>
      </c>
      <c r="L214">
        <v>0</v>
      </c>
      <c r="M214" s="7">
        <v>1.4</v>
      </c>
      <c r="N214" s="7">
        <v>29.9</v>
      </c>
    </row>
    <row r="215" spans="1:14" ht="19.95" customHeight="1">
      <c r="A215" s="6">
        <v>45140</v>
      </c>
      <c r="B215" t="s">
        <v>64</v>
      </c>
      <c r="C215">
        <v>2</v>
      </c>
      <c r="D215">
        <v>8</v>
      </c>
      <c r="E215">
        <v>214</v>
      </c>
      <c r="F215">
        <v>0</v>
      </c>
      <c r="G215">
        <v>0</v>
      </c>
      <c r="I215">
        <v>0</v>
      </c>
      <c r="J215">
        <v>0</v>
      </c>
      <c r="K215">
        <v>0</v>
      </c>
      <c r="L215">
        <v>0</v>
      </c>
      <c r="M215" s="7">
        <v>1</v>
      </c>
      <c r="N215" s="7">
        <v>30</v>
      </c>
    </row>
    <row r="216" spans="1:14" ht="19.95" customHeight="1">
      <c r="A216" s="6">
        <v>45141</v>
      </c>
      <c r="B216" t="s">
        <v>65</v>
      </c>
      <c r="C216">
        <v>3</v>
      </c>
      <c r="D216">
        <v>8</v>
      </c>
      <c r="E216">
        <v>215</v>
      </c>
      <c r="F216">
        <v>0</v>
      </c>
      <c r="G216">
        <v>0</v>
      </c>
      <c r="I216">
        <v>0</v>
      </c>
      <c r="J216">
        <v>0</v>
      </c>
      <c r="K216">
        <v>0</v>
      </c>
      <c r="L216">
        <v>0</v>
      </c>
      <c r="M216" s="7">
        <v>0</v>
      </c>
      <c r="N216" s="7">
        <v>28.9</v>
      </c>
    </row>
    <row r="217" spans="1:14" ht="19.95" customHeight="1">
      <c r="A217" s="6">
        <v>45142</v>
      </c>
      <c r="B217" t="s">
        <v>66</v>
      </c>
      <c r="C217">
        <v>4</v>
      </c>
      <c r="D217">
        <v>8</v>
      </c>
      <c r="E217">
        <v>216</v>
      </c>
      <c r="F217">
        <v>0</v>
      </c>
      <c r="G217">
        <v>0</v>
      </c>
      <c r="I217">
        <v>0</v>
      </c>
      <c r="J217">
        <v>0</v>
      </c>
      <c r="K217">
        <v>0</v>
      </c>
      <c r="L217">
        <v>0</v>
      </c>
      <c r="M217" s="7">
        <v>1.8</v>
      </c>
      <c r="N217" s="7">
        <v>29.5</v>
      </c>
    </row>
    <row r="218" spans="1:14" ht="19.95" customHeight="1">
      <c r="A218" s="6">
        <v>45143</v>
      </c>
      <c r="B218" t="s">
        <v>67</v>
      </c>
      <c r="C218">
        <v>5</v>
      </c>
      <c r="D218">
        <v>8</v>
      </c>
      <c r="E218">
        <v>217</v>
      </c>
      <c r="F218">
        <v>1</v>
      </c>
      <c r="G218">
        <v>0</v>
      </c>
      <c r="I218">
        <v>0</v>
      </c>
      <c r="J218">
        <v>0</v>
      </c>
      <c r="K218">
        <v>0</v>
      </c>
      <c r="L218">
        <v>1</v>
      </c>
      <c r="M218" s="7">
        <v>1.8</v>
      </c>
      <c r="N218" s="7">
        <v>29.1</v>
      </c>
    </row>
    <row r="219" spans="1:14" ht="19.95" customHeight="1">
      <c r="A219" s="6">
        <v>45144</v>
      </c>
      <c r="B219" t="s">
        <v>60</v>
      </c>
      <c r="C219">
        <v>6</v>
      </c>
      <c r="D219">
        <v>8</v>
      </c>
      <c r="E219">
        <v>218</v>
      </c>
      <c r="F219">
        <v>1</v>
      </c>
      <c r="G219">
        <v>0</v>
      </c>
      <c r="I219">
        <v>0</v>
      </c>
      <c r="J219">
        <v>0</v>
      </c>
      <c r="K219">
        <v>0</v>
      </c>
      <c r="L219">
        <v>1</v>
      </c>
      <c r="M219" s="7">
        <v>0</v>
      </c>
      <c r="N219" s="7">
        <v>28.2</v>
      </c>
    </row>
    <row r="220" spans="1:14" ht="19.95" customHeight="1">
      <c r="A220" s="6">
        <v>45145</v>
      </c>
      <c r="B220" t="s">
        <v>62</v>
      </c>
      <c r="C220">
        <v>0</v>
      </c>
      <c r="D220">
        <v>8</v>
      </c>
      <c r="E220">
        <v>219</v>
      </c>
      <c r="F220">
        <v>0</v>
      </c>
      <c r="G220">
        <v>0</v>
      </c>
      <c r="I220">
        <v>0</v>
      </c>
      <c r="J220">
        <v>0</v>
      </c>
      <c r="K220">
        <v>0</v>
      </c>
      <c r="L220">
        <v>0</v>
      </c>
      <c r="M220" s="7">
        <v>0.7</v>
      </c>
      <c r="N220" s="7">
        <v>28.7</v>
      </c>
    </row>
    <row r="221" spans="1:14" ht="19.95" customHeight="1">
      <c r="A221" s="6">
        <v>45146</v>
      </c>
      <c r="B221" t="s">
        <v>63</v>
      </c>
      <c r="C221">
        <v>1</v>
      </c>
      <c r="D221">
        <v>8</v>
      </c>
      <c r="E221">
        <v>220</v>
      </c>
      <c r="F221">
        <v>0</v>
      </c>
      <c r="G221">
        <v>0</v>
      </c>
      <c r="I221">
        <v>0</v>
      </c>
      <c r="J221">
        <v>0</v>
      </c>
      <c r="K221">
        <v>0</v>
      </c>
      <c r="L221">
        <v>0</v>
      </c>
      <c r="M221" s="7">
        <v>0.2</v>
      </c>
      <c r="N221" s="7">
        <v>28.1</v>
      </c>
    </row>
    <row r="222" spans="1:14" ht="19.95" customHeight="1">
      <c r="A222" s="6">
        <v>45147</v>
      </c>
      <c r="B222" t="s">
        <v>64</v>
      </c>
      <c r="C222">
        <v>2</v>
      </c>
      <c r="D222">
        <v>8</v>
      </c>
      <c r="E222">
        <v>221</v>
      </c>
      <c r="F222">
        <v>0</v>
      </c>
      <c r="G222">
        <v>0</v>
      </c>
      <c r="I222">
        <v>0</v>
      </c>
      <c r="J222">
        <v>0</v>
      </c>
      <c r="K222">
        <v>0</v>
      </c>
      <c r="L222">
        <v>0</v>
      </c>
      <c r="M222" s="7">
        <v>2.2000000000000002</v>
      </c>
      <c r="N222" s="7">
        <v>29.1</v>
      </c>
    </row>
    <row r="223" spans="1:14" ht="19.95" customHeight="1">
      <c r="A223" s="6">
        <v>45148</v>
      </c>
      <c r="B223" t="s">
        <v>65</v>
      </c>
      <c r="C223">
        <v>3</v>
      </c>
      <c r="D223">
        <v>8</v>
      </c>
      <c r="E223">
        <v>222</v>
      </c>
      <c r="F223">
        <v>0</v>
      </c>
      <c r="G223">
        <v>0</v>
      </c>
      <c r="I223">
        <v>0</v>
      </c>
      <c r="J223">
        <v>0</v>
      </c>
      <c r="K223">
        <v>0</v>
      </c>
      <c r="L223">
        <v>0</v>
      </c>
      <c r="M223" s="7">
        <v>0</v>
      </c>
      <c r="N223" s="7">
        <v>28.3</v>
      </c>
    </row>
    <row r="224" spans="1:14" ht="19.95" customHeight="1">
      <c r="A224" s="6">
        <v>45149</v>
      </c>
      <c r="B224" t="s">
        <v>66</v>
      </c>
      <c r="C224">
        <v>4</v>
      </c>
      <c r="D224">
        <v>8</v>
      </c>
      <c r="E224">
        <v>223</v>
      </c>
      <c r="F224">
        <v>0</v>
      </c>
      <c r="G224">
        <v>0</v>
      </c>
      <c r="I224">
        <v>0</v>
      </c>
      <c r="J224">
        <v>0</v>
      </c>
      <c r="K224">
        <v>0</v>
      </c>
      <c r="L224">
        <v>0</v>
      </c>
      <c r="M224" s="7">
        <v>0</v>
      </c>
      <c r="N224" s="7">
        <v>28.1</v>
      </c>
    </row>
    <row r="225" spans="1:14" ht="19.95" customHeight="1">
      <c r="A225" s="6">
        <v>45150</v>
      </c>
      <c r="B225" t="s">
        <v>67</v>
      </c>
      <c r="C225">
        <v>5</v>
      </c>
      <c r="D225">
        <v>8</v>
      </c>
      <c r="E225">
        <v>224</v>
      </c>
      <c r="F225">
        <v>1</v>
      </c>
      <c r="G225">
        <v>0</v>
      </c>
      <c r="I225">
        <v>0</v>
      </c>
      <c r="J225">
        <v>0</v>
      </c>
      <c r="K225">
        <v>0</v>
      </c>
      <c r="L225">
        <v>1</v>
      </c>
      <c r="M225" s="7">
        <v>1</v>
      </c>
      <c r="N225" s="7">
        <v>29.4</v>
      </c>
    </row>
    <row r="226" spans="1:14" ht="19.95" customHeight="1">
      <c r="A226" s="6">
        <v>45151</v>
      </c>
      <c r="B226" t="s">
        <v>60</v>
      </c>
      <c r="C226">
        <v>6</v>
      </c>
      <c r="D226">
        <v>8</v>
      </c>
      <c r="E226">
        <v>225</v>
      </c>
      <c r="F226">
        <v>1</v>
      </c>
      <c r="G226">
        <v>0</v>
      </c>
      <c r="I226">
        <v>0</v>
      </c>
      <c r="J226">
        <v>0</v>
      </c>
      <c r="K226">
        <v>0</v>
      </c>
      <c r="L226">
        <v>1</v>
      </c>
      <c r="M226" s="7">
        <v>0</v>
      </c>
      <c r="N226" s="7">
        <v>28.9</v>
      </c>
    </row>
    <row r="227" spans="1:14" ht="19.95" customHeight="1">
      <c r="A227" s="6">
        <v>45152</v>
      </c>
      <c r="B227" t="s">
        <v>62</v>
      </c>
      <c r="C227">
        <v>0</v>
      </c>
      <c r="D227">
        <v>8</v>
      </c>
      <c r="E227">
        <v>226</v>
      </c>
      <c r="F227">
        <v>0</v>
      </c>
      <c r="G227">
        <v>0</v>
      </c>
      <c r="I227">
        <v>0</v>
      </c>
      <c r="J227">
        <v>0</v>
      </c>
      <c r="K227">
        <v>0</v>
      </c>
      <c r="L227">
        <v>0</v>
      </c>
      <c r="M227" s="7">
        <v>2.5</v>
      </c>
      <c r="N227" s="7">
        <v>29.8</v>
      </c>
    </row>
    <row r="228" spans="1:14" ht="19.95" customHeight="1">
      <c r="A228" s="6">
        <v>45153</v>
      </c>
      <c r="B228" t="s">
        <v>63</v>
      </c>
      <c r="C228">
        <v>1</v>
      </c>
      <c r="D228">
        <v>8</v>
      </c>
      <c r="E228">
        <v>227</v>
      </c>
      <c r="F228">
        <v>0</v>
      </c>
      <c r="G228">
        <v>0</v>
      </c>
      <c r="I228">
        <v>0</v>
      </c>
      <c r="J228">
        <v>0</v>
      </c>
      <c r="K228">
        <v>0</v>
      </c>
      <c r="L228">
        <v>0</v>
      </c>
      <c r="M228" s="7">
        <v>0</v>
      </c>
      <c r="N228" s="7">
        <v>29.2</v>
      </c>
    </row>
    <row r="229" spans="1:14" ht="19.95" customHeight="1">
      <c r="A229" s="6">
        <v>45154</v>
      </c>
      <c r="B229" t="s">
        <v>64</v>
      </c>
      <c r="C229">
        <v>2</v>
      </c>
      <c r="D229">
        <v>8</v>
      </c>
      <c r="E229">
        <v>228</v>
      </c>
      <c r="F229">
        <v>0</v>
      </c>
      <c r="G229">
        <v>0</v>
      </c>
      <c r="I229">
        <v>0</v>
      </c>
      <c r="J229">
        <v>0</v>
      </c>
      <c r="K229">
        <v>0</v>
      </c>
      <c r="L229">
        <v>0</v>
      </c>
      <c r="M229" s="7">
        <v>0</v>
      </c>
      <c r="N229" s="7">
        <v>28.5</v>
      </c>
    </row>
    <row r="230" spans="1:14" ht="19.95" customHeight="1">
      <c r="A230" s="6">
        <v>45155</v>
      </c>
      <c r="B230" t="s">
        <v>65</v>
      </c>
      <c r="C230">
        <v>3</v>
      </c>
      <c r="D230">
        <v>8</v>
      </c>
      <c r="E230">
        <v>229</v>
      </c>
      <c r="F230">
        <v>0</v>
      </c>
      <c r="G230">
        <v>0</v>
      </c>
      <c r="I230">
        <v>0</v>
      </c>
      <c r="J230">
        <v>0</v>
      </c>
      <c r="K230">
        <v>0</v>
      </c>
      <c r="L230">
        <v>0</v>
      </c>
      <c r="M230" s="7">
        <v>0</v>
      </c>
      <c r="N230" s="7">
        <v>29.5</v>
      </c>
    </row>
    <row r="231" spans="1:14" ht="19.95" customHeight="1">
      <c r="A231" s="6">
        <v>45156</v>
      </c>
      <c r="B231" t="s">
        <v>66</v>
      </c>
      <c r="C231">
        <v>4</v>
      </c>
      <c r="D231">
        <v>8</v>
      </c>
      <c r="E231">
        <v>230</v>
      </c>
      <c r="F231">
        <v>0</v>
      </c>
      <c r="G231">
        <v>0</v>
      </c>
      <c r="I231">
        <v>0</v>
      </c>
      <c r="J231">
        <v>0</v>
      </c>
      <c r="K231">
        <v>0</v>
      </c>
      <c r="L231">
        <v>0</v>
      </c>
      <c r="M231" s="7">
        <v>0</v>
      </c>
      <c r="N231" s="7">
        <v>27.7</v>
      </c>
    </row>
    <row r="232" spans="1:14" ht="19.95" customHeight="1">
      <c r="A232" s="6">
        <v>45157</v>
      </c>
      <c r="B232" t="s">
        <v>67</v>
      </c>
      <c r="C232">
        <v>5</v>
      </c>
      <c r="D232">
        <v>8</v>
      </c>
      <c r="E232">
        <v>231</v>
      </c>
      <c r="F232">
        <v>1</v>
      </c>
      <c r="G232">
        <v>0</v>
      </c>
      <c r="I232">
        <v>0</v>
      </c>
      <c r="J232">
        <v>0</v>
      </c>
      <c r="K232">
        <v>0</v>
      </c>
      <c r="L232">
        <v>0</v>
      </c>
      <c r="M232" s="7">
        <v>5.2</v>
      </c>
      <c r="N232" s="7">
        <v>29.5</v>
      </c>
    </row>
    <row r="233" spans="1:14" ht="19.95" customHeight="1">
      <c r="A233" s="6">
        <v>45158</v>
      </c>
      <c r="B233" t="s">
        <v>60</v>
      </c>
      <c r="C233">
        <v>6</v>
      </c>
      <c r="D233">
        <v>8</v>
      </c>
      <c r="E233">
        <v>232</v>
      </c>
      <c r="F233">
        <v>1</v>
      </c>
      <c r="G233">
        <v>0</v>
      </c>
      <c r="I233">
        <v>0</v>
      </c>
      <c r="J233">
        <v>0</v>
      </c>
      <c r="K233">
        <v>0</v>
      </c>
      <c r="L233">
        <v>0</v>
      </c>
      <c r="M233" s="7">
        <v>2.5</v>
      </c>
      <c r="N233" s="7">
        <v>29.5</v>
      </c>
    </row>
    <row r="234" spans="1:14" ht="19.95" customHeight="1">
      <c r="A234" s="6">
        <v>45159</v>
      </c>
      <c r="B234" t="s">
        <v>62</v>
      </c>
      <c r="C234">
        <v>0</v>
      </c>
      <c r="D234">
        <v>8</v>
      </c>
      <c r="E234">
        <v>233</v>
      </c>
      <c r="F234">
        <v>0</v>
      </c>
      <c r="G234">
        <v>0</v>
      </c>
      <c r="I234">
        <v>0</v>
      </c>
      <c r="J234">
        <v>0</v>
      </c>
      <c r="K234">
        <v>0</v>
      </c>
      <c r="L234">
        <v>0</v>
      </c>
      <c r="M234" s="7">
        <v>0</v>
      </c>
      <c r="N234" s="7">
        <v>27.8</v>
      </c>
    </row>
    <row r="235" spans="1:14" ht="19.95" customHeight="1">
      <c r="A235" s="6">
        <v>45160</v>
      </c>
      <c r="B235" t="s">
        <v>63</v>
      </c>
      <c r="C235">
        <v>1</v>
      </c>
      <c r="D235">
        <v>8</v>
      </c>
      <c r="E235">
        <v>234</v>
      </c>
      <c r="F235">
        <v>0</v>
      </c>
      <c r="G235">
        <v>0</v>
      </c>
      <c r="I235">
        <v>0</v>
      </c>
      <c r="J235">
        <v>0</v>
      </c>
      <c r="K235">
        <v>0</v>
      </c>
      <c r="L235">
        <v>0</v>
      </c>
      <c r="M235" s="7">
        <v>3.5</v>
      </c>
      <c r="N235" s="7">
        <v>27.7</v>
      </c>
    </row>
    <row r="236" spans="1:14" ht="19.95" customHeight="1">
      <c r="A236" s="6">
        <v>45161</v>
      </c>
      <c r="B236" t="s">
        <v>64</v>
      </c>
      <c r="C236">
        <v>2</v>
      </c>
      <c r="D236">
        <v>8</v>
      </c>
      <c r="E236">
        <v>235</v>
      </c>
      <c r="F236">
        <v>0</v>
      </c>
      <c r="G236">
        <v>0</v>
      </c>
      <c r="I236">
        <v>0</v>
      </c>
      <c r="J236">
        <v>0</v>
      </c>
      <c r="K236">
        <v>0</v>
      </c>
      <c r="L236">
        <v>0</v>
      </c>
      <c r="M236" s="7">
        <v>0</v>
      </c>
      <c r="N236" s="7">
        <v>30</v>
      </c>
    </row>
    <row r="237" spans="1:14" ht="19.95" customHeight="1">
      <c r="A237" s="6">
        <v>45162</v>
      </c>
      <c r="B237" t="s">
        <v>65</v>
      </c>
      <c r="C237">
        <v>3</v>
      </c>
      <c r="D237">
        <v>8</v>
      </c>
      <c r="E237">
        <v>236</v>
      </c>
      <c r="F237">
        <v>0</v>
      </c>
      <c r="G237">
        <v>0</v>
      </c>
      <c r="I237">
        <v>0</v>
      </c>
      <c r="J237">
        <v>0</v>
      </c>
      <c r="K237">
        <v>0</v>
      </c>
      <c r="L237">
        <v>0</v>
      </c>
      <c r="M237" s="7">
        <v>5.2</v>
      </c>
      <c r="N237" s="7">
        <v>29.5</v>
      </c>
    </row>
    <row r="238" spans="1:14" ht="19.95" customHeight="1">
      <c r="A238" s="6">
        <v>45163</v>
      </c>
      <c r="B238" t="s">
        <v>66</v>
      </c>
      <c r="C238">
        <v>4</v>
      </c>
      <c r="D238">
        <v>8</v>
      </c>
      <c r="E238">
        <v>237</v>
      </c>
      <c r="F238">
        <v>0</v>
      </c>
      <c r="G238">
        <v>0</v>
      </c>
      <c r="I238">
        <v>0</v>
      </c>
      <c r="J238">
        <v>0</v>
      </c>
      <c r="K238">
        <v>0</v>
      </c>
      <c r="L238">
        <v>0</v>
      </c>
      <c r="M238" s="7">
        <v>2.1</v>
      </c>
      <c r="N238" s="7">
        <v>28.4</v>
      </c>
    </row>
    <row r="239" spans="1:14" ht="19.95" customHeight="1">
      <c r="A239" s="6">
        <v>45164</v>
      </c>
      <c r="B239" t="s">
        <v>67</v>
      </c>
      <c r="C239">
        <v>5</v>
      </c>
      <c r="D239">
        <v>8</v>
      </c>
      <c r="E239">
        <v>238</v>
      </c>
      <c r="F239">
        <v>1</v>
      </c>
      <c r="G239">
        <v>0</v>
      </c>
      <c r="I239">
        <v>0</v>
      </c>
      <c r="J239">
        <v>0</v>
      </c>
      <c r="K239">
        <v>0</v>
      </c>
      <c r="L239">
        <v>0</v>
      </c>
      <c r="M239" s="7">
        <v>0</v>
      </c>
      <c r="N239" s="7">
        <v>28.4</v>
      </c>
    </row>
    <row r="240" spans="1:14" ht="19.95" customHeight="1">
      <c r="A240" s="6">
        <v>45165</v>
      </c>
      <c r="B240" t="s">
        <v>60</v>
      </c>
      <c r="C240">
        <v>6</v>
      </c>
      <c r="D240">
        <v>8</v>
      </c>
      <c r="E240">
        <v>239</v>
      </c>
      <c r="F240">
        <v>1</v>
      </c>
      <c r="G240">
        <v>0</v>
      </c>
      <c r="I240">
        <v>0</v>
      </c>
      <c r="J240">
        <v>0</v>
      </c>
      <c r="K240">
        <v>0</v>
      </c>
      <c r="L240">
        <v>0</v>
      </c>
      <c r="M240" s="7">
        <v>3.6</v>
      </c>
      <c r="N240" s="7">
        <v>29.6</v>
      </c>
    </row>
    <row r="241" spans="1:14" ht="19.95" customHeight="1">
      <c r="A241" s="6">
        <v>45166</v>
      </c>
      <c r="B241" t="s">
        <v>62</v>
      </c>
      <c r="C241">
        <v>0</v>
      </c>
      <c r="D241">
        <v>8</v>
      </c>
      <c r="E241">
        <v>240</v>
      </c>
      <c r="F241">
        <v>0</v>
      </c>
      <c r="G241">
        <v>0</v>
      </c>
      <c r="I241">
        <v>0</v>
      </c>
      <c r="J241">
        <v>0</v>
      </c>
      <c r="K241">
        <v>0</v>
      </c>
      <c r="L241">
        <v>0</v>
      </c>
      <c r="M241" s="7">
        <v>0</v>
      </c>
      <c r="N241" s="7">
        <v>29.4</v>
      </c>
    </row>
    <row r="242" spans="1:14" ht="19.95" customHeight="1">
      <c r="A242" s="6">
        <v>45167</v>
      </c>
      <c r="B242" t="s">
        <v>63</v>
      </c>
      <c r="C242">
        <v>1</v>
      </c>
      <c r="D242">
        <v>8</v>
      </c>
      <c r="E242">
        <v>241</v>
      </c>
      <c r="F242">
        <v>0</v>
      </c>
      <c r="G242">
        <v>0</v>
      </c>
      <c r="I242">
        <v>0</v>
      </c>
      <c r="J242">
        <v>0</v>
      </c>
      <c r="K242">
        <v>0</v>
      </c>
      <c r="L242">
        <v>0</v>
      </c>
      <c r="M242" s="7">
        <v>0</v>
      </c>
      <c r="N242" s="7">
        <v>28.3</v>
      </c>
    </row>
    <row r="243" spans="1:14" ht="19.95" customHeight="1">
      <c r="A243" s="6">
        <v>45168</v>
      </c>
      <c r="B243" t="s">
        <v>64</v>
      </c>
      <c r="C243">
        <v>2</v>
      </c>
      <c r="D243">
        <v>8</v>
      </c>
      <c r="E243">
        <v>242</v>
      </c>
      <c r="F243">
        <v>0</v>
      </c>
      <c r="G243">
        <v>0</v>
      </c>
      <c r="I243">
        <v>0</v>
      </c>
      <c r="J243">
        <v>0</v>
      </c>
      <c r="K243">
        <v>0</v>
      </c>
      <c r="L243">
        <v>0</v>
      </c>
      <c r="M243" s="7">
        <v>0.4</v>
      </c>
      <c r="N243" s="7">
        <v>28.3</v>
      </c>
    </row>
    <row r="244" spans="1:14" ht="19.95" customHeight="1">
      <c r="A244" s="6">
        <v>45169</v>
      </c>
      <c r="B244" t="s">
        <v>65</v>
      </c>
      <c r="C244">
        <v>3</v>
      </c>
      <c r="D244">
        <v>8</v>
      </c>
      <c r="E244">
        <v>243</v>
      </c>
      <c r="F244">
        <v>0</v>
      </c>
      <c r="G244">
        <v>0</v>
      </c>
      <c r="I244">
        <v>0</v>
      </c>
      <c r="J244">
        <v>0</v>
      </c>
      <c r="K244">
        <v>0</v>
      </c>
      <c r="L244">
        <v>0</v>
      </c>
      <c r="M244" s="7">
        <v>1.1000000000000001</v>
      </c>
      <c r="N244" s="7">
        <v>29.4</v>
      </c>
    </row>
    <row r="245" spans="1:14" ht="19.95" customHeight="1">
      <c r="A245" s="6">
        <v>45170</v>
      </c>
      <c r="B245" t="s">
        <v>66</v>
      </c>
      <c r="C245">
        <v>4</v>
      </c>
      <c r="D245">
        <v>9</v>
      </c>
      <c r="E245">
        <v>244</v>
      </c>
      <c r="F245">
        <v>0</v>
      </c>
      <c r="G245">
        <v>0</v>
      </c>
      <c r="I245">
        <v>0</v>
      </c>
      <c r="J245">
        <v>0</v>
      </c>
      <c r="K245">
        <v>0</v>
      </c>
      <c r="L245">
        <v>0</v>
      </c>
      <c r="M245" s="7">
        <v>2.4</v>
      </c>
      <c r="N245" s="7">
        <v>29.8</v>
      </c>
    </row>
    <row r="246" spans="1:14" ht="19.95" customHeight="1">
      <c r="A246" s="6">
        <v>45171</v>
      </c>
      <c r="B246" t="s">
        <v>67</v>
      </c>
      <c r="C246">
        <v>5</v>
      </c>
      <c r="D246">
        <v>9</v>
      </c>
      <c r="E246">
        <v>245</v>
      </c>
      <c r="F246">
        <v>1</v>
      </c>
      <c r="G246">
        <v>0</v>
      </c>
      <c r="I246">
        <v>0</v>
      </c>
      <c r="J246">
        <v>0</v>
      </c>
      <c r="K246">
        <v>0</v>
      </c>
      <c r="L246">
        <v>0</v>
      </c>
      <c r="M246" s="7">
        <v>3.8</v>
      </c>
      <c r="N246" s="7">
        <v>31.6</v>
      </c>
    </row>
    <row r="247" spans="1:14" ht="19.95" customHeight="1">
      <c r="A247" s="6">
        <v>45172</v>
      </c>
      <c r="B247" t="s">
        <v>60</v>
      </c>
      <c r="C247">
        <v>6</v>
      </c>
      <c r="D247">
        <v>9</v>
      </c>
      <c r="E247">
        <v>246</v>
      </c>
      <c r="F247">
        <v>1</v>
      </c>
      <c r="G247">
        <v>0</v>
      </c>
      <c r="I247">
        <v>0</v>
      </c>
      <c r="J247">
        <v>0</v>
      </c>
      <c r="K247">
        <v>0</v>
      </c>
      <c r="L247">
        <v>0</v>
      </c>
      <c r="M247" s="7">
        <v>0.8</v>
      </c>
      <c r="N247" s="7">
        <v>29.8</v>
      </c>
    </row>
    <row r="248" spans="1:14" ht="19.95" customHeight="1">
      <c r="A248" s="6">
        <v>45173</v>
      </c>
      <c r="B248" t="s">
        <v>62</v>
      </c>
      <c r="C248">
        <v>0</v>
      </c>
      <c r="D248">
        <v>9</v>
      </c>
      <c r="E248">
        <v>247</v>
      </c>
      <c r="F248">
        <v>0</v>
      </c>
      <c r="G248">
        <v>0</v>
      </c>
      <c r="I248">
        <v>0</v>
      </c>
      <c r="J248">
        <v>0</v>
      </c>
      <c r="K248">
        <v>0</v>
      </c>
      <c r="L248">
        <v>0</v>
      </c>
      <c r="M248" s="7">
        <v>0</v>
      </c>
      <c r="N248" s="7">
        <v>30</v>
      </c>
    </row>
    <row r="249" spans="1:14" ht="19.95" customHeight="1">
      <c r="A249" s="6">
        <v>45174</v>
      </c>
      <c r="B249" t="s">
        <v>63</v>
      </c>
      <c r="C249">
        <v>1</v>
      </c>
      <c r="D249">
        <v>9</v>
      </c>
      <c r="E249">
        <v>248</v>
      </c>
      <c r="F249">
        <v>0</v>
      </c>
      <c r="G249">
        <v>0</v>
      </c>
      <c r="I249">
        <v>0</v>
      </c>
      <c r="J249">
        <v>0</v>
      </c>
      <c r="K249">
        <v>0</v>
      </c>
      <c r="L249">
        <v>0</v>
      </c>
      <c r="M249" s="7">
        <v>3.4</v>
      </c>
      <c r="N249" s="7">
        <v>27.8</v>
      </c>
    </row>
    <row r="250" spans="1:14" ht="19.95" customHeight="1">
      <c r="A250" s="6">
        <v>45175</v>
      </c>
      <c r="B250" t="s">
        <v>64</v>
      </c>
      <c r="C250">
        <v>2</v>
      </c>
      <c r="D250">
        <v>9</v>
      </c>
      <c r="E250">
        <v>249</v>
      </c>
      <c r="F250">
        <v>0</v>
      </c>
      <c r="G250">
        <v>0</v>
      </c>
      <c r="I250">
        <v>0</v>
      </c>
      <c r="J250">
        <v>0</v>
      </c>
      <c r="K250">
        <v>0</v>
      </c>
      <c r="L250">
        <v>0</v>
      </c>
      <c r="M250" s="7">
        <v>0</v>
      </c>
      <c r="N250" s="7">
        <v>28.3</v>
      </c>
    </row>
    <row r="251" spans="1:14" ht="19.95" customHeight="1">
      <c r="A251" s="6">
        <v>45176</v>
      </c>
      <c r="B251" t="s">
        <v>65</v>
      </c>
      <c r="C251">
        <v>3</v>
      </c>
      <c r="D251">
        <v>9</v>
      </c>
      <c r="E251">
        <v>250</v>
      </c>
      <c r="F251">
        <v>0</v>
      </c>
      <c r="G251">
        <v>1</v>
      </c>
      <c r="H251" t="s">
        <v>72</v>
      </c>
      <c r="I251">
        <v>0</v>
      </c>
      <c r="J251">
        <v>0</v>
      </c>
      <c r="K251">
        <v>0</v>
      </c>
      <c r="L251">
        <v>0</v>
      </c>
      <c r="M251" s="7">
        <v>0</v>
      </c>
      <c r="N251" s="7">
        <v>28.8</v>
      </c>
    </row>
    <row r="252" spans="1:14" ht="19.95" customHeight="1">
      <c r="A252" s="6">
        <v>45177</v>
      </c>
      <c r="B252" t="s">
        <v>66</v>
      </c>
      <c r="C252">
        <v>4</v>
      </c>
      <c r="D252">
        <v>9</v>
      </c>
      <c r="E252">
        <v>251</v>
      </c>
      <c r="F252">
        <v>0</v>
      </c>
      <c r="G252">
        <v>0</v>
      </c>
      <c r="I252">
        <v>0</v>
      </c>
      <c r="J252">
        <v>0</v>
      </c>
      <c r="K252">
        <v>0</v>
      </c>
      <c r="L252">
        <v>0</v>
      </c>
      <c r="M252" s="7">
        <v>0</v>
      </c>
      <c r="N252" s="7">
        <v>29.4</v>
      </c>
    </row>
    <row r="253" spans="1:14" ht="19.95" customHeight="1">
      <c r="A253" s="6">
        <v>45178</v>
      </c>
      <c r="B253" t="s">
        <v>67</v>
      </c>
      <c r="C253">
        <v>5</v>
      </c>
      <c r="D253">
        <v>9</v>
      </c>
      <c r="E253">
        <v>252</v>
      </c>
      <c r="F253">
        <v>1</v>
      </c>
      <c r="G253">
        <v>0</v>
      </c>
      <c r="I253">
        <v>0</v>
      </c>
      <c r="J253">
        <v>0</v>
      </c>
      <c r="K253">
        <v>0</v>
      </c>
      <c r="L253">
        <v>0</v>
      </c>
      <c r="M253" s="7">
        <v>1.8</v>
      </c>
      <c r="N253" s="7">
        <v>28.5</v>
      </c>
    </row>
    <row r="254" spans="1:14" ht="19.95" customHeight="1">
      <c r="A254" s="6">
        <v>45179</v>
      </c>
      <c r="B254" t="s">
        <v>60</v>
      </c>
      <c r="C254">
        <v>6</v>
      </c>
      <c r="D254">
        <v>9</v>
      </c>
      <c r="E254">
        <v>253</v>
      </c>
      <c r="F254">
        <v>1</v>
      </c>
      <c r="G254">
        <v>0</v>
      </c>
      <c r="I254">
        <v>0</v>
      </c>
      <c r="J254">
        <v>0</v>
      </c>
      <c r="K254">
        <v>0</v>
      </c>
      <c r="L254">
        <v>0</v>
      </c>
      <c r="M254" s="7">
        <v>0</v>
      </c>
      <c r="N254" s="7">
        <v>29.1</v>
      </c>
    </row>
    <row r="255" spans="1:14" ht="19.95" customHeight="1">
      <c r="A255" s="6">
        <v>45180</v>
      </c>
      <c r="B255" t="s">
        <v>62</v>
      </c>
      <c r="C255">
        <v>0</v>
      </c>
      <c r="D255">
        <v>9</v>
      </c>
      <c r="E255">
        <v>254</v>
      </c>
      <c r="F255">
        <v>0</v>
      </c>
      <c r="G255">
        <v>0</v>
      </c>
      <c r="I255">
        <v>0</v>
      </c>
      <c r="J255">
        <v>0</v>
      </c>
      <c r="K255">
        <v>0</v>
      </c>
      <c r="L255">
        <v>0</v>
      </c>
      <c r="M255" s="7">
        <v>2.1</v>
      </c>
      <c r="N255" s="7">
        <v>28.5</v>
      </c>
    </row>
    <row r="256" spans="1:14" ht="19.95" customHeight="1">
      <c r="A256" s="6">
        <v>45181</v>
      </c>
      <c r="B256" t="s">
        <v>63</v>
      </c>
      <c r="C256">
        <v>1</v>
      </c>
      <c r="D256">
        <v>9</v>
      </c>
      <c r="E256">
        <v>255</v>
      </c>
      <c r="F256">
        <v>0</v>
      </c>
      <c r="G256">
        <v>0</v>
      </c>
      <c r="I256">
        <v>0</v>
      </c>
      <c r="J256">
        <v>0</v>
      </c>
      <c r="K256">
        <v>0</v>
      </c>
      <c r="L256">
        <v>0</v>
      </c>
      <c r="M256" s="7">
        <v>1.7</v>
      </c>
      <c r="N256" s="7">
        <v>29.3</v>
      </c>
    </row>
    <row r="257" spans="1:14" ht="19.95" customHeight="1">
      <c r="A257" s="6">
        <v>45182</v>
      </c>
      <c r="B257" t="s">
        <v>64</v>
      </c>
      <c r="C257">
        <v>2</v>
      </c>
      <c r="D257">
        <v>9</v>
      </c>
      <c r="E257">
        <v>256</v>
      </c>
      <c r="F257">
        <v>0</v>
      </c>
      <c r="G257">
        <v>0</v>
      </c>
      <c r="I257">
        <v>0</v>
      </c>
      <c r="J257">
        <v>0</v>
      </c>
      <c r="K257">
        <v>0</v>
      </c>
      <c r="L257">
        <v>0</v>
      </c>
      <c r="M257" s="7">
        <v>0</v>
      </c>
      <c r="N257" s="7">
        <v>28.7</v>
      </c>
    </row>
    <row r="258" spans="1:14" ht="19.95" customHeight="1">
      <c r="A258" s="6">
        <v>45183</v>
      </c>
      <c r="B258" t="s">
        <v>65</v>
      </c>
      <c r="C258">
        <v>3</v>
      </c>
      <c r="D258">
        <v>9</v>
      </c>
      <c r="E258">
        <v>257</v>
      </c>
      <c r="F258">
        <v>0</v>
      </c>
      <c r="G258">
        <v>0</v>
      </c>
      <c r="I258">
        <v>0</v>
      </c>
      <c r="J258">
        <v>0</v>
      </c>
      <c r="K258">
        <v>0</v>
      </c>
      <c r="L258">
        <v>0</v>
      </c>
      <c r="M258" s="7">
        <v>4.7</v>
      </c>
      <c r="N258" s="7">
        <v>29.9</v>
      </c>
    </row>
    <row r="259" spans="1:14" ht="19.95" customHeight="1">
      <c r="A259" s="6">
        <v>45184</v>
      </c>
      <c r="B259" t="s">
        <v>66</v>
      </c>
      <c r="C259">
        <v>4</v>
      </c>
      <c r="D259">
        <v>9</v>
      </c>
      <c r="E259">
        <v>258</v>
      </c>
      <c r="F259">
        <v>0</v>
      </c>
      <c r="G259">
        <v>0</v>
      </c>
      <c r="I259">
        <v>0</v>
      </c>
      <c r="J259">
        <v>0</v>
      </c>
      <c r="K259">
        <v>0</v>
      </c>
      <c r="L259">
        <v>0</v>
      </c>
      <c r="M259" s="7">
        <v>0</v>
      </c>
      <c r="N259" s="7">
        <v>28.7</v>
      </c>
    </row>
    <row r="260" spans="1:14" ht="19.95" customHeight="1">
      <c r="A260" s="6">
        <v>45185</v>
      </c>
      <c r="B260" t="s">
        <v>67</v>
      </c>
      <c r="C260">
        <v>5</v>
      </c>
      <c r="D260">
        <v>9</v>
      </c>
      <c r="E260">
        <v>259</v>
      </c>
      <c r="F260">
        <v>1</v>
      </c>
      <c r="G260">
        <v>0</v>
      </c>
      <c r="I260">
        <v>0</v>
      </c>
      <c r="J260">
        <v>0</v>
      </c>
      <c r="K260">
        <v>0</v>
      </c>
      <c r="L260">
        <v>0</v>
      </c>
      <c r="M260" s="7">
        <v>0</v>
      </c>
      <c r="N260" s="7">
        <v>30</v>
      </c>
    </row>
    <row r="261" spans="1:14" ht="19.95" customHeight="1">
      <c r="A261" s="6">
        <v>45186</v>
      </c>
      <c r="B261" t="s">
        <v>60</v>
      </c>
      <c r="C261">
        <v>6</v>
      </c>
      <c r="D261">
        <v>9</v>
      </c>
      <c r="E261">
        <v>260</v>
      </c>
      <c r="F261">
        <v>1</v>
      </c>
      <c r="G261">
        <v>0</v>
      </c>
      <c r="I261">
        <v>0</v>
      </c>
      <c r="J261">
        <v>0</v>
      </c>
      <c r="K261">
        <v>0</v>
      </c>
      <c r="L261">
        <v>0</v>
      </c>
      <c r="M261" s="7">
        <v>0.7</v>
      </c>
      <c r="N261" s="7">
        <v>28.9</v>
      </c>
    </row>
    <row r="262" spans="1:14" ht="19.95" customHeight="1">
      <c r="A262" s="6">
        <v>45187</v>
      </c>
      <c r="B262" t="s">
        <v>62</v>
      </c>
      <c r="C262">
        <v>0</v>
      </c>
      <c r="D262">
        <v>9</v>
      </c>
      <c r="E262">
        <v>261</v>
      </c>
      <c r="F262">
        <v>0</v>
      </c>
      <c r="G262">
        <v>0</v>
      </c>
      <c r="I262">
        <v>0</v>
      </c>
      <c r="J262">
        <v>0</v>
      </c>
      <c r="K262">
        <v>0</v>
      </c>
      <c r="L262">
        <v>0</v>
      </c>
      <c r="M262" s="7">
        <v>2.7</v>
      </c>
      <c r="N262" s="7">
        <v>29</v>
      </c>
    </row>
    <row r="263" spans="1:14" ht="19.95" customHeight="1">
      <c r="A263" s="6">
        <v>45188</v>
      </c>
      <c r="B263" t="s">
        <v>63</v>
      </c>
      <c r="C263">
        <v>1</v>
      </c>
      <c r="D263">
        <v>9</v>
      </c>
      <c r="E263">
        <v>262</v>
      </c>
      <c r="F263">
        <v>0</v>
      </c>
      <c r="G263">
        <v>0</v>
      </c>
      <c r="I263">
        <v>0</v>
      </c>
      <c r="J263">
        <v>0</v>
      </c>
      <c r="K263">
        <v>0</v>
      </c>
      <c r="L263">
        <v>0</v>
      </c>
      <c r="M263" s="7">
        <v>1.1000000000000001</v>
      </c>
      <c r="N263" s="7">
        <v>29.7</v>
      </c>
    </row>
    <row r="264" spans="1:14" ht="19.95" customHeight="1">
      <c r="A264" s="6">
        <v>45189</v>
      </c>
      <c r="B264" t="s">
        <v>64</v>
      </c>
      <c r="C264">
        <v>2</v>
      </c>
      <c r="D264">
        <v>9</v>
      </c>
      <c r="E264">
        <v>263</v>
      </c>
      <c r="F264">
        <v>0</v>
      </c>
      <c r="G264">
        <v>0</v>
      </c>
      <c r="I264">
        <v>0</v>
      </c>
      <c r="J264">
        <v>0</v>
      </c>
      <c r="K264">
        <v>0</v>
      </c>
      <c r="L264">
        <v>0</v>
      </c>
      <c r="M264" s="7">
        <v>0.3</v>
      </c>
      <c r="N264" s="7">
        <v>30.6</v>
      </c>
    </row>
    <row r="265" spans="1:14" ht="19.95" customHeight="1">
      <c r="A265" s="6">
        <v>45190</v>
      </c>
      <c r="B265" t="s">
        <v>65</v>
      </c>
      <c r="C265">
        <v>3</v>
      </c>
      <c r="D265">
        <v>9</v>
      </c>
      <c r="E265">
        <v>264</v>
      </c>
      <c r="F265">
        <v>0</v>
      </c>
      <c r="G265">
        <v>0</v>
      </c>
      <c r="I265">
        <v>0</v>
      </c>
      <c r="J265">
        <v>0</v>
      </c>
      <c r="K265">
        <v>0</v>
      </c>
      <c r="L265">
        <v>0</v>
      </c>
      <c r="M265" s="7">
        <v>0</v>
      </c>
      <c r="N265" s="7">
        <v>29</v>
      </c>
    </row>
    <row r="266" spans="1:14" ht="19.95" customHeight="1">
      <c r="A266" s="6">
        <v>45191</v>
      </c>
      <c r="B266" t="s">
        <v>66</v>
      </c>
      <c r="C266">
        <v>4</v>
      </c>
      <c r="D266">
        <v>9</v>
      </c>
      <c r="E266">
        <v>265</v>
      </c>
      <c r="F266">
        <v>0</v>
      </c>
      <c r="G266">
        <v>0</v>
      </c>
      <c r="I266">
        <v>0</v>
      </c>
      <c r="J266">
        <v>0</v>
      </c>
      <c r="K266">
        <v>0</v>
      </c>
      <c r="L266">
        <v>0</v>
      </c>
      <c r="M266" s="7">
        <v>1.3</v>
      </c>
      <c r="N266" s="7">
        <v>29.3</v>
      </c>
    </row>
    <row r="267" spans="1:14" ht="19.95" customHeight="1">
      <c r="A267" s="6">
        <v>45192</v>
      </c>
      <c r="B267" t="s">
        <v>67</v>
      </c>
      <c r="C267">
        <v>5</v>
      </c>
      <c r="D267">
        <v>9</v>
      </c>
      <c r="E267">
        <v>266</v>
      </c>
      <c r="F267">
        <v>1</v>
      </c>
      <c r="G267">
        <v>0</v>
      </c>
      <c r="I267">
        <v>0</v>
      </c>
      <c r="J267">
        <v>0</v>
      </c>
      <c r="K267">
        <v>0</v>
      </c>
      <c r="L267">
        <v>0</v>
      </c>
      <c r="M267" s="7">
        <v>4</v>
      </c>
      <c r="N267" s="7">
        <v>29.4</v>
      </c>
    </row>
    <row r="268" spans="1:14" ht="19.95" customHeight="1">
      <c r="A268" s="6">
        <v>45193</v>
      </c>
      <c r="B268" t="s">
        <v>60</v>
      </c>
      <c r="C268">
        <v>6</v>
      </c>
      <c r="D268">
        <v>9</v>
      </c>
      <c r="E268">
        <v>267</v>
      </c>
      <c r="F268">
        <v>1</v>
      </c>
      <c r="G268">
        <v>0</v>
      </c>
      <c r="I268">
        <v>0</v>
      </c>
      <c r="J268">
        <v>0</v>
      </c>
      <c r="K268">
        <v>0</v>
      </c>
      <c r="L268">
        <v>0</v>
      </c>
      <c r="M268" s="7">
        <v>1</v>
      </c>
      <c r="N268" s="7">
        <v>28.5</v>
      </c>
    </row>
    <row r="269" spans="1:14" ht="19.95" customHeight="1">
      <c r="A269" s="6">
        <v>45194</v>
      </c>
      <c r="B269" t="s">
        <v>62</v>
      </c>
      <c r="C269">
        <v>0</v>
      </c>
      <c r="D269">
        <v>9</v>
      </c>
      <c r="E269">
        <v>268</v>
      </c>
      <c r="F269">
        <v>0</v>
      </c>
      <c r="G269">
        <v>0</v>
      </c>
      <c r="I269">
        <v>0</v>
      </c>
      <c r="J269">
        <v>0</v>
      </c>
      <c r="K269">
        <v>0</v>
      </c>
      <c r="L269">
        <v>0</v>
      </c>
      <c r="M269" s="7">
        <v>0.8</v>
      </c>
      <c r="N269" s="7">
        <v>30.6</v>
      </c>
    </row>
    <row r="270" spans="1:14" ht="19.95" customHeight="1">
      <c r="A270" s="6">
        <v>45195</v>
      </c>
      <c r="B270" t="s">
        <v>63</v>
      </c>
      <c r="C270">
        <v>1</v>
      </c>
      <c r="D270">
        <v>9</v>
      </c>
      <c r="E270">
        <v>269</v>
      </c>
      <c r="F270">
        <v>0</v>
      </c>
      <c r="G270">
        <v>0</v>
      </c>
      <c r="I270">
        <v>0</v>
      </c>
      <c r="J270">
        <v>0</v>
      </c>
      <c r="K270">
        <v>0</v>
      </c>
      <c r="L270">
        <v>0</v>
      </c>
      <c r="M270" s="7">
        <v>0.1</v>
      </c>
      <c r="N270" s="7">
        <v>29.4</v>
      </c>
    </row>
    <row r="271" spans="1:14" ht="19.95" customHeight="1">
      <c r="A271" s="6">
        <v>45196</v>
      </c>
      <c r="B271" t="s">
        <v>64</v>
      </c>
      <c r="C271">
        <v>2</v>
      </c>
      <c r="D271">
        <v>9</v>
      </c>
      <c r="E271">
        <v>270</v>
      </c>
      <c r="F271">
        <v>0</v>
      </c>
      <c r="G271">
        <v>0</v>
      </c>
      <c r="I271">
        <v>0</v>
      </c>
      <c r="J271">
        <v>0</v>
      </c>
      <c r="K271">
        <v>0</v>
      </c>
      <c r="L271">
        <v>0</v>
      </c>
      <c r="M271" s="7">
        <v>1.2</v>
      </c>
      <c r="N271" s="7">
        <v>30.1</v>
      </c>
    </row>
    <row r="272" spans="1:14" ht="19.95" customHeight="1">
      <c r="A272" s="6">
        <v>45197</v>
      </c>
      <c r="B272" t="s">
        <v>65</v>
      </c>
      <c r="C272">
        <v>3</v>
      </c>
      <c r="D272">
        <v>9</v>
      </c>
      <c r="E272">
        <v>271</v>
      </c>
      <c r="F272">
        <v>0</v>
      </c>
      <c r="G272">
        <v>0</v>
      </c>
      <c r="I272">
        <v>0</v>
      </c>
      <c r="J272">
        <v>0</v>
      </c>
      <c r="K272">
        <v>0</v>
      </c>
      <c r="L272">
        <v>0</v>
      </c>
      <c r="M272" s="7">
        <v>0.9</v>
      </c>
      <c r="N272" s="7">
        <v>28.6</v>
      </c>
    </row>
    <row r="273" spans="1:14" ht="19.95" customHeight="1">
      <c r="A273" s="6">
        <v>45198</v>
      </c>
      <c r="B273" t="s">
        <v>66</v>
      </c>
      <c r="C273">
        <v>4</v>
      </c>
      <c r="D273">
        <v>9</v>
      </c>
      <c r="E273">
        <v>272</v>
      </c>
      <c r="F273">
        <v>0</v>
      </c>
      <c r="G273">
        <v>0</v>
      </c>
      <c r="I273">
        <v>0</v>
      </c>
      <c r="J273">
        <v>0</v>
      </c>
      <c r="K273">
        <v>0</v>
      </c>
      <c r="L273">
        <v>0</v>
      </c>
      <c r="M273" s="7">
        <v>5.4</v>
      </c>
      <c r="N273" s="7">
        <v>29.4</v>
      </c>
    </row>
    <row r="274" spans="1:14" ht="19.95" customHeight="1">
      <c r="A274" s="6">
        <v>45199</v>
      </c>
      <c r="B274" t="s">
        <v>67</v>
      </c>
      <c r="C274">
        <v>5</v>
      </c>
      <c r="D274">
        <v>9</v>
      </c>
      <c r="E274">
        <v>273</v>
      </c>
      <c r="F274">
        <v>1</v>
      </c>
      <c r="G274">
        <v>0</v>
      </c>
      <c r="I274">
        <v>0</v>
      </c>
      <c r="J274">
        <v>0</v>
      </c>
      <c r="K274">
        <v>0</v>
      </c>
      <c r="L274">
        <v>0</v>
      </c>
      <c r="M274" s="7">
        <v>2.5</v>
      </c>
      <c r="N274" s="7">
        <v>28.7</v>
      </c>
    </row>
    <row r="275" spans="1:14" ht="19.95" customHeight="1">
      <c r="A275" s="6">
        <v>45200</v>
      </c>
      <c r="B275" t="s">
        <v>60</v>
      </c>
      <c r="C275">
        <v>6</v>
      </c>
      <c r="D275">
        <v>10</v>
      </c>
      <c r="E275">
        <v>274</v>
      </c>
      <c r="F275">
        <v>1</v>
      </c>
      <c r="G275">
        <v>0</v>
      </c>
      <c r="I275">
        <v>0</v>
      </c>
      <c r="J275">
        <v>0</v>
      </c>
      <c r="K275">
        <v>0</v>
      </c>
      <c r="L275">
        <v>0</v>
      </c>
      <c r="M275" s="7">
        <v>0</v>
      </c>
      <c r="N275" s="7">
        <v>29.4</v>
      </c>
    </row>
    <row r="276" spans="1:14" ht="19.95" customHeight="1">
      <c r="A276" s="6">
        <v>45201</v>
      </c>
      <c r="B276" t="s">
        <v>62</v>
      </c>
      <c r="C276">
        <v>0</v>
      </c>
      <c r="D276">
        <v>10</v>
      </c>
      <c r="E276">
        <v>275</v>
      </c>
      <c r="F276">
        <v>0</v>
      </c>
      <c r="G276">
        <v>0</v>
      </c>
      <c r="I276">
        <v>0</v>
      </c>
      <c r="J276">
        <v>0</v>
      </c>
      <c r="K276">
        <v>0</v>
      </c>
      <c r="L276">
        <v>0</v>
      </c>
      <c r="M276" s="7">
        <v>1.8</v>
      </c>
      <c r="N276" s="7">
        <v>28.7</v>
      </c>
    </row>
    <row r="277" spans="1:14" ht="19.95" customHeight="1">
      <c r="A277" s="6">
        <v>45202</v>
      </c>
      <c r="B277" t="s">
        <v>63</v>
      </c>
      <c r="C277">
        <v>1</v>
      </c>
      <c r="D277">
        <v>10</v>
      </c>
      <c r="E277">
        <v>276</v>
      </c>
      <c r="F277">
        <v>0</v>
      </c>
      <c r="G277">
        <v>0</v>
      </c>
      <c r="I277">
        <v>0</v>
      </c>
      <c r="J277">
        <v>0</v>
      </c>
      <c r="K277">
        <v>0</v>
      </c>
      <c r="L277">
        <v>0</v>
      </c>
      <c r="M277" s="7">
        <v>2.2000000000000002</v>
      </c>
      <c r="N277" s="7">
        <v>29.4</v>
      </c>
    </row>
    <row r="278" spans="1:14" ht="19.95" customHeight="1">
      <c r="A278" s="6">
        <v>45203</v>
      </c>
      <c r="B278" t="s">
        <v>64</v>
      </c>
      <c r="C278">
        <v>2</v>
      </c>
      <c r="D278">
        <v>10</v>
      </c>
      <c r="E278">
        <v>277</v>
      </c>
      <c r="F278">
        <v>0</v>
      </c>
      <c r="G278">
        <v>0</v>
      </c>
      <c r="I278">
        <v>0</v>
      </c>
      <c r="J278">
        <v>0</v>
      </c>
      <c r="K278">
        <v>0</v>
      </c>
      <c r="L278">
        <v>0</v>
      </c>
      <c r="M278" s="7">
        <v>1.7</v>
      </c>
      <c r="N278" s="7">
        <v>29.7</v>
      </c>
    </row>
    <row r="279" spans="1:14" ht="19.95" customHeight="1">
      <c r="A279" s="6">
        <v>45204</v>
      </c>
      <c r="B279" t="s">
        <v>65</v>
      </c>
      <c r="C279">
        <v>3</v>
      </c>
      <c r="D279">
        <v>10</v>
      </c>
      <c r="E279">
        <v>278</v>
      </c>
      <c r="F279">
        <v>0</v>
      </c>
      <c r="G279">
        <v>0</v>
      </c>
      <c r="I279">
        <v>0</v>
      </c>
      <c r="J279">
        <v>0</v>
      </c>
      <c r="K279">
        <v>0</v>
      </c>
      <c r="L279">
        <v>0</v>
      </c>
      <c r="M279" s="7">
        <v>1.6</v>
      </c>
      <c r="N279" s="7">
        <v>30.1</v>
      </c>
    </row>
    <row r="280" spans="1:14" ht="19.95" customHeight="1">
      <c r="A280" s="6">
        <v>45205</v>
      </c>
      <c r="B280" t="s">
        <v>66</v>
      </c>
      <c r="C280">
        <v>4</v>
      </c>
      <c r="D280">
        <v>10</v>
      </c>
      <c r="E280">
        <v>279</v>
      </c>
      <c r="F280">
        <v>0</v>
      </c>
      <c r="G280">
        <v>0</v>
      </c>
      <c r="I280">
        <v>0</v>
      </c>
      <c r="J280">
        <v>0</v>
      </c>
      <c r="K280">
        <v>0</v>
      </c>
      <c r="L280">
        <v>0</v>
      </c>
      <c r="M280" s="7">
        <v>4.2</v>
      </c>
      <c r="N280" s="7">
        <v>31.1</v>
      </c>
    </row>
    <row r="281" spans="1:14" ht="19.95" customHeight="1">
      <c r="A281" s="6">
        <v>45206</v>
      </c>
      <c r="B281" t="s">
        <v>67</v>
      </c>
      <c r="C281">
        <v>5</v>
      </c>
      <c r="D281">
        <v>10</v>
      </c>
      <c r="E281">
        <v>280</v>
      </c>
      <c r="F281">
        <v>1</v>
      </c>
      <c r="G281">
        <v>0</v>
      </c>
      <c r="I281">
        <v>0</v>
      </c>
      <c r="J281">
        <v>0</v>
      </c>
      <c r="K281">
        <v>0</v>
      </c>
      <c r="L281">
        <v>0</v>
      </c>
      <c r="M281" s="7">
        <v>0</v>
      </c>
      <c r="N281" s="7">
        <v>30.1</v>
      </c>
    </row>
    <row r="282" spans="1:14" ht="19.95" customHeight="1">
      <c r="A282" s="6">
        <v>45207</v>
      </c>
      <c r="B282" t="s">
        <v>60</v>
      </c>
      <c r="C282">
        <v>6</v>
      </c>
      <c r="D282">
        <v>10</v>
      </c>
      <c r="E282">
        <v>281</v>
      </c>
      <c r="F282">
        <v>1</v>
      </c>
      <c r="G282">
        <v>0</v>
      </c>
      <c r="I282">
        <v>0</v>
      </c>
      <c r="J282">
        <v>0</v>
      </c>
      <c r="K282">
        <v>0</v>
      </c>
      <c r="L282">
        <v>0</v>
      </c>
      <c r="M282" s="7">
        <v>0.6</v>
      </c>
      <c r="N282" s="7">
        <v>29.4</v>
      </c>
    </row>
    <row r="283" spans="1:14" ht="19.95" customHeight="1">
      <c r="A283" s="6">
        <v>45208</v>
      </c>
      <c r="B283" t="s">
        <v>62</v>
      </c>
      <c r="C283">
        <v>0</v>
      </c>
      <c r="D283">
        <v>10</v>
      </c>
      <c r="E283">
        <v>282</v>
      </c>
      <c r="F283">
        <v>0</v>
      </c>
      <c r="G283">
        <v>0</v>
      </c>
      <c r="I283">
        <v>0</v>
      </c>
      <c r="J283">
        <v>0</v>
      </c>
      <c r="K283">
        <v>0</v>
      </c>
      <c r="L283">
        <v>0</v>
      </c>
      <c r="M283" s="7">
        <v>4</v>
      </c>
      <c r="N283" s="7">
        <v>29.9</v>
      </c>
    </row>
    <row r="284" spans="1:14" ht="19.95" customHeight="1">
      <c r="A284" s="6">
        <v>45209</v>
      </c>
      <c r="B284" t="s">
        <v>63</v>
      </c>
      <c r="C284">
        <v>1</v>
      </c>
      <c r="D284">
        <v>10</v>
      </c>
      <c r="E284">
        <v>283</v>
      </c>
      <c r="F284">
        <v>0</v>
      </c>
      <c r="G284">
        <v>0</v>
      </c>
      <c r="I284">
        <v>0</v>
      </c>
      <c r="J284">
        <v>0</v>
      </c>
      <c r="K284">
        <v>0</v>
      </c>
      <c r="L284">
        <v>0</v>
      </c>
      <c r="M284" s="7">
        <v>5.0999999999999996</v>
      </c>
      <c r="N284" s="7">
        <v>29.5</v>
      </c>
    </row>
    <row r="285" spans="1:14" ht="19.95" customHeight="1">
      <c r="A285" s="6">
        <v>45210</v>
      </c>
      <c r="B285" t="s">
        <v>64</v>
      </c>
      <c r="C285">
        <v>2</v>
      </c>
      <c r="D285">
        <v>10</v>
      </c>
      <c r="E285">
        <v>284</v>
      </c>
      <c r="F285">
        <v>0</v>
      </c>
      <c r="G285">
        <v>0</v>
      </c>
      <c r="I285">
        <v>0</v>
      </c>
      <c r="J285">
        <v>0</v>
      </c>
      <c r="K285">
        <v>0</v>
      </c>
      <c r="L285">
        <v>0</v>
      </c>
      <c r="M285" s="7">
        <v>3.5</v>
      </c>
      <c r="N285" s="7">
        <v>28.8</v>
      </c>
    </row>
    <row r="286" spans="1:14" ht="19.95" customHeight="1">
      <c r="A286" s="6">
        <v>45211</v>
      </c>
      <c r="B286" t="s">
        <v>65</v>
      </c>
      <c r="C286">
        <v>3</v>
      </c>
      <c r="D286">
        <v>10</v>
      </c>
      <c r="E286">
        <v>285</v>
      </c>
      <c r="F286">
        <v>0</v>
      </c>
      <c r="G286">
        <v>1</v>
      </c>
      <c r="H286" t="s">
        <v>73</v>
      </c>
      <c r="I286">
        <v>0</v>
      </c>
      <c r="J286">
        <v>0</v>
      </c>
      <c r="K286">
        <v>0</v>
      </c>
      <c r="L286">
        <v>0</v>
      </c>
      <c r="M286" s="7">
        <v>0</v>
      </c>
      <c r="N286" s="7">
        <v>28.1</v>
      </c>
    </row>
    <row r="287" spans="1:14" ht="19.95" customHeight="1">
      <c r="A287" s="6">
        <v>45212</v>
      </c>
      <c r="B287" t="s">
        <v>66</v>
      </c>
      <c r="C287">
        <v>4</v>
      </c>
      <c r="D287">
        <v>10</v>
      </c>
      <c r="E287">
        <v>286</v>
      </c>
      <c r="F287">
        <v>0</v>
      </c>
      <c r="G287">
        <v>0</v>
      </c>
      <c r="I287">
        <v>0</v>
      </c>
      <c r="J287">
        <v>0</v>
      </c>
      <c r="K287">
        <v>0</v>
      </c>
      <c r="L287">
        <v>0</v>
      </c>
      <c r="M287" s="7">
        <v>0</v>
      </c>
      <c r="N287" s="7">
        <v>29.7</v>
      </c>
    </row>
    <row r="288" spans="1:14" ht="19.95" customHeight="1">
      <c r="A288" s="6">
        <v>45213</v>
      </c>
      <c r="B288" t="s">
        <v>67</v>
      </c>
      <c r="C288">
        <v>5</v>
      </c>
      <c r="D288">
        <v>10</v>
      </c>
      <c r="E288">
        <v>287</v>
      </c>
      <c r="F288">
        <v>1</v>
      </c>
      <c r="G288">
        <v>0</v>
      </c>
      <c r="I288">
        <v>0</v>
      </c>
      <c r="J288">
        <v>0</v>
      </c>
      <c r="K288">
        <v>0</v>
      </c>
      <c r="L288">
        <v>0</v>
      </c>
      <c r="M288" s="7">
        <v>0</v>
      </c>
      <c r="N288" s="7">
        <v>30.6</v>
      </c>
    </row>
    <row r="289" spans="1:14" ht="19.95" customHeight="1">
      <c r="A289" s="6">
        <v>45214</v>
      </c>
      <c r="B289" t="s">
        <v>60</v>
      </c>
      <c r="C289">
        <v>6</v>
      </c>
      <c r="D289">
        <v>10</v>
      </c>
      <c r="E289">
        <v>288</v>
      </c>
      <c r="F289">
        <v>1</v>
      </c>
      <c r="G289">
        <v>0</v>
      </c>
      <c r="I289">
        <v>0</v>
      </c>
      <c r="J289">
        <v>0</v>
      </c>
      <c r="K289">
        <v>0</v>
      </c>
      <c r="L289">
        <v>0</v>
      </c>
      <c r="M289" s="7">
        <v>1</v>
      </c>
      <c r="N289" s="7">
        <v>30.8</v>
      </c>
    </row>
    <row r="290" spans="1:14" ht="19.95" customHeight="1">
      <c r="A290" s="6">
        <v>45215</v>
      </c>
      <c r="B290" t="s">
        <v>62</v>
      </c>
      <c r="C290">
        <v>0</v>
      </c>
      <c r="D290">
        <v>10</v>
      </c>
      <c r="E290">
        <v>289</v>
      </c>
      <c r="F290">
        <v>0</v>
      </c>
      <c r="G290">
        <v>0</v>
      </c>
      <c r="I290">
        <v>0</v>
      </c>
      <c r="J290">
        <v>0</v>
      </c>
      <c r="K290">
        <v>0</v>
      </c>
      <c r="L290">
        <v>0</v>
      </c>
      <c r="M290" s="7">
        <v>3.6</v>
      </c>
      <c r="N290" s="7">
        <v>29.8</v>
      </c>
    </row>
    <row r="291" spans="1:14" ht="19.95" customHeight="1">
      <c r="A291" s="6">
        <v>45216</v>
      </c>
      <c r="B291" t="s">
        <v>63</v>
      </c>
      <c r="C291">
        <v>1</v>
      </c>
      <c r="D291">
        <v>10</v>
      </c>
      <c r="E291">
        <v>290</v>
      </c>
      <c r="F291">
        <v>0</v>
      </c>
      <c r="G291">
        <v>0</v>
      </c>
      <c r="I291">
        <v>0</v>
      </c>
      <c r="J291">
        <v>0</v>
      </c>
      <c r="K291">
        <v>0</v>
      </c>
      <c r="L291">
        <v>0</v>
      </c>
      <c r="M291" s="7">
        <v>5.3</v>
      </c>
      <c r="N291" s="7">
        <v>29.1</v>
      </c>
    </row>
    <row r="292" spans="1:14" ht="19.95" customHeight="1">
      <c r="A292" s="6">
        <v>45217</v>
      </c>
      <c r="B292" t="s">
        <v>64</v>
      </c>
      <c r="C292">
        <v>2</v>
      </c>
      <c r="D292">
        <v>10</v>
      </c>
      <c r="E292">
        <v>291</v>
      </c>
      <c r="F292">
        <v>0</v>
      </c>
      <c r="G292">
        <v>0</v>
      </c>
      <c r="I292">
        <v>0</v>
      </c>
      <c r="J292">
        <v>0</v>
      </c>
      <c r="K292">
        <v>0</v>
      </c>
      <c r="L292">
        <v>0</v>
      </c>
      <c r="M292" s="7">
        <v>2.5</v>
      </c>
      <c r="N292" s="7">
        <v>29.7</v>
      </c>
    </row>
    <row r="293" spans="1:14" ht="19.95" customHeight="1">
      <c r="A293" s="6">
        <v>45218</v>
      </c>
      <c r="B293" t="s">
        <v>65</v>
      </c>
      <c r="C293">
        <v>3</v>
      </c>
      <c r="D293">
        <v>10</v>
      </c>
      <c r="E293">
        <v>292</v>
      </c>
      <c r="F293">
        <v>0</v>
      </c>
      <c r="G293">
        <v>0</v>
      </c>
      <c r="I293">
        <v>0</v>
      </c>
      <c r="J293">
        <v>0</v>
      </c>
      <c r="K293">
        <v>0</v>
      </c>
      <c r="L293">
        <v>0</v>
      </c>
      <c r="M293" s="7">
        <v>2.4</v>
      </c>
      <c r="N293" s="7">
        <v>30</v>
      </c>
    </row>
    <row r="294" spans="1:14" ht="19.95" customHeight="1">
      <c r="A294" s="6">
        <v>45219</v>
      </c>
      <c r="B294" t="s">
        <v>66</v>
      </c>
      <c r="C294">
        <v>4</v>
      </c>
      <c r="D294">
        <v>10</v>
      </c>
      <c r="E294">
        <v>293</v>
      </c>
      <c r="F294">
        <v>0</v>
      </c>
      <c r="G294">
        <v>0</v>
      </c>
      <c r="I294">
        <v>0</v>
      </c>
      <c r="J294">
        <v>0</v>
      </c>
      <c r="K294">
        <v>0</v>
      </c>
      <c r="L294">
        <v>0</v>
      </c>
      <c r="M294" s="7">
        <v>1</v>
      </c>
      <c r="N294" s="7">
        <v>29.9</v>
      </c>
    </row>
    <row r="295" spans="1:14" ht="19.95" customHeight="1">
      <c r="A295" s="6">
        <v>45220</v>
      </c>
      <c r="B295" t="s">
        <v>67</v>
      </c>
      <c r="C295">
        <v>5</v>
      </c>
      <c r="D295">
        <v>10</v>
      </c>
      <c r="E295">
        <v>294</v>
      </c>
      <c r="F295">
        <v>1</v>
      </c>
      <c r="G295">
        <v>0</v>
      </c>
      <c r="I295">
        <v>0</v>
      </c>
      <c r="J295">
        <v>0</v>
      </c>
      <c r="K295">
        <v>0</v>
      </c>
      <c r="L295">
        <v>0</v>
      </c>
      <c r="M295" s="7">
        <v>0</v>
      </c>
      <c r="N295" s="7">
        <v>31.1</v>
      </c>
    </row>
    <row r="296" spans="1:14" ht="19.95" customHeight="1">
      <c r="A296" s="6">
        <v>45221</v>
      </c>
      <c r="B296" t="s">
        <v>60</v>
      </c>
      <c r="C296">
        <v>6</v>
      </c>
      <c r="D296">
        <v>10</v>
      </c>
      <c r="E296">
        <v>295</v>
      </c>
      <c r="F296">
        <v>1</v>
      </c>
      <c r="G296">
        <v>0</v>
      </c>
      <c r="I296">
        <v>0</v>
      </c>
      <c r="J296">
        <v>0</v>
      </c>
      <c r="K296">
        <v>0</v>
      </c>
      <c r="L296">
        <v>0</v>
      </c>
      <c r="M296" s="7">
        <v>0.6</v>
      </c>
      <c r="N296" s="7">
        <v>29.4</v>
      </c>
    </row>
    <row r="297" spans="1:14" ht="19.95" customHeight="1">
      <c r="A297" s="6">
        <v>45222</v>
      </c>
      <c r="B297" t="s">
        <v>62</v>
      </c>
      <c r="C297">
        <v>0</v>
      </c>
      <c r="D297">
        <v>10</v>
      </c>
      <c r="E297">
        <v>296</v>
      </c>
      <c r="F297">
        <v>0</v>
      </c>
      <c r="G297">
        <v>0</v>
      </c>
      <c r="I297">
        <v>0</v>
      </c>
      <c r="J297">
        <v>0</v>
      </c>
      <c r="K297">
        <v>0</v>
      </c>
      <c r="L297">
        <v>0</v>
      </c>
      <c r="M297" s="7">
        <v>2.6</v>
      </c>
      <c r="N297" s="7">
        <v>27.5</v>
      </c>
    </row>
    <row r="298" spans="1:14" ht="19.95" customHeight="1">
      <c r="A298" s="6">
        <v>45223</v>
      </c>
      <c r="B298" t="s">
        <v>63</v>
      </c>
      <c r="C298">
        <v>1</v>
      </c>
      <c r="D298">
        <v>10</v>
      </c>
      <c r="E298">
        <v>297</v>
      </c>
      <c r="F298">
        <v>0</v>
      </c>
      <c r="G298">
        <v>0</v>
      </c>
      <c r="I298">
        <v>0</v>
      </c>
      <c r="J298">
        <v>0</v>
      </c>
      <c r="K298">
        <v>0</v>
      </c>
      <c r="L298">
        <v>0</v>
      </c>
      <c r="M298" s="7">
        <v>0</v>
      </c>
      <c r="N298" s="7">
        <v>28.8</v>
      </c>
    </row>
    <row r="299" spans="1:14" ht="19.95" customHeight="1">
      <c r="A299" s="6">
        <v>45224</v>
      </c>
      <c r="B299" t="s">
        <v>64</v>
      </c>
      <c r="C299">
        <v>2</v>
      </c>
      <c r="D299">
        <v>10</v>
      </c>
      <c r="E299">
        <v>298</v>
      </c>
      <c r="F299">
        <v>0</v>
      </c>
      <c r="G299">
        <v>0</v>
      </c>
      <c r="I299">
        <v>0</v>
      </c>
      <c r="J299">
        <v>0</v>
      </c>
      <c r="K299">
        <v>0</v>
      </c>
      <c r="L299">
        <v>0</v>
      </c>
      <c r="M299" s="7">
        <v>1.1000000000000001</v>
      </c>
      <c r="N299" s="7">
        <v>30.9</v>
      </c>
    </row>
    <row r="300" spans="1:14" ht="19.95" customHeight="1">
      <c r="A300" s="6">
        <v>45225</v>
      </c>
      <c r="B300" t="s">
        <v>65</v>
      </c>
      <c r="C300">
        <v>3</v>
      </c>
      <c r="D300">
        <v>10</v>
      </c>
      <c r="E300">
        <v>299</v>
      </c>
      <c r="F300">
        <v>0</v>
      </c>
      <c r="G300">
        <v>0</v>
      </c>
      <c r="I300">
        <v>0</v>
      </c>
      <c r="J300">
        <v>0</v>
      </c>
      <c r="K300">
        <v>0</v>
      </c>
      <c r="L300">
        <v>0</v>
      </c>
      <c r="M300" s="7">
        <v>1.4</v>
      </c>
      <c r="N300" s="7">
        <v>27.6</v>
      </c>
    </row>
    <row r="301" spans="1:14" ht="19.95" customHeight="1">
      <c r="A301" s="6">
        <v>45226</v>
      </c>
      <c r="B301" t="s">
        <v>66</v>
      </c>
      <c r="C301">
        <v>4</v>
      </c>
      <c r="D301">
        <v>10</v>
      </c>
      <c r="E301">
        <v>300</v>
      </c>
      <c r="F301">
        <v>0</v>
      </c>
      <c r="G301">
        <v>0</v>
      </c>
      <c r="I301">
        <v>0</v>
      </c>
      <c r="J301">
        <v>0</v>
      </c>
      <c r="K301">
        <v>0</v>
      </c>
      <c r="L301">
        <v>0</v>
      </c>
      <c r="M301" s="7">
        <v>2.1</v>
      </c>
      <c r="N301" s="7">
        <v>30.1</v>
      </c>
    </row>
    <row r="302" spans="1:14" ht="19.95" customHeight="1">
      <c r="A302" s="6">
        <v>45227</v>
      </c>
      <c r="B302" t="s">
        <v>67</v>
      </c>
      <c r="C302">
        <v>5</v>
      </c>
      <c r="D302">
        <v>10</v>
      </c>
      <c r="E302">
        <v>301</v>
      </c>
      <c r="F302">
        <v>1</v>
      </c>
      <c r="G302">
        <v>0</v>
      </c>
      <c r="I302">
        <v>0</v>
      </c>
      <c r="J302">
        <v>0</v>
      </c>
      <c r="K302">
        <v>0</v>
      </c>
      <c r="L302">
        <v>0</v>
      </c>
      <c r="M302" s="7">
        <v>3.2</v>
      </c>
      <c r="N302" s="7">
        <v>28.6</v>
      </c>
    </row>
    <row r="303" spans="1:14" ht="19.95" customHeight="1">
      <c r="A303" s="6">
        <v>45228</v>
      </c>
      <c r="B303" t="s">
        <v>60</v>
      </c>
      <c r="C303">
        <v>6</v>
      </c>
      <c r="D303">
        <v>10</v>
      </c>
      <c r="E303">
        <v>302</v>
      </c>
      <c r="F303">
        <v>1</v>
      </c>
      <c r="G303">
        <v>0</v>
      </c>
      <c r="I303">
        <v>0</v>
      </c>
      <c r="J303">
        <v>0</v>
      </c>
      <c r="K303">
        <v>0</v>
      </c>
      <c r="L303">
        <v>0</v>
      </c>
      <c r="M303" s="7">
        <v>0</v>
      </c>
      <c r="N303" s="7">
        <v>28.9</v>
      </c>
    </row>
    <row r="304" spans="1:14" ht="19.95" customHeight="1">
      <c r="A304" s="6">
        <v>45229</v>
      </c>
      <c r="B304" t="s">
        <v>62</v>
      </c>
      <c r="C304">
        <v>0</v>
      </c>
      <c r="D304">
        <v>10</v>
      </c>
      <c r="E304">
        <v>303</v>
      </c>
      <c r="F304">
        <v>0</v>
      </c>
      <c r="G304">
        <v>0</v>
      </c>
      <c r="I304">
        <v>0</v>
      </c>
      <c r="J304">
        <v>0</v>
      </c>
      <c r="K304">
        <v>0</v>
      </c>
      <c r="L304">
        <v>0</v>
      </c>
      <c r="M304" s="7">
        <v>1.9</v>
      </c>
      <c r="N304" s="7">
        <v>29.7</v>
      </c>
    </row>
    <row r="305" spans="1:14" ht="19.95" customHeight="1">
      <c r="A305" s="6">
        <v>45230</v>
      </c>
      <c r="B305" t="s">
        <v>63</v>
      </c>
      <c r="C305">
        <v>1</v>
      </c>
      <c r="D305">
        <v>10</v>
      </c>
      <c r="E305">
        <v>304</v>
      </c>
      <c r="F305">
        <v>0</v>
      </c>
      <c r="G305">
        <v>0</v>
      </c>
      <c r="I305">
        <v>0</v>
      </c>
      <c r="J305">
        <v>0</v>
      </c>
      <c r="K305">
        <v>0</v>
      </c>
      <c r="L305">
        <v>0</v>
      </c>
      <c r="M305" s="7">
        <v>1.7</v>
      </c>
      <c r="N305" s="7">
        <v>29.9</v>
      </c>
    </row>
    <row r="306" spans="1:14" ht="19.95" customHeight="1">
      <c r="A306" s="6">
        <v>45231</v>
      </c>
      <c r="B306" t="s">
        <v>64</v>
      </c>
      <c r="C306">
        <v>2</v>
      </c>
      <c r="D306">
        <v>11</v>
      </c>
      <c r="E306">
        <v>305</v>
      </c>
      <c r="F306">
        <v>0</v>
      </c>
      <c r="G306">
        <v>0</v>
      </c>
      <c r="I306">
        <v>0</v>
      </c>
      <c r="J306">
        <v>0</v>
      </c>
      <c r="K306">
        <v>0</v>
      </c>
      <c r="L306">
        <v>0</v>
      </c>
      <c r="M306" s="7">
        <v>2.2999999999999998</v>
      </c>
      <c r="N306" s="7">
        <v>30.3</v>
      </c>
    </row>
    <row r="307" spans="1:14" ht="19.95" customHeight="1">
      <c r="A307" s="6">
        <v>45232</v>
      </c>
      <c r="B307" t="s">
        <v>65</v>
      </c>
      <c r="C307">
        <v>3</v>
      </c>
      <c r="D307">
        <v>11</v>
      </c>
      <c r="E307">
        <v>306</v>
      </c>
      <c r="F307">
        <v>0</v>
      </c>
      <c r="G307">
        <v>1</v>
      </c>
      <c r="H307" t="s">
        <v>74</v>
      </c>
      <c r="I307">
        <v>0</v>
      </c>
      <c r="J307">
        <v>0</v>
      </c>
      <c r="K307">
        <v>0</v>
      </c>
      <c r="L307">
        <v>0</v>
      </c>
      <c r="M307" s="7">
        <v>0</v>
      </c>
      <c r="N307" s="7">
        <v>28.8</v>
      </c>
    </row>
    <row r="308" spans="1:14" ht="19.95" customHeight="1">
      <c r="A308" s="6">
        <v>45233</v>
      </c>
      <c r="B308" t="s">
        <v>66</v>
      </c>
      <c r="C308">
        <v>4</v>
      </c>
      <c r="D308">
        <v>11</v>
      </c>
      <c r="E308">
        <v>307</v>
      </c>
      <c r="F308">
        <v>0</v>
      </c>
      <c r="G308">
        <v>0</v>
      </c>
      <c r="I308">
        <v>0</v>
      </c>
      <c r="J308">
        <v>0</v>
      </c>
      <c r="K308">
        <v>0</v>
      </c>
      <c r="L308">
        <v>0</v>
      </c>
      <c r="M308" s="7">
        <v>1.7</v>
      </c>
      <c r="N308" s="7">
        <v>28.2</v>
      </c>
    </row>
    <row r="309" spans="1:14" ht="19.95" customHeight="1">
      <c r="A309" s="6">
        <v>45234</v>
      </c>
      <c r="B309" t="s">
        <v>67</v>
      </c>
      <c r="C309">
        <v>5</v>
      </c>
      <c r="D309">
        <v>11</v>
      </c>
      <c r="E309">
        <v>308</v>
      </c>
      <c r="F309">
        <v>1</v>
      </c>
      <c r="G309">
        <v>0</v>
      </c>
      <c r="I309">
        <v>0</v>
      </c>
      <c r="J309">
        <v>0</v>
      </c>
      <c r="K309">
        <v>0</v>
      </c>
      <c r="L309">
        <v>0</v>
      </c>
      <c r="M309" s="7">
        <v>0.5</v>
      </c>
      <c r="N309" s="7">
        <v>30.7</v>
      </c>
    </row>
    <row r="310" spans="1:14" ht="19.95" customHeight="1">
      <c r="A310" s="6">
        <v>45235</v>
      </c>
      <c r="B310" t="s">
        <v>60</v>
      </c>
      <c r="C310">
        <v>6</v>
      </c>
      <c r="D310">
        <v>11</v>
      </c>
      <c r="E310">
        <v>309</v>
      </c>
      <c r="F310">
        <v>1</v>
      </c>
      <c r="G310">
        <v>0</v>
      </c>
      <c r="I310">
        <v>0</v>
      </c>
      <c r="J310">
        <v>0</v>
      </c>
      <c r="K310">
        <v>0</v>
      </c>
      <c r="L310">
        <v>0</v>
      </c>
      <c r="M310" s="7">
        <v>0</v>
      </c>
      <c r="N310" s="7">
        <v>29.8</v>
      </c>
    </row>
    <row r="311" spans="1:14" ht="19.95" customHeight="1">
      <c r="A311" s="6">
        <v>45236</v>
      </c>
      <c r="B311" t="s">
        <v>62</v>
      </c>
      <c r="C311">
        <v>0</v>
      </c>
      <c r="D311">
        <v>11</v>
      </c>
      <c r="E311">
        <v>310</v>
      </c>
      <c r="F311">
        <v>0</v>
      </c>
      <c r="G311">
        <v>0</v>
      </c>
      <c r="I311">
        <v>0</v>
      </c>
      <c r="J311">
        <v>0</v>
      </c>
      <c r="K311">
        <v>0</v>
      </c>
      <c r="L311">
        <v>0</v>
      </c>
      <c r="M311" s="7">
        <v>0</v>
      </c>
      <c r="N311" s="7">
        <v>28.5</v>
      </c>
    </row>
    <row r="312" spans="1:14" ht="19.95" customHeight="1">
      <c r="A312" s="6">
        <v>45237</v>
      </c>
      <c r="B312" t="s">
        <v>63</v>
      </c>
      <c r="C312">
        <v>1</v>
      </c>
      <c r="D312">
        <v>11</v>
      </c>
      <c r="E312">
        <v>311</v>
      </c>
      <c r="F312">
        <v>0</v>
      </c>
      <c r="G312">
        <v>0</v>
      </c>
      <c r="I312">
        <v>0</v>
      </c>
      <c r="J312">
        <v>0</v>
      </c>
      <c r="K312">
        <v>0</v>
      </c>
      <c r="L312">
        <v>0</v>
      </c>
      <c r="M312" s="7">
        <v>0</v>
      </c>
      <c r="N312" s="7">
        <v>29.6</v>
      </c>
    </row>
    <row r="313" spans="1:14" ht="19.95" customHeight="1">
      <c r="A313" s="6">
        <v>45238</v>
      </c>
      <c r="B313" t="s">
        <v>64</v>
      </c>
      <c r="C313">
        <v>2</v>
      </c>
      <c r="D313">
        <v>11</v>
      </c>
      <c r="E313">
        <v>312</v>
      </c>
      <c r="F313">
        <v>0</v>
      </c>
      <c r="G313">
        <v>0</v>
      </c>
      <c r="I313">
        <v>0</v>
      </c>
      <c r="J313">
        <v>0</v>
      </c>
      <c r="K313">
        <v>0</v>
      </c>
      <c r="L313">
        <v>0</v>
      </c>
      <c r="M313" s="7">
        <v>2.1</v>
      </c>
      <c r="N313" s="7">
        <v>28.9</v>
      </c>
    </row>
    <row r="314" spans="1:14" ht="19.95" customHeight="1">
      <c r="A314" s="6">
        <v>45239</v>
      </c>
      <c r="B314" t="s">
        <v>65</v>
      </c>
      <c r="C314">
        <v>3</v>
      </c>
      <c r="D314">
        <v>11</v>
      </c>
      <c r="E314">
        <v>313</v>
      </c>
      <c r="F314">
        <v>0</v>
      </c>
      <c r="G314">
        <v>0</v>
      </c>
      <c r="I314">
        <v>0</v>
      </c>
      <c r="J314">
        <v>0</v>
      </c>
      <c r="K314">
        <v>0</v>
      </c>
      <c r="L314">
        <v>0</v>
      </c>
      <c r="M314" s="7">
        <v>3.3</v>
      </c>
      <c r="N314" s="7">
        <v>27.6</v>
      </c>
    </row>
    <row r="315" spans="1:14" ht="19.95" customHeight="1">
      <c r="A315" s="6">
        <v>45240</v>
      </c>
      <c r="B315" t="s">
        <v>66</v>
      </c>
      <c r="C315">
        <v>4</v>
      </c>
      <c r="D315">
        <v>11</v>
      </c>
      <c r="E315">
        <v>314</v>
      </c>
      <c r="F315">
        <v>0</v>
      </c>
      <c r="G315">
        <v>0</v>
      </c>
      <c r="I315">
        <v>0</v>
      </c>
      <c r="J315">
        <v>0</v>
      </c>
      <c r="K315">
        <v>0</v>
      </c>
      <c r="L315">
        <v>0</v>
      </c>
      <c r="M315" s="7">
        <v>0</v>
      </c>
      <c r="N315" s="7">
        <v>28.7</v>
      </c>
    </row>
    <row r="316" spans="1:14" ht="19.95" customHeight="1">
      <c r="A316" s="6">
        <v>45241</v>
      </c>
      <c r="B316" t="s">
        <v>67</v>
      </c>
      <c r="C316">
        <v>5</v>
      </c>
      <c r="D316">
        <v>11</v>
      </c>
      <c r="E316">
        <v>315</v>
      </c>
      <c r="F316">
        <v>1</v>
      </c>
      <c r="G316">
        <v>0</v>
      </c>
      <c r="I316">
        <v>0</v>
      </c>
      <c r="J316">
        <v>0</v>
      </c>
      <c r="K316">
        <v>0</v>
      </c>
      <c r="L316">
        <v>0</v>
      </c>
      <c r="M316" s="7">
        <v>0.3</v>
      </c>
      <c r="N316" s="7">
        <v>29.2</v>
      </c>
    </row>
    <row r="317" spans="1:14" ht="19.95" customHeight="1">
      <c r="A317" s="6">
        <v>45242</v>
      </c>
      <c r="B317" t="s">
        <v>60</v>
      </c>
      <c r="C317">
        <v>6</v>
      </c>
      <c r="D317">
        <v>11</v>
      </c>
      <c r="E317">
        <v>316</v>
      </c>
      <c r="F317">
        <v>1</v>
      </c>
      <c r="G317">
        <v>0</v>
      </c>
      <c r="I317">
        <v>0</v>
      </c>
      <c r="J317">
        <v>0</v>
      </c>
      <c r="K317">
        <v>0</v>
      </c>
      <c r="L317">
        <v>0</v>
      </c>
      <c r="M317" s="7">
        <v>0</v>
      </c>
      <c r="N317" s="7">
        <v>29.4</v>
      </c>
    </row>
    <row r="318" spans="1:14" ht="19.95" customHeight="1">
      <c r="A318" s="6">
        <v>45243</v>
      </c>
      <c r="B318" t="s">
        <v>62</v>
      </c>
      <c r="C318">
        <v>0</v>
      </c>
      <c r="D318">
        <v>11</v>
      </c>
      <c r="E318">
        <v>317</v>
      </c>
      <c r="F318">
        <v>0</v>
      </c>
      <c r="G318">
        <v>0</v>
      </c>
      <c r="I318">
        <v>0</v>
      </c>
      <c r="J318">
        <v>0</v>
      </c>
      <c r="K318">
        <v>0</v>
      </c>
      <c r="L318">
        <v>0</v>
      </c>
      <c r="M318" s="7">
        <v>0</v>
      </c>
      <c r="N318" s="7">
        <v>30.2</v>
      </c>
    </row>
    <row r="319" spans="1:14" ht="19.95" customHeight="1">
      <c r="A319" s="6">
        <v>45244</v>
      </c>
      <c r="B319" t="s">
        <v>63</v>
      </c>
      <c r="C319">
        <v>1</v>
      </c>
      <c r="D319">
        <v>11</v>
      </c>
      <c r="E319">
        <v>318</v>
      </c>
      <c r="F319">
        <v>0</v>
      </c>
      <c r="G319">
        <v>0</v>
      </c>
      <c r="I319">
        <v>0</v>
      </c>
      <c r="J319">
        <v>0</v>
      </c>
      <c r="K319">
        <v>0</v>
      </c>
      <c r="L319">
        <v>0</v>
      </c>
      <c r="M319" s="7">
        <v>0</v>
      </c>
      <c r="N319" s="7">
        <v>29.6</v>
      </c>
    </row>
    <row r="320" spans="1:14" ht="19.95" customHeight="1">
      <c r="A320" s="6">
        <v>45245</v>
      </c>
      <c r="B320" t="s">
        <v>64</v>
      </c>
      <c r="C320">
        <v>2</v>
      </c>
      <c r="D320">
        <v>11</v>
      </c>
      <c r="E320">
        <v>319</v>
      </c>
      <c r="F320">
        <v>0</v>
      </c>
      <c r="G320">
        <v>1</v>
      </c>
      <c r="H320" t="s">
        <v>75</v>
      </c>
      <c r="I320">
        <v>0</v>
      </c>
      <c r="J320">
        <v>0</v>
      </c>
      <c r="K320">
        <v>0</v>
      </c>
      <c r="L320">
        <v>0</v>
      </c>
      <c r="M320" s="7">
        <v>0.2</v>
      </c>
      <c r="N320" s="7">
        <v>30.6</v>
      </c>
    </row>
    <row r="321" spans="1:14" ht="19.95" customHeight="1">
      <c r="A321" s="6">
        <v>45246</v>
      </c>
      <c r="B321" t="s">
        <v>65</v>
      </c>
      <c r="C321">
        <v>3</v>
      </c>
      <c r="D321">
        <v>11</v>
      </c>
      <c r="E321">
        <v>320</v>
      </c>
      <c r="F321">
        <v>0</v>
      </c>
      <c r="G321">
        <v>0</v>
      </c>
      <c r="I321">
        <v>0</v>
      </c>
      <c r="J321">
        <v>0</v>
      </c>
      <c r="K321">
        <v>0</v>
      </c>
      <c r="L321">
        <v>0</v>
      </c>
      <c r="M321" s="7">
        <v>1.5</v>
      </c>
      <c r="N321" s="7">
        <v>30.8</v>
      </c>
    </row>
    <row r="322" spans="1:14" ht="19.95" customHeight="1">
      <c r="A322" s="6">
        <v>45247</v>
      </c>
      <c r="B322" t="s">
        <v>66</v>
      </c>
      <c r="C322">
        <v>4</v>
      </c>
      <c r="D322">
        <v>11</v>
      </c>
      <c r="E322">
        <v>321</v>
      </c>
      <c r="F322">
        <v>0</v>
      </c>
      <c r="G322">
        <v>0</v>
      </c>
      <c r="I322">
        <v>0</v>
      </c>
      <c r="J322">
        <v>0</v>
      </c>
      <c r="K322">
        <v>0</v>
      </c>
      <c r="L322">
        <v>0</v>
      </c>
      <c r="M322" s="7">
        <v>0.4</v>
      </c>
      <c r="N322" s="7">
        <v>29</v>
      </c>
    </row>
    <row r="323" spans="1:14" ht="19.95" customHeight="1">
      <c r="A323" s="6">
        <v>45248</v>
      </c>
      <c r="B323" t="s">
        <v>67</v>
      </c>
      <c r="C323">
        <v>5</v>
      </c>
      <c r="D323">
        <v>11</v>
      </c>
      <c r="E323">
        <v>322</v>
      </c>
      <c r="F323">
        <v>1</v>
      </c>
      <c r="G323">
        <v>0</v>
      </c>
      <c r="I323">
        <v>0</v>
      </c>
      <c r="J323">
        <v>0</v>
      </c>
      <c r="K323">
        <v>0</v>
      </c>
      <c r="L323">
        <v>0</v>
      </c>
      <c r="M323" s="7">
        <v>1.8</v>
      </c>
      <c r="N323" s="7">
        <v>28.5</v>
      </c>
    </row>
    <row r="324" spans="1:14" ht="19.95" customHeight="1">
      <c r="A324" s="6">
        <v>45249</v>
      </c>
      <c r="B324" t="s">
        <v>60</v>
      </c>
      <c r="C324">
        <v>6</v>
      </c>
      <c r="D324">
        <v>11</v>
      </c>
      <c r="E324">
        <v>323</v>
      </c>
      <c r="F324">
        <v>1</v>
      </c>
      <c r="G324">
        <v>0</v>
      </c>
      <c r="I324">
        <v>0</v>
      </c>
      <c r="J324">
        <v>0</v>
      </c>
      <c r="K324">
        <v>0</v>
      </c>
      <c r="L324">
        <v>0</v>
      </c>
      <c r="M324" s="7">
        <v>1</v>
      </c>
      <c r="N324" s="7">
        <v>28.5</v>
      </c>
    </row>
    <row r="325" spans="1:14" ht="19.95" customHeight="1">
      <c r="A325" s="6">
        <v>45250</v>
      </c>
      <c r="B325" t="s">
        <v>62</v>
      </c>
      <c r="C325">
        <v>0</v>
      </c>
      <c r="D325">
        <v>11</v>
      </c>
      <c r="E325">
        <v>324</v>
      </c>
      <c r="F325">
        <v>0</v>
      </c>
      <c r="G325">
        <v>0</v>
      </c>
      <c r="I325">
        <v>0</v>
      </c>
      <c r="J325">
        <v>0</v>
      </c>
      <c r="K325">
        <v>0</v>
      </c>
      <c r="L325">
        <v>0</v>
      </c>
      <c r="M325" s="7">
        <v>0</v>
      </c>
      <c r="N325" s="7">
        <v>29.5</v>
      </c>
    </row>
    <row r="326" spans="1:14" ht="19.95" customHeight="1">
      <c r="A326" s="6">
        <v>45251</v>
      </c>
      <c r="B326" t="s">
        <v>63</v>
      </c>
      <c r="C326">
        <v>1</v>
      </c>
      <c r="D326">
        <v>11</v>
      </c>
      <c r="E326">
        <v>325</v>
      </c>
      <c r="F326">
        <v>0</v>
      </c>
      <c r="G326">
        <v>0</v>
      </c>
      <c r="I326">
        <v>0</v>
      </c>
      <c r="J326">
        <v>0</v>
      </c>
      <c r="K326">
        <v>0</v>
      </c>
      <c r="L326">
        <v>0</v>
      </c>
      <c r="M326" s="7">
        <v>0</v>
      </c>
      <c r="N326" s="7">
        <v>28.4</v>
      </c>
    </row>
    <row r="327" spans="1:14" ht="19.95" customHeight="1">
      <c r="A327" s="6">
        <v>45252</v>
      </c>
      <c r="B327" t="s">
        <v>64</v>
      </c>
      <c r="C327">
        <v>2</v>
      </c>
      <c r="D327">
        <v>11</v>
      </c>
      <c r="E327">
        <v>326</v>
      </c>
      <c r="F327">
        <v>0</v>
      </c>
      <c r="G327">
        <v>0</v>
      </c>
      <c r="I327">
        <v>0</v>
      </c>
      <c r="J327">
        <v>0</v>
      </c>
      <c r="K327">
        <v>0</v>
      </c>
      <c r="L327">
        <v>0</v>
      </c>
      <c r="M327" s="7">
        <v>0</v>
      </c>
      <c r="N327" s="7">
        <v>29.9</v>
      </c>
    </row>
    <row r="328" spans="1:14" ht="19.95" customHeight="1">
      <c r="A328" s="6">
        <v>45253</v>
      </c>
      <c r="B328" t="s">
        <v>65</v>
      </c>
      <c r="C328">
        <v>3</v>
      </c>
      <c r="D328">
        <v>11</v>
      </c>
      <c r="E328">
        <v>327</v>
      </c>
      <c r="F328">
        <v>0</v>
      </c>
      <c r="G328">
        <v>0</v>
      </c>
      <c r="I328">
        <v>0</v>
      </c>
      <c r="J328">
        <v>0</v>
      </c>
      <c r="K328">
        <v>0</v>
      </c>
      <c r="L328">
        <v>0</v>
      </c>
      <c r="M328" s="7">
        <v>0</v>
      </c>
      <c r="N328" s="7">
        <v>29.2</v>
      </c>
    </row>
    <row r="329" spans="1:14" ht="19.95" customHeight="1">
      <c r="A329" s="6">
        <v>45254</v>
      </c>
      <c r="B329" t="s">
        <v>66</v>
      </c>
      <c r="C329">
        <v>4</v>
      </c>
      <c r="D329">
        <v>11</v>
      </c>
      <c r="E329">
        <v>328</v>
      </c>
      <c r="F329">
        <v>0</v>
      </c>
      <c r="G329">
        <v>0</v>
      </c>
      <c r="I329">
        <v>0</v>
      </c>
      <c r="J329">
        <v>0</v>
      </c>
      <c r="K329">
        <v>0</v>
      </c>
      <c r="L329">
        <v>0</v>
      </c>
      <c r="M329" s="7">
        <v>3.2</v>
      </c>
      <c r="N329" s="7">
        <v>28.4</v>
      </c>
    </row>
    <row r="330" spans="1:14" ht="19.95" customHeight="1">
      <c r="A330" s="6">
        <v>45255</v>
      </c>
      <c r="B330" t="s">
        <v>67</v>
      </c>
      <c r="C330">
        <v>5</v>
      </c>
      <c r="D330">
        <v>11</v>
      </c>
      <c r="E330">
        <v>329</v>
      </c>
      <c r="F330">
        <v>1</v>
      </c>
      <c r="G330">
        <v>0</v>
      </c>
      <c r="I330">
        <v>0</v>
      </c>
      <c r="J330">
        <v>0</v>
      </c>
      <c r="K330">
        <v>0</v>
      </c>
      <c r="L330">
        <v>0</v>
      </c>
      <c r="M330" s="7">
        <v>1.7</v>
      </c>
      <c r="N330" s="7">
        <v>29.6</v>
      </c>
    </row>
    <row r="331" spans="1:14" ht="19.95" customHeight="1">
      <c r="A331" s="6">
        <v>45256</v>
      </c>
      <c r="B331" t="s">
        <v>60</v>
      </c>
      <c r="C331">
        <v>6</v>
      </c>
      <c r="D331">
        <v>11</v>
      </c>
      <c r="E331">
        <v>330</v>
      </c>
      <c r="F331">
        <v>1</v>
      </c>
      <c r="G331">
        <v>0</v>
      </c>
      <c r="I331">
        <v>0</v>
      </c>
      <c r="J331">
        <v>0</v>
      </c>
      <c r="K331">
        <v>0</v>
      </c>
      <c r="L331">
        <v>0</v>
      </c>
      <c r="M331" s="7">
        <v>3.9</v>
      </c>
      <c r="N331" s="7">
        <v>30</v>
      </c>
    </row>
    <row r="332" spans="1:14" ht="19.95" customHeight="1">
      <c r="A332" s="6">
        <v>45257</v>
      </c>
      <c r="B332" t="s">
        <v>62</v>
      </c>
      <c r="C332">
        <v>0</v>
      </c>
      <c r="D332">
        <v>11</v>
      </c>
      <c r="E332">
        <v>331</v>
      </c>
      <c r="F332">
        <v>0</v>
      </c>
      <c r="G332">
        <v>0</v>
      </c>
      <c r="I332">
        <v>0</v>
      </c>
      <c r="J332">
        <v>0</v>
      </c>
      <c r="K332">
        <v>0</v>
      </c>
      <c r="L332">
        <v>0</v>
      </c>
      <c r="M332" s="7">
        <v>3.8</v>
      </c>
      <c r="N332" s="7">
        <v>28.4</v>
      </c>
    </row>
    <row r="333" spans="1:14" ht="19.95" customHeight="1">
      <c r="A333" s="6">
        <v>45258</v>
      </c>
      <c r="B333" t="s">
        <v>63</v>
      </c>
      <c r="C333">
        <v>1</v>
      </c>
      <c r="D333">
        <v>11</v>
      </c>
      <c r="E333">
        <v>332</v>
      </c>
      <c r="F333">
        <v>0</v>
      </c>
      <c r="G333">
        <v>0</v>
      </c>
      <c r="I333">
        <v>0</v>
      </c>
      <c r="J333">
        <v>0</v>
      </c>
      <c r="K333">
        <v>0</v>
      </c>
      <c r="L333">
        <v>0</v>
      </c>
      <c r="M333" s="7">
        <v>0.2</v>
      </c>
      <c r="N333" s="7">
        <v>28.8</v>
      </c>
    </row>
    <row r="334" spans="1:14" ht="19.95" customHeight="1">
      <c r="A334" s="6">
        <v>45259</v>
      </c>
      <c r="B334" t="s">
        <v>64</v>
      </c>
      <c r="C334">
        <v>2</v>
      </c>
      <c r="D334">
        <v>11</v>
      </c>
      <c r="E334">
        <v>333</v>
      </c>
      <c r="F334">
        <v>0</v>
      </c>
      <c r="G334">
        <v>0</v>
      </c>
      <c r="I334">
        <v>0</v>
      </c>
      <c r="J334">
        <v>0</v>
      </c>
      <c r="K334">
        <v>0</v>
      </c>
      <c r="L334">
        <v>0</v>
      </c>
      <c r="M334" s="7">
        <v>0</v>
      </c>
      <c r="N334" s="7">
        <v>29.4</v>
      </c>
    </row>
    <row r="335" spans="1:14" ht="19.95" customHeight="1">
      <c r="A335" s="6">
        <v>45260</v>
      </c>
      <c r="B335" t="s">
        <v>65</v>
      </c>
      <c r="C335">
        <v>3</v>
      </c>
      <c r="D335">
        <v>11</v>
      </c>
      <c r="E335">
        <v>334</v>
      </c>
      <c r="F335">
        <v>0</v>
      </c>
      <c r="G335">
        <v>0</v>
      </c>
      <c r="I335">
        <v>0</v>
      </c>
      <c r="J335">
        <v>0</v>
      </c>
      <c r="K335">
        <v>0</v>
      </c>
      <c r="L335">
        <v>0</v>
      </c>
      <c r="M335" s="7">
        <v>0</v>
      </c>
      <c r="N335" s="7">
        <v>29.8</v>
      </c>
    </row>
    <row r="336" spans="1:14" ht="19.95" customHeight="1">
      <c r="A336" s="6">
        <v>45261</v>
      </c>
      <c r="B336" t="s">
        <v>66</v>
      </c>
      <c r="C336">
        <v>4</v>
      </c>
      <c r="D336">
        <v>12</v>
      </c>
      <c r="E336">
        <v>335</v>
      </c>
      <c r="F336">
        <v>0</v>
      </c>
      <c r="G336">
        <v>0</v>
      </c>
      <c r="I336">
        <v>0</v>
      </c>
      <c r="J336">
        <v>0</v>
      </c>
      <c r="K336">
        <v>0</v>
      </c>
      <c r="L336">
        <v>0</v>
      </c>
      <c r="M336" s="7">
        <v>0.1</v>
      </c>
      <c r="N336" s="7">
        <v>29</v>
      </c>
    </row>
    <row r="337" spans="1:14" ht="19.95" customHeight="1">
      <c r="A337" s="6">
        <v>45262</v>
      </c>
      <c r="B337" t="s">
        <v>67</v>
      </c>
      <c r="C337">
        <v>5</v>
      </c>
      <c r="D337">
        <v>12</v>
      </c>
      <c r="E337">
        <v>336</v>
      </c>
      <c r="F337">
        <v>1</v>
      </c>
      <c r="G337">
        <v>0</v>
      </c>
      <c r="I337">
        <v>0</v>
      </c>
      <c r="J337">
        <v>0</v>
      </c>
      <c r="K337">
        <v>0</v>
      </c>
      <c r="L337">
        <v>0</v>
      </c>
      <c r="M337" s="7">
        <v>1.2</v>
      </c>
      <c r="N337" s="7">
        <v>28.8</v>
      </c>
    </row>
    <row r="338" spans="1:14" ht="19.95" customHeight="1">
      <c r="A338" s="6">
        <v>45263</v>
      </c>
      <c r="B338" t="s">
        <v>60</v>
      </c>
      <c r="C338">
        <v>6</v>
      </c>
      <c r="D338">
        <v>12</v>
      </c>
      <c r="E338">
        <v>337</v>
      </c>
      <c r="F338">
        <v>1</v>
      </c>
      <c r="G338">
        <v>0</v>
      </c>
      <c r="I338">
        <v>0</v>
      </c>
      <c r="J338">
        <v>0</v>
      </c>
      <c r="K338">
        <v>0</v>
      </c>
      <c r="L338">
        <v>0</v>
      </c>
      <c r="M338" s="7">
        <v>0</v>
      </c>
      <c r="N338" s="7">
        <v>29.1</v>
      </c>
    </row>
    <row r="339" spans="1:14" ht="19.95" customHeight="1">
      <c r="A339" s="6">
        <v>45264</v>
      </c>
      <c r="B339" t="s">
        <v>62</v>
      </c>
      <c r="C339">
        <v>0</v>
      </c>
      <c r="D339">
        <v>12</v>
      </c>
      <c r="E339">
        <v>338</v>
      </c>
      <c r="F339">
        <v>0</v>
      </c>
      <c r="G339">
        <v>0</v>
      </c>
      <c r="I339">
        <v>0</v>
      </c>
      <c r="J339">
        <v>0</v>
      </c>
      <c r="K339">
        <v>0</v>
      </c>
      <c r="L339">
        <v>0</v>
      </c>
      <c r="M339" s="7">
        <v>0</v>
      </c>
      <c r="N339" s="7">
        <v>30.3</v>
      </c>
    </row>
    <row r="340" spans="1:14" ht="19.95" customHeight="1">
      <c r="A340" s="6">
        <v>45265</v>
      </c>
      <c r="B340" t="s">
        <v>63</v>
      </c>
      <c r="C340">
        <v>1</v>
      </c>
      <c r="D340">
        <v>12</v>
      </c>
      <c r="E340">
        <v>339</v>
      </c>
      <c r="F340">
        <v>0</v>
      </c>
      <c r="G340">
        <v>0</v>
      </c>
      <c r="I340">
        <v>0</v>
      </c>
      <c r="J340">
        <v>0</v>
      </c>
      <c r="K340">
        <v>0</v>
      </c>
      <c r="L340">
        <v>0</v>
      </c>
      <c r="M340" s="7">
        <v>1.4</v>
      </c>
      <c r="N340" s="7">
        <v>29</v>
      </c>
    </row>
    <row r="341" spans="1:14" ht="19.95" customHeight="1">
      <c r="A341" s="6">
        <v>45266</v>
      </c>
      <c r="B341" t="s">
        <v>64</v>
      </c>
      <c r="C341">
        <v>2</v>
      </c>
      <c r="D341">
        <v>12</v>
      </c>
      <c r="E341">
        <v>340</v>
      </c>
      <c r="F341">
        <v>0</v>
      </c>
      <c r="G341">
        <v>0</v>
      </c>
      <c r="I341">
        <v>0</v>
      </c>
      <c r="J341">
        <v>0</v>
      </c>
      <c r="K341">
        <v>0</v>
      </c>
      <c r="L341">
        <v>0</v>
      </c>
      <c r="M341" s="7">
        <v>0</v>
      </c>
      <c r="N341" s="7">
        <v>27.7</v>
      </c>
    </row>
    <row r="342" spans="1:14" ht="19.95" customHeight="1">
      <c r="A342" s="6">
        <v>45267</v>
      </c>
      <c r="B342" t="s">
        <v>65</v>
      </c>
      <c r="C342">
        <v>3</v>
      </c>
      <c r="D342">
        <v>12</v>
      </c>
      <c r="E342">
        <v>341</v>
      </c>
      <c r="F342">
        <v>0</v>
      </c>
      <c r="G342">
        <v>0</v>
      </c>
      <c r="I342">
        <v>0</v>
      </c>
      <c r="J342">
        <v>0</v>
      </c>
      <c r="K342">
        <v>0</v>
      </c>
      <c r="L342">
        <v>0</v>
      </c>
      <c r="M342" s="7">
        <v>0</v>
      </c>
      <c r="N342" s="7">
        <v>30.4</v>
      </c>
    </row>
    <row r="343" spans="1:14" ht="19.95" customHeight="1">
      <c r="A343" s="6">
        <v>45268</v>
      </c>
      <c r="B343" t="s">
        <v>66</v>
      </c>
      <c r="C343">
        <v>4</v>
      </c>
      <c r="D343">
        <v>12</v>
      </c>
      <c r="E343">
        <v>342</v>
      </c>
      <c r="F343">
        <v>0</v>
      </c>
      <c r="G343">
        <v>0</v>
      </c>
      <c r="I343">
        <v>0</v>
      </c>
      <c r="J343">
        <v>0</v>
      </c>
      <c r="K343">
        <v>0</v>
      </c>
      <c r="L343">
        <v>0</v>
      </c>
      <c r="M343" s="7">
        <v>0</v>
      </c>
      <c r="N343" s="7">
        <v>30.7</v>
      </c>
    </row>
    <row r="344" spans="1:14" ht="19.95" customHeight="1">
      <c r="A344" s="6">
        <v>45269</v>
      </c>
      <c r="B344" t="s">
        <v>67</v>
      </c>
      <c r="C344">
        <v>5</v>
      </c>
      <c r="D344">
        <v>12</v>
      </c>
      <c r="E344">
        <v>343</v>
      </c>
      <c r="F344">
        <v>1</v>
      </c>
      <c r="G344">
        <v>0</v>
      </c>
      <c r="I344">
        <v>0</v>
      </c>
      <c r="J344">
        <v>0</v>
      </c>
      <c r="K344">
        <v>0</v>
      </c>
      <c r="L344">
        <v>0</v>
      </c>
      <c r="M344" s="7">
        <v>1</v>
      </c>
      <c r="N344" s="7">
        <v>30</v>
      </c>
    </row>
    <row r="345" spans="1:14" ht="19.95" customHeight="1">
      <c r="A345" s="6">
        <v>45270</v>
      </c>
      <c r="B345" t="s">
        <v>60</v>
      </c>
      <c r="C345">
        <v>6</v>
      </c>
      <c r="D345">
        <v>12</v>
      </c>
      <c r="E345">
        <v>344</v>
      </c>
      <c r="F345">
        <v>1</v>
      </c>
      <c r="G345">
        <v>0</v>
      </c>
      <c r="I345">
        <v>0</v>
      </c>
      <c r="J345">
        <v>0</v>
      </c>
      <c r="K345">
        <v>0</v>
      </c>
      <c r="L345">
        <v>0</v>
      </c>
      <c r="M345" s="7">
        <v>0</v>
      </c>
      <c r="N345" s="7">
        <v>28.4</v>
      </c>
    </row>
    <row r="346" spans="1:14" ht="19.95" customHeight="1">
      <c r="A346" s="6">
        <v>45271</v>
      </c>
      <c r="B346" t="s">
        <v>62</v>
      </c>
      <c r="C346">
        <v>0</v>
      </c>
      <c r="D346">
        <v>12</v>
      </c>
      <c r="E346">
        <v>345</v>
      </c>
      <c r="F346">
        <v>0</v>
      </c>
      <c r="G346">
        <v>0</v>
      </c>
      <c r="I346">
        <v>0</v>
      </c>
      <c r="J346">
        <v>0</v>
      </c>
      <c r="K346">
        <v>0</v>
      </c>
      <c r="L346">
        <v>0</v>
      </c>
      <c r="M346" s="7">
        <v>0.4</v>
      </c>
      <c r="N346" s="7">
        <v>28.6</v>
      </c>
    </row>
    <row r="347" spans="1:14" ht="19.95" customHeight="1">
      <c r="A347" s="6">
        <v>45272</v>
      </c>
      <c r="B347" t="s">
        <v>63</v>
      </c>
      <c r="C347">
        <v>1</v>
      </c>
      <c r="D347">
        <v>12</v>
      </c>
      <c r="E347">
        <v>346</v>
      </c>
      <c r="F347">
        <v>0</v>
      </c>
      <c r="G347">
        <v>0</v>
      </c>
      <c r="I347">
        <v>0</v>
      </c>
      <c r="J347">
        <v>0</v>
      </c>
      <c r="K347">
        <v>0</v>
      </c>
      <c r="L347">
        <v>0</v>
      </c>
      <c r="M347" s="7">
        <v>1.5</v>
      </c>
      <c r="N347" s="7">
        <v>27.9</v>
      </c>
    </row>
    <row r="348" spans="1:14" ht="19.95" customHeight="1">
      <c r="A348" s="6">
        <v>45273</v>
      </c>
      <c r="B348" t="s">
        <v>64</v>
      </c>
      <c r="C348">
        <v>2</v>
      </c>
      <c r="D348">
        <v>12</v>
      </c>
      <c r="E348">
        <v>347</v>
      </c>
      <c r="F348">
        <v>0</v>
      </c>
      <c r="G348">
        <v>0</v>
      </c>
      <c r="I348">
        <v>0</v>
      </c>
      <c r="J348">
        <v>0</v>
      </c>
      <c r="K348">
        <v>0</v>
      </c>
      <c r="L348">
        <v>0</v>
      </c>
      <c r="M348" s="7">
        <v>0.5</v>
      </c>
      <c r="N348" s="7">
        <v>30</v>
      </c>
    </row>
    <row r="349" spans="1:14" ht="19.95" customHeight="1">
      <c r="A349" s="6">
        <v>45274</v>
      </c>
      <c r="B349" t="s">
        <v>65</v>
      </c>
      <c r="C349">
        <v>3</v>
      </c>
      <c r="D349">
        <v>12</v>
      </c>
      <c r="E349">
        <v>348</v>
      </c>
      <c r="F349">
        <v>0</v>
      </c>
      <c r="G349">
        <v>0</v>
      </c>
      <c r="I349">
        <v>0</v>
      </c>
      <c r="J349">
        <v>0</v>
      </c>
      <c r="K349">
        <v>0</v>
      </c>
      <c r="L349">
        <v>0</v>
      </c>
      <c r="M349" s="7">
        <v>0</v>
      </c>
      <c r="N349" s="7">
        <v>28.5</v>
      </c>
    </row>
    <row r="350" spans="1:14" ht="19.95" customHeight="1">
      <c r="A350" s="6">
        <v>45275</v>
      </c>
      <c r="B350" t="s">
        <v>66</v>
      </c>
      <c r="C350">
        <v>4</v>
      </c>
      <c r="D350">
        <v>12</v>
      </c>
      <c r="E350">
        <v>349</v>
      </c>
      <c r="F350">
        <v>0</v>
      </c>
      <c r="G350">
        <v>0</v>
      </c>
      <c r="I350">
        <v>1</v>
      </c>
      <c r="J350">
        <v>0</v>
      </c>
      <c r="K350">
        <v>0</v>
      </c>
      <c r="L350">
        <v>0</v>
      </c>
      <c r="M350" s="7">
        <v>3.8</v>
      </c>
      <c r="N350" s="7">
        <v>30.4</v>
      </c>
    </row>
    <row r="351" spans="1:14" ht="19.95" customHeight="1">
      <c r="A351" s="6">
        <v>45276</v>
      </c>
      <c r="B351" t="s">
        <v>67</v>
      </c>
      <c r="C351">
        <v>5</v>
      </c>
      <c r="D351">
        <v>12</v>
      </c>
      <c r="E351">
        <v>350</v>
      </c>
      <c r="F351">
        <v>1</v>
      </c>
      <c r="G351">
        <v>0</v>
      </c>
      <c r="I351">
        <v>1</v>
      </c>
      <c r="J351">
        <v>0</v>
      </c>
      <c r="K351">
        <v>0</v>
      </c>
      <c r="L351">
        <v>0</v>
      </c>
      <c r="M351" s="7">
        <v>1.9</v>
      </c>
      <c r="N351" s="7">
        <v>30.2</v>
      </c>
    </row>
    <row r="352" spans="1:14" ht="19.95" customHeight="1">
      <c r="A352" s="6">
        <v>45277</v>
      </c>
      <c r="B352" t="s">
        <v>60</v>
      </c>
      <c r="C352">
        <v>6</v>
      </c>
      <c r="D352">
        <v>12</v>
      </c>
      <c r="E352">
        <v>351</v>
      </c>
      <c r="F352">
        <v>1</v>
      </c>
      <c r="G352">
        <v>0</v>
      </c>
      <c r="I352">
        <v>1</v>
      </c>
      <c r="J352">
        <v>0</v>
      </c>
      <c r="K352">
        <v>0</v>
      </c>
      <c r="L352">
        <v>0</v>
      </c>
      <c r="M352" s="7">
        <v>1</v>
      </c>
      <c r="N352" s="7">
        <v>28.4</v>
      </c>
    </row>
    <row r="353" spans="1:14" ht="19.95" customHeight="1">
      <c r="A353" s="6">
        <v>45278</v>
      </c>
      <c r="B353" t="s">
        <v>62</v>
      </c>
      <c r="C353">
        <v>0</v>
      </c>
      <c r="D353">
        <v>12</v>
      </c>
      <c r="E353">
        <v>352</v>
      </c>
      <c r="F353">
        <v>0</v>
      </c>
      <c r="G353">
        <v>0</v>
      </c>
      <c r="I353">
        <v>1</v>
      </c>
      <c r="J353">
        <v>0</v>
      </c>
      <c r="K353">
        <v>0</v>
      </c>
      <c r="L353">
        <v>0</v>
      </c>
      <c r="M353" s="7">
        <v>0.7</v>
      </c>
      <c r="N353" s="7">
        <v>30</v>
      </c>
    </row>
    <row r="354" spans="1:14" ht="19.95" customHeight="1">
      <c r="A354" s="6">
        <v>45279</v>
      </c>
      <c r="B354" t="s">
        <v>63</v>
      </c>
      <c r="C354">
        <v>1</v>
      </c>
      <c r="D354">
        <v>12</v>
      </c>
      <c r="E354">
        <v>353</v>
      </c>
      <c r="F354">
        <v>0</v>
      </c>
      <c r="G354">
        <v>0</v>
      </c>
      <c r="I354">
        <v>1</v>
      </c>
      <c r="J354">
        <v>0</v>
      </c>
      <c r="K354">
        <v>0</v>
      </c>
      <c r="L354">
        <v>0</v>
      </c>
      <c r="M354" s="7">
        <v>1.7</v>
      </c>
      <c r="N354" s="7">
        <v>30.1</v>
      </c>
    </row>
    <row r="355" spans="1:14" ht="19.95" customHeight="1">
      <c r="A355" s="6">
        <v>45280</v>
      </c>
      <c r="B355" t="s">
        <v>64</v>
      </c>
      <c r="C355">
        <v>2</v>
      </c>
      <c r="D355">
        <v>12</v>
      </c>
      <c r="E355">
        <v>354</v>
      </c>
      <c r="F355">
        <v>0</v>
      </c>
      <c r="G355">
        <v>0</v>
      </c>
      <c r="I355">
        <v>1</v>
      </c>
      <c r="J355">
        <v>0</v>
      </c>
      <c r="K355">
        <v>0</v>
      </c>
      <c r="L355">
        <v>0</v>
      </c>
      <c r="M355" s="7">
        <v>1.8</v>
      </c>
      <c r="N355" s="7">
        <v>27</v>
      </c>
    </row>
    <row r="356" spans="1:14" ht="19.95" customHeight="1">
      <c r="A356" s="6">
        <v>45281</v>
      </c>
      <c r="B356" t="s">
        <v>65</v>
      </c>
      <c r="C356">
        <v>3</v>
      </c>
      <c r="D356">
        <v>12</v>
      </c>
      <c r="E356">
        <v>355</v>
      </c>
      <c r="F356">
        <v>0</v>
      </c>
      <c r="G356">
        <v>0</v>
      </c>
      <c r="I356">
        <v>1</v>
      </c>
      <c r="J356">
        <v>0</v>
      </c>
      <c r="K356">
        <v>0</v>
      </c>
      <c r="L356">
        <v>0</v>
      </c>
      <c r="M356" s="7">
        <v>0</v>
      </c>
      <c r="N356" s="7">
        <v>28.8</v>
      </c>
    </row>
    <row r="357" spans="1:14" ht="19.95" customHeight="1">
      <c r="A357" s="6">
        <v>45282</v>
      </c>
      <c r="B357" t="s">
        <v>66</v>
      </c>
      <c r="C357">
        <v>4</v>
      </c>
      <c r="D357">
        <v>12</v>
      </c>
      <c r="E357">
        <v>356</v>
      </c>
      <c r="F357">
        <v>0</v>
      </c>
      <c r="G357">
        <v>0</v>
      </c>
      <c r="I357">
        <v>1</v>
      </c>
      <c r="J357">
        <v>0</v>
      </c>
      <c r="K357">
        <v>0</v>
      </c>
      <c r="L357">
        <v>0</v>
      </c>
      <c r="M357" s="7">
        <v>0</v>
      </c>
      <c r="N357" s="7">
        <v>29.1</v>
      </c>
    </row>
    <row r="358" spans="1:14" ht="19.95" customHeight="1">
      <c r="A358" s="6">
        <v>45283</v>
      </c>
      <c r="B358" t="s">
        <v>67</v>
      </c>
      <c r="C358">
        <v>5</v>
      </c>
      <c r="D358">
        <v>12</v>
      </c>
      <c r="E358">
        <v>357</v>
      </c>
      <c r="F358">
        <v>1</v>
      </c>
      <c r="G358">
        <v>0</v>
      </c>
      <c r="I358">
        <v>1</v>
      </c>
      <c r="J358">
        <v>0</v>
      </c>
      <c r="K358">
        <v>0</v>
      </c>
      <c r="L358">
        <v>0</v>
      </c>
      <c r="M358" s="7">
        <v>2.4</v>
      </c>
      <c r="N358" s="7">
        <v>29.3</v>
      </c>
    </row>
    <row r="359" spans="1:14" ht="19.95" customHeight="1">
      <c r="A359" s="6">
        <v>45284</v>
      </c>
      <c r="B359" t="s">
        <v>60</v>
      </c>
      <c r="C359">
        <v>6</v>
      </c>
      <c r="D359">
        <v>12</v>
      </c>
      <c r="E359">
        <v>358</v>
      </c>
      <c r="F359">
        <v>1</v>
      </c>
      <c r="G359">
        <v>0</v>
      </c>
      <c r="I359">
        <v>1</v>
      </c>
      <c r="J359">
        <v>0</v>
      </c>
      <c r="K359">
        <v>0</v>
      </c>
      <c r="L359">
        <v>0</v>
      </c>
      <c r="M359" s="7">
        <v>0.7</v>
      </c>
      <c r="N359" s="7">
        <v>28.1</v>
      </c>
    </row>
    <row r="360" spans="1:14" ht="19.95" customHeight="1">
      <c r="A360" s="6">
        <v>45285</v>
      </c>
      <c r="B360" t="s">
        <v>62</v>
      </c>
      <c r="C360">
        <v>0</v>
      </c>
      <c r="D360">
        <v>12</v>
      </c>
      <c r="E360">
        <v>359</v>
      </c>
      <c r="F360">
        <v>0</v>
      </c>
      <c r="G360">
        <v>1</v>
      </c>
      <c r="H360" t="s">
        <v>76</v>
      </c>
      <c r="I360">
        <v>1</v>
      </c>
      <c r="J360">
        <v>0</v>
      </c>
      <c r="K360">
        <v>0</v>
      </c>
      <c r="L360">
        <v>0</v>
      </c>
      <c r="M360" s="7">
        <v>0</v>
      </c>
      <c r="N360" s="7">
        <v>28.7</v>
      </c>
    </row>
    <row r="361" spans="1:14" ht="19.95" customHeight="1">
      <c r="A361" s="6">
        <v>45286</v>
      </c>
      <c r="B361" t="s">
        <v>63</v>
      </c>
      <c r="C361">
        <v>1</v>
      </c>
      <c r="D361">
        <v>12</v>
      </c>
      <c r="E361">
        <v>360</v>
      </c>
      <c r="F361">
        <v>0</v>
      </c>
      <c r="G361">
        <v>0</v>
      </c>
      <c r="I361">
        <v>1</v>
      </c>
      <c r="J361">
        <v>0</v>
      </c>
      <c r="K361">
        <v>0</v>
      </c>
      <c r="L361">
        <v>0</v>
      </c>
      <c r="M361" s="7">
        <v>2</v>
      </c>
      <c r="N361" s="7">
        <v>26.8</v>
      </c>
    </row>
    <row r="362" spans="1:14" ht="19.95" customHeight="1">
      <c r="A362" s="6">
        <v>45287</v>
      </c>
      <c r="B362" t="s">
        <v>64</v>
      </c>
      <c r="C362">
        <v>2</v>
      </c>
      <c r="D362">
        <v>12</v>
      </c>
      <c r="E362">
        <v>361</v>
      </c>
      <c r="F362">
        <v>0</v>
      </c>
      <c r="G362">
        <v>0</v>
      </c>
      <c r="I362">
        <v>1</v>
      </c>
      <c r="J362">
        <v>0</v>
      </c>
      <c r="K362">
        <v>0</v>
      </c>
      <c r="L362">
        <v>0</v>
      </c>
      <c r="M362" s="7">
        <v>2.9</v>
      </c>
      <c r="N362" s="7">
        <v>30.2</v>
      </c>
    </row>
    <row r="363" spans="1:14" ht="19.95" customHeight="1">
      <c r="A363" s="6">
        <v>45288</v>
      </c>
      <c r="B363" t="s">
        <v>65</v>
      </c>
      <c r="C363">
        <v>3</v>
      </c>
      <c r="D363">
        <v>12</v>
      </c>
      <c r="E363">
        <v>362</v>
      </c>
      <c r="F363">
        <v>0</v>
      </c>
      <c r="G363">
        <v>0</v>
      </c>
      <c r="I363">
        <v>1</v>
      </c>
      <c r="J363">
        <v>0</v>
      </c>
      <c r="K363">
        <v>1</v>
      </c>
      <c r="L363">
        <v>0</v>
      </c>
      <c r="M363" s="7">
        <v>0</v>
      </c>
      <c r="N363" s="7">
        <v>28.2</v>
      </c>
    </row>
    <row r="364" spans="1:14" ht="19.95" customHeight="1">
      <c r="A364" s="6">
        <v>45289</v>
      </c>
      <c r="B364" t="s">
        <v>66</v>
      </c>
      <c r="C364">
        <v>4</v>
      </c>
      <c r="D364">
        <v>12</v>
      </c>
      <c r="E364">
        <v>363</v>
      </c>
      <c r="F364">
        <v>0</v>
      </c>
      <c r="G364">
        <v>0</v>
      </c>
      <c r="I364">
        <v>1</v>
      </c>
      <c r="J364">
        <v>0</v>
      </c>
      <c r="K364">
        <v>1</v>
      </c>
      <c r="L364">
        <v>0</v>
      </c>
      <c r="M364" s="7">
        <v>0.8</v>
      </c>
      <c r="N364" s="7">
        <v>29.3</v>
      </c>
    </row>
    <row r="365" spans="1:14" ht="19.95" customHeight="1">
      <c r="A365" s="6">
        <v>45290</v>
      </c>
      <c r="B365" t="s">
        <v>67</v>
      </c>
      <c r="C365">
        <v>5</v>
      </c>
      <c r="D365">
        <v>12</v>
      </c>
      <c r="E365">
        <v>364</v>
      </c>
      <c r="F365">
        <v>1</v>
      </c>
      <c r="G365">
        <v>0</v>
      </c>
      <c r="I365">
        <v>1</v>
      </c>
      <c r="J365">
        <v>0</v>
      </c>
      <c r="K365">
        <v>1</v>
      </c>
      <c r="L365">
        <v>0</v>
      </c>
      <c r="M365" s="7">
        <v>0.5</v>
      </c>
      <c r="N365" s="7">
        <v>29.1</v>
      </c>
    </row>
    <row r="366" spans="1:14" ht="19.95" customHeight="1">
      <c r="A366" s="6">
        <v>45291</v>
      </c>
      <c r="B366" t="s">
        <v>60</v>
      </c>
      <c r="C366">
        <v>6</v>
      </c>
      <c r="D366">
        <v>12</v>
      </c>
      <c r="E366">
        <v>365</v>
      </c>
      <c r="F366">
        <v>1</v>
      </c>
      <c r="G366">
        <v>0</v>
      </c>
      <c r="I366">
        <v>1</v>
      </c>
      <c r="J366">
        <v>0</v>
      </c>
      <c r="K366">
        <v>1</v>
      </c>
      <c r="L366">
        <v>0</v>
      </c>
      <c r="M366" s="7">
        <v>2.5</v>
      </c>
      <c r="N366" s="7">
        <v>29.1</v>
      </c>
    </row>
    <row r="367" spans="1:14" ht="19.95" customHeight="1">
      <c r="A367" s="6">
        <v>45292</v>
      </c>
      <c r="B367" t="s">
        <v>62</v>
      </c>
      <c r="C367">
        <v>0</v>
      </c>
      <c r="D367">
        <v>1</v>
      </c>
      <c r="E367">
        <v>1</v>
      </c>
      <c r="F367">
        <v>0</v>
      </c>
      <c r="G367">
        <v>1</v>
      </c>
      <c r="H367" t="s">
        <v>61</v>
      </c>
      <c r="I367">
        <v>1</v>
      </c>
      <c r="J367">
        <v>0</v>
      </c>
      <c r="K367">
        <v>1</v>
      </c>
      <c r="L367">
        <v>0</v>
      </c>
      <c r="M367" s="7">
        <v>0</v>
      </c>
      <c r="N367" s="7">
        <v>29</v>
      </c>
    </row>
    <row r="368" spans="1:14" ht="19.95" customHeight="1">
      <c r="A368" s="6">
        <v>45293</v>
      </c>
      <c r="B368" t="s">
        <v>63</v>
      </c>
      <c r="C368">
        <v>1</v>
      </c>
      <c r="D368">
        <v>1</v>
      </c>
      <c r="E368">
        <v>2</v>
      </c>
      <c r="F368">
        <v>0</v>
      </c>
      <c r="G368">
        <v>0</v>
      </c>
      <c r="I368">
        <v>1</v>
      </c>
      <c r="J368">
        <v>0</v>
      </c>
      <c r="K368">
        <v>1</v>
      </c>
      <c r="L368">
        <v>0</v>
      </c>
      <c r="M368" s="7">
        <v>0.7</v>
      </c>
      <c r="N368" s="7">
        <v>27.4</v>
      </c>
    </row>
    <row r="369" spans="1:14" ht="19.95" customHeight="1">
      <c r="A369" s="6">
        <v>45294</v>
      </c>
      <c r="B369" t="s">
        <v>64</v>
      </c>
      <c r="C369">
        <v>2</v>
      </c>
      <c r="D369">
        <v>1</v>
      </c>
      <c r="E369">
        <v>3</v>
      </c>
      <c r="F369">
        <v>0</v>
      </c>
      <c r="G369">
        <v>0</v>
      </c>
      <c r="I369">
        <v>1</v>
      </c>
      <c r="J369">
        <v>0</v>
      </c>
      <c r="K369">
        <v>0</v>
      </c>
      <c r="L369">
        <v>0</v>
      </c>
      <c r="M369" s="7">
        <v>18.399999999999999</v>
      </c>
      <c r="N369" s="7">
        <v>27.6</v>
      </c>
    </row>
    <row r="370" spans="1:14" ht="19.95" customHeight="1">
      <c r="A370" s="6">
        <v>45295</v>
      </c>
      <c r="B370" t="s">
        <v>65</v>
      </c>
      <c r="C370">
        <v>3</v>
      </c>
      <c r="D370">
        <v>1</v>
      </c>
      <c r="E370">
        <v>4</v>
      </c>
      <c r="F370">
        <v>0</v>
      </c>
      <c r="G370">
        <v>0</v>
      </c>
      <c r="I370">
        <v>1</v>
      </c>
      <c r="J370">
        <v>0</v>
      </c>
      <c r="K370">
        <v>0</v>
      </c>
      <c r="L370">
        <v>0</v>
      </c>
      <c r="M370" s="7">
        <v>8.5</v>
      </c>
      <c r="N370" s="7">
        <v>28.6</v>
      </c>
    </row>
    <row r="371" spans="1:14" ht="19.95" customHeight="1">
      <c r="A371" s="6">
        <v>45296</v>
      </c>
      <c r="B371" t="s">
        <v>66</v>
      </c>
      <c r="C371">
        <v>4</v>
      </c>
      <c r="D371">
        <v>1</v>
      </c>
      <c r="E371">
        <v>5</v>
      </c>
      <c r="F371">
        <v>0</v>
      </c>
      <c r="G371">
        <v>0</v>
      </c>
      <c r="I371">
        <v>1</v>
      </c>
      <c r="J371">
        <v>0</v>
      </c>
      <c r="K371">
        <v>0</v>
      </c>
      <c r="L371">
        <v>0</v>
      </c>
      <c r="M371" s="7">
        <v>3.9</v>
      </c>
      <c r="N371" s="7">
        <v>29.4</v>
      </c>
    </row>
    <row r="372" spans="1:14" ht="19.95" customHeight="1">
      <c r="A372" s="6">
        <v>45297</v>
      </c>
      <c r="B372" t="s">
        <v>67</v>
      </c>
      <c r="C372">
        <v>5</v>
      </c>
      <c r="D372">
        <v>1</v>
      </c>
      <c r="E372">
        <v>6</v>
      </c>
      <c r="F372">
        <v>1</v>
      </c>
      <c r="G372">
        <v>0</v>
      </c>
      <c r="I372">
        <v>1</v>
      </c>
      <c r="J372">
        <v>0</v>
      </c>
      <c r="K372">
        <v>0</v>
      </c>
      <c r="L372">
        <v>0</v>
      </c>
      <c r="M372" s="7">
        <v>7.7</v>
      </c>
      <c r="N372" s="7">
        <v>28.7</v>
      </c>
    </row>
    <row r="373" spans="1:14" ht="19.95" customHeight="1">
      <c r="A373" s="6">
        <v>45298</v>
      </c>
      <c r="B373" t="s">
        <v>60</v>
      </c>
      <c r="C373">
        <v>6</v>
      </c>
      <c r="D373">
        <v>1</v>
      </c>
      <c r="E373">
        <v>7</v>
      </c>
      <c r="F373">
        <v>1</v>
      </c>
      <c r="G373">
        <v>0</v>
      </c>
      <c r="I373">
        <v>1</v>
      </c>
      <c r="J373">
        <v>0</v>
      </c>
      <c r="K373">
        <v>0</v>
      </c>
      <c r="L373">
        <v>0</v>
      </c>
      <c r="M373" s="7">
        <v>0.2</v>
      </c>
      <c r="N373" s="7">
        <v>28.6</v>
      </c>
    </row>
    <row r="374" spans="1:14" ht="19.95" customHeight="1">
      <c r="A374" s="6">
        <v>45299</v>
      </c>
      <c r="B374" t="s">
        <v>62</v>
      </c>
      <c r="C374">
        <v>0</v>
      </c>
      <c r="D374">
        <v>1</v>
      </c>
      <c r="E374">
        <v>8</v>
      </c>
      <c r="F374">
        <v>0</v>
      </c>
      <c r="G374">
        <v>0</v>
      </c>
      <c r="I374">
        <v>1</v>
      </c>
      <c r="J374">
        <v>0</v>
      </c>
      <c r="K374">
        <v>0</v>
      </c>
      <c r="L374">
        <v>0</v>
      </c>
      <c r="M374" s="7">
        <v>13</v>
      </c>
      <c r="N374" s="7">
        <v>29.1</v>
      </c>
    </row>
    <row r="375" spans="1:14" ht="19.95" customHeight="1">
      <c r="A375" s="6">
        <v>45300</v>
      </c>
      <c r="B375" t="s">
        <v>63</v>
      </c>
      <c r="C375">
        <v>1</v>
      </c>
      <c r="D375">
        <v>1</v>
      </c>
      <c r="E375">
        <v>9</v>
      </c>
      <c r="F375">
        <v>0</v>
      </c>
      <c r="G375">
        <v>0</v>
      </c>
      <c r="I375">
        <v>1</v>
      </c>
      <c r="J375">
        <v>0</v>
      </c>
      <c r="K375">
        <v>0</v>
      </c>
      <c r="L375">
        <v>0</v>
      </c>
      <c r="M375" s="7">
        <v>0</v>
      </c>
      <c r="N375" s="7">
        <v>27.9</v>
      </c>
    </row>
    <row r="376" spans="1:14" ht="19.95" customHeight="1">
      <c r="A376" s="6">
        <v>45301</v>
      </c>
      <c r="B376" t="s">
        <v>64</v>
      </c>
      <c r="C376">
        <v>2</v>
      </c>
      <c r="D376">
        <v>1</v>
      </c>
      <c r="E376">
        <v>10</v>
      </c>
      <c r="F376">
        <v>0</v>
      </c>
      <c r="G376">
        <v>0</v>
      </c>
      <c r="I376">
        <v>1</v>
      </c>
      <c r="J376">
        <v>0</v>
      </c>
      <c r="K376">
        <v>0</v>
      </c>
      <c r="L376">
        <v>0</v>
      </c>
      <c r="M376" s="7">
        <v>3.2</v>
      </c>
      <c r="N376" s="7">
        <v>27.8</v>
      </c>
    </row>
    <row r="377" spans="1:14" ht="19.95" customHeight="1">
      <c r="A377" s="6">
        <v>45302</v>
      </c>
      <c r="B377" t="s">
        <v>65</v>
      </c>
      <c r="C377">
        <v>3</v>
      </c>
      <c r="D377">
        <v>1</v>
      </c>
      <c r="E377">
        <v>11</v>
      </c>
      <c r="F377">
        <v>0</v>
      </c>
      <c r="G377">
        <v>0</v>
      </c>
      <c r="I377">
        <v>1</v>
      </c>
      <c r="J377">
        <v>0</v>
      </c>
      <c r="K377">
        <v>0</v>
      </c>
      <c r="L377">
        <v>0</v>
      </c>
      <c r="M377" s="7">
        <v>0</v>
      </c>
      <c r="N377" s="7">
        <v>28.8</v>
      </c>
    </row>
    <row r="378" spans="1:14" ht="19.95" customHeight="1">
      <c r="A378" s="6">
        <v>45303</v>
      </c>
      <c r="B378" t="s">
        <v>66</v>
      </c>
      <c r="C378">
        <v>4</v>
      </c>
      <c r="D378">
        <v>1</v>
      </c>
      <c r="E378">
        <v>12</v>
      </c>
      <c r="F378">
        <v>0</v>
      </c>
      <c r="G378">
        <v>0</v>
      </c>
      <c r="I378">
        <v>1</v>
      </c>
      <c r="J378">
        <v>0</v>
      </c>
      <c r="K378">
        <v>0</v>
      </c>
      <c r="L378">
        <v>0</v>
      </c>
      <c r="M378" s="7">
        <v>2.5</v>
      </c>
      <c r="N378" s="7">
        <v>29.9</v>
      </c>
    </row>
    <row r="379" spans="1:14" ht="19.95" customHeight="1">
      <c r="A379" s="6">
        <v>45304</v>
      </c>
      <c r="B379" t="s">
        <v>67</v>
      </c>
      <c r="C379">
        <v>5</v>
      </c>
      <c r="D379">
        <v>1</v>
      </c>
      <c r="E379">
        <v>13</v>
      </c>
      <c r="F379">
        <v>1</v>
      </c>
      <c r="G379">
        <v>0</v>
      </c>
      <c r="I379">
        <v>1</v>
      </c>
      <c r="J379">
        <v>0</v>
      </c>
      <c r="K379">
        <v>0</v>
      </c>
      <c r="L379">
        <v>0</v>
      </c>
      <c r="M379" s="7">
        <v>4.4000000000000004</v>
      </c>
      <c r="N379" s="7">
        <v>28.7</v>
      </c>
    </row>
    <row r="380" spans="1:14" ht="19.95" customHeight="1">
      <c r="A380" s="6">
        <v>45305</v>
      </c>
      <c r="B380" t="s">
        <v>60</v>
      </c>
      <c r="C380">
        <v>6</v>
      </c>
      <c r="D380">
        <v>1</v>
      </c>
      <c r="E380">
        <v>14</v>
      </c>
      <c r="F380">
        <v>1</v>
      </c>
      <c r="G380">
        <v>0</v>
      </c>
      <c r="I380">
        <v>1</v>
      </c>
      <c r="J380">
        <v>0</v>
      </c>
      <c r="K380">
        <v>0</v>
      </c>
      <c r="L380">
        <v>0</v>
      </c>
      <c r="M380" s="7">
        <v>0</v>
      </c>
      <c r="N380" s="7">
        <v>28.4</v>
      </c>
    </row>
    <row r="381" spans="1:14" ht="19.95" customHeight="1">
      <c r="A381" s="6">
        <v>45306</v>
      </c>
      <c r="B381" t="s">
        <v>62</v>
      </c>
      <c r="C381">
        <v>0</v>
      </c>
      <c r="D381">
        <v>1</v>
      </c>
      <c r="E381">
        <v>15</v>
      </c>
      <c r="F381">
        <v>0</v>
      </c>
      <c r="G381">
        <v>0</v>
      </c>
      <c r="I381">
        <v>1</v>
      </c>
      <c r="J381">
        <v>0</v>
      </c>
      <c r="K381">
        <v>0</v>
      </c>
      <c r="L381">
        <v>0</v>
      </c>
      <c r="M381" s="7">
        <v>7.2</v>
      </c>
      <c r="N381" s="7">
        <v>29</v>
      </c>
    </row>
    <row r="382" spans="1:14" ht="19.95" customHeight="1">
      <c r="A382" s="6">
        <v>45307</v>
      </c>
      <c r="B382" t="s">
        <v>63</v>
      </c>
      <c r="C382">
        <v>1</v>
      </c>
      <c r="D382">
        <v>1</v>
      </c>
      <c r="E382">
        <v>16</v>
      </c>
      <c r="F382">
        <v>0</v>
      </c>
      <c r="G382">
        <v>0</v>
      </c>
      <c r="I382">
        <v>1</v>
      </c>
      <c r="J382">
        <v>0</v>
      </c>
      <c r="K382">
        <v>0</v>
      </c>
      <c r="L382">
        <v>0</v>
      </c>
      <c r="M382" s="7">
        <v>0</v>
      </c>
      <c r="N382" s="7">
        <v>28.6</v>
      </c>
    </row>
    <row r="383" spans="1:14" ht="19.95" customHeight="1">
      <c r="A383" s="6">
        <v>45308</v>
      </c>
      <c r="B383" t="s">
        <v>64</v>
      </c>
      <c r="C383">
        <v>2</v>
      </c>
      <c r="D383">
        <v>1</v>
      </c>
      <c r="E383">
        <v>17</v>
      </c>
      <c r="F383">
        <v>0</v>
      </c>
      <c r="G383">
        <v>0</v>
      </c>
      <c r="I383">
        <v>1</v>
      </c>
      <c r="J383">
        <v>0</v>
      </c>
      <c r="K383">
        <v>0</v>
      </c>
      <c r="L383">
        <v>0</v>
      </c>
      <c r="M383" s="7">
        <v>9.6</v>
      </c>
      <c r="N383" s="7">
        <v>27.7</v>
      </c>
    </row>
    <row r="384" spans="1:14" ht="19.95" customHeight="1">
      <c r="A384" s="6">
        <v>45309</v>
      </c>
      <c r="B384" t="s">
        <v>65</v>
      </c>
      <c r="C384">
        <v>3</v>
      </c>
      <c r="D384">
        <v>1</v>
      </c>
      <c r="E384">
        <v>18</v>
      </c>
      <c r="F384">
        <v>0</v>
      </c>
      <c r="G384">
        <v>0</v>
      </c>
      <c r="I384">
        <v>1</v>
      </c>
      <c r="J384">
        <v>0</v>
      </c>
      <c r="K384">
        <v>0</v>
      </c>
      <c r="L384">
        <v>0</v>
      </c>
      <c r="M384" s="7">
        <v>6.1</v>
      </c>
      <c r="N384" s="7">
        <v>28.7</v>
      </c>
    </row>
    <row r="385" spans="1:14" ht="19.95" customHeight="1">
      <c r="A385" s="6">
        <v>45310</v>
      </c>
      <c r="B385" t="s">
        <v>66</v>
      </c>
      <c r="C385">
        <v>4</v>
      </c>
      <c r="D385">
        <v>1</v>
      </c>
      <c r="E385">
        <v>19</v>
      </c>
      <c r="F385">
        <v>0</v>
      </c>
      <c r="G385">
        <v>0</v>
      </c>
      <c r="I385">
        <v>1</v>
      </c>
      <c r="J385">
        <v>0</v>
      </c>
      <c r="K385">
        <v>0</v>
      </c>
      <c r="L385">
        <v>0</v>
      </c>
      <c r="M385" s="7">
        <v>6.8</v>
      </c>
      <c r="N385" s="7">
        <v>27.6</v>
      </c>
    </row>
    <row r="386" spans="1:14" ht="19.95" customHeight="1">
      <c r="A386" s="6">
        <v>45311</v>
      </c>
      <c r="B386" t="s">
        <v>67</v>
      </c>
      <c r="C386">
        <v>5</v>
      </c>
      <c r="D386">
        <v>1</v>
      </c>
      <c r="E386">
        <v>20</v>
      </c>
      <c r="F386">
        <v>1</v>
      </c>
      <c r="G386">
        <v>0</v>
      </c>
      <c r="I386">
        <v>1</v>
      </c>
      <c r="J386">
        <v>0</v>
      </c>
      <c r="K386">
        <v>0</v>
      </c>
      <c r="L386">
        <v>0</v>
      </c>
      <c r="M386" s="7">
        <v>0</v>
      </c>
      <c r="N386" s="7">
        <v>29.1</v>
      </c>
    </row>
    <row r="387" spans="1:14" ht="19.95" customHeight="1">
      <c r="A387" s="6">
        <v>45312</v>
      </c>
      <c r="B387" t="s">
        <v>60</v>
      </c>
      <c r="C387">
        <v>6</v>
      </c>
      <c r="D387">
        <v>1</v>
      </c>
      <c r="E387">
        <v>21</v>
      </c>
      <c r="F387">
        <v>1</v>
      </c>
      <c r="G387">
        <v>0</v>
      </c>
      <c r="I387">
        <v>1</v>
      </c>
      <c r="J387">
        <v>0</v>
      </c>
      <c r="K387">
        <v>0</v>
      </c>
      <c r="L387">
        <v>0</v>
      </c>
      <c r="M387" s="7">
        <v>9.6999999999999993</v>
      </c>
      <c r="N387" s="7">
        <v>28.4</v>
      </c>
    </row>
    <row r="388" spans="1:14" ht="19.95" customHeight="1">
      <c r="A388" s="6">
        <v>45313</v>
      </c>
      <c r="B388" t="s">
        <v>62</v>
      </c>
      <c r="C388">
        <v>0</v>
      </c>
      <c r="D388">
        <v>1</v>
      </c>
      <c r="E388">
        <v>22</v>
      </c>
      <c r="F388">
        <v>0</v>
      </c>
      <c r="G388">
        <v>0</v>
      </c>
      <c r="I388">
        <v>1</v>
      </c>
      <c r="J388">
        <v>0</v>
      </c>
      <c r="K388">
        <v>0</v>
      </c>
      <c r="L388">
        <v>0</v>
      </c>
      <c r="M388" s="7">
        <v>4.2</v>
      </c>
      <c r="N388" s="7">
        <v>27.7</v>
      </c>
    </row>
    <row r="389" spans="1:14" ht="19.95" customHeight="1">
      <c r="A389" s="6">
        <v>45314</v>
      </c>
      <c r="B389" t="s">
        <v>63</v>
      </c>
      <c r="C389">
        <v>1</v>
      </c>
      <c r="D389">
        <v>1</v>
      </c>
      <c r="E389">
        <v>23</v>
      </c>
      <c r="F389">
        <v>0</v>
      </c>
      <c r="G389">
        <v>0</v>
      </c>
      <c r="I389">
        <v>1</v>
      </c>
      <c r="J389">
        <v>0</v>
      </c>
      <c r="K389">
        <v>0</v>
      </c>
      <c r="L389">
        <v>0</v>
      </c>
      <c r="M389" s="7">
        <v>0</v>
      </c>
      <c r="N389" s="7">
        <v>27.9</v>
      </c>
    </row>
    <row r="390" spans="1:14" ht="19.95" customHeight="1">
      <c r="A390" s="6">
        <v>45315</v>
      </c>
      <c r="B390" t="s">
        <v>64</v>
      </c>
      <c r="C390">
        <v>2</v>
      </c>
      <c r="D390">
        <v>1</v>
      </c>
      <c r="E390">
        <v>24</v>
      </c>
      <c r="F390">
        <v>0</v>
      </c>
      <c r="G390">
        <v>0</v>
      </c>
      <c r="I390">
        <v>1</v>
      </c>
      <c r="J390">
        <v>0</v>
      </c>
      <c r="K390">
        <v>0</v>
      </c>
      <c r="L390">
        <v>0</v>
      </c>
      <c r="M390" s="7">
        <v>7.4</v>
      </c>
      <c r="N390" s="7">
        <v>27.6</v>
      </c>
    </row>
    <row r="391" spans="1:14" ht="19.95" customHeight="1">
      <c r="A391" s="6">
        <v>45316</v>
      </c>
      <c r="B391" t="s">
        <v>65</v>
      </c>
      <c r="C391">
        <v>3</v>
      </c>
      <c r="D391">
        <v>1</v>
      </c>
      <c r="E391">
        <v>25</v>
      </c>
      <c r="F391">
        <v>0</v>
      </c>
      <c r="G391">
        <v>0</v>
      </c>
      <c r="I391">
        <v>1</v>
      </c>
      <c r="J391">
        <v>0</v>
      </c>
      <c r="K391">
        <v>0</v>
      </c>
      <c r="L391">
        <v>0</v>
      </c>
      <c r="M391" s="7">
        <v>12.5</v>
      </c>
      <c r="N391" s="7">
        <v>27.3</v>
      </c>
    </row>
    <row r="392" spans="1:14" ht="19.95" customHeight="1">
      <c r="A392" s="6">
        <v>45317</v>
      </c>
      <c r="B392" t="s">
        <v>66</v>
      </c>
      <c r="C392">
        <v>4</v>
      </c>
      <c r="D392">
        <v>1</v>
      </c>
      <c r="E392">
        <v>26</v>
      </c>
      <c r="F392">
        <v>0</v>
      </c>
      <c r="G392">
        <v>0</v>
      </c>
      <c r="I392">
        <v>1</v>
      </c>
      <c r="J392">
        <v>0</v>
      </c>
      <c r="K392">
        <v>0</v>
      </c>
      <c r="L392">
        <v>0</v>
      </c>
      <c r="M392" s="7">
        <v>0</v>
      </c>
      <c r="N392" s="7">
        <v>26.8</v>
      </c>
    </row>
    <row r="393" spans="1:14" ht="19.95" customHeight="1">
      <c r="A393" s="6">
        <v>45318</v>
      </c>
      <c r="B393" t="s">
        <v>67</v>
      </c>
      <c r="C393">
        <v>5</v>
      </c>
      <c r="D393">
        <v>1</v>
      </c>
      <c r="E393">
        <v>27</v>
      </c>
      <c r="F393">
        <v>1</v>
      </c>
      <c r="G393">
        <v>0</v>
      </c>
      <c r="I393">
        <v>1</v>
      </c>
      <c r="J393">
        <v>0</v>
      </c>
      <c r="K393">
        <v>0</v>
      </c>
      <c r="L393">
        <v>0</v>
      </c>
      <c r="M393" s="7">
        <v>3.6</v>
      </c>
      <c r="N393" s="7">
        <v>28.9</v>
      </c>
    </row>
    <row r="394" spans="1:14" ht="19.95" customHeight="1">
      <c r="A394" s="6">
        <v>45319</v>
      </c>
      <c r="B394" t="s">
        <v>60</v>
      </c>
      <c r="C394">
        <v>6</v>
      </c>
      <c r="D394">
        <v>1</v>
      </c>
      <c r="E394">
        <v>28</v>
      </c>
      <c r="F394">
        <v>1</v>
      </c>
      <c r="G394">
        <v>0</v>
      </c>
      <c r="I394">
        <v>1</v>
      </c>
      <c r="J394">
        <v>0</v>
      </c>
      <c r="K394">
        <v>0</v>
      </c>
      <c r="L394">
        <v>0</v>
      </c>
      <c r="M394" s="7">
        <v>0</v>
      </c>
      <c r="N394" s="7">
        <v>28</v>
      </c>
    </row>
    <row r="395" spans="1:14" ht="19.95" customHeight="1">
      <c r="A395" s="6">
        <v>45320</v>
      </c>
      <c r="B395" t="s">
        <v>62</v>
      </c>
      <c r="C395">
        <v>0</v>
      </c>
      <c r="D395">
        <v>1</v>
      </c>
      <c r="E395">
        <v>29</v>
      </c>
      <c r="F395">
        <v>0</v>
      </c>
      <c r="G395">
        <v>0</v>
      </c>
      <c r="I395">
        <v>1</v>
      </c>
      <c r="J395">
        <v>0</v>
      </c>
      <c r="K395">
        <v>0</v>
      </c>
      <c r="L395">
        <v>0</v>
      </c>
      <c r="M395" s="7">
        <v>0</v>
      </c>
      <c r="N395" s="7">
        <v>28.1</v>
      </c>
    </row>
    <row r="396" spans="1:14" ht="19.95" customHeight="1">
      <c r="A396" s="6">
        <v>45321</v>
      </c>
      <c r="B396" t="s">
        <v>63</v>
      </c>
      <c r="C396">
        <v>1</v>
      </c>
      <c r="D396">
        <v>1</v>
      </c>
      <c r="E396">
        <v>30</v>
      </c>
      <c r="F396">
        <v>0</v>
      </c>
      <c r="G396">
        <v>0</v>
      </c>
      <c r="I396">
        <v>1</v>
      </c>
      <c r="J396">
        <v>0</v>
      </c>
      <c r="K396">
        <v>0</v>
      </c>
      <c r="L396">
        <v>0</v>
      </c>
      <c r="M396" s="7">
        <v>6.9</v>
      </c>
      <c r="N396" s="7">
        <v>28</v>
      </c>
    </row>
    <row r="397" spans="1:14" ht="19.95" customHeight="1">
      <c r="A397" s="6">
        <v>45322</v>
      </c>
      <c r="B397" t="s">
        <v>64</v>
      </c>
      <c r="C397">
        <v>2</v>
      </c>
      <c r="D397">
        <v>1</v>
      </c>
      <c r="E397">
        <v>31</v>
      </c>
      <c r="F397">
        <v>0</v>
      </c>
      <c r="G397">
        <v>0</v>
      </c>
      <c r="I397">
        <v>1</v>
      </c>
      <c r="J397">
        <v>0</v>
      </c>
      <c r="K397">
        <v>0</v>
      </c>
      <c r="L397">
        <v>0</v>
      </c>
      <c r="M397" s="7">
        <v>0.8</v>
      </c>
      <c r="N397" s="7">
        <v>27.6</v>
      </c>
    </row>
    <row r="398" spans="1:14" ht="19.95" customHeight="1">
      <c r="A398" s="6">
        <v>45323</v>
      </c>
      <c r="B398" t="s">
        <v>65</v>
      </c>
      <c r="C398">
        <v>3</v>
      </c>
      <c r="D398">
        <v>2</v>
      </c>
      <c r="E398">
        <v>32</v>
      </c>
      <c r="F398">
        <v>0</v>
      </c>
      <c r="G398">
        <v>0</v>
      </c>
      <c r="I398">
        <v>0</v>
      </c>
      <c r="J398">
        <v>0</v>
      </c>
      <c r="K398">
        <v>0</v>
      </c>
      <c r="L398">
        <v>0</v>
      </c>
      <c r="M398" s="7">
        <v>6.9</v>
      </c>
      <c r="N398" s="7">
        <v>28.2</v>
      </c>
    </row>
    <row r="399" spans="1:14" ht="19.95" customHeight="1">
      <c r="A399" s="6">
        <v>45324</v>
      </c>
      <c r="B399" t="s">
        <v>66</v>
      </c>
      <c r="C399">
        <v>4</v>
      </c>
      <c r="D399">
        <v>2</v>
      </c>
      <c r="E399">
        <v>33</v>
      </c>
      <c r="F399">
        <v>0</v>
      </c>
      <c r="G399">
        <v>0</v>
      </c>
      <c r="I399">
        <v>0</v>
      </c>
      <c r="J399">
        <v>0</v>
      </c>
      <c r="K399">
        <v>0</v>
      </c>
      <c r="L399">
        <v>0</v>
      </c>
      <c r="M399" s="7">
        <v>5.8</v>
      </c>
      <c r="N399" s="7">
        <v>30.1</v>
      </c>
    </row>
    <row r="400" spans="1:14" ht="19.95" customHeight="1">
      <c r="A400" s="6">
        <v>45325</v>
      </c>
      <c r="B400" t="s">
        <v>67</v>
      </c>
      <c r="C400">
        <v>5</v>
      </c>
      <c r="D400">
        <v>2</v>
      </c>
      <c r="E400">
        <v>34</v>
      </c>
      <c r="F400">
        <v>1</v>
      </c>
      <c r="G400">
        <v>0</v>
      </c>
      <c r="I400">
        <v>0</v>
      </c>
      <c r="J400">
        <v>0</v>
      </c>
      <c r="K400">
        <v>0</v>
      </c>
      <c r="L400">
        <v>0</v>
      </c>
      <c r="M400" s="7">
        <v>0</v>
      </c>
      <c r="N400" s="7">
        <v>28</v>
      </c>
    </row>
    <row r="401" spans="1:14" ht="19.95" customHeight="1">
      <c r="A401" s="6">
        <v>45326</v>
      </c>
      <c r="B401" t="s">
        <v>60</v>
      </c>
      <c r="C401">
        <v>6</v>
      </c>
      <c r="D401">
        <v>2</v>
      </c>
      <c r="E401">
        <v>35</v>
      </c>
      <c r="F401">
        <v>1</v>
      </c>
      <c r="G401">
        <v>0</v>
      </c>
      <c r="I401">
        <v>0</v>
      </c>
      <c r="J401">
        <v>0</v>
      </c>
      <c r="K401">
        <v>0</v>
      </c>
      <c r="L401">
        <v>0</v>
      </c>
      <c r="M401" s="7">
        <v>10.3</v>
      </c>
      <c r="N401" s="7">
        <v>28.3</v>
      </c>
    </row>
    <row r="402" spans="1:14" ht="19.95" customHeight="1">
      <c r="A402" s="6">
        <v>45327</v>
      </c>
      <c r="B402" t="s">
        <v>62</v>
      </c>
      <c r="C402">
        <v>0</v>
      </c>
      <c r="D402">
        <v>2</v>
      </c>
      <c r="E402">
        <v>36</v>
      </c>
      <c r="F402">
        <v>0</v>
      </c>
      <c r="G402">
        <v>0</v>
      </c>
      <c r="I402">
        <v>0</v>
      </c>
      <c r="J402">
        <v>0</v>
      </c>
      <c r="K402">
        <v>0</v>
      </c>
      <c r="L402">
        <v>0</v>
      </c>
      <c r="M402" s="7">
        <v>0</v>
      </c>
      <c r="N402" s="7">
        <v>28.1</v>
      </c>
    </row>
    <row r="403" spans="1:14" ht="19.95" customHeight="1">
      <c r="A403" s="6">
        <v>45328</v>
      </c>
      <c r="B403" t="s">
        <v>63</v>
      </c>
      <c r="C403">
        <v>1</v>
      </c>
      <c r="D403">
        <v>2</v>
      </c>
      <c r="E403">
        <v>37</v>
      </c>
      <c r="F403">
        <v>0</v>
      </c>
      <c r="G403">
        <v>0</v>
      </c>
      <c r="I403">
        <v>0</v>
      </c>
      <c r="J403">
        <v>0</v>
      </c>
      <c r="K403">
        <v>0</v>
      </c>
      <c r="L403">
        <v>0</v>
      </c>
      <c r="M403" s="7">
        <v>15.4</v>
      </c>
      <c r="N403" s="7">
        <v>28</v>
      </c>
    </row>
    <row r="404" spans="1:14" ht="19.95" customHeight="1">
      <c r="A404" s="6">
        <v>45329</v>
      </c>
      <c r="B404" t="s">
        <v>64</v>
      </c>
      <c r="C404">
        <v>2</v>
      </c>
      <c r="D404">
        <v>2</v>
      </c>
      <c r="E404">
        <v>38</v>
      </c>
      <c r="F404">
        <v>0</v>
      </c>
      <c r="G404">
        <v>0</v>
      </c>
      <c r="I404">
        <v>0</v>
      </c>
      <c r="J404">
        <v>0</v>
      </c>
      <c r="K404">
        <v>0</v>
      </c>
      <c r="L404">
        <v>0</v>
      </c>
      <c r="M404" s="7">
        <v>0</v>
      </c>
      <c r="N404" s="7">
        <v>28.2</v>
      </c>
    </row>
    <row r="405" spans="1:14" ht="19.95" customHeight="1">
      <c r="A405" s="6">
        <v>45330</v>
      </c>
      <c r="B405" t="s">
        <v>65</v>
      </c>
      <c r="C405">
        <v>3</v>
      </c>
      <c r="D405">
        <v>2</v>
      </c>
      <c r="E405">
        <v>39</v>
      </c>
      <c r="F405">
        <v>0</v>
      </c>
      <c r="G405">
        <v>0</v>
      </c>
      <c r="I405">
        <v>0</v>
      </c>
      <c r="J405">
        <v>0</v>
      </c>
      <c r="K405">
        <v>0</v>
      </c>
      <c r="L405">
        <v>0</v>
      </c>
      <c r="M405" s="7">
        <v>0</v>
      </c>
      <c r="N405" s="7">
        <v>27.8</v>
      </c>
    </row>
    <row r="406" spans="1:14" ht="19.95" customHeight="1">
      <c r="A406" s="6">
        <v>45331</v>
      </c>
      <c r="B406" t="s">
        <v>66</v>
      </c>
      <c r="C406">
        <v>4</v>
      </c>
      <c r="D406">
        <v>2</v>
      </c>
      <c r="E406">
        <v>40</v>
      </c>
      <c r="F406">
        <v>0</v>
      </c>
      <c r="G406">
        <v>0</v>
      </c>
      <c r="I406">
        <v>0</v>
      </c>
      <c r="J406">
        <v>1</v>
      </c>
      <c r="K406">
        <v>0</v>
      </c>
      <c r="L406">
        <v>0</v>
      </c>
      <c r="M406" s="7">
        <v>2.2999999999999998</v>
      </c>
      <c r="N406" s="7">
        <v>28</v>
      </c>
    </row>
    <row r="407" spans="1:14" ht="19.95" customHeight="1">
      <c r="A407" s="6">
        <v>45332</v>
      </c>
      <c r="B407" t="s">
        <v>67</v>
      </c>
      <c r="C407">
        <v>5</v>
      </c>
      <c r="D407">
        <v>2</v>
      </c>
      <c r="E407">
        <v>41</v>
      </c>
      <c r="F407">
        <v>1</v>
      </c>
      <c r="G407">
        <v>0</v>
      </c>
      <c r="I407">
        <v>0</v>
      </c>
      <c r="J407">
        <v>1</v>
      </c>
      <c r="K407">
        <v>0</v>
      </c>
      <c r="L407">
        <v>0</v>
      </c>
      <c r="M407" s="7">
        <v>20.8</v>
      </c>
      <c r="N407" s="7">
        <v>27.7</v>
      </c>
    </row>
    <row r="408" spans="1:14" ht="19.95" customHeight="1">
      <c r="A408" s="6">
        <v>45333</v>
      </c>
      <c r="B408" t="s">
        <v>60</v>
      </c>
      <c r="C408">
        <v>6</v>
      </c>
      <c r="D408">
        <v>2</v>
      </c>
      <c r="E408">
        <v>42</v>
      </c>
      <c r="F408">
        <v>1</v>
      </c>
      <c r="G408">
        <v>0</v>
      </c>
      <c r="I408">
        <v>0</v>
      </c>
      <c r="J408">
        <v>1</v>
      </c>
      <c r="K408">
        <v>0</v>
      </c>
      <c r="L408">
        <v>0</v>
      </c>
      <c r="M408" s="7">
        <v>2.5</v>
      </c>
      <c r="N408" s="7">
        <v>27.1</v>
      </c>
    </row>
    <row r="409" spans="1:14" ht="19.95" customHeight="1">
      <c r="A409" s="6">
        <v>45334</v>
      </c>
      <c r="B409" t="s">
        <v>62</v>
      </c>
      <c r="C409">
        <v>0</v>
      </c>
      <c r="D409">
        <v>2</v>
      </c>
      <c r="E409">
        <v>43</v>
      </c>
      <c r="F409">
        <v>0</v>
      </c>
      <c r="G409">
        <v>0</v>
      </c>
      <c r="I409">
        <v>0</v>
      </c>
      <c r="J409">
        <v>1</v>
      </c>
      <c r="K409">
        <v>0</v>
      </c>
      <c r="L409">
        <v>0</v>
      </c>
      <c r="M409" s="7">
        <v>0.8</v>
      </c>
      <c r="N409" s="7">
        <v>27.7</v>
      </c>
    </row>
    <row r="410" spans="1:14" ht="19.95" customHeight="1">
      <c r="A410" s="6">
        <v>45335</v>
      </c>
      <c r="B410" t="s">
        <v>63</v>
      </c>
      <c r="C410">
        <v>1</v>
      </c>
      <c r="D410">
        <v>2</v>
      </c>
      <c r="E410">
        <v>44</v>
      </c>
      <c r="F410">
        <v>0</v>
      </c>
      <c r="G410">
        <v>0</v>
      </c>
      <c r="I410">
        <v>0</v>
      </c>
      <c r="J410">
        <v>1</v>
      </c>
      <c r="K410">
        <v>0</v>
      </c>
      <c r="L410">
        <v>0</v>
      </c>
      <c r="M410" s="7">
        <v>0.3</v>
      </c>
      <c r="N410" s="7">
        <v>28.8</v>
      </c>
    </row>
    <row r="411" spans="1:14" ht="19.95" customHeight="1">
      <c r="A411" s="6">
        <v>45336</v>
      </c>
      <c r="B411" t="s">
        <v>64</v>
      </c>
      <c r="C411">
        <v>2</v>
      </c>
      <c r="D411">
        <v>2</v>
      </c>
      <c r="E411">
        <v>45</v>
      </c>
      <c r="F411">
        <v>0</v>
      </c>
      <c r="G411">
        <v>0</v>
      </c>
      <c r="I411">
        <v>0</v>
      </c>
      <c r="J411">
        <v>0</v>
      </c>
      <c r="K411">
        <v>0</v>
      </c>
      <c r="L411">
        <v>0</v>
      </c>
      <c r="M411" s="7">
        <v>11</v>
      </c>
      <c r="N411" s="7">
        <v>28.2</v>
      </c>
    </row>
    <row r="412" spans="1:14" ht="19.95" customHeight="1">
      <c r="A412" s="6">
        <v>45337</v>
      </c>
      <c r="B412" t="s">
        <v>65</v>
      </c>
      <c r="C412">
        <v>3</v>
      </c>
      <c r="D412">
        <v>2</v>
      </c>
      <c r="E412">
        <v>46</v>
      </c>
      <c r="F412">
        <v>0</v>
      </c>
      <c r="G412">
        <v>0</v>
      </c>
      <c r="I412">
        <v>0</v>
      </c>
      <c r="J412">
        <v>0</v>
      </c>
      <c r="K412">
        <v>0</v>
      </c>
      <c r="L412">
        <v>0</v>
      </c>
      <c r="M412" s="7">
        <v>5.9</v>
      </c>
      <c r="N412" s="7">
        <v>26.4</v>
      </c>
    </row>
    <row r="413" spans="1:14" ht="19.95" customHeight="1">
      <c r="A413" s="6">
        <v>45338</v>
      </c>
      <c r="B413" t="s">
        <v>66</v>
      </c>
      <c r="C413">
        <v>4</v>
      </c>
      <c r="D413">
        <v>2</v>
      </c>
      <c r="E413">
        <v>47</v>
      </c>
      <c r="F413">
        <v>0</v>
      </c>
      <c r="G413">
        <v>0</v>
      </c>
      <c r="I413">
        <v>0</v>
      </c>
      <c r="J413">
        <v>0</v>
      </c>
      <c r="K413">
        <v>0</v>
      </c>
      <c r="L413">
        <v>0</v>
      </c>
      <c r="M413" s="7">
        <v>0</v>
      </c>
      <c r="N413" s="7">
        <v>29.2</v>
      </c>
    </row>
    <row r="414" spans="1:14" ht="19.95" customHeight="1">
      <c r="A414" s="6">
        <v>45339</v>
      </c>
      <c r="B414" t="s">
        <v>67</v>
      </c>
      <c r="C414">
        <v>5</v>
      </c>
      <c r="D414">
        <v>2</v>
      </c>
      <c r="E414">
        <v>48</v>
      </c>
      <c r="F414">
        <v>1</v>
      </c>
      <c r="G414">
        <v>0</v>
      </c>
      <c r="I414">
        <v>0</v>
      </c>
      <c r="J414">
        <v>0</v>
      </c>
      <c r="K414">
        <v>0</v>
      </c>
      <c r="L414">
        <v>0</v>
      </c>
      <c r="M414" s="7">
        <v>4.0999999999999996</v>
      </c>
      <c r="N414" s="7">
        <v>28.4</v>
      </c>
    </row>
    <row r="415" spans="1:14" ht="19.95" customHeight="1">
      <c r="A415" s="6">
        <v>45340</v>
      </c>
      <c r="B415" t="s">
        <v>60</v>
      </c>
      <c r="C415">
        <v>6</v>
      </c>
      <c r="D415">
        <v>2</v>
      </c>
      <c r="E415">
        <v>49</v>
      </c>
      <c r="F415">
        <v>1</v>
      </c>
      <c r="G415">
        <v>0</v>
      </c>
      <c r="I415">
        <v>0</v>
      </c>
      <c r="J415">
        <v>0</v>
      </c>
      <c r="K415">
        <v>0</v>
      </c>
      <c r="L415">
        <v>0</v>
      </c>
      <c r="M415" s="7">
        <v>0</v>
      </c>
      <c r="N415" s="7">
        <v>29.2</v>
      </c>
    </row>
    <row r="416" spans="1:14" ht="19.95" customHeight="1">
      <c r="A416" s="6">
        <v>45341</v>
      </c>
      <c r="B416" t="s">
        <v>62</v>
      </c>
      <c r="C416">
        <v>0</v>
      </c>
      <c r="D416">
        <v>2</v>
      </c>
      <c r="E416">
        <v>50</v>
      </c>
      <c r="F416">
        <v>0</v>
      </c>
      <c r="G416">
        <v>0</v>
      </c>
      <c r="I416">
        <v>0</v>
      </c>
      <c r="J416">
        <v>0</v>
      </c>
      <c r="K416">
        <v>0</v>
      </c>
      <c r="L416">
        <v>0</v>
      </c>
      <c r="M416" s="7">
        <v>0</v>
      </c>
      <c r="N416" s="7">
        <v>27.8</v>
      </c>
    </row>
    <row r="417" spans="1:14" ht="19.95" customHeight="1">
      <c r="A417" s="6">
        <v>45342</v>
      </c>
      <c r="B417" t="s">
        <v>63</v>
      </c>
      <c r="C417">
        <v>1</v>
      </c>
      <c r="D417">
        <v>2</v>
      </c>
      <c r="E417">
        <v>51</v>
      </c>
      <c r="F417">
        <v>0</v>
      </c>
      <c r="G417">
        <v>0</v>
      </c>
      <c r="I417">
        <v>0</v>
      </c>
      <c r="J417">
        <v>0</v>
      </c>
      <c r="K417">
        <v>0</v>
      </c>
      <c r="L417">
        <v>0</v>
      </c>
      <c r="M417" s="7">
        <v>5.8</v>
      </c>
      <c r="N417" s="7">
        <v>27.1</v>
      </c>
    </row>
    <row r="418" spans="1:14" ht="19.95" customHeight="1">
      <c r="A418" s="6">
        <v>45343</v>
      </c>
      <c r="B418" t="s">
        <v>64</v>
      </c>
      <c r="C418">
        <v>2</v>
      </c>
      <c r="D418">
        <v>2</v>
      </c>
      <c r="E418">
        <v>52</v>
      </c>
      <c r="F418">
        <v>0</v>
      </c>
      <c r="G418">
        <v>0</v>
      </c>
      <c r="I418">
        <v>0</v>
      </c>
      <c r="J418">
        <v>0</v>
      </c>
      <c r="K418">
        <v>0</v>
      </c>
      <c r="L418">
        <v>0</v>
      </c>
      <c r="M418" s="7">
        <v>6.3</v>
      </c>
      <c r="N418" s="7">
        <v>26.5</v>
      </c>
    </row>
    <row r="419" spans="1:14" ht="19.95" customHeight="1">
      <c r="A419" s="6">
        <v>45344</v>
      </c>
      <c r="B419" t="s">
        <v>65</v>
      </c>
      <c r="C419">
        <v>3</v>
      </c>
      <c r="D419">
        <v>2</v>
      </c>
      <c r="E419">
        <v>53</v>
      </c>
      <c r="F419">
        <v>0</v>
      </c>
      <c r="G419">
        <v>0</v>
      </c>
      <c r="I419">
        <v>0</v>
      </c>
      <c r="J419">
        <v>0</v>
      </c>
      <c r="K419">
        <v>0</v>
      </c>
      <c r="L419">
        <v>0</v>
      </c>
      <c r="M419" s="7">
        <v>8.9</v>
      </c>
      <c r="N419" s="7">
        <v>27.4</v>
      </c>
    </row>
    <row r="420" spans="1:14" ht="19.95" customHeight="1">
      <c r="A420" s="6">
        <v>45345</v>
      </c>
      <c r="B420" t="s">
        <v>66</v>
      </c>
      <c r="C420">
        <v>4</v>
      </c>
      <c r="D420">
        <v>2</v>
      </c>
      <c r="E420">
        <v>54</v>
      </c>
      <c r="F420">
        <v>0</v>
      </c>
      <c r="G420">
        <v>0</v>
      </c>
      <c r="I420">
        <v>0</v>
      </c>
      <c r="J420">
        <v>0</v>
      </c>
      <c r="K420">
        <v>0</v>
      </c>
      <c r="L420">
        <v>0</v>
      </c>
      <c r="M420" s="7">
        <v>6.6</v>
      </c>
      <c r="N420" s="7">
        <v>26.1</v>
      </c>
    </row>
    <row r="421" spans="1:14" ht="19.95" customHeight="1">
      <c r="A421" s="6">
        <v>45346</v>
      </c>
      <c r="B421" t="s">
        <v>67</v>
      </c>
      <c r="C421">
        <v>5</v>
      </c>
      <c r="D421">
        <v>2</v>
      </c>
      <c r="E421">
        <v>55</v>
      </c>
      <c r="F421">
        <v>1</v>
      </c>
      <c r="G421">
        <v>0</v>
      </c>
      <c r="I421">
        <v>0</v>
      </c>
      <c r="J421">
        <v>0</v>
      </c>
      <c r="K421">
        <v>0</v>
      </c>
      <c r="L421">
        <v>0</v>
      </c>
      <c r="M421" s="7">
        <v>2.7</v>
      </c>
      <c r="N421" s="7">
        <v>28.2</v>
      </c>
    </row>
    <row r="422" spans="1:14" ht="19.95" customHeight="1">
      <c r="A422" s="6">
        <v>45347</v>
      </c>
      <c r="B422" t="s">
        <v>60</v>
      </c>
      <c r="C422">
        <v>6</v>
      </c>
      <c r="D422">
        <v>2</v>
      </c>
      <c r="E422">
        <v>56</v>
      </c>
      <c r="F422">
        <v>1</v>
      </c>
      <c r="G422">
        <v>0</v>
      </c>
      <c r="I422">
        <v>0</v>
      </c>
      <c r="J422">
        <v>0</v>
      </c>
      <c r="K422">
        <v>0</v>
      </c>
      <c r="L422">
        <v>0</v>
      </c>
      <c r="M422" s="7">
        <v>13.9</v>
      </c>
      <c r="N422" s="7">
        <v>27.8</v>
      </c>
    </row>
    <row r="423" spans="1:14" ht="19.95" customHeight="1">
      <c r="A423" s="6">
        <v>45348</v>
      </c>
      <c r="B423" t="s">
        <v>62</v>
      </c>
      <c r="C423">
        <v>0</v>
      </c>
      <c r="D423">
        <v>2</v>
      </c>
      <c r="E423">
        <v>57</v>
      </c>
      <c r="F423">
        <v>0</v>
      </c>
      <c r="G423">
        <v>0</v>
      </c>
      <c r="I423">
        <v>0</v>
      </c>
      <c r="J423">
        <v>0</v>
      </c>
      <c r="K423">
        <v>0</v>
      </c>
      <c r="L423">
        <v>0</v>
      </c>
      <c r="M423" s="7">
        <v>4.9000000000000004</v>
      </c>
      <c r="N423" s="7">
        <v>27.9</v>
      </c>
    </row>
    <row r="424" spans="1:14" ht="19.95" customHeight="1">
      <c r="A424" s="6">
        <v>45349</v>
      </c>
      <c r="B424" t="s">
        <v>63</v>
      </c>
      <c r="C424">
        <v>1</v>
      </c>
      <c r="D424">
        <v>2</v>
      </c>
      <c r="E424">
        <v>58</v>
      </c>
      <c r="F424">
        <v>0</v>
      </c>
      <c r="G424">
        <v>0</v>
      </c>
      <c r="I424">
        <v>0</v>
      </c>
      <c r="J424">
        <v>0</v>
      </c>
      <c r="K424">
        <v>0</v>
      </c>
      <c r="L424">
        <v>0</v>
      </c>
      <c r="M424" s="7">
        <v>7.8</v>
      </c>
      <c r="N424" s="7">
        <v>27</v>
      </c>
    </row>
    <row r="425" spans="1:14" ht="19.95" customHeight="1">
      <c r="A425" s="6">
        <v>45350</v>
      </c>
      <c r="B425" t="s">
        <v>64</v>
      </c>
      <c r="C425">
        <v>2</v>
      </c>
      <c r="D425">
        <v>2</v>
      </c>
      <c r="E425">
        <v>59</v>
      </c>
      <c r="F425">
        <v>0</v>
      </c>
      <c r="G425">
        <v>0</v>
      </c>
      <c r="I425">
        <v>0</v>
      </c>
      <c r="J425">
        <v>0</v>
      </c>
      <c r="K425">
        <v>0</v>
      </c>
      <c r="L425">
        <v>0</v>
      </c>
      <c r="M425" s="7">
        <v>8.6999999999999993</v>
      </c>
      <c r="N425" s="7">
        <v>26.6</v>
      </c>
    </row>
    <row r="426" spans="1:14" ht="19.95" customHeight="1">
      <c r="A426" s="6">
        <v>45351</v>
      </c>
      <c r="B426" t="s">
        <v>65</v>
      </c>
      <c r="C426">
        <v>3</v>
      </c>
      <c r="D426">
        <v>2</v>
      </c>
      <c r="E426">
        <v>60</v>
      </c>
      <c r="F426">
        <v>0</v>
      </c>
      <c r="G426">
        <v>0</v>
      </c>
      <c r="I426">
        <v>0</v>
      </c>
      <c r="J426">
        <v>0</v>
      </c>
      <c r="K426">
        <v>0</v>
      </c>
      <c r="L426">
        <v>0</v>
      </c>
      <c r="M426" s="7">
        <v>6.1</v>
      </c>
      <c r="N426" s="7">
        <v>27.7</v>
      </c>
    </row>
    <row r="427" spans="1:14" ht="19.95" customHeight="1">
      <c r="A427" s="6">
        <v>45352</v>
      </c>
      <c r="B427" t="s">
        <v>66</v>
      </c>
      <c r="C427">
        <v>4</v>
      </c>
      <c r="D427">
        <v>3</v>
      </c>
      <c r="E427">
        <v>61</v>
      </c>
      <c r="F427">
        <v>0</v>
      </c>
      <c r="G427">
        <v>0</v>
      </c>
      <c r="I427">
        <v>0</v>
      </c>
      <c r="J427">
        <v>0</v>
      </c>
      <c r="K427">
        <v>0</v>
      </c>
      <c r="L427">
        <v>0</v>
      </c>
      <c r="M427" s="7">
        <v>5.4</v>
      </c>
      <c r="N427" s="7">
        <v>27.5</v>
      </c>
    </row>
    <row r="428" spans="1:14" ht="19.95" customHeight="1">
      <c r="A428" s="6">
        <v>45353</v>
      </c>
      <c r="B428" t="s">
        <v>67</v>
      </c>
      <c r="C428">
        <v>5</v>
      </c>
      <c r="D428">
        <v>3</v>
      </c>
      <c r="E428">
        <v>62</v>
      </c>
      <c r="F428">
        <v>1</v>
      </c>
      <c r="G428">
        <v>0</v>
      </c>
      <c r="I428">
        <v>0</v>
      </c>
      <c r="J428">
        <v>0</v>
      </c>
      <c r="K428">
        <v>0</v>
      </c>
      <c r="L428">
        <v>0</v>
      </c>
      <c r="M428" s="7">
        <v>2</v>
      </c>
      <c r="N428" s="7">
        <v>28.7</v>
      </c>
    </row>
    <row r="429" spans="1:14" ht="19.95" customHeight="1">
      <c r="A429" s="6">
        <v>45354</v>
      </c>
      <c r="B429" t="s">
        <v>60</v>
      </c>
      <c r="C429">
        <v>6</v>
      </c>
      <c r="D429">
        <v>3</v>
      </c>
      <c r="E429">
        <v>63</v>
      </c>
      <c r="F429">
        <v>1</v>
      </c>
      <c r="G429">
        <v>0</v>
      </c>
      <c r="I429">
        <v>0</v>
      </c>
      <c r="J429">
        <v>0</v>
      </c>
      <c r="K429">
        <v>0</v>
      </c>
      <c r="L429">
        <v>0</v>
      </c>
      <c r="M429" s="7">
        <v>20.9</v>
      </c>
      <c r="N429" s="7">
        <v>28.4</v>
      </c>
    </row>
    <row r="430" spans="1:14" ht="19.95" customHeight="1">
      <c r="A430" s="6">
        <v>45355</v>
      </c>
      <c r="B430" t="s">
        <v>62</v>
      </c>
      <c r="C430">
        <v>0</v>
      </c>
      <c r="D430">
        <v>3</v>
      </c>
      <c r="E430">
        <v>64</v>
      </c>
      <c r="F430">
        <v>0</v>
      </c>
      <c r="G430">
        <v>0</v>
      </c>
      <c r="I430">
        <v>0</v>
      </c>
      <c r="J430">
        <v>0</v>
      </c>
      <c r="K430">
        <v>0</v>
      </c>
      <c r="L430">
        <v>0</v>
      </c>
      <c r="M430" s="7">
        <v>9</v>
      </c>
      <c r="N430" s="7">
        <v>28.1</v>
      </c>
    </row>
    <row r="431" spans="1:14" ht="19.95" customHeight="1">
      <c r="A431" s="6">
        <v>45356</v>
      </c>
      <c r="B431" t="s">
        <v>63</v>
      </c>
      <c r="C431">
        <v>1</v>
      </c>
      <c r="D431">
        <v>3</v>
      </c>
      <c r="E431">
        <v>65</v>
      </c>
      <c r="F431">
        <v>0</v>
      </c>
      <c r="G431">
        <v>0</v>
      </c>
      <c r="I431">
        <v>0</v>
      </c>
      <c r="J431">
        <v>0</v>
      </c>
      <c r="K431">
        <v>0</v>
      </c>
      <c r="L431">
        <v>0</v>
      </c>
      <c r="M431" s="7">
        <v>5.4</v>
      </c>
      <c r="N431" s="7">
        <v>28.6</v>
      </c>
    </row>
    <row r="432" spans="1:14" ht="19.95" customHeight="1">
      <c r="A432" s="6">
        <v>45357</v>
      </c>
      <c r="B432" t="s">
        <v>64</v>
      </c>
      <c r="C432">
        <v>2</v>
      </c>
      <c r="D432">
        <v>3</v>
      </c>
      <c r="E432">
        <v>66</v>
      </c>
      <c r="F432">
        <v>0</v>
      </c>
      <c r="G432">
        <v>0</v>
      </c>
      <c r="I432">
        <v>0</v>
      </c>
      <c r="J432">
        <v>0</v>
      </c>
      <c r="K432">
        <v>0</v>
      </c>
      <c r="L432">
        <v>0</v>
      </c>
      <c r="M432" s="7">
        <v>1.1000000000000001</v>
      </c>
      <c r="N432" s="7">
        <v>26.5</v>
      </c>
    </row>
    <row r="433" spans="1:14" ht="19.95" customHeight="1">
      <c r="A433" s="6">
        <v>45358</v>
      </c>
      <c r="B433" t="s">
        <v>65</v>
      </c>
      <c r="C433">
        <v>3</v>
      </c>
      <c r="D433">
        <v>3</v>
      </c>
      <c r="E433">
        <v>67</v>
      </c>
      <c r="F433">
        <v>0</v>
      </c>
      <c r="G433">
        <v>0</v>
      </c>
      <c r="I433">
        <v>0</v>
      </c>
      <c r="J433">
        <v>0</v>
      </c>
      <c r="K433">
        <v>0</v>
      </c>
      <c r="L433">
        <v>0</v>
      </c>
      <c r="M433" s="7">
        <v>8.4</v>
      </c>
      <c r="N433" s="7">
        <v>27.1</v>
      </c>
    </row>
    <row r="434" spans="1:14" ht="19.95" customHeight="1">
      <c r="A434" s="6">
        <v>45359</v>
      </c>
      <c r="B434" t="s">
        <v>66</v>
      </c>
      <c r="C434">
        <v>4</v>
      </c>
      <c r="D434">
        <v>3</v>
      </c>
      <c r="E434">
        <v>68</v>
      </c>
      <c r="F434">
        <v>0</v>
      </c>
      <c r="G434">
        <v>0</v>
      </c>
      <c r="I434">
        <v>0</v>
      </c>
      <c r="J434">
        <v>0</v>
      </c>
      <c r="K434">
        <v>0</v>
      </c>
      <c r="L434">
        <v>0</v>
      </c>
      <c r="M434" s="7">
        <v>4.0999999999999996</v>
      </c>
      <c r="N434" s="7">
        <v>29.8</v>
      </c>
    </row>
    <row r="435" spans="1:14" ht="19.95" customHeight="1">
      <c r="A435" s="6">
        <v>45360</v>
      </c>
      <c r="B435" t="s">
        <v>67</v>
      </c>
      <c r="C435">
        <v>5</v>
      </c>
      <c r="D435">
        <v>3</v>
      </c>
      <c r="E435">
        <v>69</v>
      </c>
      <c r="F435">
        <v>1</v>
      </c>
      <c r="G435">
        <v>0</v>
      </c>
      <c r="I435">
        <v>0</v>
      </c>
      <c r="J435">
        <v>0</v>
      </c>
      <c r="K435">
        <v>0</v>
      </c>
      <c r="L435">
        <v>0</v>
      </c>
      <c r="M435" s="7">
        <v>3</v>
      </c>
      <c r="N435" s="7">
        <v>28.5</v>
      </c>
    </row>
    <row r="436" spans="1:14" ht="19.95" customHeight="1">
      <c r="A436" s="6">
        <v>45361</v>
      </c>
      <c r="B436" t="s">
        <v>60</v>
      </c>
      <c r="C436">
        <v>6</v>
      </c>
      <c r="D436">
        <v>3</v>
      </c>
      <c r="E436">
        <v>70</v>
      </c>
      <c r="F436">
        <v>1</v>
      </c>
      <c r="G436">
        <v>0</v>
      </c>
      <c r="I436">
        <v>0</v>
      </c>
      <c r="J436">
        <v>0</v>
      </c>
      <c r="K436">
        <v>0</v>
      </c>
      <c r="L436">
        <v>0</v>
      </c>
      <c r="M436" s="7">
        <v>0</v>
      </c>
      <c r="N436" s="7">
        <v>27.9</v>
      </c>
    </row>
    <row r="437" spans="1:14" ht="19.95" customHeight="1">
      <c r="A437" s="6">
        <v>45362</v>
      </c>
      <c r="B437" t="s">
        <v>62</v>
      </c>
      <c r="C437">
        <v>0</v>
      </c>
      <c r="D437">
        <v>3</v>
      </c>
      <c r="E437">
        <v>71</v>
      </c>
      <c r="F437">
        <v>0</v>
      </c>
      <c r="G437">
        <v>0</v>
      </c>
      <c r="I437">
        <v>0</v>
      </c>
      <c r="J437">
        <v>0</v>
      </c>
      <c r="K437">
        <v>0</v>
      </c>
      <c r="L437">
        <v>0</v>
      </c>
      <c r="M437" s="7">
        <v>6.9</v>
      </c>
      <c r="N437" s="7">
        <v>28.6</v>
      </c>
    </row>
    <row r="438" spans="1:14" ht="19.95" customHeight="1">
      <c r="A438" s="6">
        <v>45363</v>
      </c>
      <c r="B438" t="s">
        <v>63</v>
      </c>
      <c r="C438">
        <v>1</v>
      </c>
      <c r="D438">
        <v>3</v>
      </c>
      <c r="E438">
        <v>72</v>
      </c>
      <c r="F438">
        <v>0</v>
      </c>
      <c r="G438">
        <v>0</v>
      </c>
      <c r="I438">
        <v>0</v>
      </c>
      <c r="J438">
        <v>0</v>
      </c>
      <c r="K438">
        <v>0</v>
      </c>
      <c r="L438">
        <v>0</v>
      </c>
      <c r="M438" s="7">
        <v>1.1000000000000001</v>
      </c>
      <c r="N438" s="7">
        <v>28.8</v>
      </c>
    </row>
    <row r="439" spans="1:14" ht="19.95" customHeight="1">
      <c r="A439" s="6">
        <v>45364</v>
      </c>
      <c r="B439" t="s">
        <v>64</v>
      </c>
      <c r="C439">
        <v>2</v>
      </c>
      <c r="D439">
        <v>3</v>
      </c>
      <c r="E439">
        <v>73</v>
      </c>
      <c r="F439">
        <v>0</v>
      </c>
      <c r="G439">
        <v>0</v>
      </c>
      <c r="I439">
        <v>0</v>
      </c>
      <c r="J439">
        <v>0</v>
      </c>
      <c r="K439">
        <v>0</v>
      </c>
      <c r="L439">
        <v>0</v>
      </c>
      <c r="M439" s="7">
        <v>11.8</v>
      </c>
      <c r="N439" s="7">
        <v>25.2</v>
      </c>
    </row>
    <row r="440" spans="1:14" ht="19.95" customHeight="1">
      <c r="A440" s="6">
        <v>45365</v>
      </c>
      <c r="B440" t="s">
        <v>65</v>
      </c>
      <c r="C440">
        <v>3</v>
      </c>
      <c r="D440">
        <v>3</v>
      </c>
      <c r="E440">
        <v>74</v>
      </c>
      <c r="F440">
        <v>0</v>
      </c>
      <c r="G440">
        <v>0</v>
      </c>
      <c r="I440">
        <v>0</v>
      </c>
      <c r="J440">
        <v>0</v>
      </c>
      <c r="K440">
        <v>0</v>
      </c>
      <c r="L440">
        <v>0</v>
      </c>
      <c r="M440" s="7">
        <v>6.9</v>
      </c>
      <c r="N440" s="7">
        <v>28.1</v>
      </c>
    </row>
    <row r="441" spans="1:14" ht="19.95" customHeight="1">
      <c r="A441" s="6">
        <v>45366</v>
      </c>
      <c r="B441" t="s">
        <v>66</v>
      </c>
      <c r="C441">
        <v>4</v>
      </c>
      <c r="D441">
        <v>3</v>
      </c>
      <c r="E441">
        <v>75</v>
      </c>
      <c r="F441">
        <v>0</v>
      </c>
      <c r="G441">
        <v>0</v>
      </c>
      <c r="I441">
        <v>0</v>
      </c>
      <c r="J441">
        <v>0</v>
      </c>
      <c r="K441">
        <v>0</v>
      </c>
      <c r="L441">
        <v>0</v>
      </c>
      <c r="M441" s="7">
        <v>10</v>
      </c>
      <c r="N441" s="7">
        <v>26.7</v>
      </c>
    </row>
    <row r="442" spans="1:14" ht="19.95" customHeight="1">
      <c r="A442" s="6">
        <v>45367</v>
      </c>
      <c r="B442" t="s">
        <v>67</v>
      </c>
      <c r="C442">
        <v>5</v>
      </c>
      <c r="D442">
        <v>3</v>
      </c>
      <c r="E442">
        <v>76</v>
      </c>
      <c r="F442">
        <v>1</v>
      </c>
      <c r="G442">
        <v>0</v>
      </c>
      <c r="I442">
        <v>0</v>
      </c>
      <c r="J442">
        <v>0</v>
      </c>
      <c r="K442">
        <v>0</v>
      </c>
      <c r="L442">
        <v>0</v>
      </c>
      <c r="M442" s="7">
        <v>11.7</v>
      </c>
      <c r="N442" s="7">
        <v>28</v>
      </c>
    </row>
    <row r="443" spans="1:14" ht="19.95" customHeight="1">
      <c r="A443" s="6">
        <v>45368</v>
      </c>
      <c r="B443" t="s">
        <v>60</v>
      </c>
      <c r="C443">
        <v>6</v>
      </c>
      <c r="D443">
        <v>3</v>
      </c>
      <c r="E443">
        <v>77</v>
      </c>
      <c r="F443">
        <v>1</v>
      </c>
      <c r="G443">
        <v>0</v>
      </c>
      <c r="I443">
        <v>0</v>
      </c>
      <c r="J443">
        <v>0</v>
      </c>
      <c r="K443">
        <v>0</v>
      </c>
      <c r="L443">
        <v>0</v>
      </c>
      <c r="M443" s="7">
        <v>15.2</v>
      </c>
      <c r="N443" s="7">
        <v>28.4</v>
      </c>
    </row>
    <row r="444" spans="1:14" ht="19.95" customHeight="1">
      <c r="A444" s="6">
        <v>45369</v>
      </c>
      <c r="B444" t="s">
        <v>62</v>
      </c>
      <c r="C444">
        <v>0</v>
      </c>
      <c r="D444">
        <v>3</v>
      </c>
      <c r="E444">
        <v>78</v>
      </c>
      <c r="F444">
        <v>0</v>
      </c>
      <c r="G444">
        <v>0</v>
      </c>
      <c r="I444">
        <v>0</v>
      </c>
      <c r="J444">
        <v>0</v>
      </c>
      <c r="K444">
        <v>0</v>
      </c>
      <c r="L444">
        <v>0</v>
      </c>
      <c r="M444" s="7">
        <v>11.7</v>
      </c>
      <c r="N444" s="7">
        <v>27.1</v>
      </c>
    </row>
    <row r="445" spans="1:14" ht="19.95" customHeight="1">
      <c r="A445" s="6">
        <v>45370</v>
      </c>
      <c r="B445" t="s">
        <v>63</v>
      </c>
      <c r="C445">
        <v>1</v>
      </c>
      <c r="D445">
        <v>3</v>
      </c>
      <c r="E445">
        <v>79</v>
      </c>
      <c r="F445">
        <v>0</v>
      </c>
      <c r="G445">
        <v>1</v>
      </c>
      <c r="H445" t="s">
        <v>68</v>
      </c>
      <c r="I445">
        <v>0</v>
      </c>
      <c r="J445">
        <v>0</v>
      </c>
      <c r="K445">
        <v>0</v>
      </c>
      <c r="L445">
        <v>0</v>
      </c>
      <c r="M445" s="7">
        <v>2.7</v>
      </c>
      <c r="N445" s="7">
        <v>26.7</v>
      </c>
    </row>
    <row r="446" spans="1:14" ht="19.95" customHeight="1">
      <c r="A446" s="6">
        <v>45371</v>
      </c>
      <c r="B446" t="s">
        <v>64</v>
      </c>
      <c r="C446">
        <v>2</v>
      </c>
      <c r="D446">
        <v>3</v>
      </c>
      <c r="E446">
        <v>80</v>
      </c>
      <c r="F446">
        <v>0</v>
      </c>
      <c r="G446">
        <v>0</v>
      </c>
      <c r="I446">
        <v>0</v>
      </c>
      <c r="J446">
        <v>0</v>
      </c>
      <c r="K446">
        <v>0</v>
      </c>
      <c r="L446">
        <v>0</v>
      </c>
      <c r="M446" s="7">
        <v>15.5</v>
      </c>
      <c r="N446" s="7">
        <v>27.8</v>
      </c>
    </row>
    <row r="447" spans="1:14" ht="19.95" customHeight="1">
      <c r="A447" s="6">
        <v>45372</v>
      </c>
      <c r="B447" t="s">
        <v>65</v>
      </c>
      <c r="C447">
        <v>3</v>
      </c>
      <c r="D447">
        <v>3</v>
      </c>
      <c r="E447">
        <v>81</v>
      </c>
      <c r="F447">
        <v>0</v>
      </c>
      <c r="G447">
        <v>0</v>
      </c>
      <c r="I447">
        <v>0</v>
      </c>
      <c r="J447">
        <v>0</v>
      </c>
      <c r="K447">
        <v>0</v>
      </c>
      <c r="L447">
        <v>0</v>
      </c>
      <c r="M447" s="7">
        <v>11.4</v>
      </c>
      <c r="N447" s="7">
        <v>27.2</v>
      </c>
    </row>
    <row r="448" spans="1:14" ht="19.95" customHeight="1">
      <c r="A448" s="6">
        <v>45373</v>
      </c>
      <c r="B448" t="s">
        <v>66</v>
      </c>
      <c r="C448">
        <v>4</v>
      </c>
      <c r="D448">
        <v>3</v>
      </c>
      <c r="E448">
        <v>82</v>
      </c>
      <c r="F448">
        <v>0</v>
      </c>
      <c r="G448">
        <v>0</v>
      </c>
      <c r="I448">
        <v>0</v>
      </c>
      <c r="J448">
        <v>0</v>
      </c>
      <c r="K448">
        <v>0</v>
      </c>
      <c r="L448">
        <v>0</v>
      </c>
      <c r="M448" s="7">
        <v>9.6</v>
      </c>
      <c r="N448" s="7">
        <v>29.3</v>
      </c>
    </row>
    <row r="449" spans="1:14" ht="19.95" customHeight="1">
      <c r="A449" s="6">
        <v>45374</v>
      </c>
      <c r="B449" t="s">
        <v>67</v>
      </c>
      <c r="C449">
        <v>5</v>
      </c>
      <c r="D449">
        <v>3</v>
      </c>
      <c r="E449">
        <v>83</v>
      </c>
      <c r="F449">
        <v>1</v>
      </c>
      <c r="G449">
        <v>0</v>
      </c>
      <c r="I449">
        <v>0</v>
      </c>
      <c r="J449">
        <v>0</v>
      </c>
      <c r="K449">
        <v>0</v>
      </c>
      <c r="L449">
        <v>0</v>
      </c>
      <c r="M449" s="7">
        <v>7.1</v>
      </c>
      <c r="N449" s="7">
        <v>28.1</v>
      </c>
    </row>
    <row r="450" spans="1:14" ht="19.95" customHeight="1">
      <c r="A450" s="6">
        <v>45375</v>
      </c>
      <c r="B450" t="s">
        <v>60</v>
      </c>
      <c r="C450">
        <v>6</v>
      </c>
      <c r="D450">
        <v>3</v>
      </c>
      <c r="E450">
        <v>84</v>
      </c>
      <c r="F450">
        <v>1</v>
      </c>
      <c r="G450">
        <v>0</v>
      </c>
      <c r="I450">
        <v>0</v>
      </c>
      <c r="J450">
        <v>0</v>
      </c>
      <c r="K450">
        <v>0</v>
      </c>
      <c r="L450">
        <v>0</v>
      </c>
      <c r="M450" s="7">
        <v>5.4</v>
      </c>
      <c r="N450" s="7">
        <v>27.1</v>
      </c>
    </row>
    <row r="451" spans="1:14" ht="19.95" customHeight="1">
      <c r="A451" s="6">
        <v>45376</v>
      </c>
      <c r="B451" t="s">
        <v>62</v>
      </c>
      <c r="C451">
        <v>0</v>
      </c>
      <c r="D451">
        <v>3</v>
      </c>
      <c r="E451">
        <v>85</v>
      </c>
      <c r="F451">
        <v>0</v>
      </c>
      <c r="G451">
        <v>1</v>
      </c>
      <c r="H451" t="s">
        <v>69</v>
      </c>
      <c r="I451">
        <v>0</v>
      </c>
      <c r="J451">
        <v>0</v>
      </c>
      <c r="K451">
        <v>0</v>
      </c>
      <c r="L451">
        <v>0</v>
      </c>
      <c r="M451" s="7">
        <v>0</v>
      </c>
      <c r="N451" s="7">
        <v>27.5</v>
      </c>
    </row>
    <row r="452" spans="1:14" ht="19.95" customHeight="1">
      <c r="A452" s="6">
        <v>45377</v>
      </c>
      <c r="B452" t="s">
        <v>63</v>
      </c>
      <c r="C452">
        <v>1</v>
      </c>
      <c r="D452">
        <v>3</v>
      </c>
      <c r="E452">
        <v>86</v>
      </c>
      <c r="F452">
        <v>0</v>
      </c>
      <c r="G452">
        <v>0</v>
      </c>
      <c r="I452">
        <v>0</v>
      </c>
      <c r="J452">
        <v>0</v>
      </c>
      <c r="K452">
        <v>0</v>
      </c>
      <c r="L452">
        <v>0</v>
      </c>
      <c r="M452" s="7">
        <v>12.7</v>
      </c>
      <c r="N452" s="7">
        <v>27.5</v>
      </c>
    </row>
    <row r="453" spans="1:14" ht="19.95" customHeight="1">
      <c r="A453" s="6">
        <v>45378</v>
      </c>
      <c r="B453" t="s">
        <v>64</v>
      </c>
      <c r="C453">
        <v>2</v>
      </c>
      <c r="D453">
        <v>3</v>
      </c>
      <c r="E453">
        <v>87</v>
      </c>
      <c r="F453">
        <v>0</v>
      </c>
      <c r="G453">
        <v>0</v>
      </c>
      <c r="I453">
        <v>0</v>
      </c>
      <c r="J453">
        <v>0</v>
      </c>
      <c r="K453">
        <v>0</v>
      </c>
      <c r="L453">
        <v>0</v>
      </c>
      <c r="M453" s="7">
        <v>5.7</v>
      </c>
      <c r="N453" s="7">
        <v>29.5</v>
      </c>
    </row>
    <row r="454" spans="1:14" ht="19.95" customHeight="1">
      <c r="A454" s="6">
        <v>45379</v>
      </c>
      <c r="B454" t="s">
        <v>65</v>
      </c>
      <c r="C454">
        <v>3</v>
      </c>
      <c r="D454">
        <v>3</v>
      </c>
      <c r="E454">
        <v>88</v>
      </c>
      <c r="F454">
        <v>0</v>
      </c>
      <c r="G454">
        <v>0</v>
      </c>
      <c r="I454">
        <v>0</v>
      </c>
      <c r="J454">
        <v>0</v>
      </c>
      <c r="K454">
        <v>0</v>
      </c>
      <c r="L454">
        <v>0</v>
      </c>
      <c r="M454" s="7">
        <v>13.7</v>
      </c>
      <c r="N454" s="7">
        <v>28</v>
      </c>
    </row>
    <row r="455" spans="1:14" ht="19.95" customHeight="1">
      <c r="A455" s="6">
        <v>45380</v>
      </c>
      <c r="B455" t="s">
        <v>66</v>
      </c>
      <c r="C455">
        <v>4</v>
      </c>
      <c r="D455">
        <v>3</v>
      </c>
      <c r="E455">
        <v>89</v>
      </c>
      <c r="F455">
        <v>0</v>
      </c>
      <c r="G455">
        <v>0</v>
      </c>
      <c r="I455">
        <v>0</v>
      </c>
      <c r="J455">
        <v>0</v>
      </c>
      <c r="K455">
        <v>0</v>
      </c>
      <c r="L455">
        <v>0</v>
      </c>
      <c r="M455" s="7">
        <v>0</v>
      </c>
      <c r="N455" s="7">
        <v>27.4</v>
      </c>
    </row>
    <row r="456" spans="1:14" ht="19.95" customHeight="1">
      <c r="A456" s="6">
        <v>45381</v>
      </c>
      <c r="B456" t="s">
        <v>67</v>
      </c>
      <c r="C456">
        <v>5</v>
      </c>
      <c r="D456">
        <v>3</v>
      </c>
      <c r="E456">
        <v>90</v>
      </c>
      <c r="F456">
        <v>1</v>
      </c>
      <c r="G456">
        <v>0</v>
      </c>
      <c r="I456">
        <v>0</v>
      </c>
      <c r="J456">
        <v>0</v>
      </c>
      <c r="K456">
        <v>0</v>
      </c>
      <c r="L456">
        <v>0</v>
      </c>
      <c r="M456" s="7">
        <v>6.7</v>
      </c>
      <c r="N456" s="7">
        <v>27</v>
      </c>
    </row>
    <row r="457" spans="1:14" ht="19.95" customHeight="1">
      <c r="A457" s="6">
        <v>45382</v>
      </c>
      <c r="B457" t="s">
        <v>60</v>
      </c>
      <c r="C457">
        <v>6</v>
      </c>
      <c r="D457">
        <v>3</v>
      </c>
      <c r="E457">
        <v>91</v>
      </c>
      <c r="F457">
        <v>1</v>
      </c>
      <c r="G457">
        <v>0</v>
      </c>
      <c r="I457">
        <v>0</v>
      </c>
      <c r="J457">
        <v>0</v>
      </c>
      <c r="K457">
        <v>0</v>
      </c>
      <c r="L457">
        <v>0</v>
      </c>
      <c r="M457" s="7">
        <v>16.3</v>
      </c>
      <c r="N457" s="7">
        <v>27.2</v>
      </c>
    </row>
    <row r="458" spans="1:14" ht="19.95" customHeight="1">
      <c r="A458" s="6">
        <v>45383</v>
      </c>
      <c r="B458" t="s">
        <v>62</v>
      </c>
      <c r="C458">
        <v>0</v>
      </c>
      <c r="D458">
        <v>4</v>
      </c>
      <c r="E458">
        <v>92</v>
      </c>
      <c r="F458">
        <v>0</v>
      </c>
      <c r="G458">
        <v>0</v>
      </c>
      <c r="I458">
        <v>0</v>
      </c>
      <c r="J458">
        <v>0</v>
      </c>
      <c r="K458">
        <v>0</v>
      </c>
      <c r="L458">
        <v>0</v>
      </c>
      <c r="M458" s="7">
        <v>18.3</v>
      </c>
      <c r="N458" s="7">
        <v>25.9</v>
      </c>
    </row>
    <row r="459" spans="1:14" ht="19.95" customHeight="1">
      <c r="A459" s="6">
        <v>45384</v>
      </c>
      <c r="B459" t="s">
        <v>63</v>
      </c>
      <c r="C459">
        <v>1</v>
      </c>
      <c r="D459">
        <v>4</v>
      </c>
      <c r="E459">
        <v>93</v>
      </c>
      <c r="F459">
        <v>0</v>
      </c>
      <c r="G459">
        <v>0</v>
      </c>
      <c r="I459">
        <v>0</v>
      </c>
      <c r="J459">
        <v>0</v>
      </c>
      <c r="K459">
        <v>0</v>
      </c>
      <c r="L459">
        <v>0</v>
      </c>
      <c r="M459" s="7">
        <v>3.6</v>
      </c>
      <c r="N459" s="7">
        <v>27.7</v>
      </c>
    </row>
    <row r="460" spans="1:14" ht="19.95" customHeight="1">
      <c r="A460" s="6">
        <v>45385</v>
      </c>
      <c r="B460" t="s">
        <v>64</v>
      </c>
      <c r="C460">
        <v>2</v>
      </c>
      <c r="D460">
        <v>4</v>
      </c>
      <c r="E460">
        <v>94</v>
      </c>
      <c r="F460">
        <v>0</v>
      </c>
      <c r="G460">
        <v>0</v>
      </c>
      <c r="I460">
        <v>0</v>
      </c>
      <c r="J460">
        <v>0</v>
      </c>
      <c r="K460">
        <v>0</v>
      </c>
      <c r="L460">
        <v>0</v>
      </c>
      <c r="M460" s="7">
        <v>16.600000000000001</v>
      </c>
      <c r="N460" s="7">
        <v>27.8</v>
      </c>
    </row>
    <row r="461" spans="1:14" ht="19.95" customHeight="1">
      <c r="A461" s="6">
        <v>45386</v>
      </c>
      <c r="B461" t="s">
        <v>65</v>
      </c>
      <c r="C461">
        <v>3</v>
      </c>
      <c r="D461">
        <v>4</v>
      </c>
      <c r="E461">
        <v>95</v>
      </c>
      <c r="F461">
        <v>0</v>
      </c>
      <c r="G461">
        <v>0</v>
      </c>
      <c r="I461">
        <v>0</v>
      </c>
      <c r="J461">
        <v>0</v>
      </c>
      <c r="K461">
        <v>0</v>
      </c>
      <c r="L461">
        <v>0</v>
      </c>
      <c r="M461" s="7">
        <v>0</v>
      </c>
      <c r="N461" s="7">
        <v>27.1</v>
      </c>
    </row>
    <row r="462" spans="1:14" ht="19.95" customHeight="1">
      <c r="A462" s="6">
        <v>45387</v>
      </c>
      <c r="B462" t="s">
        <v>66</v>
      </c>
      <c r="C462">
        <v>4</v>
      </c>
      <c r="D462">
        <v>4</v>
      </c>
      <c r="E462">
        <v>96</v>
      </c>
      <c r="F462">
        <v>0</v>
      </c>
      <c r="G462">
        <v>0</v>
      </c>
      <c r="I462">
        <v>0</v>
      </c>
      <c r="J462">
        <v>0</v>
      </c>
      <c r="K462">
        <v>0</v>
      </c>
      <c r="L462">
        <v>0</v>
      </c>
      <c r="M462" s="7">
        <v>8.1999999999999993</v>
      </c>
      <c r="N462" s="7">
        <v>27</v>
      </c>
    </row>
    <row r="463" spans="1:14" ht="19.95" customHeight="1">
      <c r="A463" s="6">
        <v>45388</v>
      </c>
      <c r="B463" t="s">
        <v>67</v>
      </c>
      <c r="C463">
        <v>5</v>
      </c>
      <c r="D463">
        <v>4</v>
      </c>
      <c r="E463">
        <v>97</v>
      </c>
      <c r="F463">
        <v>1</v>
      </c>
      <c r="G463">
        <v>0</v>
      </c>
      <c r="I463">
        <v>0</v>
      </c>
      <c r="J463">
        <v>0</v>
      </c>
      <c r="K463">
        <v>0</v>
      </c>
      <c r="L463">
        <v>0</v>
      </c>
      <c r="M463" s="7">
        <v>4.3</v>
      </c>
      <c r="N463" s="7">
        <v>27.9</v>
      </c>
    </row>
    <row r="464" spans="1:14" ht="19.95" customHeight="1">
      <c r="A464" s="6">
        <v>45389</v>
      </c>
      <c r="B464" t="s">
        <v>60</v>
      </c>
      <c r="C464">
        <v>6</v>
      </c>
      <c r="D464">
        <v>4</v>
      </c>
      <c r="E464">
        <v>98</v>
      </c>
      <c r="F464">
        <v>1</v>
      </c>
      <c r="G464">
        <v>0</v>
      </c>
      <c r="I464">
        <v>0</v>
      </c>
      <c r="J464">
        <v>0</v>
      </c>
      <c r="K464">
        <v>0</v>
      </c>
      <c r="L464">
        <v>0</v>
      </c>
      <c r="M464" s="7">
        <v>11.6</v>
      </c>
      <c r="N464" s="7">
        <v>27.9</v>
      </c>
    </row>
    <row r="465" spans="1:14" ht="19.95" customHeight="1">
      <c r="A465" s="6">
        <v>45390</v>
      </c>
      <c r="B465" t="s">
        <v>62</v>
      </c>
      <c r="C465">
        <v>0</v>
      </c>
      <c r="D465">
        <v>4</v>
      </c>
      <c r="E465">
        <v>99</v>
      </c>
      <c r="F465">
        <v>0</v>
      </c>
      <c r="G465">
        <v>0</v>
      </c>
      <c r="I465">
        <v>0</v>
      </c>
      <c r="J465">
        <v>0</v>
      </c>
      <c r="K465">
        <v>0</v>
      </c>
      <c r="L465">
        <v>0</v>
      </c>
      <c r="M465" s="7">
        <v>14.1</v>
      </c>
      <c r="N465" s="7">
        <v>27.7</v>
      </c>
    </row>
    <row r="466" spans="1:14" ht="19.95" customHeight="1">
      <c r="A466" s="6">
        <v>45391</v>
      </c>
      <c r="B466" t="s">
        <v>63</v>
      </c>
      <c r="C466">
        <v>1</v>
      </c>
      <c r="D466">
        <v>4</v>
      </c>
      <c r="E466">
        <v>100</v>
      </c>
      <c r="F466">
        <v>0</v>
      </c>
      <c r="G466">
        <v>0</v>
      </c>
      <c r="I466">
        <v>0</v>
      </c>
      <c r="J466">
        <v>0</v>
      </c>
      <c r="K466">
        <v>0</v>
      </c>
      <c r="L466">
        <v>0</v>
      </c>
      <c r="M466" s="7">
        <v>7.5</v>
      </c>
      <c r="N466" s="7">
        <v>27.6</v>
      </c>
    </row>
    <row r="467" spans="1:14" ht="19.95" customHeight="1">
      <c r="A467" s="6">
        <v>45392</v>
      </c>
      <c r="B467" t="s">
        <v>64</v>
      </c>
      <c r="C467">
        <v>2</v>
      </c>
      <c r="D467">
        <v>4</v>
      </c>
      <c r="E467">
        <v>101</v>
      </c>
      <c r="F467">
        <v>0</v>
      </c>
      <c r="G467">
        <v>0</v>
      </c>
      <c r="I467">
        <v>0</v>
      </c>
      <c r="J467">
        <v>0</v>
      </c>
      <c r="K467">
        <v>0</v>
      </c>
      <c r="L467">
        <v>0</v>
      </c>
      <c r="M467" s="7">
        <v>21.5</v>
      </c>
      <c r="N467" s="7">
        <v>26</v>
      </c>
    </row>
    <row r="468" spans="1:14" ht="19.95" customHeight="1">
      <c r="A468" s="6">
        <v>45393</v>
      </c>
      <c r="B468" t="s">
        <v>65</v>
      </c>
      <c r="C468">
        <v>3</v>
      </c>
      <c r="D468">
        <v>4</v>
      </c>
      <c r="E468">
        <v>102</v>
      </c>
      <c r="F468">
        <v>0</v>
      </c>
      <c r="G468">
        <v>0</v>
      </c>
      <c r="I468">
        <v>0</v>
      </c>
      <c r="J468">
        <v>0</v>
      </c>
      <c r="K468">
        <v>0</v>
      </c>
      <c r="L468">
        <v>0</v>
      </c>
      <c r="M468" s="7">
        <v>15.2</v>
      </c>
      <c r="N468" s="7">
        <v>27.7</v>
      </c>
    </row>
    <row r="469" spans="1:14" ht="19.95" customHeight="1">
      <c r="A469" s="6">
        <v>45394</v>
      </c>
      <c r="B469" t="s">
        <v>66</v>
      </c>
      <c r="C469">
        <v>4</v>
      </c>
      <c r="D469">
        <v>4</v>
      </c>
      <c r="E469">
        <v>103</v>
      </c>
      <c r="F469">
        <v>0</v>
      </c>
      <c r="G469">
        <v>0</v>
      </c>
      <c r="I469">
        <v>0</v>
      </c>
      <c r="J469">
        <v>0</v>
      </c>
      <c r="K469">
        <v>0</v>
      </c>
      <c r="L469">
        <v>0</v>
      </c>
      <c r="M469" s="7">
        <v>18.899999999999999</v>
      </c>
      <c r="N469" s="7">
        <v>28.7</v>
      </c>
    </row>
    <row r="470" spans="1:14" ht="19.95" customHeight="1">
      <c r="A470" s="6">
        <v>45395</v>
      </c>
      <c r="B470" t="s">
        <v>67</v>
      </c>
      <c r="C470">
        <v>5</v>
      </c>
      <c r="D470">
        <v>4</v>
      </c>
      <c r="E470">
        <v>104</v>
      </c>
      <c r="F470">
        <v>1</v>
      </c>
      <c r="G470">
        <v>0</v>
      </c>
      <c r="I470">
        <v>0</v>
      </c>
      <c r="J470">
        <v>0</v>
      </c>
      <c r="K470">
        <v>0</v>
      </c>
      <c r="L470">
        <v>0</v>
      </c>
      <c r="M470" s="7">
        <v>18.100000000000001</v>
      </c>
      <c r="N470" s="7">
        <v>27.5</v>
      </c>
    </row>
    <row r="471" spans="1:14" ht="19.95" customHeight="1">
      <c r="A471" s="6">
        <v>45396</v>
      </c>
      <c r="B471" t="s">
        <v>60</v>
      </c>
      <c r="C471">
        <v>6</v>
      </c>
      <c r="D471">
        <v>4</v>
      </c>
      <c r="E471">
        <v>105</v>
      </c>
      <c r="F471">
        <v>1</v>
      </c>
      <c r="G471">
        <v>0</v>
      </c>
      <c r="I471">
        <v>0</v>
      </c>
      <c r="J471">
        <v>0</v>
      </c>
      <c r="K471">
        <v>0</v>
      </c>
      <c r="L471">
        <v>0</v>
      </c>
      <c r="M471" s="7">
        <v>10.8</v>
      </c>
      <c r="N471" s="7">
        <v>29</v>
      </c>
    </row>
    <row r="472" spans="1:14" ht="19.95" customHeight="1">
      <c r="A472" s="6">
        <v>45397</v>
      </c>
      <c r="B472" t="s">
        <v>62</v>
      </c>
      <c r="C472">
        <v>0</v>
      </c>
      <c r="D472">
        <v>4</v>
      </c>
      <c r="E472">
        <v>106</v>
      </c>
      <c r="F472">
        <v>0</v>
      </c>
      <c r="G472">
        <v>0</v>
      </c>
      <c r="I472">
        <v>0</v>
      </c>
      <c r="J472">
        <v>0</v>
      </c>
      <c r="K472">
        <v>0</v>
      </c>
      <c r="L472">
        <v>0</v>
      </c>
      <c r="M472" s="7">
        <v>0</v>
      </c>
      <c r="N472" s="7">
        <v>26.7</v>
      </c>
    </row>
    <row r="473" spans="1:14" ht="19.95" customHeight="1">
      <c r="A473" s="6">
        <v>45398</v>
      </c>
      <c r="B473" t="s">
        <v>63</v>
      </c>
      <c r="C473">
        <v>1</v>
      </c>
      <c r="D473">
        <v>4</v>
      </c>
      <c r="E473">
        <v>107</v>
      </c>
      <c r="F473">
        <v>0</v>
      </c>
      <c r="G473">
        <v>0</v>
      </c>
      <c r="I473">
        <v>0</v>
      </c>
      <c r="J473">
        <v>0</v>
      </c>
      <c r="K473">
        <v>0</v>
      </c>
      <c r="L473">
        <v>0</v>
      </c>
      <c r="M473" s="7">
        <v>5.7</v>
      </c>
      <c r="N473" s="7">
        <v>26.5</v>
      </c>
    </row>
    <row r="474" spans="1:14" ht="19.95" customHeight="1">
      <c r="A474" s="6">
        <v>45399</v>
      </c>
      <c r="B474" t="s">
        <v>64</v>
      </c>
      <c r="C474">
        <v>2</v>
      </c>
      <c r="D474">
        <v>4</v>
      </c>
      <c r="E474">
        <v>108</v>
      </c>
      <c r="F474">
        <v>0</v>
      </c>
      <c r="G474">
        <v>0</v>
      </c>
      <c r="I474">
        <v>0</v>
      </c>
      <c r="J474">
        <v>0</v>
      </c>
      <c r="K474">
        <v>0</v>
      </c>
      <c r="L474">
        <v>0</v>
      </c>
      <c r="M474" s="7">
        <v>14.5</v>
      </c>
      <c r="N474" s="7">
        <v>27.7</v>
      </c>
    </row>
    <row r="475" spans="1:14" ht="19.95" customHeight="1">
      <c r="A475" s="6">
        <v>45400</v>
      </c>
      <c r="B475" t="s">
        <v>65</v>
      </c>
      <c r="C475">
        <v>3</v>
      </c>
      <c r="D475">
        <v>4</v>
      </c>
      <c r="E475">
        <v>109</v>
      </c>
      <c r="F475">
        <v>0</v>
      </c>
      <c r="G475">
        <v>0</v>
      </c>
      <c r="I475">
        <v>0</v>
      </c>
      <c r="J475">
        <v>0</v>
      </c>
      <c r="K475">
        <v>0</v>
      </c>
      <c r="L475">
        <v>0</v>
      </c>
      <c r="M475" s="7">
        <v>15.6</v>
      </c>
      <c r="N475" s="7">
        <v>26.8</v>
      </c>
    </row>
    <row r="476" spans="1:14" ht="19.95" customHeight="1">
      <c r="A476" s="6">
        <v>45401</v>
      </c>
      <c r="B476" t="s">
        <v>66</v>
      </c>
      <c r="C476">
        <v>4</v>
      </c>
      <c r="D476">
        <v>4</v>
      </c>
      <c r="E476">
        <v>110</v>
      </c>
      <c r="F476">
        <v>0</v>
      </c>
      <c r="G476">
        <v>0</v>
      </c>
      <c r="I476">
        <v>0</v>
      </c>
      <c r="J476">
        <v>0</v>
      </c>
      <c r="K476">
        <v>0</v>
      </c>
      <c r="L476">
        <v>0</v>
      </c>
      <c r="M476" s="7">
        <v>12.8</v>
      </c>
      <c r="N476" s="7">
        <v>26.9</v>
      </c>
    </row>
    <row r="477" spans="1:14" ht="19.95" customHeight="1">
      <c r="A477" s="6">
        <v>45402</v>
      </c>
      <c r="B477" t="s">
        <v>67</v>
      </c>
      <c r="C477">
        <v>5</v>
      </c>
      <c r="D477">
        <v>4</v>
      </c>
      <c r="E477">
        <v>111</v>
      </c>
      <c r="F477">
        <v>1</v>
      </c>
      <c r="G477">
        <v>0</v>
      </c>
      <c r="I477">
        <v>0</v>
      </c>
      <c r="J477">
        <v>0</v>
      </c>
      <c r="K477">
        <v>0</v>
      </c>
      <c r="L477">
        <v>0</v>
      </c>
      <c r="M477" s="7">
        <v>18</v>
      </c>
      <c r="N477" s="7">
        <v>27.7</v>
      </c>
    </row>
    <row r="478" spans="1:14" ht="19.95" customHeight="1">
      <c r="A478" s="6">
        <v>45403</v>
      </c>
      <c r="B478" t="s">
        <v>60</v>
      </c>
      <c r="C478">
        <v>6</v>
      </c>
      <c r="D478">
        <v>4</v>
      </c>
      <c r="E478">
        <v>112</v>
      </c>
      <c r="F478">
        <v>1</v>
      </c>
      <c r="G478">
        <v>1</v>
      </c>
      <c r="H478" t="s">
        <v>70</v>
      </c>
      <c r="I478">
        <v>0</v>
      </c>
      <c r="J478">
        <v>0</v>
      </c>
      <c r="K478">
        <v>0</v>
      </c>
      <c r="L478">
        <v>0</v>
      </c>
      <c r="M478" s="7">
        <v>14.5</v>
      </c>
      <c r="N478" s="7">
        <v>26.3</v>
      </c>
    </row>
    <row r="479" spans="1:14" ht="19.95" customHeight="1">
      <c r="A479" s="6">
        <v>45404</v>
      </c>
      <c r="B479" t="s">
        <v>62</v>
      </c>
      <c r="C479">
        <v>0</v>
      </c>
      <c r="D479">
        <v>4</v>
      </c>
      <c r="E479">
        <v>113</v>
      </c>
      <c r="F479">
        <v>0</v>
      </c>
      <c r="G479">
        <v>0</v>
      </c>
      <c r="I479">
        <v>0</v>
      </c>
      <c r="J479">
        <v>0</v>
      </c>
      <c r="K479">
        <v>0</v>
      </c>
      <c r="L479">
        <v>0</v>
      </c>
      <c r="M479" s="7">
        <v>11.7</v>
      </c>
      <c r="N479" s="7">
        <v>27.7</v>
      </c>
    </row>
    <row r="480" spans="1:14" ht="19.95" customHeight="1">
      <c r="A480" s="6">
        <v>45405</v>
      </c>
      <c r="B480" t="s">
        <v>63</v>
      </c>
      <c r="C480">
        <v>1</v>
      </c>
      <c r="D480">
        <v>4</v>
      </c>
      <c r="E480">
        <v>114</v>
      </c>
      <c r="F480">
        <v>0</v>
      </c>
      <c r="G480">
        <v>0</v>
      </c>
      <c r="I480">
        <v>0</v>
      </c>
      <c r="J480">
        <v>0</v>
      </c>
      <c r="K480">
        <v>0</v>
      </c>
      <c r="L480">
        <v>0</v>
      </c>
      <c r="M480" s="7">
        <v>13</v>
      </c>
      <c r="N480" s="7">
        <v>27.8</v>
      </c>
    </row>
    <row r="481" spans="1:14" ht="19.95" customHeight="1">
      <c r="A481" s="6">
        <v>45406</v>
      </c>
      <c r="B481" t="s">
        <v>64</v>
      </c>
      <c r="C481">
        <v>2</v>
      </c>
      <c r="D481">
        <v>4</v>
      </c>
      <c r="E481">
        <v>115</v>
      </c>
      <c r="F481">
        <v>0</v>
      </c>
      <c r="G481">
        <v>0</v>
      </c>
      <c r="I481">
        <v>0</v>
      </c>
      <c r="J481">
        <v>0</v>
      </c>
      <c r="K481">
        <v>0</v>
      </c>
      <c r="L481">
        <v>0</v>
      </c>
      <c r="M481" s="7">
        <v>11.6</v>
      </c>
      <c r="N481" s="7">
        <v>27.2</v>
      </c>
    </row>
    <row r="482" spans="1:14" ht="19.95" customHeight="1">
      <c r="A482" s="6">
        <v>45407</v>
      </c>
      <c r="B482" t="s">
        <v>65</v>
      </c>
      <c r="C482">
        <v>3</v>
      </c>
      <c r="D482">
        <v>4</v>
      </c>
      <c r="E482">
        <v>116</v>
      </c>
      <c r="F482">
        <v>0</v>
      </c>
      <c r="G482">
        <v>0</v>
      </c>
      <c r="I482">
        <v>0</v>
      </c>
      <c r="J482">
        <v>0</v>
      </c>
      <c r="K482">
        <v>0</v>
      </c>
      <c r="L482">
        <v>0</v>
      </c>
      <c r="M482" s="7">
        <v>12.7</v>
      </c>
      <c r="N482" s="7">
        <v>28</v>
      </c>
    </row>
    <row r="483" spans="1:14" ht="19.95" customHeight="1">
      <c r="A483" s="6">
        <v>45408</v>
      </c>
      <c r="B483" t="s">
        <v>66</v>
      </c>
      <c r="C483">
        <v>4</v>
      </c>
      <c r="D483">
        <v>4</v>
      </c>
      <c r="E483">
        <v>117</v>
      </c>
      <c r="F483">
        <v>0</v>
      </c>
      <c r="G483">
        <v>0</v>
      </c>
      <c r="I483">
        <v>0</v>
      </c>
      <c r="J483">
        <v>0</v>
      </c>
      <c r="K483">
        <v>0</v>
      </c>
      <c r="L483">
        <v>0</v>
      </c>
      <c r="M483" s="7">
        <v>2.2999999999999998</v>
      </c>
      <c r="N483" s="7">
        <v>28</v>
      </c>
    </row>
    <row r="484" spans="1:14" ht="19.95" customHeight="1">
      <c r="A484" s="6">
        <v>45409</v>
      </c>
      <c r="B484" t="s">
        <v>67</v>
      </c>
      <c r="C484">
        <v>5</v>
      </c>
      <c r="D484">
        <v>4</v>
      </c>
      <c r="E484">
        <v>118</v>
      </c>
      <c r="F484">
        <v>1</v>
      </c>
      <c r="G484">
        <v>0</v>
      </c>
      <c r="I484">
        <v>0</v>
      </c>
      <c r="J484">
        <v>0</v>
      </c>
      <c r="K484">
        <v>0</v>
      </c>
      <c r="L484">
        <v>0</v>
      </c>
      <c r="M484" s="7">
        <v>6.4</v>
      </c>
      <c r="N484" s="7">
        <v>26.4</v>
      </c>
    </row>
    <row r="485" spans="1:14" ht="19.95" customHeight="1">
      <c r="A485" s="6">
        <v>45410</v>
      </c>
      <c r="B485" t="s">
        <v>60</v>
      </c>
      <c r="C485">
        <v>6</v>
      </c>
      <c r="D485">
        <v>4</v>
      </c>
      <c r="E485">
        <v>119</v>
      </c>
      <c r="F485">
        <v>1</v>
      </c>
      <c r="G485">
        <v>0</v>
      </c>
      <c r="I485">
        <v>0</v>
      </c>
      <c r="J485">
        <v>0</v>
      </c>
      <c r="K485">
        <v>0</v>
      </c>
      <c r="L485">
        <v>0</v>
      </c>
      <c r="M485" s="7">
        <v>17</v>
      </c>
      <c r="N485" s="7">
        <v>26.6</v>
      </c>
    </row>
    <row r="486" spans="1:14" ht="19.95" customHeight="1">
      <c r="A486" s="6">
        <v>45411</v>
      </c>
      <c r="B486" t="s">
        <v>62</v>
      </c>
      <c r="C486">
        <v>0</v>
      </c>
      <c r="D486">
        <v>4</v>
      </c>
      <c r="E486">
        <v>120</v>
      </c>
      <c r="F486">
        <v>0</v>
      </c>
      <c r="G486">
        <v>0</v>
      </c>
      <c r="I486">
        <v>0</v>
      </c>
      <c r="J486">
        <v>0</v>
      </c>
      <c r="K486">
        <v>0</v>
      </c>
      <c r="L486">
        <v>0</v>
      </c>
      <c r="M486" s="7">
        <v>8.1999999999999993</v>
      </c>
      <c r="N486" s="7">
        <v>28.5</v>
      </c>
    </row>
    <row r="487" spans="1:14" ht="19.95" customHeight="1">
      <c r="A487" s="6">
        <v>45412</v>
      </c>
      <c r="B487" t="s">
        <v>63</v>
      </c>
      <c r="C487">
        <v>1</v>
      </c>
      <c r="D487">
        <v>4</v>
      </c>
      <c r="E487">
        <v>121</v>
      </c>
      <c r="F487">
        <v>0</v>
      </c>
      <c r="G487">
        <v>0</v>
      </c>
      <c r="I487">
        <v>0</v>
      </c>
      <c r="J487">
        <v>0</v>
      </c>
      <c r="K487">
        <v>0</v>
      </c>
      <c r="L487">
        <v>0</v>
      </c>
      <c r="M487" s="7">
        <v>0.4</v>
      </c>
      <c r="N487" s="7">
        <v>27.2</v>
      </c>
    </row>
    <row r="488" spans="1:14" ht="19.95" customHeight="1">
      <c r="A488" s="6">
        <v>45413</v>
      </c>
      <c r="B488" t="s">
        <v>64</v>
      </c>
      <c r="C488">
        <v>2</v>
      </c>
      <c r="D488">
        <v>5</v>
      </c>
      <c r="E488">
        <v>122</v>
      </c>
      <c r="F488">
        <v>0</v>
      </c>
      <c r="G488">
        <v>1</v>
      </c>
      <c r="H488" t="s">
        <v>71</v>
      </c>
      <c r="I488">
        <v>0</v>
      </c>
      <c r="J488">
        <v>0</v>
      </c>
      <c r="K488">
        <v>0</v>
      </c>
      <c r="L488">
        <v>0</v>
      </c>
      <c r="M488" s="7">
        <v>0</v>
      </c>
      <c r="N488" s="7">
        <v>28.4</v>
      </c>
    </row>
    <row r="489" spans="1:14" ht="19.95" customHeight="1">
      <c r="A489" s="6">
        <v>45414</v>
      </c>
      <c r="B489" t="s">
        <v>65</v>
      </c>
      <c r="C489">
        <v>3</v>
      </c>
      <c r="D489">
        <v>5</v>
      </c>
      <c r="E489">
        <v>123</v>
      </c>
      <c r="F489">
        <v>0</v>
      </c>
      <c r="G489">
        <v>0</v>
      </c>
      <c r="I489">
        <v>0</v>
      </c>
      <c r="J489">
        <v>0</v>
      </c>
      <c r="K489">
        <v>0</v>
      </c>
      <c r="L489">
        <v>0</v>
      </c>
      <c r="M489" s="7">
        <v>5.7</v>
      </c>
      <c r="N489" s="7">
        <v>27.7</v>
      </c>
    </row>
    <row r="490" spans="1:14" ht="19.95" customHeight="1">
      <c r="A490" s="6">
        <v>45415</v>
      </c>
      <c r="B490" t="s">
        <v>66</v>
      </c>
      <c r="C490">
        <v>4</v>
      </c>
      <c r="D490">
        <v>5</v>
      </c>
      <c r="E490">
        <v>124</v>
      </c>
      <c r="F490">
        <v>0</v>
      </c>
      <c r="G490">
        <v>0</v>
      </c>
      <c r="I490">
        <v>0</v>
      </c>
      <c r="J490">
        <v>0</v>
      </c>
      <c r="K490">
        <v>0</v>
      </c>
      <c r="L490">
        <v>0</v>
      </c>
      <c r="M490" s="7">
        <v>4.3</v>
      </c>
      <c r="N490" s="7">
        <v>27.6</v>
      </c>
    </row>
    <row r="491" spans="1:14" ht="19.95" customHeight="1">
      <c r="A491" s="6">
        <v>45416</v>
      </c>
      <c r="B491" t="s">
        <v>67</v>
      </c>
      <c r="C491">
        <v>5</v>
      </c>
      <c r="D491">
        <v>5</v>
      </c>
      <c r="E491">
        <v>125</v>
      </c>
      <c r="F491">
        <v>1</v>
      </c>
      <c r="G491">
        <v>0</v>
      </c>
      <c r="I491">
        <v>0</v>
      </c>
      <c r="J491">
        <v>0</v>
      </c>
      <c r="K491">
        <v>0</v>
      </c>
      <c r="L491">
        <v>0</v>
      </c>
      <c r="M491" s="7">
        <v>8.9</v>
      </c>
      <c r="N491" s="7">
        <v>27.5</v>
      </c>
    </row>
    <row r="492" spans="1:14" ht="19.95" customHeight="1">
      <c r="A492" s="6">
        <v>45417</v>
      </c>
      <c r="B492" t="s">
        <v>60</v>
      </c>
      <c r="C492">
        <v>6</v>
      </c>
      <c r="D492">
        <v>5</v>
      </c>
      <c r="E492">
        <v>126</v>
      </c>
      <c r="F492">
        <v>1</v>
      </c>
      <c r="G492">
        <v>0</v>
      </c>
      <c r="I492">
        <v>0</v>
      </c>
      <c r="J492">
        <v>0</v>
      </c>
      <c r="K492">
        <v>0</v>
      </c>
      <c r="L492">
        <v>0</v>
      </c>
      <c r="M492" s="7">
        <v>3.1</v>
      </c>
      <c r="N492" s="7">
        <v>28.9</v>
      </c>
    </row>
    <row r="493" spans="1:14" ht="19.95" customHeight="1">
      <c r="A493" s="6">
        <v>45418</v>
      </c>
      <c r="B493" t="s">
        <v>62</v>
      </c>
      <c r="C493">
        <v>0</v>
      </c>
      <c r="D493">
        <v>5</v>
      </c>
      <c r="E493">
        <v>127</v>
      </c>
      <c r="F493">
        <v>0</v>
      </c>
      <c r="G493">
        <v>0</v>
      </c>
      <c r="I493">
        <v>0</v>
      </c>
      <c r="J493">
        <v>0</v>
      </c>
      <c r="K493">
        <v>0</v>
      </c>
      <c r="L493">
        <v>0</v>
      </c>
      <c r="M493" s="7">
        <v>14.8</v>
      </c>
      <c r="N493" s="7">
        <v>27.6</v>
      </c>
    </row>
    <row r="494" spans="1:14" ht="19.95" customHeight="1">
      <c r="A494" s="6">
        <v>45419</v>
      </c>
      <c r="B494" t="s">
        <v>63</v>
      </c>
      <c r="C494">
        <v>1</v>
      </c>
      <c r="D494">
        <v>5</v>
      </c>
      <c r="E494">
        <v>128</v>
      </c>
      <c r="F494">
        <v>0</v>
      </c>
      <c r="G494">
        <v>0</v>
      </c>
      <c r="I494">
        <v>0</v>
      </c>
      <c r="J494">
        <v>0</v>
      </c>
      <c r="K494">
        <v>0</v>
      </c>
      <c r="L494">
        <v>0</v>
      </c>
      <c r="M494" s="7">
        <v>14.8</v>
      </c>
      <c r="N494" s="7">
        <v>26.6</v>
      </c>
    </row>
    <row r="495" spans="1:14" ht="19.95" customHeight="1">
      <c r="A495" s="6">
        <v>45420</v>
      </c>
      <c r="B495" t="s">
        <v>64</v>
      </c>
      <c r="C495">
        <v>2</v>
      </c>
      <c r="D495">
        <v>5</v>
      </c>
      <c r="E495">
        <v>129</v>
      </c>
      <c r="F495">
        <v>0</v>
      </c>
      <c r="G495">
        <v>0</v>
      </c>
      <c r="I495">
        <v>0</v>
      </c>
      <c r="J495">
        <v>0</v>
      </c>
      <c r="K495">
        <v>0</v>
      </c>
      <c r="L495">
        <v>0</v>
      </c>
      <c r="M495" s="7">
        <v>6.2</v>
      </c>
      <c r="N495" s="7">
        <v>26.7</v>
      </c>
    </row>
    <row r="496" spans="1:14" ht="19.95" customHeight="1">
      <c r="A496" s="6">
        <v>45421</v>
      </c>
      <c r="B496" t="s">
        <v>65</v>
      </c>
      <c r="C496">
        <v>3</v>
      </c>
      <c r="D496">
        <v>5</v>
      </c>
      <c r="E496">
        <v>130</v>
      </c>
      <c r="F496">
        <v>0</v>
      </c>
      <c r="G496">
        <v>0</v>
      </c>
      <c r="I496">
        <v>0</v>
      </c>
      <c r="J496">
        <v>0</v>
      </c>
      <c r="K496">
        <v>0</v>
      </c>
      <c r="L496">
        <v>0</v>
      </c>
      <c r="M496" s="7">
        <v>14.5</v>
      </c>
      <c r="N496" s="7">
        <v>26.8</v>
      </c>
    </row>
    <row r="497" spans="1:14" ht="19.95" customHeight="1">
      <c r="A497" s="6">
        <v>45422</v>
      </c>
      <c r="B497" t="s">
        <v>66</v>
      </c>
      <c r="C497">
        <v>4</v>
      </c>
      <c r="D497">
        <v>5</v>
      </c>
      <c r="E497">
        <v>131</v>
      </c>
      <c r="F497">
        <v>0</v>
      </c>
      <c r="G497">
        <v>0</v>
      </c>
      <c r="I497">
        <v>0</v>
      </c>
      <c r="J497">
        <v>0</v>
      </c>
      <c r="K497">
        <v>0</v>
      </c>
      <c r="L497">
        <v>0</v>
      </c>
      <c r="M497" s="7">
        <v>1.1000000000000001</v>
      </c>
      <c r="N497" s="7">
        <v>27.6</v>
      </c>
    </row>
    <row r="498" spans="1:14" ht="19.95" customHeight="1">
      <c r="A498" s="6">
        <v>45423</v>
      </c>
      <c r="B498" t="s">
        <v>67</v>
      </c>
      <c r="C498">
        <v>5</v>
      </c>
      <c r="D498">
        <v>5</v>
      </c>
      <c r="E498">
        <v>132</v>
      </c>
      <c r="F498">
        <v>1</v>
      </c>
      <c r="G498">
        <v>0</v>
      </c>
      <c r="I498">
        <v>0</v>
      </c>
      <c r="J498">
        <v>0</v>
      </c>
      <c r="K498">
        <v>0</v>
      </c>
      <c r="L498">
        <v>0</v>
      </c>
      <c r="M498" s="7">
        <v>8.6</v>
      </c>
      <c r="N498" s="7">
        <v>27.9</v>
      </c>
    </row>
    <row r="499" spans="1:14" ht="19.95" customHeight="1">
      <c r="A499" s="6">
        <v>45424</v>
      </c>
      <c r="B499" t="s">
        <v>60</v>
      </c>
      <c r="C499">
        <v>6</v>
      </c>
      <c r="D499">
        <v>5</v>
      </c>
      <c r="E499">
        <v>133</v>
      </c>
      <c r="F499">
        <v>1</v>
      </c>
      <c r="G499">
        <v>0</v>
      </c>
      <c r="I499">
        <v>0</v>
      </c>
      <c r="J499">
        <v>0</v>
      </c>
      <c r="K499">
        <v>0</v>
      </c>
      <c r="L499">
        <v>0</v>
      </c>
      <c r="M499" s="7">
        <v>14.1</v>
      </c>
      <c r="N499" s="7">
        <v>28.5</v>
      </c>
    </row>
    <row r="500" spans="1:14" ht="19.95" customHeight="1">
      <c r="A500" s="6">
        <v>45425</v>
      </c>
      <c r="B500" t="s">
        <v>62</v>
      </c>
      <c r="C500">
        <v>0</v>
      </c>
      <c r="D500">
        <v>5</v>
      </c>
      <c r="E500">
        <v>134</v>
      </c>
      <c r="F500">
        <v>0</v>
      </c>
      <c r="G500">
        <v>0</v>
      </c>
      <c r="I500">
        <v>0</v>
      </c>
      <c r="J500">
        <v>0</v>
      </c>
      <c r="K500">
        <v>0</v>
      </c>
      <c r="L500">
        <v>0</v>
      </c>
      <c r="M500" s="7">
        <v>3.6</v>
      </c>
      <c r="N500" s="7">
        <v>27.1</v>
      </c>
    </row>
    <row r="501" spans="1:14" ht="19.95" customHeight="1">
      <c r="A501" s="6">
        <v>45426</v>
      </c>
      <c r="B501" t="s">
        <v>63</v>
      </c>
      <c r="C501">
        <v>1</v>
      </c>
      <c r="D501">
        <v>5</v>
      </c>
      <c r="E501">
        <v>135</v>
      </c>
      <c r="F501">
        <v>0</v>
      </c>
      <c r="G501">
        <v>0</v>
      </c>
      <c r="I501">
        <v>0</v>
      </c>
      <c r="J501">
        <v>0</v>
      </c>
      <c r="K501">
        <v>0</v>
      </c>
      <c r="L501">
        <v>0</v>
      </c>
      <c r="M501" s="7">
        <v>18.899999999999999</v>
      </c>
      <c r="N501" s="7">
        <v>27</v>
      </c>
    </row>
    <row r="502" spans="1:14" ht="19.95" customHeight="1">
      <c r="A502" s="6">
        <v>45427</v>
      </c>
      <c r="B502" t="s">
        <v>64</v>
      </c>
      <c r="C502">
        <v>2</v>
      </c>
      <c r="D502">
        <v>5</v>
      </c>
      <c r="E502">
        <v>136</v>
      </c>
      <c r="F502">
        <v>0</v>
      </c>
      <c r="G502">
        <v>0</v>
      </c>
      <c r="I502">
        <v>0</v>
      </c>
      <c r="J502">
        <v>0</v>
      </c>
      <c r="K502">
        <v>0</v>
      </c>
      <c r="L502">
        <v>0</v>
      </c>
      <c r="M502" s="7">
        <v>8.6999999999999993</v>
      </c>
      <c r="N502" s="7">
        <v>28.1</v>
      </c>
    </row>
    <row r="503" spans="1:14" ht="19.95" customHeight="1">
      <c r="A503" s="6">
        <v>45428</v>
      </c>
      <c r="B503" t="s">
        <v>65</v>
      </c>
      <c r="C503">
        <v>3</v>
      </c>
      <c r="D503">
        <v>5</v>
      </c>
      <c r="E503">
        <v>137</v>
      </c>
      <c r="F503">
        <v>0</v>
      </c>
      <c r="G503">
        <v>0</v>
      </c>
      <c r="I503">
        <v>0</v>
      </c>
      <c r="J503">
        <v>0</v>
      </c>
      <c r="K503">
        <v>0</v>
      </c>
      <c r="L503">
        <v>0</v>
      </c>
      <c r="M503" s="7">
        <v>15.3</v>
      </c>
      <c r="N503" s="7">
        <v>29.1</v>
      </c>
    </row>
    <row r="504" spans="1:14" ht="19.95" customHeight="1">
      <c r="A504" s="6">
        <v>45429</v>
      </c>
      <c r="B504" t="s">
        <v>66</v>
      </c>
      <c r="C504">
        <v>4</v>
      </c>
      <c r="D504">
        <v>5</v>
      </c>
      <c r="E504">
        <v>138</v>
      </c>
      <c r="F504">
        <v>0</v>
      </c>
      <c r="G504">
        <v>0</v>
      </c>
      <c r="I504">
        <v>0</v>
      </c>
      <c r="J504">
        <v>0</v>
      </c>
      <c r="K504">
        <v>0</v>
      </c>
      <c r="L504">
        <v>0</v>
      </c>
      <c r="M504" s="7">
        <v>14.8</v>
      </c>
      <c r="N504" s="7">
        <v>28.8</v>
      </c>
    </row>
    <row r="505" spans="1:14" ht="19.95" customHeight="1">
      <c r="A505" s="6">
        <v>45430</v>
      </c>
      <c r="B505" t="s">
        <v>67</v>
      </c>
      <c r="C505">
        <v>5</v>
      </c>
      <c r="D505">
        <v>5</v>
      </c>
      <c r="E505">
        <v>139</v>
      </c>
      <c r="F505">
        <v>1</v>
      </c>
      <c r="G505">
        <v>0</v>
      </c>
      <c r="I505">
        <v>0</v>
      </c>
      <c r="J505">
        <v>0</v>
      </c>
      <c r="K505">
        <v>0</v>
      </c>
      <c r="L505">
        <v>0</v>
      </c>
      <c r="M505" s="7">
        <v>11.6</v>
      </c>
      <c r="N505" s="7">
        <v>27.7</v>
      </c>
    </row>
    <row r="506" spans="1:14" ht="19.95" customHeight="1">
      <c r="A506" s="6">
        <v>45431</v>
      </c>
      <c r="B506" t="s">
        <v>60</v>
      </c>
      <c r="C506">
        <v>6</v>
      </c>
      <c r="D506">
        <v>5</v>
      </c>
      <c r="E506">
        <v>140</v>
      </c>
      <c r="F506">
        <v>1</v>
      </c>
      <c r="G506">
        <v>0</v>
      </c>
      <c r="I506">
        <v>0</v>
      </c>
      <c r="J506">
        <v>0</v>
      </c>
      <c r="K506">
        <v>0</v>
      </c>
      <c r="L506">
        <v>0</v>
      </c>
      <c r="M506" s="7">
        <v>19.399999999999999</v>
      </c>
      <c r="N506" s="7">
        <v>27</v>
      </c>
    </row>
    <row r="507" spans="1:14" ht="19.95" customHeight="1">
      <c r="A507" s="6">
        <v>45432</v>
      </c>
      <c r="B507" t="s">
        <v>62</v>
      </c>
      <c r="C507">
        <v>0</v>
      </c>
      <c r="D507">
        <v>5</v>
      </c>
      <c r="E507">
        <v>141</v>
      </c>
      <c r="F507">
        <v>0</v>
      </c>
      <c r="G507">
        <v>0</v>
      </c>
      <c r="I507">
        <v>0</v>
      </c>
      <c r="J507">
        <v>0</v>
      </c>
      <c r="K507">
        <v>0</v>
      </c>
      <c r="L507">
        <v>0</v>
      </c>
      <c r="M507" s="7">
        <v>5.0999999999999996</v>
      </c>
      <c r="N507" s="7">
        <v>27.8</v>
      </c>
    </row>
    <row r="508" spans="1:14" ht="19.95" customHeight="1">
      <c r="A508" s="6">
        <v>45433</v>
      </c>
      <c r="B508" t="s">
        <v>63</v>
      </c>
      <c r="C508">
        <v>1</v>
      </c>
      <c r="D508">
        <v>5</v>
      </c>
      <c r="E508">
        <v>142</v>
      </c>
      <c r="F508">
        <v>0</v>
      </c>
      <c r="G508">
        <v>0</v>
      </c>
      <c r="I508">
        <v>0</v>
      </c>
      <c r="J508">
        <v>0</v>
      </c>
      <c r="K508">
        <v>0</v>
      </c>
      <c r="L508">
        <v>0</v>
      </c>
      <c r="M508" s="7">
        <v>14.1</v>
      </c>
      <c r="N508" s="7">
        <v>28.4</v>
      </c>
    </row>
    <row r="509" spans="1:14" ht="19.95" customHeight="1">
      <c r="A509" s="6">
        <v>45434</v>
      </c>
      <c r="B509" t="s">
        <v>64</v>
      </c>
      <c r="C509">
        <v>2</v>
      </c>
      <c r="D509">
        <v>5</v>
      </c>
      <c r="E509">
        <v>143</v>
      </c>
      <c r="F509">
        <v>0</v>
      </c>
      <c r="G509">
        <v>0</v>
      </c>
      <c r="I509">
        <v>0</v>
      </c>
      <c r="J509">
        <v>0</v>
      </c>
      <c r="K509">
        <v>0</v>
      </c>
      <c r="L509">
        <v>0</v>
      </c>
      <c r="M509" s="7">
        <v>2.7</v>
      </c>
      <c r="N509" s="7">
        <v>28.7</v>
      </c>
    </row>
    <row r="510" spans="1:14" ht="19.95" customHeight="1">
      <c r="A510" s="6">
        <v>45435</v>
      </c>
      <c r="B510" t="s">
        <v>65</v>
      </c>
      <c r="C510">
        <v>3</v>
      </c>
      <c r="D510">
        <v>5</v>
      </c>
      <c r="E510">
        <v>144</v>
      </c>
      <c r="F510">
        <v>0</v>
      </c>
      <c r="G510">
        <v>0</v>
      </c>
      <c r="I510">
        <v>0</v>
      </c>
      <c r="J510">
        <v>0</v>
      </c>
      <c r="K510">
        <v>0</v>
      </c>
      <c r="L510">
        <v>0</v>
      </c>
      <c r="M510" s="7">
        <v>10.6</v>
      </c>
      <c r="N510" s="7">
        <v>27.3</v>
      </c>
    </row>
    <row r="511" spans="1:14" ht="19.95" customHeight="1">
      <c r="A511" s="6">
        <v>45436</v>
      </c>
      <c r="B511" t="s">
        <v>66</v>
      </c>
      <c r="C511">
        <v>4</v>
      </c>
      <c r="D511">
        <v>5</v>
      </c>
      <c r="E511">
        <v>145</v>
      </c>
      <c r="F511">
        <v>0</v>
      </c>
      <c r="G511">
        <v>0</v>
      </c>
      <c r="I511">
        <v>0</v>
      </c>
      <c r="J511">
        <v>0</v>
      </c>
      <c r="K511">
        <v>0</v>
      </c>
      <c r="L511">
        <v>0</v>
      </c>
      <c r="M511" s="7">
        <v>8.9</v>
      </c>
      <c r="N511" s="7">
        <v>26.5</v>
      </c>
    </row>
    <row r="512" spans="1:14" ht="19.95" customHeight="1">
      <c r="A512" s="6">
        <v>45437</v>
      </c>
      <c r="B512" t="s">
        <v>67</v>
      </c>
      <c r="C512">
        <v>5</v>
      </c>
      <c r="D512">
        <v>5</v>
      </c>
      <c r="E512">
        <v>146</v>
      </c>
      <c r="F512">
        <v>1</v>
      </c>
      <c r="G512">
        <v>0</v>
      </c>
      <c r="I512">
        <v>0</v>
      </c>
      <c r="J512">
        <v>0</v>
      </c>
      <c r="K512">
        <v>0</v>
      </c>
      <c r="L512">
        <v>0</v>
      </c>
      <c r="M512" s="7">
        <v>7.9</v>
      </c>
      <c r="N512" s="7">
        <v>26.2</v>
      </c>
    </row>
    <row r="513" spans="1:14" ht="19.95" customHeight="1">
      <c r="A513" s="6">
        <v>45438</v>
      </c>
      <c r="B513" t="s">
        <v>60</v>
      </c>
      <c r="C513">
        <v>6</v>
      </c>
      <c r="D513">
        <v>5</v>
      </c>
      <c r="E513">
        <v>147</v>
      </c>
      <c r="F513">
        <v>1</v>
      </c>
      <c r="G513">
        <v>0</v>
      </c>
      <c r="I513">
        <v>0</v>
      </c>
      <c r="J513">
        <v>0</v>
      </c>
      <c r="K513">
        <v>0</v>
      </c>
      <c r="L513">
        <v>0</v>
      </c>
      <c r="M513" s="7">
        <v>7.7</v>
      </c>
      <c r="N513" s="7">
        <v>27.5</v>
      </c>
    </row>
    <row r="514" spans="1:14" ht="19.95" customHeight="1">
      <c r="A514" s="6">
        <v>45439</v>
      </c>
      <c r="B514" t="s">
        <v>62</v>
      </c>
      <c r="C514">
        <v>0</v>
      </c>
      <c r="D514">
        <v>5</v>
      </c>
      <c r="E514">
        <v>148</v>
      </c>
      <c r="F514">
        <v>0</v>
      </c>
      <c r="G514">
        <v>0</v>
      </c>
      <c r="I514">
        <v>0</v>
      </c>
      <c r="J514">
        <v>0</v>
      </c>
      <c r="K514">
        <v>0</v>
      </c>
      <c r="L514">
        <v>0</v>
      </c>
      <c r="M514" s="7">
        <v>3.9</v>
      </c>
      <c r="N514" s="7">
        <v>27.2</v>
      </c>
    </row>
    <row r="515" spans="1:14" ht="19.95" customHeight="1">
      <c r="A515" s="6">
        <v>45440</v>
      </c>
      <c r="B515" t="s">
        <v>63</v>
      </c>
      <c r="C515">
        <v>1</v>
      </c>
      <c r="D515">
        <v>5</v>
      </c>
      <c r="E515">
        <v>149</v>
      </c>
      <c r="F515">
        <v>0</v>
      </c>
      <c r="G515">
        <v>0</v>
      </c>
      <c r="I515">
        <v>0</v>
      </c>
      <c r="J515">
        <v>0</v>
      </c>
      <c r="K515">
        <v>0</v>
      </c>
      <c r="L515">
        <v>0</v>
      </c>
      <c r="M515" s="7">
        <v>12.5</v>
      </c>
      <c r="N515" s="7">
        <v>27.8</v>
      </c>
    </row>
    <row r="516" spans="1:14" ht="19.95" customHeight="1">
      <c r="A516" s="6">
        <v>45441</v>
      </c>
      <c r="B516" t="s">
        <v>64</v>
      </c>
      <c r="C516">
        <v>2</v>
      </c>
      <c r="D516">
        <v>5</v>
      </c>
      <c r="E516">
        <v>150</v>
      </c>
      <c r="F516">
        <v>0</v>
      </c>
      <c r="G516">
        <v>0</v>
      </c>
      <c r="I516">
        <v>0</v>
      </c>
      <c r="J516">
        <v>0</v>
      </c>
      <c r="K516">
        <v>0</v>
      </c>
      <c r="L516">
        <v>0</v>
      </c>
      <c r="M516" s="7">
        <v>0.6</v>
      </c>
      <c r="N516" s="7">
        <v>27.3</v>
      </c>
    </row>
    <row r="517" spans="1:14" ht="19.95" customHeight="1">
      <c r="A517" s="6">
        <v>45442</v>
      </c>
      <c r="B517" t="s">
        <v>65</v>
      </c>
      <c r="C517">
        <v>3</v>
      </c>
      <c r="D517">
        <v>5</v>
      </c>
      <c r="E517">
        <v>151</v>
      </c>
      <c r="F517">
        <v>0</v>
      </c>
      <c r="G517">
        <v>0</v>
      </c>
      <c r="I517">
        <v>0</v>
      </c>
      <c r="J517">
        <v>0</v>
      </c>
      <c r="K517">
        <v>0</v>
      </c>
      <c r="L517">
        <v>0</v>
      </c>
      <c r="M517" s="7">
        <v>9.3000000000000007</v>
      </c>
      <c r="N517" s="7">
        <v>26.4</v>
      </c>
    </row>
    <row r="518" spans="1:14" ht="19.95" customHeight="1">
      <c r="A518" s="6">
        <v>45443</v>
      </c>
      <c r="B518" t="s">
        <v>66</v>
      </c>
      <c r="C518">
        <v>4</v>
      </c>
      <c r="D518">
        <v>5</v>
      </c>
      <c r="E518">
        <v>152</v>
      </c>
      <c r="F518">
        <v>0</v>
      </c>
      <c r="G518">
        <v>0</v>
      </c>
      <c r="I518">
        <v>0</v>
      </c>
      <c r="J518">
        <v>0</v>
      </c>
      <c r="K518">
        <v>0</v>
      </c>
      <c r="L518">
        <v>0</v>
      </c>
      <c r="M518" s="7">
        <v>4.9000000000000004</v>
      </c>
      <c r="N518" s="7">
        <v>26.4</v>
      </c>
    </row>
    <row r="519" spans="1:14" ht="19.95" customHeight="1">
      <c r="A519" s="6">
        <v>45444</v>
      </c>
      <c r="B519" t="s">
        <v>67</v>
      </c>
      <c r="C519">
        <v>5</v>
      </c>
      <c r="D519">
        <v>6</v>
      </c>
      <c r="E519">
        <v>153</v>
      </c>
      <c r="F519">
        <v>1</v>
      </c>
      <c r="G519">
        <v>0</v>
      </c>
      <c r="I519">
        <v>0</v>
      </c>
      <c r="J519">
        <v>0</v>
      </c>
      <c r="K519">
        <v>0</v>
      </c>
      <c r="L519">
        <v>0</v>
      </c>
      <c r="M519" s="7">
        <v>4</v>
      </c>
      <c r="N519" s="7">
        <v>25.7</v>
      </c>
    </row>
    <row r="520" spans="1:14" ht="19.95" customHeight="1">
      <c r="A520" s="6">
        <v>45445</v>
      </c>
      <c r="B520" t="s">
        <v>60</v>
      </c>
      <c r="C520">
        <v>6</v>
      </c>
      <c r="D520">
        <v>6</v>
      </c>
      <c r="E520">
        <v>154</v>
      </c>
      <c r="F520">
        <v>1</v>
      </c>
      <c r="G520">
        <v>0</v>
      </c>
      <c r="I520">
        <v>0</v>
      </c>
      <c r="J520">
        <v>0</v>
      </c>
      <c r="K520">
        <v>0</v>
      </c>
      <c r="L520">
        <v>0</v>
      </c>
      <c r="M520" s="7">
        <v>6.6</v>
      </c>
      <c r="N520" s="7">
        <v>28.2</v>
      </c>
    </row>
    <row r="521" spans="1:14" ht="19.95" customHeight="1">
      <c r="A521" s="6">
        <v>45446</v>
      </c>
      <c r="B521" t="s">
        <v>62</v>
      </c>
      <c r="C521">
        <v>0</v>
      </c>
      <c r="D521">
        <v>6</v>
      </c>
      <c r="E521">
        <v>155</v>
      </c>
      <c r="F521">
        <v>0</v>
      </c>
      <c r="G521">
        <v>0</v>
      </c>
      <c r="I521">
        <v>0</v>
      </c>
      <c r="J521">
        <v>0</v>
      </c>
      <c r="K521">
        <v>0</v>
      </c>
      <c r="L521">
        <v>0</v>
      </c>
      <c r="M521" s="7">
        <v>6.2</v>
      </c>
      <c r="N521" s="7">
        <v>27.7</v>
      </c>
    </row>
    <row r="522" spans="1:14" ht="19.95" customHeight="1">
      <c r="A522" s="6">
        <v>45447</v>
      </c>
      <c r="B522" t="s">
        <v>63</v>
      </c>
      <c r="C522">
        <v>1</v>
      </c>
      <c r="D522">
        <v>6</v>
      </c>
      <c r="E522">
        <v>156</v>
      </c>
      <c r="F522">
        <v>0</v>
      </c>
      <c r="G522">
        <v>0</v>
      </c>
      <c r="I522">
        <v>0</v>
      </c>
      <c r="J522">
        <v>0</v>
      </c>
      <c r="K522">
        <v>0</v>
      </c>
      <c r="L522">
        <v>0</v>
      </c>
      <c r="M522" s="7">
        <v>13.9</v>
      </c>
      <c r="N522" s="7">
        <v>28.1</v>
      </c>
    </row>
    <row r="523" spans="1:14" ht="19.95" customHeight="1">
      <c r="A523" s="6">
        <v>45448</v>
      </c>
      <c r="B523" t="s">
        <v>64</v>
      </c>
      <c r="C523">
        <v>2</v>
      </c>
      <c r="D523">
        <v>6</v>
      </c>
      <c r="E523">
        <v>157</v>
      </c>
      <c r="F523">
        <v>0</v>
      </c>
      <c r="G523">
        <v>0</v>
      </c>
      <c r="I523">
        <v>0</v>
      </c>
      <c r="J523">
        <v>0</v>
      </c>
      <c r="K523">
        <v>0</v>
      </c>
      <c r="L523">
        <v>0</v>
      </c>
      <c r="M523" s="7">
        <v>10.4</v>
      </c>
      <c r="N523" s="7">
        <v>27.7</v>
      </c>
    </row>
    <row r="524" spans="1:14" ht="19.95" customHeight="1">
      <c r="A524" s="6">
        <v>45449</v>
      </c>
      <c r="B524" t="s">
        <v>65</v>
      </c>
      <c r="C524">
        <v>3</v>
      </c>
      <c r="D524">
        <v>6</v>
      </c>
      <c r="E524">
        <v>158</v>
      </c>
      <c r="F524">
        <v>0</v>
      </c>
      <c r="G524">
        <v>0</v>
      </c>
      <c r="I524">
        <v>0</v>
      </c>
      <c r="J524">
        <v>0</v>
      </c>
      <c r="K524">
        <v>0</v>
      </c>
      <c r="L524">
        <v>0</v>
      </c>
      <c r="M524" s="7">
        <v>13.4</v>
      </c>
      <c r="N524" s="7">
        <v>26.7</v>
      </c>
    </row>
    <row r="525" spans="1:14" ht="19.95" customHeight="1">
      <c r="A525" s="6">
        <v>45450</v>
      </c>
      <c r="B525" t="s">
        <v>66</v>
      </c>
      <c r="C525">
        <v>4</v>
      </c>
      <c r="D525">
        <v>6</v>
      </c>
      <c r="E525">
        <v>159</v>
      </c>
      <c r="F525">
        <v>0</v>
      </c>
      <c r="G525">
        <v>0</v>
      </c>
      <c r="I525">
        <v>0</v>
      </c>
      <c r="J525">
        <v>0</v>
      </c>
      <c r="K525">
        <v>0</v>
      </c>
      <c r="L525">
        <v>0</v>
      </c>
      <c r="M525" s="7">
        <v>0</v>
      </c>
      <c r="N525" s="7">
        <v>27</v>
      </c>
    </row>
    <row r="526" spans="1:14" ht="19.95" customHeight="1">
      <c r="A526" s="6">
        <v>45451</v>
      </c>
      <c r="B526" t="s">
        <v>67</v>
      </c>
      <c r="C526">
        <v>5</v>
      </c>
      <c r="D526">
        <v>6</v>
      </c>
      <c r="E526">
        <v>160</v>
      </c>
      <c r="F526">
        <v>1</v>
      </c>
      <c r="G526">
        <v>0</v>
      </c>
      <c r="I526">
        <v>0</v>
      </c>
      <c r="J526">
        <v>0</v>
      </c>
      <c r="K526">
        <v>0</v>
      </c>
      <c r="L526">
        <v>0</v>
      </c>
      <c r="M526" s="7">
        <v>2.2999999999999998</v>
      </c>
      <c r="N526" s="7">
        <v>26.8</v>
      </c>
    </row>
    <row r="527" spans="1:14" ht="19.95" customHeight="1">
      <c r="A527" s="6">
        <v>45452</v>
      </c>
      <c r="B527" t="s">
        <v>60</v>
      </c>
      <c r="C527">
        <v>6</v>
      </c>
      <c r="D527">
        <v>6</v>
      </c>
      <c r="E527">
        <v>161</v>
      </c>
      <c r="F527">
        <v>1</v>
      </c>
      <c r="G527">
        <v>0</v>
      </c>
      <c r="I527">
        <v>0</v>
      </c>
      <c r="J527">
        <v>0</v>
      </c>
      <c r="K527">
        <v>0</v>
      </c>
      <c r="L527">
        <v>0</v>
      </c>
      <c r="M527" s="7">
        <v>10.1</v>
      </c>
      <c r="N527" s="7">
        <v>27.5</v>
      </c>
    </row>
    <row r="528" spans="1:14" ht="19.95" customHeight="1">
      <c r="A528" s="6">
        <v>45453</v>
      </c>
      <c r="B528" t="s">
        <v>62</v>
      </c>
      <c r="C528">
        <v>0</v>
      </c>
      <c r="D528">
        <v>6</v>
      </c>
      <c r="E528">
        <v>162</v>
      </c>
      <c r="F528">
        <v>0</v>
      </c>
      <c r="G528">
        <v>0</v>
      </c>
      <c r="I528">
        <v>0</v>
      </c>
      <c r="J528">
        <v>0</v>
      </c>
      <c r="K528">
        <v>0</v>
      </c>
      <c r="L528">
        <v>0</v>
      </c>
      <c r="M528" s="7">
        <v>13.4</v>
      </c>
      <c r="N528" s="7">
        <v>28.7</v>
      </c>
    </row>
    <row r="529" spans="1:14" ht="19.95" customHeight="1">
      <c r="A529" s="6">
        <v>45454</v>
      </c>
      <c r="B529" t="s">
        <v>63</v>
      </c>
      <c r="C529">
        <v>1</v>
      </c>
      <c r="D529">
        <v>6</v>
      </c>
      <c r="E529">
        <v>163</v>
      </c>
      <c r="F529">
        <v>0</v>
      </c>
      <c r="G529">
        <v>0</v>
      </c>
      <c r="I529">
        <v>0</v>
      </c>
      <c r="J529">
        <v>0</v>
      </c>
      <c r="K529">
        <v>0</v>
      </c>
      <c r="L529">
        <v>0</v>
      </c>
      <c r="M529" s="7">
        <v>12.1</v>
      </c>
      <c r="N529" s="7">
        <v>27.7</v>
      </c>
    </row>
    <row r="530" spans="1:14" ht="19.95" customHeight="1">
      <c r="A530" s="6">
        <v>45455</v>
      </c>
      <c r="B530" t="s">
        <v>64</v>
      </c>
      <c r="C530">
        <v>2</v>
      </c>
      <c r="D530">
        <v>6</v>
      </c>
      <c r="E530">
        <v>164</v>
      </c>
      <c r="F530">
        <v>0</v>
      </c>
      <c r="G530">
        <v>0</v>
      </c>
      <c r="I530">
        <v>0</v>
      </c>
      <c r="J530">
        <v>0</v>
      </c>
      <c r="K530">
        <v>0</v>
      </c>
      <c r="L530">
        <v>0</v>
      </c>
      <c r="M530" s="7">
        <v>17.899999999999999</v>
      </c>
      <c r="N530" s="7">
        <v>28.3</v>
      </c>
    </row>
    <row r="531" spans="1:14" ht="19.95" customHeight="1">
      <c r="A531" s="6">
        <v>45456</v>
      </c>
      <c r="B531" t="s">
        <v>65</v>
      </c>
      <c r="C531">
        <v>3</v>
      </c>
      <c r="D531">
        <v>6</v>
      </c>
      <c r="E531">
        <v>165</v>
      </c>
      <c r="F531">
        <v>0</v>
      </c>
      <c r="G531">
        <v>0</v>
      </c>
      <c r="I531">
        <v>0</v>
      </c>
      <c r="J531">
        <v>0</v>
      </c>
      <c r="K531">
        <v>0</v>
      </c>
      <c r="L531">
        <v>0</v>
      </c>
      <c r="M531" s="7">
        <v>8.5</v>
      </c>
      <c r="N531" s="7">
        <v>26.9</v>
      </c>
    </row>
    <row r="532" spans="1:14" ht="19.95" customHeight="1">
      <c r="A532" s="6">
        <v>45457</v>
      </c>
      <c r="B532" t="s">
        <v>66</v>
      </c>
      <c r="C532">
        <v>4</v>
      </c>
      <c r="D532">
        <v>6</v>
      </c>
      <c r="E532">
        <v>166</v>
      </c>
      <c r="F532">
        <v>0</v>
      </c>
      <c r="G532">
        <v>0</v>
      </c>
      <c r="I532">
        <v>0</v>
      </c>
      <c r="J532">
        <v>0</v>
      </c>
      <c r="K532">
        <v>0</v>
      </c>
      <c r="L532">
        <v>0</v>
      </c>
      <c r="M532" s="7">
        <v>8</v>
      </c>
      <c r="N532" s="7">
        <v>27</v>
      </c>
    </row>
    <row r="533" spans="1:14" ht="19.95" customHeight="1">
      <c r="A533" s="6">
        <v>45458</v>
      </c>
      <c r="B533" t="s">
        <v>67</v>
      </c>
      <c r="C533">
        <v>5</v>
      </c>
      <c r="D533">
        <v>6</v>
      </c>
      <c r="E533">
        <v>167</v>
      </c>
      <c r="F533">
        <v>1</v>
      </c>
      <c r="G533">
        <v>0</v>
      </c>
      <c r="I533">
        <v>0</v>
      </c>
      <c r="J533">
        <v>0</v>
      </c>
      <c r="K533">
        <v>0</v>
      </c>
      <c r="L533">
        <v>0</v>
      </c>
      <c r="M533" s="7">
        <v>15.5</v>
      </c>
      <c r="N533" s="7">
        <v>28.4</v>
      </c>
    </row>
    <row r="534" spans="1:14" ht="19.95" customHeight="1">
      <c r="A534" s="6">
        <v>45459</v>
      </c>
      <c r="B534" t="s">
        <v>60</v>
      </c>
      <c r="C534">
        <v>6</v>
      </c>
      <c r="D534">
        <v>6</v>
      </c>
      <c r="E534">
        <v>168</v>
      </c>
      <c r="F534">
        <v>1</v>
      </c>
      <c r="G534">
        <v>0</v>
      </c>
      <c r="I534">
        <v>0</v>
      </c>
      <c r="J534">
        <v>0</v>
      </c>
      <c r="K534">
        <v>0</v>
      </c>
      <c r="L534">
        <v>0</v>
      </c>
      <c r="M534" s="7">
        <v>19.8</v>
      </c>
      <c r="N534" s="7">
        <v>28.3</v>
      </c>
    </row>
    <row r="535" spans="1:14" ht="19.95" customHeight="1">
      <c r="A535" s="6">
        <v>45460</v>
      </c>
      <c r="B535" t="s">
        <v>62</v>
      </c>
      <c r="C535">
        <v>0</v>
      </c>
      <c r="D535">
        <v>6</v>
      </c>
      <c r="E535">
        <v>169</v>
      </c>
      <c r="F535">
        <v>0</v>
      </c>
      <c r="G535">
        <v>0</v>
      </c>
      <c r="I535">
        <v>0</v>
      </c>
      <c r="J535">
        <v>0</v>
      </c>
      <c r="K535">
        <v>0</v>
      </c>
      <c r="L535">
        <v>0</v>
      </c>
      <c r="M535" s="7">
        <v>16.7</v>
      </c>
      <c r="N535" s="7">
        <v>27.8</v>
      </c>
    </row>
    <row r="536" spans="1:14" ht="19.95" customHeight="1">
      <c r="A536" s="6">
        <v>45461</v>
      </c>
      <c r="B536" t="s">
        <v>63</v>
      </c>
      <c r="C536">
        <v>1</v>
      </c>
      <c r="D536">
        <v>6</v>
      </c>
      <c r="E536">
        <v>170</v>
      </c>
      <c r="F536">
        <v>0</v>
      </c>
      <c r="G536">
        <v>0</v>
      </c>
      <c r="I536">
        <v>0</v>
      </c>
      <c r="J536">
        <v>0</v>
      </c>
      <c r="K536">
        <v>0</v>
      </c>
      <c r="L536">
        <v>0</v>
      </c>
      <c r="M536" s="7">
        <v>8.5</v>
      </c>
      <c r="N536" s="7">
        <v>27.5</v>
      </c>
    </row>
    <row r="537" spans="1:14" ht="19.95" customHeight="1">
      <c r="A537" s="6">
        <v>45462</v>
      </c>
      <c r="B537" t="s">
        <v>64</v>
      </c>
      <c r="C537">
        <v>2</v>
      </c>
      <c r="D537">
        <v>6</v>
      </c>
      <c r="E537">
        <v>171</v>
      </c>
      <c r="F537">
        <v>0</v>
      </c>
      <c r="G537">
        <v>0</v>
      </c>
      <c r="I537">
        <v>0</v>
      </c>
      <c r="J537">
        <v>0</v>
      </c>
      <c r="K537">
        <v>0</v>
      </c>
      <c r="L537">
        <v>0</v>
      </c>
      <c r="M537" s="7">
        <v>15.1</v>
      </c>
      <c r="N537" s="7">
        <v>28.7</v>
      </c>
    </row>
    <row r="538" spans="1:14" ht="19.95" customHeight="1">
      <c r="A538" s="6">
        <v>45463</v>
      </c>
      <c r="B538" t="s">
        <v>65</v>
      </c>
      <c r="C538">
        <v>3</v>
      </c>
      <c r="D538">
        <v>6</v>
      </c>
      <c r="E538">
        <v>172</v>
      </c>
      <c r="F538">
        <v>0</v>
      </c>
      <c r="G538">
        <v>0</v>
      </c>
      <c r="I538">
        <v>0</v>
      </c>
      <c r="J538">
        <v>0</v>
      </c>
      <c r="K538">
        <v>0</v>
      </c>
      <c r="L538">
        <v>0</v>
      </c>
      <c r="M538" s="7">
        <v>10.5</v>
      </c>
      <c r="N538" s="7">
        <v>27.4</v>
      </c>
    </row>
    <row r="539" spans="1:14" ht="19.95" customHeight="1">
      <c r="A539" s="6">
        <v>45464</v>
      </c>
      <c r="B539" t="s">
        <v>66</v>
      </c>
      <c r="C539">
        <v>4</v>
      </c>
      <c r="D539">
        <v>6</v>
      </c>
      <c r="E539">
        <v>173</v>
      </c>
      <c r="F539">
        <v>0</v>
      </c>
      <c r="G539">
        <v>0</v>
      </c>
      <c r="I539">
        <v>0</v>
      </c>
      <c r="J539">
        <v>0</v>
      </c>
      <c r="K539">
        <v>0</v>
      </c>
      <c r="L539">
        <v>0</v>
      </c>
      <c r="M539" s="7">
        <v>18.600000000000001</v>
      </c>
      <c r="N539" s="7">
        <v>29.3</v>
      </c>
    </row>
    <row r="540" spans="1:14" ht="19.95" customHeight="1">
      <c r="A540" s="6">
        <v>45465</v>
      </c>
      <c r="B540" t="s">
        <v>67</v>
      </c>
      <c r="C540">
        <v>5</v>
      </c>
      <c r="D540">
        <v>6</v>
      </c>
      <c r="E540">
        <v>174</v>
      </c>
      <c r="F540">
        <v>1</v>
      </c>
      <c r="G540">
        <v>0</v>
      </c>
      <c r="I540">
        <v>0</v>
      </c>
      <c r="J540">
        <v>0</v>
      </c>
      <c r="K540">
        <v>0</v>
      </c>
      <c r="L540">
        <v>0</v>
      </c>
      <c r="M540" s="7">
        <v>10</v>
      </c>
      <c r="N540" s="7">
        <v>27.7</v>
      </c>
    </row>
    <row r="541" spans="1:14" ht="19.95" customHeight="1">
      <c r="A541" s="6">
        <v>45466</v>
      </c>
      <c r="B541" t="s">
        <v>60</v>
      </c>
      <c r="C541">
        <v>6</v>
      </c>
      <c r="D541">
        <v>6</v>
      </c>
      <c r="E541">
        <v>175</v>
      </c>
      <c r="F541">
        <v>1</v>
      </c>
      <c r="G541">
        <v>0</v>
      </c>
      <c r="I541">
        <v>0</v>
      </c>
      <c r="J541">
        <v>0</v>
      </c>
      <c r="K541">
        <v>0</v>
      </c>
      <c r="L541">
        <v>0</v>
      </c>
      <c r="M541" s="7">
        <v>13.8</v>
      </c>
      <c r="N541" s="7">
        <v>27.3</v>
      </c>
    </row>
    <row r="542" spans="1:14" ht="19.95" customHeight="1">
      <c r="A542" s="6">
        <v>45467</v>
      </c>
      <c r="B542" t="s">
        <v>62</v>
      </c>
      <c r="C542">
        <v>0</v>
      </c>
      <c r="D542">
        <v>6</v>
      </c>
      <c r="E542">
        <v>176</v>
      </c>
      <c r="F542">
        <v>0</v>
      </c>
      <c r="G542">
        <v>0</v>
      </c>
      <c r="I542">
        <v>0</v>
      </c>
      <c r="J542">
        <v>0</v>
      </c>
      <c r="K542">
        <v>0</v>
      </c>
      <c r="L542">
        <v>0</v>
      </c>
      <c r="M542" s="7">
        <v>2.2999999999999998</v>
      </c>
      <c r="N542" s="7">
        <v>28</v>
      </c>
    </row>
    <row r="543" spans="1:14" ht="19.95" customHeight="1">
      <c r="A543" s="6">
        <v>45468</v>
      </c>
      <c r="B543" t="s">
        <v>63</v>
      </c>
      <c r="C543">
        <v>1</v>
      </c>
      <c r="D543">
        <v>6</v>
      </c>
      <c r="E543">
        <v>177</v>
      </c>
      <c r="F543">
        <v>0</v>
      </c>
      <c r="G543">
        <v>0</v>
      </c>
      <c r="I543">
        <v>0</v>
      </c>
      <c r="J543">
        <v>0</v>
      </c>
      <c r="K543">
        <v>0</v>
      </c>
      <c r="L543">
        <v>0</v>
      </c>
      <c r="M543" s="7">
        <v>22.4</v>
      </c>
      <c r="N543" s="7">
        <v>27.1</v>
      </c>
    </row>
    <row r="544" spans="1:14" ht="19.95" customHeight="1">
      <c r="A544" s="6">
        <v>45469</v>
      </c>
      <c r="B544" t="s">
        <v>64</v>
      </c>
      <c r="C544">
        <v>2</v>
      </c>
      <c r="D544">
        <v>6</v>
      </c>
      <c r="E544">
        <v>178</v>
      </c>
      <c r="F544">
        <v>0</v>
      </c>
      <c r="G544">
        <v>0</v>
      </c>
      <c r="I544">
        <v>0</v>
      </c>
      <c r="J544">
        <v>0</v>
      </c>
      <c r="K544">
        <v>0</v>
      </c>
      <c r="L544">
        <v>0</v>
      </c>
      <c r="M544" s="7">
        <v>8.1999999999999993</v>
      </c>
      <c r="N544" s="7">
        <v>27.4</v>
      </c>
    </row>
    <row r="545" spans="1:14" ht="19.95" customHeight="1">
      <c r="A545" s="6">
        <v>45470</v>
      </c>
      <c r="B545" t="s">
        <v>65</v>
      </c>
      <c r="C545">
        <v>3</v>
      </c>
      <c r="D545">
        <v>6</v>
      </c>
      <c r="E545">
        <v>179</v>
      </c>
      <c r="F545">
        <v>0</v>
      </c>
      <c r="G545">
        <v>0</v>
      </c>
      <c r="I545">
        <v>0</v>
      </c>
      <c r="J545">
        <v>0</v>
      </c>
      <c r="K545">
        <v>0</v>
      </c>
      <c r="L545">
        <v>0</v>
      </c>
      <c r="M545" s="7">
        <v>5</v>
      </c>
      <c r="N545" s="7">
        <v>27.7</v>
      </c>
    </row>
    <row r="546" spans="1:14" ht="19.95" customHeight="1">
      <c r="A546" s="6">
        <v>45471</v>
      </c>
      <c r="B546" t="s">
        <v>66</v>
      </c>
      <c r="C546">
        <v>4</v>
      </c>
      <c r="D546">
        <v>6</v>
      </c>
      <c r="E546">
        <v>180</v>
      </c>
      <c r="F546">
        <v>0</v>
      </c>
      <c r="G546">
        <v>0</v>
      </c>
      <c r="I546">
        <v>0</v>
      </c>
      <c r="J546">
        <v>0</v>
      </c>
      <c r="K546">
        <v>0</v>
      </c>
      <c r="L546">
        <v>0</v>
      </c>
      <c r="M546" s="7">
        <v>6.3</v>
      </c>
      <c r="N546" s="7">
        <v>29.3</v>
      </c>
    </row>
    <row r="547" spans="1:14" ht="19.95" customHeight="1">
      <c r="A547" s="6">
        <v>45472</v>
      </c>
      <c r="B547" t="s">
        <v>67</v>
      </c>
      <c r="C547">
        <v>5</v>
      </c>
      <c r="D547">
        <v>6</v>
      </c>
      <c r="E547">
        <v>181</v>
      </c>
      <c r="F547">
        <v>1</v>
      </c>
      <c r="G547">
        <v>0</v>
      </c>
      <c r="I547">
        <v>0</v>
      </c>
      <c r="J547">
        <v>0</v>
      </c>
      <c r="K547">
        <v>0</v>
      </c>
      <c r="L547">
        <v>0</v>
      </c>
      <c r="M547" s="7">
        <v>11.3</v>
      </c>
      <c r="N547" s="7">
        <v>28.2</v>
      </c>
    </row>
    <row r="548" spans="1:14" ht="19.95" customHeight="1">
      <c r="A548" s="6">
        <v>45473</v>
      </c>
      <c r="B548" t="s">
        <v>60</v>
      </c>
      <c r="C548">
        <v>6</v>
      </c>
      <c r="D548">
        <v>6</v>
      </c>
      <c r="E548">
        <v>182</v>
      </c>
      <c r="F548">
        <v>1</v>
      </c>
      <c r="G548">
        <v>0</v>
      </c>
      <c r="I548">
        <v>0</v>
      </c>
      <c r="J548">
        <v>0</v>
      </c>
      <c r="K548">
        <v>0</v>
      </c>
      <c r="L548">
        <v>0</v>
      </c>
      <c r="M548" s="7">
        <v>5.3</v>
      </c>
      <c r="N548" s="7">
        <v>28.1</v>
      </c>
    </row>
    <row r="549" spans="1:14" ht="19.95" customHeight="1">
      <c r="A549" s="6">
        <v>45474</v>
      </c>
      <c r="B549" t="s">
        <v>62</v>
      </c>
      <c r="C549">
        <v>0</v>
      </c>
      <c r="D549">
        <v>7</v>
      </c>
      <c r="E549">
        <v>183</v>
      </c>
      <c r="F549">
        <v>0</v>
      </c>
      <c r="G549">
        <v>0</v>
      </c>
      <c r="I549">
        <v>1</v>
      </c>
      <c r="J549">
        <v>0</v>
      </c>
      <c r="K549">
        <v>0</v>
      </c>
      <c r="L549">
        <v>0</v>
      </c>
      <c r="M549" s="7">
        <v>12</v>
      </c>
      <c r="N549" s="7">
        <v>26.9</v>
      </c>
    </row>
    <row r="550" spans="1:14" ht="19.95" customHeight="1">
      <c r="A550" s="6">
        <v>45475</v>
      </c>
      <c r="B550" t="s">
        <v>63</v>
      </c>
      <c r="C550">
        <v>1</v>
      </c>
      <c r="D550">
        <v>7</v>
      </c>
      <c r="E550">
        <v>184</v>
      </c>
      <c r="F550">
        <v>0</v>
      </c>
      <c r="G550">
        <v>0</v>
      </c>
      <c r="I550">
        <v>1</v>
      </c>
      <c r="J550">
        <v>0</v>
      </c>
      <c r="K550">
        <v>0</v>
      </c>
      <c r="L550">
        <v>0</v>
      </c>
      <c r="M550" s="7">
        <v>0.2</v>
      </c>
      <c r="N550" s="7">
        <v>27.8</v>
      </c>
    </row>
    <row r="551" spans="1:14" ht="19.95" customHeight="1">
      <c r="A551" s="6">
        <v>45476</v>
      </c>
      <c r="B551" t="s">
        <v>64</v>
      </c>
      <c r="C551">
        <v>2</v>
      </c>
      <c r="D551">
        <v>7</v>
      </c>
      <c r="E551">
        <v>185</v>
      </c>
      <c r="F551">
        <v>0</v>
      </c>
      <c r="G551">
        <v>0</v>
      </c>
      <c r="I551">
        <v>1</v>
      </c>
      <c r="J551">
        <v>0</v>
      </c>
      <c r="K551">
        <v>0</v>
      </c>
      <c r="L551">
        <v>0</v>
      </c>
      <c r="M551" s="7">
        <v>5.4</v>
      </c>
      <c r="N551" s="7">
        <v>27.5</v>
      </c>
    </row>
    <row r="552" spans="1:14" ht="19.95" customHeight="1">
      <c r="A552" s="6">
        <v>45477</v>
      </c>
      <c r="B552" t="s">
        <v>65</v>
      </c>
      <c r="C552">
        <v>3</v>
      </c>
      <c r="D552">
        <v>7</v>
      </c>
      <c r="E552">
        <v>186</v>
      </c>
      <c r="F552">
        <v>0</v>
      </c>
      <c r="G552">
        <v>0</v>
      </c>
      <c r="I552">
        <v>1</v>
      </c>
      <c r="J552">
        <v>0</v>
      </c>
      <c r="K552">
        <v>0</v>
      </c>
      <c r="L552">
        <v>0</v>
      </c>
      <c r="M552" s="7">
        <v>13</v>
      </c>
      <c r="N552" s="7">
        <v>29</v>
      </c>
    </row>
    <row r="553" spans="1:14" ht="19.95" customHeight="1">
      <c r="A553" s="6">
        <v>45478</v>
      </c>
      <c r="B553" t="s">
        <v>66</v>
      </c>
      <c r="C553">
        <v>4</v>
      </c>
      <c r="D553">
        <v>7</v>
      </c>
      <c r="E553">
        <v>187</v>
      </c>
      <c r="F553">
        <v>0</v>
      </c>
      <c r="G553">
        <v>0</v>
      </c>
      <c r="I553">
        <v>1</v>
      </c>
      <c r="J553">
        <v>0</v>
      </c>
      <c r="K553">
        <v>0</v>
      </c>
      <c r="L553">
        <v>0</v>
      </c>
      <c r="M553" s="7">
        <v>0</v>
      </c>
      <c r="N553" s="7">
        <v>28.4</v>
      </c>
    </row>
    <row r="554" spans="1:14" ht="19.95" customHeight="1">
      <c r="A554" s="6">
        <v>45479</v>
      </c>
      <c r="B554" t="s">
        <v>67</v>
      </c>
      <c r="C554">
        <v>5</v>
      </c>
      <c r="D554">
        <v>7</v>
      </c>
      <c r="E554">
        <v>188</v>
      </c>
      <c r="F554">
        <v>1</v>
      </c>
      <c r="G554">
        <v>0</v>
      </c>
      <c r="I554">
        <v>1</v>
      </c>
      <c r="J554">
        <v>0</v>
      </c>
      <c r="K554">
        <v>0</v>
      </c>
      <c r="L554">
        <v>0</v>
      </c>
      <c r="M554" s="7">
        <v>21.9</v>
      </c>
      <c r="N554" s="7">
        <v>28.2</v>
      </c>
    </row>
    <row r="555" spans="1:14" ht="19.95" customHeight="1">
      <c r="A555" s="6">
        <v>45480</v>
      </c>
      <c r="B555" t="s">
        <v>60</v>
      </c>
      <c r="C555">
        <v>6</v>
      </c>
      <c r="D555">
        <v>7</v>
      </c>
      <c r="E555">
        <v>189</v>
      </c>
      <c r="F555">
        <v>1</v>
      </c>
      <c r="G555">
        <v>0</v>
      </c>
      <c r="I555">
        <v>1</v>
      </c>
      <c r="J555">
        <v>0</v>
      </c>
      <c r="K555">
        <v>0</v>
      </c>
      <c r="L555">
        <v>0</v>
      </c>
      <c r="M555" s="7">
        <v>1.5</v>
      </c>
      <c r="N555" s="7">
        <v>28.3</v>
      </c>
    </row>
    <row r="556" spans="1:14" ht="19.95" customHeight="1">
      <c r="A556" s="6">
        <v>45481</v>
      </c>
      <c r="B556" t="s">
        <v>62</v>
      </c>
      <c r="C556">
        <v>0</v>
      </c>
      <c r="D556">
        <v>7</v>
      </c>
      <c r="E556">
        <v>190</v>
      </c>
      <c r="F556">
        <v>0</v>
      </c>
      <c r="G556">
        <v>0</v>
      </c>
      <c r="I556">
        <v>1</v>
      </c>
      <c r="J556">
        <v>0</v>
      </c>
      <c r="K556">
        <v>0</v>
      </c>
      <c r="L556">
        <v>0</v>
      </c>
      <c r="M556" s="7">
        <v>0</v>
      </c>
      <c r="N556" s="7">
        <v>28.6</v>
      </c>
    </row>
    <row r="557" spans="1:14" ht="19.95" customHeight="1">
      <c r="A557" s="6">
        <v>45482</v>
      </c>
      <c r="B557" t="s">
        <v>63</v>
      </c>
      <c r="C557">
        <v>1</v>
      </c>
      <c r="D557">
        <v>7</v>
      </c>
      <c r="E557">
        <v>191</v>
      </c>
      <c r="F557">
        <v>0</v>
      </c>
      <c r="G557">
        <v>0</v>
      </c>
      <c r="I557">
        <v>1</v>
      </c>
      <c r="J557">
        <v>0</v>
      </c>
      <c r="K557">
        <v>0</v>
      </c>
      <c r="L557">
        <v>0</v>
      </c>
      <c r="M557" s="7">
        <v>17.600000000000001</v>
      </c>
      <c r="N557" s="7">
        <v>28</v>
      </c>
    </row>
    <row r="558" spans="1:14" ht="19.95" customHeight="1">
      <c r="A558" s="6">
        <v>45483</v>
      </c>
      <c r="B558" t="s">
        <v>64</v>
      </c>
      <c r="C558">
        <v>2</v>
      </c>
      <c r="D558">
        <v>7</v>
      </c>
      <c r="E558">
        <v>192</v>
      </c>
      <c r="F558">
        <v>0</v>
      </c>
      <c r="G558">
        <v>0</v>
      </c>
      <c r="I558">
        <v>1</v>
      </c>
      <c r="J558">
        <v>0</v>
      </c>
      <c r="K558">
        <v>0</v>
      </c>
      <c r="L558">
        <v>0</v>
      </c>
      <c r="M558" s="7">
        <v>15.6</v>
      </c>
      <c r="N558" s="7">
        <v>28.3</v>
      </c>
    </row>
    <row r="559" spans="1:14" ht="19.95" customHeight="1">
      <c r="A559" s="6">
        <v>45484</v>
      </c>
      <c r="B559" t="s">
        <v>65</v>
      </c>
      <c r="C559">
        <v>3</v>
      </c>
      <c r="D559">
        <v>7</v>
      </c>
      <c r="E559">
        <v>193</v>
      </c>
      <c r="F559">
        <v>0</v>
      </c>
      <c r="G559">
        <v>0</v>
      </c>
      <c r="I559">
        <v>1</v>
      </c>
      <c r="J559">
        <v>0</v>
      </c>
      <c r="K559">
        <v>0</v>
      </c>
      <c r="L559">
        <v>0</v>
      </c>
      <c r="M559" s="7">
        <v>9.1999999999999993</v>
      </c>
      <c r="N559" s="7">
        <v>30.4</v>
      </c>
    </row>
    <row r="560" spans="1:14" ht="19.95" customHeight="1">
      <c r="A560" s="6">
        <v>45485</v>
      </c>
      <c r="B560" t="s">
        <v>66</v>
      </c>
      <c r="C560">
        <v>4</v>
      </c>
      <c r="D560">
        <v>7</v>
      </c>
      <c r="E560">
        <v>194</v>
      </c>
      <c r="F560">
        <v>0</v>
      </c>
      <c r="G560">
        <v>0</v>
      </c>
      <c r="I560">
        <v>1</v>
      </c>
      <c r="J560">
        <v>0</v>
      </c>
      <c r="K560">
        <v>0</v>
      </c>
      <c r="L560">
        <v>0</v>
      </c>
      <c r="M560" s="7">
        <v>3.5</v>
      </c>
      <c r="N560" s="7">
        <v>28.4</v>
      </c>
    </row>
    <row r="561" spans="1:14" ht="19.95" customHeight="1">
      <c r="A561" s="6">
        <v>45486</v>
      </c>
      <c r="B561" t="s">
        <v>67</v>
      </c>
      <c r="C561">
        <v>5</v>
      </c>
      <c r="D561">
        <v>7</v>
      </c>
      <c r="E561">
        <v>195</v>
      </c>
      <c r="F561">
        <v>1</v>
      </c>
      <c r="G561">
        <v>0</v>
      </c>
      <c r="I561">
        <v>1</v>
      </c>
      <c r="J561">
        <v>0</v>
      </c>
      <c r="K561">
        <v>0</v>
      </c>
      <c r="L561">
        <v>0</v>
      </c>
      <c r="M561" s="7">
        <v>13.9</v>
      </c>
      <c r="N561" s="7">
        <v>29.1</v>
      </c>
    </row>
    <row r="562" spans="1:14" ht="19.95" customHeight="1">
      <c r="A562" s="6">
        <v>45487</v>
      </c>
      <c r="B562" t="s">
        <v>60</v>
      </c>
      <c r="C562">
        <v>6</v>
      </c>
      <c r="D562">
        <v>7</v>
      </c>
      <c r="E562">
        <v>196</v>
      </c>
      <c r="F562">
        <v>1</v>
      </c>
      <c r="G562">
        <v>0</v>
      </c>
      <c r="I562">
        <v>1</v>
      </c>
      <c r="J562">
        <v>0</v>
      </c>
      <c r="K562">
        <v>0</v>
      </c>
      <c r="L562">
        <v>0</v>
      </c>
      <c r="M562" s="7">
        <v>7.9</v>
      </c>
      <c r="N562" s="7">
        <v>27.2</v>
      </c>
    </row>
    <row r="563" spans="1:14" ht="19.95" customHeight="1">
      <c r="A563" s="6">
        <v>45488</v>
      </c>
      <c r="B563" t="s">
        <v>62</v>
      </c>
      <c r="C563">
        <v>0</v>
      </c>
      <c r="D563">
        <v>7</v>
      </c>
      <c r="E563">
        <v>197</v>
      </c>
      <c r="F563">
        <v>0</v>
      </c>
      <c r="G563">
        <v>0</v>
      </c>
      <c r="I563">
        <v>1</v>
      </c>
      <c r="J563">
        <v>0</v>
      </c>
      <c r="K563">
        <v>0</v>
      </c>
      <c r="L563">
        <v>1</v>
      </c>
      <c r="M563" s="7">
        <v>10.5</v>
      </c>
      <c r="N563" s="7">
        <v>27.6</v>
      </c>
    </row>
    <row r="564" spans="1:14" ht="19.95" customHeight="1">
      <c r="A564" s="6">
        <v>45489</v>
      </c>
      <c r="B564" t="s">
        <v>63</v>
      </c>
      <c r="C564">
        <v>1</v>
      </c>
      <c r="D564">
        <v>7</v>
      </c>
      <c r="E564">
        <v>198</v>
      </c>
      <c r="F564">
        <v>0</v>
      </c>
      <c r="G564">
        <v>0</v>
      </c>
      <c r="I564">
        <v>1</v>
      </c>
      <c r="J564">
        <v>0</v>
      </c>
      <c r="K564">
        <v>0</v>
      </c>
      <c r="L564">
        <v>1</v>
      </c>
      <c r="M564" s="7">
        <v>15.1</v>
      </c>
      <c r="N564" s="7">
        <v>29.6</v>
      </c>
    </row>
    <row r="565" spans="1:14" ht="19.95" customHeight="1">
      <c r="A565" s="6">
        <v>45490</v>
      </c>
      <c r="B565" t="s">
        <v>64</v>
      </c>
      <c r="C565">
        <v>2</v>
      </c>
      <c r="D565">
        <v>7</v>
      </c>
      <c r="E565">
        <v>199</v>
      </c>
      <c r="F565">
        <v>0</v>
      </c>
      <c r="G565">
        <v>0</v>
      </c>
      <c r="I565">
        <v>1</v>
      </c>
      <c r="J565">
        <v>0</v>
      </c>
      <c r="K565">
        <v>0</v>
      </c>
      <c r="L565">
        <v>0</v>
      </c>
      <c r="M565" s="7">
        <v>18.3</v>
      </c>
      <c r="N565" s="7">
        <v>27.5</v>
      </c>
    </row>
    <row r="566" spans="1:14" ht="19.95" customHeight="1">
      <c r="A566" s="6">
        <v>45491</v>
      </c>
      <c r="B566" t="s">
        <v>65</v>
      </c>
      <c r="C566">
        <v>3</v>
      </c>
      <c r="D566">
        <v>7</v>
      </c>
      <c r="E566">
        <v>200</v>
      </c>
      <c r="F566">
        <v>0</v>
      </c>
      <c r="G566">
        <v>0</v>
      </c>
      <c r="I566">
        <v>1</v>
      </c>
      <c r="J566">
        <v>0</v>
      </c>
      <c r="K566">
        <v>0</v>
      </c>
      <c r="L566">
        <v>0</v>
      </c>
      <c r="M566" s="7">
        <v>3.4</v>
      </c>
      <c r="N566" s="7">
        <v>29.6</v>
      </c>
    </row>
    <row r="567" spans="1:14" ht="19.95" customHeight="1">
      <c r="A567" s="6">
        <v>45492</v>
      </c>
      <c r="B567" t="s">
        <v>66</v>
      </c>
      <c r="C567">
        <v>4</v>
      </c>
      <c r="D567">
        <v>7</v>
      </c>
      <c r="E567">
        <v>201</v>
      </c>
      <c r="F567">
        <v>0</v>
      </c>
      <c r="G567">
        <v>0</v>
      </c>
      <c r="I567">
        <v>1</v>
      </c>
      <c r="J567">
        <v>0</v>
      </c>
      <c r="K567">
        <v>0</v>
      </c>
      <c r="L567">
        <v>0</v>
      </c>
      <c r="M567" s="7">
        <v>1.6</v>
      </c>
      <c r="N567" s="7">
        <v>28.6</v>
      </c>
    </row>
    <row r="568" spans="1:14" ht="19.95" customHeight="1">
      <c r="A568" s="6">
        <v>45493</v>
      </c>
      <c r="B568" t="s">
        <v>67</v>
      </c>
      <c r="C568">
        <v>5</v>
      </c>
      <c r="D568">
        <v>7</v>
      </c>
      <c r="E568">
        <v>202</v>
      </c>
      <c r="F568">
        <v>1</v>
      </c>
      <c r="G568">
        <v>0</v>
      </c>
      <c r="I568">
        <v>1</v>
      </c>
      <c r="J568">
        <v>0</v>
      </c>
      <c r="K568">
        <v>0</v>
      </c>
      <c r="L568">
        <v>0</v>
      </c>
      <c r="M568" s="7">
        <v>11.8</v>
      </c>
      <c r="N568" s="7">
        <v>29.3</v>
      </c>
    </row>
    <row r="569" spans="1:14" ht="19.95" customHeight="1">
      <c r="A569" s="6">
        <v>45494</v>
      </c>
      <c r="B569" t="s">
        <v>60</v>
      </c>
      <c r="C569">
        <v>6</v>
      </c>
      <c r="D569">
        <v>7</v>
      </c>
      <c r="E569">
        <v>203</v>
      </c>
      <c r="F569">
        <v>1</v>
      </c>
      <c r="G569">
        <v>0</v>
      </c>
      <c r="I569">
        <v>1</v>
      </c>
      <c r="J569">
        <v>0</v>
      </c>
      <c r="K569">
        <v>0</v>
      </c>
      <c r="L569">
        <v>0</v>
      </c>
      <c r="M569" s="7">
        <v>3.4</v>
      </c>
      <c r="N569" s="7">
        <v>28.3</v>
      </c>
    </row>
    <row r="570" spans="1:14" ht="19.95" customHeight="1">
      <c r="A570" s="6">
        <v>45495</v>
      </c>
      <c r="B570" t="s">
        <v>62</v>
      </c>
      <c r="C570">
        <v>0</v>
      </c>
      <c r="D570">
        <v>7</v>
      </c>
      <c r="E570">
        <v>204</v>
      </c>
      <c r="F570">
        <v>0</v>
      </c>
      <c r="G570">
        <v>0</v>
      </c>
      <c r="I570">
        <v>1</v>
      </c>
      <c r="J570">
        <v>0</v>
      </c>
      <c r="K570">
        <v>0</v>
      </c>
      <c r="L570">
        <v>1</v>
      </c>
      <c r="M570" s="7">
        <v>3.8</v>
      </c>
      <c r="N570" s="7">
        <v>28.8</v>
      </c>
    </row>
    <row r="571" spans="1:14" ht="19.95" customHeight="1">
      <c r="A571" s="6">
        <v>45496</v>
      </c>
      <c r="B571" t="s">
        <v>63</v>
      </c>
      <c r="C571">
        <v>1</v>
      </c>
      <c r="D571">
        <v>7</v>
      </c>
      <c r="E571">
        <v>205</v>
      </c>
      <c r="F571">
        <v>0</v>
      </c>
      <c r="G571">
        <v>0</v>
      </c>
      <c r="I571">
        <v>1</v>
      </c>
      <c r="J571">
        <v>0</v>
      </c>
      <c r="K571">
        <v>0</v>
      </c>
      <c r="L571">
        <v>1</v>
      </c>
      <c r="M571" s="7">
        <v>7.4</v>
      </c>
      <c r="N571" s="7">
        <v>28.7</v>
      </c>
    </row>
    <row r="572" spans="1:14" ht="19.95" customHeight="1">
      <c r="A572" s="6">
        <v>45497</v>
      </c>
      <c r="B572" t="s">
        <v>64</v>
      </c>
      <c r="C572">
        <v>2</v>
      </c>
      <c r="D572">
        <v>7</v>
      </c>
      <c r="E572">
        <v>206</v>
      </c>
      <c r="F572">
        <v>0</v>
      </c>
      <c r="G572">
        <v>0</v>
      </c>
      <c r="I572">
        <v>1</v>
      </c>
      <c r="J572">
        <v>0</v>
      </c>
      <c r="K572">
        <v>0</v>
      </c>
      <c r="L572">
        <v>0</v>
      </c>
      <c r="M572" s="7">
        <v>2.8</v>
      </c>
      <c r="N572" s="7">
        <v>28.7</v>
      </c>
    </row>
    <row r="573" spans="1:14" ht="19.95" customHeight="1">
      <c r="A573" s="6">
        <v>45498</v>
      </c>
      <c r="B573" t="s">
        <v>65</v>
      </c>
      <c r="C573">
        <v>3</v>
      </c>
      <c r="D573">
        <v>7</v>
      </c>
      <c r="E573">
        <v>207</v>
      </c>
      <c r="F573">
        <v>0</v>
      </c>
      <c r="G573">
        <v>0</v>
      </c>
      <c r="I573">
        <v>1</v>
      </c>
      <c r="J573">
        <v>0</v>
      </c>
      <c r="K573">
        <v>0</v>
      </c>
      <c r="L573">
        <v>0</v>
      </c>
      <c r="M573" s="7">
        <v>8.1999999999999993</v>
      </c>
      <c r="N573" s="7">
        <v>28.9</v>
      </c>
    </row>
    <row r="574" spans="1:14" ht="19.95" customHeight="1">
      <c r="A574" s="6">
        <v>45499</v>
      </c>
      <c r="B574" t="s">
        <v>66</v>
      </c>
      <c r="C574">
        <v>4</v>
      </c>
      <c r="D574">
        <v>7</v>
      </c>
      <c r="E574">
        <v>208</v>
      </c>
      <c r="F574">
        <v>0</v>
      </c>
      <c r="G574">
        <v>0</v>
      </c>
      <c r="I574">
        <v>1</v>
      </c>
      <c r="J574">
        <v>0</v>
      </c>
      <c r="K574">
        <v>0</v>
      </c>
      <c r="L574">
        <v>0</v>
      </c>
      <c r="M574" s="7">
        <v>2.8</v>
      </c>
      <c r="N574" s="7">
        <v>29.4</v>
      </c>
    </row>
    <row r="575" spans="1:14" ht="19.95" customHeight="1">
      <c r="A575" s="6">
        <v>45500</v>
      </c>
      <c r="B575" t="s">
        <v>67</v>
      </c>
      <c r="C575">
        <v>5</v>
      </c>
      <c r="D575">
        <v>7</v>
      </c>
      <c r="E575">
        <v>209</v>
      </c>
      <c r="F575">
        <v>1</v>
      </c>
      <c r="G575">
        <v>0</v>
      </c>
      <c r="I575">
        <v>1</v>
      </c>
      <c r="J575">
        <v>0</v>
      </c>
      <c r="K575">
        <v>0</v>
      </c>
      <c r="L575">
        <v>0</v>
      </c>
      <c r="M575" s="7">
        <v>13</v>
      </c>
      <c r="N575" s="7">
        <v>28.7</v>
      </c>
    </row>
    <row r="576" spans="1:14" ht="19.95" customHeight="1">
      <c r="A576" s="6">
        <v>45501</v>
      </c>
      <c r="B576" t="s">
        <v>60</v>
      </c>
      <c r="C576">
        <v>6</v>
      </c>
      <c r="D576">
        <v>7</v>
      </c>
      <c r="E576">
        <v>210</v>
      </c>
      <c r="F576">
        <v>1</v>
      </c>
      <c r="G576">
        <v>0</v>
      </c>
      <c r="I576">
        <v>1</v>
      </c>
      <c r="J576">
        <v>0</v>
      </c>
      <c r="K576">
        <v>0</v>
      </c>
      <c r="L576">
        <v>0</v>
      </c>
      <c r="M576" s="7">
        <v>4.2</v>
      </c>
      <c r="N576" s="7">
        <v>28.4</v>
      </c>
    </row>
    <row r="577" spans="1:14" ht="19.95" customHeight="1">
      <c r="A577" s="6">
        <v>45502</v>
      </c>
      <c r="B577" t="s">
        <v>62</v>
      </c>
      <c r="C577">
        <v>0</v>
      </c>
      <c r="D577">
        <v>7</v>
      </c>
      <c r="E577">
        <v>211</v>
      </c>
      <c r="F577">
        <v>0</v>
      </c>
      <c r="G577">
        <v>0</v>
      </c>
      <c r="I577">
        <v>1</v>
      </c>
      <c r="J577">
        <v>0</v>
      </c>
      <c r="K577">
        <v>0</v>
      </c>
      <c r="L577">
        <v>0</v>
      </c>
      <c r="M577" s="7">
        <v>5.3</v>
      </c>
      <c r="N577" s="7">
        <v>27.9</v>
      </c>
    </row>
    <row r="578" spans="1:14" ht="19.95" customHeight="1">
      <c r="A578" s="6">
        <v>45503</v>
      </c>
      <c r="B578" t="s">
        <v>63</v>
      </c>
      <c r="C578">
        <v>1</v>
      </c>
      <c r="D578">
        <v>7</v>
      </c>
      <c r="E578">
        <v>212</v>
      </c>
      <c r="F578">
        <v>0</v>
      </c>
      <c r="G578">
        <v>0</v>
      </c>
      <c r="I578">
        <v>1</v>
      </c>
      <c r="J578">
        <v>0</v>
      </c>
      <c r="K578">
        <v>0</v>
      </c>
      <c r="L578">
        <v>0</v>
      </c>
      <c r="M578" s="7">
        <v>3.2</v>
      </c>
      <c r="N578" s="7">
        <v>28.7</v>
      </c>
    </row>
    <row r="579" spans="1:14" ht="19.95" customHeight="1">
      <c r="A579" s="6">
        <v>45504</v>
      </c>
      <c r="B579" t="s">
        <v>64</v>
      </c>
      <c r="C579">
        <v>2</v>
      </c>
      <c r="D579">
        <v>7</v>
      </c>
      <c r="E579">
        <v>213</v>
      </c>
      <c r="F579">
        <v>0</v>
      </c>
      <c r="G579">
        <v>0</v>
      </c>
      <c r="I579">
        <v>1</v>
      </c>
      <c r="J579">
        <v>0</v>
      </c>
      <c r="K579">
        <v>0</v>
      </c>
      <c r="L579">
        <v>0</v>
      </c>
      <c r="M579" s="7">
        <v>4.4000000000000004</v>
      </c>
      <c r="N579" s="7">
        <v>26</v>
      </c>
    </row>
    <row r="580" spans="1:14" ht="19.95" customHeight="1">
      <c r="A580" s="6">
        <v>45505</v>
      </c>
      <c r="B580" t="s">
        <v>65</v>
      </c>
      <c r="C580">
        <v>3</v>
      </c>
      <c r="D580">
        <v>8</v>
      </c>
      <c r="E580">
        <v>214</v>
      </c>
      <c r="F580">
        <v>0</v>
      </c>
      <c r="G580">
        <v>0</v>
      </c>
      <c r="I580">
        <v>0</v>
      </c>
      <c r="J580">
        <v>0</v>
      </c>
      <c r="K580">
        <v>0</v>
      </c>
      <c r="L580">
        <v>0</v>
      </c>
      <c r="M580" s="7">
        <v>2.6</v>
      </c>
      <c r="N580" s="7">
        <v>28.8</v>
      </c>
    </row>
    <row r="581" spans="1:14" ht="19.95" customHeight="1">
      <c r="A581" s="6">
        <v>45506</v>
      </c>
      <c r="B581" t="s">
        <v>66</v>
      </c>
      <c r="C581">
        <v>4</v>
      </c>
      <c r="D581">
        <v>8</v>
      </c>
      <c r="E581">
        <v>215</v>
      </c>
      <c r="F581">
        <v>0</v>
      </c>
      <c r="G581">
        <v>0</v>
      </c>
      <c r="I581">
        <v>0</v>
      </c>
      <c r="J581">
        <v>0</v>
      </c>
      <c r="K581">
        <v>0</v>
      </c>
      <c r="L581">
        <v>0</v>
      </c>
      <c r="M581" s="7">
        <v>6.2</v>
      </c>
      <c r="N581" s="7">
        <v>30.3</v>
      </c>
    </row>
    <row r="582" spans="1:14" ht="19.95" customHeight="1">
      <c r="A582" s="6">
        <v>45507</v>
      </c>
      <c r="B582" t="s">
        <v>67</v>
      </c>
      <c r="C582">
        <v>5</v>
      </c>
      <c r="D582">
        <v>8</v>
      </c>
      <c r="E582">
        <v>216</v>
      </c>
      <c r="F582">
        <v>1</v>
      </c>
      <c r="G582">
        <v>0</v>
      </c>
      <c r="I582">
        <v>0</v>
      </c>
      <c r="J582">
        <v>0</v>
      </c>
      <c r="K582">
        <v>0</v>
      </c>
      <c r="L582">
        <v>0</v>
      </c>
      <c r="M582" s="7">
        <v>0</v>
      </c>
      <c r="N582" s="7">
        <v>29</v>
      </c>
    </row>
    <row r="583" spans="1:14" ht="19.95" customHeight="1">
      <c r="A583" s="6">
        <v>45508</v>
      </c>
      <c r="B583" t="s">
        <v>60</v>
      </c>
      <c r="C583">
        <v>6</v>
      </c>
      <c r="D583">
        <v>8</v>
      </c>
      <c r="E583">
        <v>217</v>
      </c>
      <c r="F583">
        <v>1</v>
      </c>
      <c r="G583">
        <v>0</v>
      </c>
      <c r="I583">
        <v>0</v>
      </c>
      <c r="J583">
        <v>0</v>
      </c>
      <c r="K583">
        <v>0</v>
      </c>
      <c r="L583">
        <v>0</v>
      </c>
      <c r="M583" s="7">
        <v>0.2</v>
      </c>
      <c r="N583" s="7">
        <v>29.6</v>
      </c>
    </row>
    <row r="584" spans="1:14" ht="19.95" customHeight="1">
      <c r="A584" s="6">
        <v>45509</v>
      </c>
      <c r="B584" t="s">
        <v>62</v>
      </c>
      <c r="C584">
        <v>0</v>
      </c>
      <c r="D584">
        <v>8</v>
      </c>
      <c r="E584">
        <v>218</v>
      </c>
      <c r="F584">
        <v>0</v>
      </c>
      <c r="G584">
        <v>0</v>
      </c>
      <c r="I584">
        <v>0</v>
      </c>
      <c r="J584">
        <v>0</v>
      </c>
      <c r="K584">
        <v>0</v>
      </c>
      <c r="L584">
        <v>1</v>
      </c>
      <c r="M584" s="7">
        <v>1.1000000000000001</v>
      </c>
      <c r="N584" s="7">
        <v>28.7</v>
      </c>
    </row>
    <row r="585" spans="1:14" ht="19.95" customHeight="1">
      <c r="A585" s="6">
        <v>45510</v>
      </c>
      <c r="B585" t="s">
        <v>63</v>
      </c>
      <c r="C585">
        <v>1</v>
      </c>
      <c r="D585">
        <v>8</v>
      </c>
      <c r="E585">
        <v>219</v>
      </c>
      <c r="F585">
        <v>0</v>
      </c>
      <c r="G585">
        <v>0</v>
      </c>
      <c r="I585">
        <v>0</v>
      </c>
      <c r="J585">
        <v>0</v>
      </c>
      <c r="K585">
        <v>0</v>
      </c>
      <c r="L585">
        <v>1</v>
      </c>
      <c r="M585" s="7">
        <v>2.8</v>
      </c>
      <c r="N585" s="7">
        <v>29.4</v>
      </c>
    </row>
    <row r="586" spans="1:14" ht="19.95" customHeight="1">
      <c r="A586" s="6">
        <v>45511</v>
      </c>
      <c r="B586" t="s">
        <v>64</v>
      </c>
      <c r="C586">
        <v>2</v>
      </c>
      <c r="D586">
        <v>8</v>
      </c>
      <c r="E586">
        <v>220</v>
      </c>
      <c r="F586">
        <v>0</v>
      </c>
      <c r="G586">
        <v>0</v>
      </c>
      <c r="I586">
        <v>0</v>
      </c>
      <c r="J586">
        <v>0</v>
      </c>
      <c r="K586">
        <v>0</v>
      </c>
      <c r="L586">
        <v>0</v>
      </c>
      <c r="M586" s="7">
        <v>0.7</v>
      </c>
      <c r="N586" s="7">
        <v>29.7</v>
      </c>
    </row>
    <row r="587" spans="1:14" ht="19.95" customHeight="1">
      <c r="A587" s="6">
        <v>45512</v>
      </c>
      <c r="B587" t="s">
        <v>65</v>
      </c>
      <c r="C587">
        <v>3</v>
      </c>
      <c r="D587">
        <v>8</v>
      </c>
      <c r="E587">
        <v>221</v>
      </c>
      <c r="F587">
        <v>0</v>
      </c>
      <c r="G587">
        <v>0</v>
      </c>
      <c r="I587">
        <v>0</v>
      </c>
      <c r="J587">
        <v>0</v>
      </c>
      <c r="K587">
        <v>0</v>
      </c>
      <c r="L587">
        <v>0</v>
      </c>
      <c r="M587" s="7">
        <v>0</v>
      </c>
      <c r="N587" s="7">
        <v>28.8</v>
      </c>
    </row>
    <row r="588" spans="1:14" ht="19.95" customHeight="1">
      <c r="A588" s="6">
        <v>45513</v>
      </c>
      <c r="B588" t="s">
        <v>66</v>
      </c>
      <c r="C588">
        <v>4</v>
      </c>
      <c r="D588">
        <v>8</v>
      </c>
      <c r="E588">
        <v>222</v>
      </c>
      <c r="F588">
        <v>0</v>
      </c>
      <c r="G588">
        <v>0</v>
      </c>
      <c r="I588">
        <v>0</v>
      </c>
      <c r="J588">
        <v>0</v>
      </c>
      <c r="K588">
        <v>0</v>
      </c>
      <c r="L588">
        <v>0</v>
      </c>
      <c r="M588" s="7">
        <v>2.2999999999999998</v>
      </c>
      <c r="N588" s="7">
        <v>28</v>
      </c>
    </row>
    <row r="589" spans="1:14" ht="19.95" customHeight="1">
      <c r="A589" s="6">
        <v>45514</v>
      </c>
      <c r="B589" t="s">
        <v>67</v>
      </c>
      <c r="C589">
        <v>5</v>
      </c>
      <c r="D589">
        <v>8</v>
      </c>
      <c r="E589">
        <v>223</v>
      </c>
      <c r="F589">
        <v>1</v>
      </c>
      <c r="G589">
        <v>0</v>
      </c>
      <c r="I589">
        <v>0</v>
      </c>
      <c r="J589">
        <v>0</v>
      </c>
      <c r="K589">
        <v>0</v>
      </c>
      <c r="L589">
        <v>0</v>
      </c>
      <c r="M589" s="7">
        <v>1</v>
      </c>
      <c r="N589" s="7">
        <v>28.9</v>
      </c>
    </row>
    <row r="590" spans="1:14" ht="19.95" customHeight="1">
      <c r="A590" s="6">
        <v>45515</v>
      </c>
      <c r="B590" t="s">
        <v>60</v>
      </c>
      <c r="C590">
        <v>6</v>
      </c>
      <c r="D590">
        <v>8</v>
      </c>
      <c r="E590">
        <v>224</v>
      </c>
      <c r="F590">
        <v>1</v>
      </c>
      <c r="G590">
        <v>0</v>
      </c>
      <c r="I590">
        <v>0</v>
      </c>
      <c r="J590">
        <v>0</v>
      </c>
      <c r="K590">
        <v>0</v>
      </c>
      <c r="L590">
        <v>0</v>
      </c>
      <c r="M590" s="7">
        <v>0</v>
      </c>
      <c r="N590" s="7">
        <v>29.4</v>
      </c>
    </row>
    <row r="591" spans="1:14" ht="19.95" customHeight="1">
      <c r="A591" s="6">
        <v>45516</v>
      </c>
      <c r="B591" t="s">
        <v>62</v>
      </c>
      <c r="C591">
        <v>0</v>
      </c>
      <c r="D591">
        <v>8</v>
      </c>
      <c r="E591">
        <v>225</v>
      </c>
      <c r="F591">
        <v>0</v>
      </c>
      <c r="G591">
        <v>0</v>
      </c>
      <c r="I591">
        <v>0</v>
      </c>
      <c r="J591">
        <v>0</v>
      </c>
      <c r="K591">
        <v>0</v>
      </c>
      <c r="L591">
        <v>1</v>
      </c>
      <c r="M591" s="7">
        <v>1.8</v>
      </c>
      <c r="N591" s="7">
        <v>28.7</v>
      </c>
    </row>
    <row r="592" spans="1:14" ht="19.95" customHeight="1">
      <c r="A592" s="6">
        <v>45517</v>
      </c>
      <c r="B592" t="s">
        <v>63</v>
      </c>
      <c r="C592">
        <v>1</v>
      </c>
      <c r="D592">
        <v>8</v>
      </c>
      <c r="E592">
        <v>226</v>
      </c>
      <c r="F592">
        <v>0</v>
      </c>
      <c r="G592">
        <v>0</v>
      </c>
      <c r="I592">
        <v>0</v>
      </c>
      <c r="J592">
        <v>0</v>
      </c>
      <c r="K592">
        <v>0</v>
      </c>
      <c r="L592">
        <v>1</v>
      </c>
      <c r="M592" s="7">
        <v>0</v>
      </c>
      <c r="N592" s="7">
        <v>29.5</v>
      </c>
    </row>
    <row r="593" spans="1:14" ht="19.95" customHeight="1">
      <c r="A593" s="6">
        <v>45518</v>
      </c>
      <c r="B593" t="s">
        <v>64</v>
      </c>
      <c r="C593">
        <v>2</v>
      </c>
      <c r="D593">
        <v>8</v>
      </c>
      <c r="E593">
        <v>227</v>
      </c>
      <c r="F593">
        <v>0</v>
      </c>
      <c r="G593">
        <v>0</v>
      </c>
      <c r="I593">
        <v>0</v>
      </c>
      <c r="J593">
        <v>0</v>
      </c>
      <c r="K593">
        <v>0</v>
      </c>
      <c r="L593">
        <v>0</v>
      </c>
      <c r="M593" s="7">
        <v>0</v>
      </c>
      <c r="N593" s="7">
        <v>29.2</v>
      </c>
    </row>
    <row r="594" spans="1:14" ht="19.95" customHeight="1">
      <c r="A594" s="6">
        <v>45519</v>
      </c>
      <c r="B594" t="s">
        <v>65</v>
      </c>
      <c r="C594">
        <v>3</v>
      </c>
      <c r="D594">
        <v>8</v>
      </c>
      <c r="E594">
        <v>228</v>
      </c>
      <c r="F594">
        <v>0</v>
      </c>
      <c r="G594">
        <v>0</v>
      </c>
      <c r="I594">
        <v>0</v>
      </c>
      <c r="J594">
        <v>0</v>
      </c>
      <c r="K594">
        <v>0</v>
      </c>
      <c r="L594">
        <v>0</v>
      </c>
      <c r="M594" s="7">
        <v>1.9</v>
      </c>
      <c r="N594" s="7">
        <v>27.1</v>
      </c>
    </row>
    <row r="595" spans="1:14" ht="19.95" customHeight="1">
      <c r="A595" s="6">
        <v>45520</v>
      </c>
      <c r="B595" t="s">
        <v>66</v>
      </c>
      <c r="C595">
        <v>4</v>
      </c>
      <c r="D595">
        <v>8</v>
      </c>
      <c r="E595">
        <v>229</v>
      </c>
      <c r="F595">
        <v>0</v>
      </c>
      <c r="G595">
        <v>0</v>
      </c>
      <c r="I595">
        <v>0</v>
      </c>
      <c r="J595">
        <v>0</v>
      </c>
      <c r="K595">
        <v>0</v>
      </c>
      <c r="L595">
        <v>0</v>
      </c>
      <c r="M595" s="7">
        <v>0</v>
      </c>
      <c r="N595" s="7">
        <v>29.1</v>
      </c>
    </row>
    <row r="596" spans="1:14" ht="19.95" customHeight="1">
      <c r="A596" s="6">
        <v>45521</v>
      </c>
      <c r="B596" t="s">
        <v>67</v>
      </c>
      <c r="C596">
        <v>5</v>
      </c>
      <c r="D596">
        <v>8</v>
      </c>
      <c r="E596">
        <v>230</v>
      </c>
      <c r="F596">
        <v>1</v>
      </c>
      <c r="G596">
        <v>0</v>
      </c>
      <c r="I596">
        <v>0</v>
      </c>
      <c r="J596">
        <v>0</v>
      </c>
      <c r="K596">
        <v>0</v>
      </c>
      <c r="L596">
        <v>0</v>
      </c>
      <c r="M596" s="7">
        <v>0</v>
      </c>
      <c r="N596" s="7">
        <v>28.4</v>
      </c>
    </row>
    <row r="597" spans="1:14" ht="19.95" customHeight="1">
      <c r="A597" s="6">
        <v>45522</v>
      </c>
      <c r="B597" t="s">
        <v>60</v>
      </c>
      <c r="C597">
        <v>6</v>
      </c>
      <c r="D597">
        <v>8</v>
      </c>
      <c r="E597">
        <v>231</v>
      </c>
      <c r="F597">
        <v>1</v>
      </c>
      <c r="G597">
        <v>0</v>
      </c>
      <c r="I597">
        <v>0</v>
      </c>
      <c r="J597">
        <v>0</v>
      </c>
      <c r="K597">
        <v>0</v>
      </c>
      <c r="L597">
        <v>0</v>
      </c>
      <c r="M597" s="7">
        <v>3.5</v>
      </c>
      <c r="N597" s="7">
        <v>28.5</v>
      </c>
    </row>
    <row r="598" spans="1:14" ht="19.95" customHeight="1">
      <c r="A598" s="6">
        <v>45523</v>
      </c>
      <c r="B598" t="s">
        <v>62</v>
      </c>
      <c r="C598">
        <v>0</v>
      </c>
      <c r="D598">
        <v>8</v>
      </c>
      <c r="E598">
        <v>232</v>
      </c>
      <c r="F598">
        <v>0</v>
      </c>
      <c r="G598">
        <v>0</v>
      </c>
      <c r="I598">
        <v>0</v>
      </c>
      <c r="J598">
        <v>0</v>
      </c>
      <c r="K598">
        <v>0</v>
      </c>
      <c r="L598">
        <v>0</v>
      </c>
      <c r="M598" s="7">
        <v>0.8</v>
      </c>
      <c r="N598" s="7">
        <v>29.4</v>
      </c>
    </row>
    <row r="599" spans="1:14" ht="19.95" customHeight="1">
      <c r="A599" s="6">
        <v>45524</v>
      </c>
      <c r="B599" t="s">
        <v>63</v>
      </c>
      <c r="C599">
        <v>1</v>
      </c>
      <c r="D599">
        <v>8</v>
      </c>
      <c r="E599">
        <v>233</v>
      </c>
      <c r="F599">
        <v>0</v>
      </c>
      <c r="G599">
        <v>0</v>
      </c>
      <c r="I599">
        <v>0</v>
      </c>
      <c r="J599">
        <v>0</v>
      </c>
      <c r="K599">
        <v>0</v>
      </c>
      <c r="L599">
        <v>0</v>
      </c>
      <c r="M599" s="7">
        <v>0</v>
      </c>
      <c r="N599" s="7">
        <v>27.5</v>
      </c>
    </row>
    <row r="600" spans="1:14" ht="19.95" customHeight="1">
      <c r="A600" s="6">
        <v>45525</v>
      </c>
      <c r="B600" t="s">
        <v>64</v>
      </c>
      <c r="C600">
        <v>2</v>
      </c>
      <c r="D600">
        <v>8</v>
      </c>
      <c r="E600">
        <v>234</v>
      </c>
      <c r="F600">
        <v>0</v>
      </c>
      <c r="G600">
        <v>0</v>
      </c>
      <c r="I600">
        <v>0</v>
      </c>
      <c r="J600">
        <v>0</v>
      </c>
      <c r="K600">
        <v>0</v>
      </c>
      <c r="L600">
        <v>0</v>
      </c>
      <c r="M600" s="7">
        <v>1.4</v>
      </c>
      <c r="N600" s="7">
        <v>28.3</v>
      </c>
    </row>
    <row r="601" spans="1:14" ht="19.95" customHeight="1">
      <c r="A601" s="6">
        <v>45526</v>
      </c>
      <c r="B601" t="s">
        <v>65</v>
      </c>
      <c r="C601">
        <v>3</v>
      </c>
      <c r="D601">
        <v>8</v>
      </c>
      <c r="E601">
        <v>235</v>
      </c>
      <c r="F601">
        <v>0</v>
      </c>
      <c r="G601">
        <v>0</v>
      </c>
      <c r="I601">
        <v>0</v>
      </c>
      <c r="J601">
        <v>0</v>
      </c>
      <c r="K601">
        <v>0</v>
      </c>
      <c r="L601">
        <v>0</v>
      </c>
      <c r="M601" s="7">
        <v>2.8</v>
      </c>
      <c r="N601" s="7">
        <v>28.7</v>
      </c>
    </row>
    <row r="602" spans="1:14" ht="19.95" customHeight="1">
      <c r="A602" s="6">
        <v>45527</v>
      </c>
      <c r="B602" t="s">
        <v>66</v>
      </c>
      <c r="C602">
        <v>4</v>
      </c>
      <c r="D602">
        <v>8</v>
      </c>
      <c r="E602">
        <v>236</v>
      </c>
      <c r="F602">
        <v>0</v>
      </c>
      <c r="G602">
        <v>0</v>
      </c>
      <c r="I602">
        <v>0</v>
      </c>
      <c r="J602">
        <v>0</v>
      </c>
      <c r="K602">
        <v>0</v>
      </c>
      <c r="L602">
        <v>0</v>
      </c>
      <c r="M602" s="7">
        <v>1.7</v>
      </c>
      <c r="N602" s="7">
        <v>29.3</v>
      </c>
    </row>
    <row r="603" spans="1:14" ht="19.95" customHeight="1">
      <c r="A603" s="6">
        <v>45528</v>
      </c>
      <c r="B603" t="s">
        <v>67</v>
      </c>
      <c r="C603">
        <v>5</v>
      </c>
      <c r="D603">
        <v>8</v>
      </c>
      <c r="E603">
        <v>237</v>
      </c>
      <c r="F603">
        <v>1</v>
      </c>
      <c r="G603">
        <v>0</v>
      </c>
      <c r="I603">
        <v>0</v>
      </c>
      <c r="J603">
        <v>0</v>
      </c>
      <c r="K603">
        <v>0</v>
      </c>
      <c r="L603">
        <v>0</v>
      </c>
      <c r="M603" s="7">
        <v>0.9</v>
      </c>
      <c r="N603" s="7">
        <v>30.6</v>
      </c>
    </row>
    <row r="604" spans="1:14" ht="19.95" customHeight="1">
      <c r="A604" s="6">
        <v>45529</v>
      </c>
      <c r="B604" t="s">
        <v>60</v>
      </c>
      <c r="C604">
        <v>6</v>
      </c>
      <c r="D604">
        <v>8</v>
      </c>
      <c r="E604">
        <v>238</v>
      </c>
      <c r="F604">
        <v>1</v>
      </c>
      <c r="G604">
        <v>0</v>
      </c>
      <c r="I604">
        <v>0</v>
      </c>
      <c r="J604">
        <v>0</v>
      </c>
      <c r="K604">
        <v>0</v>
      </c>
      <c r="L604">
        <v>0</v>
      </c>
      <c r="M604" s="7">
        <v>1.5</v>
      </c>
      <c r="N604" s="7">
        <v>29.8</v>
      </c>
    </row>
    <row r="605" spans="1:14" ht="19.95" customHeight="1">
      <c r="A605" s="6">
        <v>45530</v>
      </c>
      <c r="B605" t="s">
        <v>62</v>
      </c>
      <c r="C605">
        <v>0</v>
      </c>
      <c r="D605">
        <v>8</v>
      </c>
      <c r="E605">
        <v>239</v>
      </c>
      <c r="F605">
        <v>0</v>
      </c>
      <c r="G605">
        <v>0</v>
      </c>
      <c r="I605">
        <v>0</v>
      </c>
      <c r="J605">
        <v>0</v>
      </c>
      <c r="K605">
        <v>0</v>
      </c>
      <c r="L605">
        <v>0</v>
      </c>
      <c r="M605" s="7">
        <v>1.1000000000000001</v>
      </c>
      <c r="N605" s="7">
        <v>30.9</v>
      </c>
    </row>
    <row r="606" spans="1:14" ht="19.95" customHeight="1">
      <c r="A606" s="6">
        <v>45531</v>
      </c>
      <c r="B606" t="s">
        <v>63</v>
      </c>
      <c r="C606">
        <v>1</v>
      </c>
      <c r="D606">
        <v>8</v>
      </c>
      <c r="E606">
        <v>240</v>
      </c>
      <c r="F606">
        <v>0</v>
      </c>
      <c r="G606">
        <v>0</v>
      </c>
      <c r="I606">
        <v>0</v>
      </c>
      <c r="J606">
        <v>0</v>
      </c>
      <c r="K606">
        <v>0</v>
      </c>
      <c r="L606">
        <v>0</v>
      </c>
      <c r="M606" s="7">
        <v>1.4</v>
      </c>
      <c r="N606" s="7">
        <v>29.8</v>
      </c>
    </row>
    <row r="607" spans="1:14" ht="19.95" customHeight="1">
      <c r="A607" s="6">
        <v>45532</v>
      </c>
      <c r="B607" t="s">
        <v>64</v>
      </c>
      <c r="C607">
        <v>2</v>
      </c>
      <c r="D607">
        <v>8</v>
      </c>
      <c r="E607">
        <v>241</v>
      </c>
      <c r="F607">
        <v>0</v>
      </c>
      <c r="G607">
        <v>0</v>
      </c>
      <c r="I607">
        <v>0</v>
      </c>
      <c r="J607">
        <v>0</v>
      </c>
      <c r="K607">
        <v>0</v>
      </c>
      <c r="L607">
        <v>0</v>
      </c>
      <c r="M607" s="7">
        <v>0</v>
      </c>
      <c r="N607" s="7">
        <v>28.8</v>
      </c>
    </row>
    <row r="608" spans="1:14" ht="19.95" customHeight="1">
      <c r="A608" s="6">
        <v>45533</v>
      </c>
      <c r="B608" t="s">
        <v>65</v>
      </c>
      <c r="C608">
        <v>3</v>
      </c>
      <c r="D608">
        <v>8</v>
      </c>
      <c r="E608">
        <v>242</v>
      </c>
      <c r="F608">
        <v>0</v>
      </c>
      <c r="G608">
        <v>0</v>
      </c>
      <c r="I608">
        <v>0</v>
      </c>
      <c r="J608">
        <v>0</v>
      </c>
      <c r="K608">
        <v>0</v>
      </c>
      <c r="L608">
        <v>0</v>
      </c>
      <c r="M608" s="7">
        <v>2.2000000000000002</v>
      </c>
      <c r="N608" s="7">
        <v>29.5</v>
      </c>
    </row>
    <row r="609" spans="1:14" ht="19.95" customHeight="1">
      <c r="A609" s="6">
        <v>45534</v>
      </c>
      <c r="B609" t="s">
        <v>66</v>
      </c>
      <c r="C609">
        <v>4</v>
      </c>
      <c r="D609">
        <v>8</v>
      </c>
      <c r="E609">
        <v>243</v>
      </c>
      <c r="F609">
        <v>0</v>
      </c>
      <c r="G609">
        <v>0</v>
      </c>
      <c r="I609">
        <v>0</v>
      </c>
      <c r="J609">
        <v>0</v>
      </c>
      <c r="K609">
        <v>0</v>
      </c>
      <c r="L609">
        <v>0</v>
      </c>
      <c r="M609" s="7">
        <v>1</v>
      </c>
      <c r="N609" s="7">
        <v>30.9</v>
      </c>
    </row>
    <row r="610" spans="1:14" ht="19.95" customHeight="1">
      <c r="A610" s="6">
        <v>45535</v>
      </c>
      <c r="B610" t="s">
        <v>67</v>
      </c>
      <c r="C610">
        <v>5</v>
      </c>
      <c r="D610">
        <v>8</v>
      </c>
      <c r="E610">
        <v>244</v>
      </c>
      <c r="F610">
        <v>1</v>
      </c>
      <c r="G610">
        <v>0</v>
      </c>
      <c r="I610">
        <v>0</v>
      </c>
      <c r="J610">
        <v>0</v>
      </c>
      <c r="K610">
        <v>0</v>
      </c>
      <c r="L610">
        <v>0</v>
      </c>
      <c r="M610" s="7">
        <v>3.1</v>
      </c>
      <c r="N610" s="7">
        <v>28.7</v>
      </c>
    </row>
    <row r="611" spans="1:14" ht="19.95" customHeight="1">
      <c r="A611" s="6">
        <v>45536</v>
      </c>
      <c r="B611" t="s">
        <v>60</v>
      </c>
      <c r="C611">
        <v>6</v>
      </c>
      <c r="D611">
        <v>9</v>
      </c>
      <c r="E611">
        <v>245</v>
      </c>
      <c r="F611">
        <v>1</v>
      </c>
      <c r="G611">
        <v>0</v>
      </c>
      <c r="I611">
        <v>0</v>
      </c>
      <c r="J611">
        <v>0</v>
      </c>
      <c r="K611">
        <v>0</v>
      </c>
      <c r="L611">
        <v>0</v>
      </c>
      <c r="M611" s="7">
        <v>0</v>
      </c>
      <c r="N611" s="7">
        <v>30</v>
      </c>
    </row>
    <row r="612" spans="1:14" ht="19.95" customHeight="1">
      <c r="A612" s="6">
        <v>45537</v>
      </c>
      <c r="B612" t="s">
        <v>62</v>
      </c>
      <c r="C612">
        <v>0</v>
      </c>
      <c r="D612">
        <v>9</v>
      </c>
      <c r="E612">
        <v>246</v>
      </c>
      <c r="F612">
        <v>0</v>
      </c>
      <c r="G612">
        <v>0</v>
      </c>
      <c r="I612">
        <v>0</v>
      </c>
      <c r="J612">
        <v>0</v>
      </c>
      <c r="K612">
        <v>0</v>
      </c>
      <c r="L612">
        <v>0</v>
      </c>
      <c r="M612" s="7">
        <v>3.4</v>
      </c>
      <c r="N612" s="7">
        <v>29.7</v>
      </c>
    </row>
    <row r="613" spans="1:14" ht="19.95" customHeight="1">
      <c r="A613" s="6">
        <v>45538</v>
      </c>
      <c r="B613" t="s">
        <v>63</v>
      </c>
      <c r="C613">
        <v>1</v>
      </c>
      <c r="D613">
        <v>9</v>
      </c>
      <c r="E613">
        <v>247</v>
      </c>
      <c r="F613">
        <v>0</v>
      </c>
      <c r="G613">
        <v>0</v>
      </c>
      <c r="I613">
        <v>0</v>
      </c>
      <c r="J613">
        <v>0</v>
      </c>
      <c r="K613">
        <v>0</v>
      </c>
      <c r="L613">
        <v>0</v>
      </c>
      <c r="M613" s="7">
        <v>1.6</v>
      </c>
      <c r="N613" s="7">
        <v>26.7</v>
      </c>
    </row>
    <row r="614" spans="1:14" ht="19.95" customHeight="1">
      <c r="A614" s="6">
        <v>45539</v>
      </c>
      <c r="B614" t="s">
        <v>64</v>
      </c>
      <c r="C614">
        <v>2</v>
      </c>
      <c r="D614">
        <v>9</v>
      </c>
      <c r="E614">
        <v>248</v>
      </c>
      <c r="F614">
        <v>0</v>
      </c>
      <c r="G614">
        <v>0</v>
      </c>
      <c r="I614">
        <v>0</v>
      </c>
      <c r="J614">
        <v>0</v>
      </c>
      <c r="K614">
        <v>0</v>
      </c>
      <c r="L614">
        <v>0</v>
      </c>
      <c r="M614" s="7">
        <v>4.3</v>
      </c>
      <c r="N614" s="7">
        <v>29.3</v>
      </c>
    </row>
    <row r="615" spans="1:14" ht="19.95" customHeight="1">
      <c r="A615" s="6">
        <v>45540</v>
      </c>
      <c r="B615" t="s">
        <v>65</v>
      </c>
      <c r="C615">
        <v>3</v>
      </c>
      <c r="D615">
        <v>9</v>
      </c>
      <c r="E615">
        <v>249</v>
      </c>
      <c r="F615">
        <v>0</v>
      </c>
      <c r="G615">
        <v>0</v>
      </c>
      <c r="I615">
        <v>0</v>
      </c>
      <c r="J615">
        <v>0</v>
      </c>
      <c r="K615">
        <v>0</v>
      </c>
      <c r="L615">
        <v>0</v>
      </c>
      <c r="M615" s="7">
        <v>0</v>
      </c>
      <c r="N615" s="7">
        <v>28</v>
      </c>
    </row>
    <row r="616" spans="1:14" ht="19.95" customHeight="1">
      <c r="A616" s="6">
        <v>45541</v>
      </c>
      <c r="B616" t="s">
        <v>66</v>
      </c>
      <c r="C616">
        <v>4</v>
      </c>
      <c r="D616">
        <v>9</v>
      </c>
      <c r="E616">
        <v>250</v>
      </c>
      <c r="F616">
        <v>0</v>
      </c>
      <c r="G616">
        <v>0</v>
      </c>
      <c r="I616">
        <v>0</v>
      </c>
      <c r="J616">
        <v>0</v>
      </c>
      <c r="K616">
        <v>0</v>
      </c>
      <c r="L616">
        <v>0</v>
      </c>
      <c r="M616" s="7">
        <v>1.1000000000000001</v>
      </c>
      <c r="N616" s="7">
        <v>27.7</v>
      </c>
    </row>
    <row r="617" spans="1:14" ht="19.95" customHeight="1">
      <c r="A617" s="6">
        <v>45542</v>
      </c>
      <c r="B617" t="s">
        <v>67</v>
      </c>
      <c r="C617">
        <v>5</v>
      </c>
      <c r="D617">
        <v>9</v>
      </c>
      <c r="E617">
        <v>251</v>
      </c>
      <c r="F617">
        <v>1</v>
      </c>
      <c r="G617">
        <v>1</v>
      </c>
      <c r="H617" t="s">
        <v>72</v>
      </c>
      <c r="I617">
        <v>0</v>
      </c>
      <c r="J617">
        <v>0</v>
      </c>
      <c r="K617">
        <v>0</v>
      </c>
      <c r="L617">
        <v>0</v>
      </c>
      <c r="M617" s="7">
        <v>0.2</v>
      </c>
      <c r="N617" s="7">
        <v>28.7</v>
      </c>
    </row>
    <row r="618" spans="1:14" ht="19.95" customHeight="1">
      <c r="A618" s="6">
        <v>45543</v>
      </c>
      <c r="B618" t="s">
        <v>60</v>
      </c>
      <c r="C618">
        <v>6</v>
      </c>
      <c r="D618">
        <v>9</v>
      </c>
      <c r="E618">
        <v>252</v>
      </c>
      <c r="F618">
        <v>1</v>
      </c>
      <c r="G618">
        <v>0</v>
      </c>
      <c r="I618">
        <v>0</v>
      </c>
      <c r="J618">
        <v>0</v>
      </c>
      <c r="K618">
        <v>0</v>
      </c>
      <c r="L618">
        <v>0</v>
      </c>
      <c r="M618" s="7">
        <v>0</v>
      </c>
      <c r="N618" s="7">
        <v>28.6</v>
      </c>
    </row>
    <row r="619" spans="1:14" ht="19.95" customHeight="1">
      <c r="A619" s="6">
        <v>45544</v>
      </c>
      <c r="B619" t="s">
        <v>62</v>
      </c>
      <c r="C619">
        <v>0</v>
      </c>
      <c r="D619">
        <v>9</v>
      </c>
      <c r="E619">
        <v>253</v>
      </c>
      <c r="F619">
        <v>0</v>
      </c>
      <c r="G619">
        <v>0</v>
      </c>
      <c r="I619">
        <v>0</v>
      </c>
      <c r="J619">
        <v>0</v>
      </c>
      <c r="K619">
        <v>0</v>
      </c>
      <c r="L619">
        <v>0</v>
      </c>
      <c r="M619" s="7">
        <v>0</v>
      </c>
      <c r="N619" s="7">
        <v>30.6</v>
      </c>
    </row>
    <row r="620" spans="1:14" ht="19.95" customHeight="1">
      <c r="A620" s="6">
        <v>45545</v>
      </c>
      <c r="B620" t="s">
        <v>63</v>
      </c>
      <c r="C620">
        <v>1</v>
      </c>
      <c r="D620">
        <v>9</v>
      </c>
      <c r="E620">
        <v>254</v>
      </c>
      <c r="F620">
        <v>0</v>
      </c>
      <c r="G620">
        <v>0</v>
      </c>
      <c r="I620">
        <v>0</v>
      </c>
      <c r="J620">
        <v>0</v>
      </c>
      <c r="K620">
        <v>0</v>
      </c>
      <c r="L620">
        <v>0</v>
      </c>
      <c r="M620" s="7">
        <v>0.1</v>
      </c>
      <c r="N620" s="7">
        <v>28.1</v>
      </c>
    </row>
    <row r="621" spans="1:14" ht="19.95" customHeight="1">
      <c r="A621" s="6">
        <v>45546</v>
      </c>
      <c r="B621" t="s">
        <v>64</v>
      </c>
      <c r="C621">
        <v>2</v>
      </c>
      <c r="D621">
        <v>9</v>
      </c>
      <c r="E621">
        <v>255</v>
      </c>
      <c r="F621">
        <v>0</v>
      </c>
      <c r="G621">
        <v>0</v>
      </c>
      <c r="I621">
        <v>0</v>
      </c>
      <c r="J621">
        <v>0</v>
      </c>
      <c r="K621">
        <v>0</v>
      </c>
      <c r="L621">
        <v>0</v>
      </c>
      <c r="M621" s="7">
        <v>3.5</v>
      </c>
      <c r="N621" s="7">
        <v>28.3</v>
      </c>
    </row>
    <row r="622" spans="1:14" ht="19.95" customHeight="1">
      <c r="A622" s="6">
        <v>45547</v>
      </c>
      <c r="B622" t="s">
        <v>65</v>
      </c>
      <c r="C622">
        <v>3</v>
      </c>
      <c r="D622">
        <v>9</v>
      </c>
      <c r="E622">
        <v>256</v>
      </c>
      <c r="F622">
        <v>0</v>
      </c>
      <c r="G622">
        <v>0</v>
      </c>
      <c r="I622">
        <v>0</v>
      </c>
      <c r="J622">
        <v>0</v>
      </c>
      <c r="K622">
        <v>0</v>
      </c>
      <c r="L622">
        <v>0</v>
      </c>
      <c r="M622" s="7">
        <v>2.8</v>
      </c>
      <c r="N622" s="7">
        <v>29</v>
      </c>
    </row>
    <row r="623" spans="1:14" ht="19.95" customHeight="1">
      <c r="A623" s="6">
        <v>45548</v>
      </c>
      <c r="B623" t="s">
        <v>66</v>
      </c>
      <c r="C623">
        <v>4</v>
      </c>
      <c r="D623">
        <v>9</v>
      </c>
      <c r="E623">
        <v>257</v>
      </c>
      <c r="F623">
        <v>0</v>
      </c>
      <c r="G623">
        <v>0</v>
      </c>
      <c r="I623">
        <v>0</v>
      </c>
      <c r="J623">
        <v>0</v>
      </c>
      <c r="K623">
        <v>0</v>
      </c>
      <c r="L623">
        <v>0</v>
      </c>
      <c r="M623" s="7">
        <v>4.0999999999999996</v>
      </c>
      <c r="N623" s="7">
        <v>30.2</v>
      </c>
    </row>
    <row r="624" spans="1:14" ht="19.95" customHeight="1">
      <c r="A624" s="6">
        <v>45549</v>
      </c>
      <c r="B624" t="s">
        <v>67</v>
      </c>
      <c r="C624">
        <v>5</v>
      </c>
      <c r="D624">
        <v>9</v>
      </c>
      <c r="E624">
        <v>258</v>
      </c>
      <c r="F624">
        <v>1</v>
      </c>
      <c r="G624">
        <v>0</v>
      </c>
      <c r="I624">
        <v>0</v>
      </c>
      <c r="J624">
        <v>0</v>
      </c>
      <c r="K624">
        <v>0</v>
      </c>
      <c r="L624">
        <v>0</v>
      </c>
      <c r="M624" s="7">
        <v>1.1000000000000001</v>
      </c>
      <c r="N624" s="7">
        <v>29.8</v>
      </c>
    </row>
    <row r="625" spans="1:14" ht="19.95" customHeight="1">
      <c r="A625" s="6">
        <v>45550</v>
      </c>
      <c r="B625" t="s">
        <v>60</v>
      </c>
      <c r="C625">
        <v>6</v>
      </c>
      <c r="D625">
        <v>9</v>
      </c>
      <c r="E625">
        <v>259</v>
      </c>
      <c r="F625">
        <v>1</v>
      </c>
      <c r="G625">
        <v>0</v>
      </c>
      <c r="I625">
        <v>0</v>
      </c>
      <c r="J625">
        <v>0</v>
      </c>
      <c r="K625">
        <v>0</v>
      </c>
      <c r="L625">
        <v>0</v>
      </c>
      <c r="M625" s="7">
        <v>2</v>
      </c>
      <c r="N625" s="7">
        <v>29.4</v>
      </c>
    </row>
    <row r="626" spans="1:14" ht="19.95" customHeight="1">
      <c r="A626" s="6">
        <v>45551</v>
      </c>
      <c r="B626" t="s">
        <v>62</v>
      </c>
      <c r="C626">
        <v>0</v>
      </c>
      <c r="D626">
        <v>9</v>
      </c>
      <c r="E626">
        <v>260</v>
      </c>
      <c r="F626">
        <v>0</v>
      </c>
      <c r="G626">
        <v>0</v>
      </c>
      <c r="I626">
        <v>0</v>
      </c>
      <c r="J626">
        <v>0</v>
      </c>
      <c r="K626">
        <v>0</v>
      </c>
      <c r="L626">
        <v>0</v>
      </c>
      <c r="M626" s="7">
        <v>0</v>
      </c>
      <c r="N626" s="7">
        <v>29.3</v>
      </c>
    </row>
    <row r="627" spans="1:14" ht="19.95" customHeight="1">
      <c r="A627" s="6">
        <v>45552</v>
      </c>
      <c r="B627" t="s">
        <v>63</v>
      </c>
      <c r="C627">
        <v>1</v>
      </c>
      <c r="D627">
        <v>9</v>
      </c>
      <c r="E627">
        <v>261</v>
      </c>
      <c r="F627">
        <v>0</v>
      </c>
      <c r="G627">
        <v>0</v>
      </c>
      <c r="I627">
        <v>0</v>
      </c>
      <c r="J627">
        <v>0</v>
      </c>
      <c r="K627">
        <v>0</v>
      </c>
      <c r="L627">
        <v>0</v>
      </c>
      <c r="M627" s="7">
        <v>4.7</v>
      </c>
      <c r="N627" s="7">
        <v>28.6</v>
      </c>
    </row>
    <row r="628" spans="1:14" ht="19.95" customHeight="1">
      <c r="A628" s="6">
        <v>45553</v>
      </c>
      <c r="B628" t="s">
        <v>64</v>
      </c>
      <c r="C628">
        <v>2</v>
      </c>
      <c r="D628">
        <v>9</v>
      </c>
      <c r="E628">
        <v>262</v>
      </c>
      <c r="F628">
        <v>0</v>
      </c>
      <c r="G628">
        <v>0</v>
      </c>
      <c r="I628">
        <v>0</v>
      </c>
      <c r="J628">
        <v>0</v>
      </c>
      <c r="K628">
        <v>0</v>
      </c>
      <c r="L628">
        <v>0</v>
      </c>
      <c r="M628" s="7">
        <v>0</v>
      </c>
      <c r="N628" s="7">
        <v>29.9</v>
      </c>
    </row>
    <row r="629" spans="1:14" ht="19.95" customHeight="1">
      <c r="A629" s="6">
        <v>45554</v>
      </c>
      <c r="B629" t="s">
        <v>65</v>
      </c>
      <c r="C629">
        <v>3</v>
      </c>
      <c r="D629">
        <v>9</v>
      </c>
      <c r="E629">
        <v>263</v>
      </c>
      <c r="F629">
        <v>0</v>
      </c>
      <c r="G629">
        <v>0</v>
      </c>
      <c r="I629">
        <v>0</v>
      </c>
      <c r="J629">
        <v>0</v>
      </c>
      <c r="K629">
        <v>0</v>
      </c>
      <c r="L629">
        <v>0</v>
      </c>
      <c r="M629" s="7">
        <v>4</v>
      </c>
      <c r="N629" s="7">
        <v>28.1</v>
      </c>
    </row>
    <row r="630" spans="1:14" ht="19.95" customHeight="1">
      <c r="A630" s="6">
        <v>45555</v>
      </c>
      <c r="B630" t="s">
        <v>66</v>
      </c>
      <c r="C630">
        <v>4</v>
      </c>
      <c r="D630">
        <v>9</v>
      </c>
      <c r="E630">
        <v>264</v>
      </c>
      <c r="F630">
        <v>0</v>
      </c>
      <c r="G630">
        <v>0</v>
      </c>
      <c r="I630">
        <v>0</v>
      </c>
      <c r="J630">
        <v>0</v>
      </c>
      <c r="K630">
        <v>0</v>
      </c>
      <c r="L630">
        <v>0</v>
      </c>
      <c r="M630" s="7">
        <v>1.8</v>
      </c>
      <c r="N630" s="7">
        <v>29.9</v>
      </c>
    </row>
    <row r="631" spans="1:14" ht="19.95" customHeight="1">
      <c r="A631" s="6">
        <v>45556</v>
      </c>
      <c r="B631" t="s">
        <v>67</v>
      </c>
      <c r="C631">
        <v>5</v>
      </c>
      <c r="D631">
        <v>9</v>
      </c>
      <c r="E631">
        <v>265</v>
      </c>
      <c r="F631">
        <v>1</v>
      </c>
      <c r="G631">
        <v>0</v>
      </c>
      <c r="I631">
        <v>0</v>
      </c>
      <c r="J631">
        <v>0</v>
      </c>
      <c r="K631">
        <v>0</v>
      </c>
      <c r="L631">
        <v>0</v>
      </c>
      <c r="M631" s="7">
        <v>4</v>
      </c>
      <c r="N631" s="7">
        <v>29.7</v>
      </c>
    </row>
    <row r="632" spans="1:14" ht="19.95" customHeight="1">
      <c r="A632" s="6">
        <v>45557</v>
      </c>
      <c r="B632" t="s">
        <v>60</v>
      </c>
      <c r="C632">
        <v>6</v>
      </c>
      <c r="D632">
        <v>9</v>
      </c>
      <c r="E632">
        <v>266</v>
      </c>
      <c r="F632">
        <v>1</v>
      </c>
      <c r="G632">
        <v>0</v>
      </c>
      <c r="I632">
        <v>0</v>
      </c>
      <c r="J632">
        <v>0</v>
      </c>
      <c r="K632">
        <v>0</v>
      </c>
      <c r="L632">
        <v>0</v>
      </c>
      <c r="M632" s="7">
        <v>3.1</v>
      </c>
      <c r="N632" s="7">
        <v>29.3</v>
      </c>
    </row>
    <row r="633" spans="1:14" ht="19.95" customHeight="1">
      <c r="A633" s="6">
        <v>45558</v>
      </c>
      <c r="B633" t="s">
        <v>62</v>
      </c>
      <c r="C633">
        <v>0</v>
      </c>
      <c r="D633">
        <v>9</v>
      </c>
      <c r="E633">
        <v>267</v>
      </c>
      <c r="F633">
        <v>0</v>
      </c>
      <c r="G633">
        <v>0</v>
      </c>
      <c r="I633">
        <v>0</v>
      </c>
      <c r="J633">
        <v>0</v>
      </c>
      <c r="K633">
        <v>0</v>
      </c>
      <c r="L633">
        <v>0</v>
      </c>
      <c r="M633" s="7">
        <v>0.5</v>
      </c>
      <c r="N633" s="7">
        <v>29.5</v>
      </c>
    </row>
    <row r="634" spans="1:14" ht="19.95" customHeight="1">
      <c r="A634" s="6">
        <v>45559</v>
      </c>
      <c r="B634" t="s">
        <v>63</v>
      </c>
      <c r="C634">
        <v>1</v>
      </c>
      <c r="D634">
        <v>9</v>
      </c>
      <c r="E634">
        <v>268</v>
      </c>
      <c r="F634">
        <v>0</v>
      </c>
      <c r="G634">
        <v>0</v>
      </c>
      <c r="I634">
        <v>0</v>
      </c>
      <c r="J634">
        <v>0</v>
      </c>
      <c r="K634">
        <v>0</v>
      </c>
      <c r="L634">
        <v>0</v>
      </c>
      <c r="M634" s="7">
        <v>0</v>
      </c>
      <c r="N634" s="7">
        <v>28.9</v>
      </c>
    </row>
    <row r="635" spans="1:14" ht="19.95" customHeight="1">
      <c r="A635" s="6">
        <v>45560</v>
      </c>
      <c r="B635" t="s">
        <v>64</v>
      </c>
      <c r="C635">
        <v>2</v>
      </c>
      <c r="D635">
        <v>9</v>
      </c>
      <c r="E635">
        <v>269</v>
      </c>
      <c r="F635">
        <v>0</v>
      </c>
      <c r="G635">
        <v>0</v>
      </c>
      <c r="I635">
        <v>0</v>
      </c>
      <c r="J635">
        <v>0</v>
      </c>
      <c r="K635">
        <v>0</v>
      </c>
      <c r="L635">
        <v>0</v>
      </c>
      <c r="M635" s="7">
        <v>2.4</v>
      </c>
      <c r="N635" s="7">
        <v>29</v>
      </c>
    </row>
    <row r="636" spans="1:14" ht="19.95" customHeight="1">
      <c r="A636" s="6">
        <v>45561</v>
      </c>
      <c r="B636" t="s">
        <v>65</v>
      </c>
      <c r="C636">
        <v>3</v>
      </c>
      <c r="D636">
        <v>9</v>
      </c>
      <c r="E636">
        <v>270</v>
      </c>
      <c r="F636">
        <v>0</v>
      </c>
      <c r="G636">
        <v>0</v>
      </c>
      <c r="I636">
        <v>0</v>
      </c>
      <c r="J636">
        <v>0</v>
      </c>
      <c r="K636">
        <v>0</v>
      </c>
      <c r="L636">
        <v>0</v>
      </c>
      <c r="M636" s="7">
        <v>0</v>
      </c>
      <c r="N636" s="7">
        <v>28.8</v>
      </c>
    </row>
    <row r="637" spans="1:14" ht="19.95" customHeight="1">
      <c r="A637" s="6">
        <v>45562</v>
      </c>
      <c r="B637" t="s">
        <v>66</v>
      </c>
      <c r="C637">
        <v>4</v>
      </c>
      <c r="D637">
        <v>9</v>
      </c>
      <c r="E637">
        <v>271</v>
      </c>
      <c r="F637">
        <v>0</v>
      </c>
      <c r="G637">
        <v>0</v>
      </c>
      <c r="I637">
        <v>0</v>
      </c>
      <c r="J637">
        <v>0</v>
      </c>
      <c r="K637">
        <v>0</v>
      </c>
      <c r="L637">
        <v>0</v>
      </c>
      <c r="M637" s="7">
        <v>0</v>
      </c>
      <c r="N637" s="7">
        <v>29.6</v>
      </c>
    </row>
    <row r="638" spans="1:14" ht="19.95" customHeight="1">
      <c r="A638" s="6">
        <v>45563</v>
      </c>
      <c r="B638" t="s">
        <v>67</v>
      </c>
      <c r="C638">
        <v>5</v>
      </c>
      <c r="D638">
        <v>9</v>
      </c>
      <c r="E638">
        <v>272</v>
      </c>
      <c r="F638">
        <v>1</v>
      </c>
      <c r="G638">
        <v>0</v>
      </c>
      <c r="I638">
        <v>0</v>
      </c>
      <c r="J638">
        <v>0</v>
      </c>
      <c r="K638">
        <v>0</v>
      </c>
      <c r="L638">
        <v>0</v>
      </c>
      <c r="M638" s="7">
        <v>0</v>
      </c>
      <c r="N638" s="7">
        <v>29.1</v>
      </c>
    </row>
    <row r="639" spans="1:14" ht="19.95" customHeight="1">
      <c r="A639" s="6">
        <v>45564</v>
      </c>
      <c r="B639" t="s">
        <v>60</v>
      </c>
      <c r="C639">
        <v>6</v>
      </c>
      <c r="D639">
        <v>9</v>
      </c>
      <c r="E639">
        <v>273</v>
      </c>
      <c r="F639">
        <v>1</v>
      </c>
      <c r="G639">
        <v>0</v>
      </c>
      <c r="I639">
        <v>0</v>
      </c>
      <c r="J639">
        <v>0</v>
      </c>
      <c r="K639">
        <v>0</v>
      </c>
      <c r="L639">
        <v>0</v>
      </c>
      <c r="M639" s="7">
        <v>1.9</v>
      </c>
      <c r="N639" s="7">
        <v>29.8</v>
      </c>
    </row>
    <row r="640" spans="1:14" ht="19.95" customHeight="1">
      <c r="A640" s="6">
        <v>45565</v>
      </c>
      <c r="B640" t="s">
        <v>62</v>
      </c>
      <c r="C640">
        <v>0</v>
      </c>
      <c r="D640">
        <v>9</v>
      </c>
      <c r="E640">
        <v>274</v>
      </c>
      <c r="F640">
        <v>0</v>
      </c>
      <c r="G640">
        <v>0</v>
      </c>
      <c r="I640">
        <v>0</v>
      </c>
      <c r="J640">
        <v>0</v>
      </c>
      <c r="K640">
        <v>0</v>
      </c>
      <c r="L640">
        <v>0</v>
      </c>
      <c r="M640" s="7">
        <v>0.3</v>
      </c>
      <c r="N640" s="7">
        <v>29.4</v>
      </c>
    </row>
    <row r="641" spans="1:14" ht="19.95" customHeight="1">
      <c r="A641" s="6">
        <v>45566</v>
      </c>
      <c r="B641" t="s">
        <v>63</v>
      </c>
      <c r="C641">
        <v>1</v>
      </c>
      <c r="D641">
        <v>10</v>
      </c>
      <c r="E641">
        <v>275</v>
      </c>
      <c r="F641">
        <v>0</v>
      </c>
      <c r="G641">
        <v>0</v>
      </c>
      <c r="I641">
        <v>0</v>
      </c>
      <c r="J641">
        <v>0</v>
      </c>
      <c r="K641">
        <v>0</v>
      </c>
      <c r="L641">
        <v>0</v>
      </c>
      <c r="M641" s="7">
        <v>1.8</v>
      </c>
      <c r="N641" s="7">
        <v>29.7</v>
      </c>
    </row>
    <row r="642" spans="1:14" ht="19.95" customHeight="1">
      <c r="A642" s="6">
        <v>45567</v>
      </c>
      <c r="B642" t="s">
        <v>64</v>
      </c>
      <c r="C642">
        <v>2</v>
      </c>
      <c r="D642">
        <v>10</v>
      </c>
      <c r="E642">
        <v>276</v>
      </c>
      <c r="F642">
        <v>0</v>
      </c>
      <c r="G642">
        <v>0</v>
      </c>
      <c r="I642">
        <v>0</v>
      </c>
      <c r="J642">
        <v>0</v>
      </c>
      <c r="K642">
        <v>0</v>
      </c>
      <c r="L642">
        <v>0</v>
      </c>
      <c r="M642" s="7">
        <v>1.7</v>
      </c>
      <c r="N642" s="7">
        <v>30.2</v>
      </c>
    </row>
    <row r="643" spans="1:14" ht="19.95" customHeight="1">
      <c r="A643" s="6">
        <v>45568</v>
      </c>
      <c r="B643" t="s">
        <v>65</v>
      </c>
      <c r="C643">
        <v>3</v>
      </c>
      <c r="D643">
        <v>10</v>
      </c>
      <c r="E643">
        <v>277</v>
      </c>
      <c r="F643">
        <v>0</v>
      </c>
      <c r="G643">
        <v>0</v>
      </c>
      <c r="I643">
        <v>0</v>
      </c>
      <c r="J643">
        <v>0</v>
      </c>
      <c r="K643">
        <v>0</v>
      </c>
      <c r="L643">
        <v>0</v>
      </c>
      <c r="M643" s="7">
        <v>0</v>
      </c>
      <c r="N643" s="7">
        <v>28.1</v>
      </c>
    </row>
    <row r="644" spans="1:14" ht="19.95" customHeight="1">
      <c r="A644" s="6">
        <v>45569</v>
      </c>
      <c r="B644" t="s">
        <v>66</v>
      </c>
      <c r="C644">
        <v>4</v>
      </c>
      <c r="D644">
        <v>10</v>
      </c>
      <c r="E644">
        <v>278</v>
      </c>
      <c r="F644">
        <v>0</v>
      </c>
      <c r="G644">
        <v>0</v>
      </c>
      <c r="I644">
        <v>0</v>
      </c>
      <c r="J644">
        <v>0</v>
      </c>
      <c r="K644">
        <v>0</v>
      </c>
      <c r="L644">
        <v>0</v>
      </c>
      <c r="M644" s="7">
        <v>0</v>
      </c>
      <c r="N644" s="7">
        <v>30.6</v>
      </c>
    </row>
    <row r="645" spans="1:14" ht="19.95" customHeight="1">
      <c r="A645" s="6">
        <v>45570</v>
      </c>
      <c r="B645" t="s">
        <v>67</v>
      </c>
      <c r="C645">
        <v>5</v>
      </c>
      <c r="D645">
        <v>10</v>
      </c>
      <c r="E645">
        <v>279</v>
      </c>
      <c r="F645">
        <v>1</v>
      </c>
      <c r="G645">
        <v>0</v>
      </c>
      <c r="I645">
        <v>0</v>
      </c>
      <c r="J645">
        <v>0</v>
      </c>
      <c r="K645">
        <v>0</v>
      </c>
      <c r="L645">
        <v>0</v>
      </c>
      <c r="M645" s="7">
        <v>0</v>
      </c>
      <c r="N645" s="7">
        <v>29.9</v>
      </c>
    </row>
    <row r="646" spans="1:14" ht="19.95" customHeight="1">
      <c r="A646" s="6">
        <v>45571</v>
      </c>
      <c r="B646" t="s">
        <v>60</v>
      </c>
      <c r="C646">
        <v>6</v>
      </c>
      <c r="D646">
        <v>10</v>
      </c>
      <c r="E646">
        <v>280</v>
      </c>
      <c r="F646">
        <v>1</v>
      </c>
      <c r="G646">
        <v>0</v>
      </c>
      <c r="I646">
        <v>0</v>
      </c>
      <c r="J646">
        <v>0</v>
      </c>
      <c r="K646">
        <v>0</v>
      </c>
      <c r="L646">
        <v>0</v>
      </c>
      <c r="M646" s="7">
        <v>0</v>
      </c>
      <c r="N646" s="7">
        <v>29.3</v>
      </c>
    </row>
    <row r="647" spans="1:14" ht="19.95" customHeight="1">
      <c r="A647" s="6">
        <v>45572</v>
      </c>
      <c r="B647" t="s">
        <v>62</v>
      </c>
      <c r="C647">
        <v>0</v>
      </c>
      <c r="D647">
        <v>10</v>
      </c>
      <c r="E647">
        <v>281</v>
      </c>
      <c r="F647">
        <v>0</v>
      </c>
      <c r="G647">
        <v>0</v>
      </c>
      <c r="I647">
        <v>0</v>
      </c>
      <c r="J647">
        <v>0</v>
      </c>
      <c r="K647">
        <v>0</v>
      </c>
      <c r="L647">
        <v>0</v>
      </c>
      <c r="M647" s="7">
        <v>0</v>
      </c>
      <c r="N647" s="7">
        <v>28.5</v>
      </c>
    </row>
    <row r="648" spans="1:14" ht="19.95" customHeight="1">
      <c r="A648" s="6">
        <v>45573</v>
      </c>
      <c r="B648" t="s">
        <v>63</v>
      </c>
      <c r="C648">
        <v>1</v>
      </c>
      <c r="D648">
        <v>10</v>
      </c>
      <c r="E648">
        <v>282</v>
      </c>
      <c r="F648">
        <v>0</v>
      </c>
      <c r="G648">
        <v>0</v>
      </c>
      <c r="I648">
        <v>0</v>
      </c>
      <c r="J648">
        <v>0</v>
      </c>
      <c r="K648">
        <v>0</v>
      </c>
      <c r="L648">
        <v>0</v>
      </c>
      <c r="M648" s="7">
        <v>0.8</v>
      </c>
      <c r="N648" s="7">
        <v>30.2</v>
      </c>
    </row>
    <row r="649" spans="1:14" ht="19.95" customHeight="1">
      <c r="A649" s="6">
        <v>45574</v>
      </c>
      <c r="B649" t="s">
        <v>64</v>
      </c>
      <c r="C649">
        <v>2</v>
      </c>
      <c r="D649">
        <v>10</v>
      </c>
      <c r="E649">
        <v>283</v>
      </c>
      <c r="F649">
        <v>0</v>
      </c>
      <c r="G649">
        <v>0</v>
      </c>
      <c r="I649">
        <v>0</v>
      </c>
      <c r="J649">
        <v>0</v>
      </c>
      <c r="K649">
        <v>0</v>
      </c>
      <c r="L649">
        <v>0</v>
      </c>
      <c r="M649" s="7">
        <v>5.4</v>
      </c>
      <c r="N649" s="7">
        <v>29.4</v>
      </c>
    </row>
    <row r="650" spans="1:14" ht="19.95" customHeight="1">
      <c r="A650" s="6">
        <v>45575</v>
      </c>
      <c r="B650" t="s">
        <v>65</v>
      </c>
      <c r="C650">
        <v>3</v>
      </c>
      <c r="D650">
        <v>10</v>
      </c>
      <c r="E650">
        <v>284</v>
      </c>
      <c r="F650">
        <v>0</v>
      </c>
      <c r="G650">
        <v>0</v>
      </c>
      <c r="I650">
        <v>0</v>
      </c>
      <c r="J650">
        <v>0</v>
      </c>
      <c r="K650">
        <v>0</v>
      </c>
      <c r="L650">
        <v>0</v>
      </c>
      <c r="M650" s="7">
        <v>4.9000000000000004</v>
      </c>
      <c r="N650" s="7">
        <v>28.9</v>
      </c>
    </row>
    <row r="651" spans="1:14" ht="19.95" customHeight="1">
      <c r="A651" s="6">
        <v>45576</v>
      </c>
      <c r="B651" t="s">
        <v>66</v>
      </c>
      <c r="C651">
        <v>4</v>
      </c>
      <c r="D651">
        <v>10</v>
      </c>
      <c r="E651">
        <v>285</v>
      </c>
      <c r="F651">
        <v>0</v>
      </c>
      <c r="G651">
        <v>0</v>
      </c>
      <c r="I651">
        <v>0</v>
      </c>
      <c r="J651">
        <v>0</v>
      </c>
      <c r="K651">
        <v>0</v>
      </c>
      <c r="L651">
        <v>0</v>
      </c>
      <c r="M651" s="7">
        <v>0</v>
      </c>
      <c r="N651" s="7">
        <v>29.1</v>
      </c>
    </row>
    <row r="652" spans="1:14" ht="19.95" customHeight="1">
      <c r="A652" s="6">
        <v>45577</v>
      </c>
      <c r="B652" t="s">
        <v>67</v>
      </c>
      <c r="C652">
        <v>5</v>
      </c>
      <c r="D652">
        <v>10</v>
      </c>
      <c r="E652">
        <v>286</v>
      </c>
      <c r="F652">
        <v>1</v>
      </c>
      <c r="G652">
        <v>1</v>
      </c>
      <c r="H652" t="s">
        <v>73</v>
      </c>
      <c r="I652">
        <v>0</v>
      </c>
      <c r="J652">
        <v>0</v>
      </c>
      <c r="K652">
        <v>0</v>
      </c>
      <c r="L652">
        <v>0</v>
      </c>
      <c r="M652" s="7">
        <v>0</v>
      </c>
      <c r="N652" s="7">
        <v>28.1</v>
      </c>
    </row>
    <row r="653" spans="1:14" ht="19.95" customHeight="1">
      <c r="A653" s="6">
        <v>45578</v>
      </c>
      <c r="B653" t="s">
        <v>60</v>
      </c>
      <c r="C653">
        <v>6</v>
      </c>
      <c r="D653">
        <v>10</v>
      </c>
      <c r="E653">
        <v>287</v>
      </c>
      <c r="F653">
        <v>1</v>
      </c>
      <c r="G653">
        <v>0</v>
      </c>
      <c r="I653">
        <v>0</v>
      </c>
      <c r="J653">
        <v>0</v>
      </c>
      <c r="K653">
        <v>0</v>
      </c>
      <c r="L653">
        <v>0</v>
      </c>
      <c r="M653" s="7">
        <v>4.2</v>
      </c>
      <c r="N653" s="7">
        <v>29.2</v>
      </c>
    </row>
    <row r="654" spans="1:14" ht="19.95" customHeight="1">
      <c r="A654" s="6">
        <v>45579</v>
      </c>
      <c r="B654" t="s">
        <v>62</v>
      </c>
      <c r="C654">
        <v>0</v>
      </c>
      <c r="D654">
        <v>10</v>
      </c>
      <c r="E654">
        <v>288</v>
      </c>
      <c r="F654">
        <v>0</v>
      </c>
      <c r="G654">
        <v>0</v>
      </c>
      <c r="I654">
        <v>0</v>
      </c>
      <c r="J654">
        <v>0</v>
      </c>
      <c r="K654">
        <v>0</v>
      </c>
      <c r="L654">
        <v>0</v>
      </c>
      <c r="M654" s="7">
        <v>3.5</v>
      </c>
      <c r="N654" s="7">
        <v>31.2</v>
      </c>
    </row>
    <row r="655" spans="1:14" ht="19.95" customHeight="1">
      <c r="A655" s="6">
        <v>45580</v>
      </c>
      <c r="B655" t="s">
        <v>63</v>
      </c>
      <c r="C655">
        <v>1</v>
      </c>
      <c r="D655">
        <v>10</v>
      </c>
      <c r="E655">
        <v>289</v>
      </c>
      <c r="F655">
        <v>0</v>
      </c>
      <c r="G655">
        <v>0</v>
      </c>
      <c r="I655">
        <v>0</v>
      </c>
      <c r="J655">
        <v>0</v>
      </c>
      <c r="K655">
        <v>0</v>
      </c>
      <c r="L655">
        <v>0</v>
      </c>
      <c r="M655" s="7">
        <v>5.8</v>
      </c>
      <c r="N655" s="7">
        <v>29.5</v>
      </c>
    </row>
    <row r="656" spans="1:14" ht="19.95" customHeight="1">
      <c r="A656" s="6">
        <v>45581</v>
      </c>
      <c r="B656" t="s">
        <v>64</v>
      </c>
      <c r="C656">
        <v>2</v>
      </c>
      <c r="D656">
        <v>10</v>
      </c>
      <c r="E656">
        <v>290</v>
      </c>
      <c r="F656">
        <v>0</v>
      </c>
      <c r="G656">
        <v>0</v>
      </c>
      <c r="I656">
        <v>0</v>
      </c>
      <c r="J656">
        <v>0</v>
      </c>
      <c r="K656">
        <v>0</v>
      </c>
      <c r="L656">
        <v>0</v>
      </c>
      <c r="M656" s="7">
        <v>0.2</v>
      </c>
      <c r="N656" s="7">
        <v>28.7</v>
      </c>
    </row>
    <row r="657" spans="1:14" ht="19.95" customHeight="1">
      <c r="A657" s="6">
        <v>45582</v>
      </c>
      <c r="B657" t="s">
        <v>65</v>
      </c>
      <c r="C657">
        <v>3</v>
      </c>
      <c r="D657">
        <v>10</v>
      </c>
      <c r="E657">
        <v>291</v>
      </c>
      <c r="F657">
        <v>0</v>
      </c>
      <c r="G657">
        <v>0</v>
      </c>
      <c r="I657">
        <v>0</v>
      </c>
      <c r="J657">
        <v>0</v>
      </c>
      <c r="K657">
        <v>0</v>
      </c>
      <c r="L657">
        <v>0</v>
      </c>
      <c r="M657" s="7">
        <v>2.1</v>
      </c>
      <c r="N657" s="7">
        <v>30.9</v>
      </c>
    </row>
    <row r="658" spans="1:14" ht="19.95" customHeight="1">
      <c r="A658" s="6">
        <v>45583</v>
      </c>
      <c r="B658" t="s">
        <v>66</v>
      </c>
      <c r="C658">
        <v>4</v>
      </c>
      <c r="D658">
        <v>10</v>
      </c>
      <c r="E658">
        <v>292</v>
      </c>
      <c r="F658">
        <v>0</v>
      </c>
      <c r="G658">
        <v>0</v>
      </c>
      <c r="I658">
        <v>0</v>
      </c>
      <c r="J658">
        <v>0</v>
      </c>
      <c r="K658">
        <v>0</v>
      </c>
      <c r="L658">
        <v>0</v>
      </c>
      <c r="M658" s="7">
        <v>0</v>
      </c>
      <c r="N658" s="7">
        <v>29.6</v>
      </c>
    </row>
    <row r="659" spans="1:14" ht="19.95" customHeight="1">
      <c r="A659" s="6">
        <v>45584</v>
      </c>
      <c r="B659" t="s">
        <v>67</v>
      </c>
      <c r="C659">
        <v>5</v>
      </c>
      <c r="D659">
        <v>10</v>
      </c>
      <c r="E659">
        <v>293</v>
      </c>
      <c r="F659">
        <v>1</v>
      </c>
      <c r="G659">
        <v>0</v>
      </c>
      <c r="I659">
        <v>0</v>
      </c>
      <c r="J659">
        <v>0</v>
      </c>
      <c r="K659">
        <v>0</v>
      </c>
      <c r="L659">
        <v>0</v>
      </c>
      <c r="M659" s="7">
        <v>0</v>
      </c>
      <c r="N659" s="7">
        <v>29</v>
      </c>
    </row>
    <row r="660" spans="1:14" ht="19.95" customHeight="1">
      <c r="A660" s="6">
        <v>45585</v>
      </c>
      <c r="B660" t="s">
        <v>60</v>
      </c>
      <c r="C660">
        <v>6</v>
      </c>
      <c r="D660">
        <v>10</v>
      </c>
      <c r="E660">
        <v>294</v>
      </c>
      <c r="F660">
        <v>1</v>
      </c>
      <c r="G660">
        <v>0</v>
      </c>
      <c r="I660">
        <v>0</v>
      </c>
      <c r="J660">
        <v>0</v>
      </c>
      <c r="K660">
        <v>0</v>
      </c>
      <c r="L660">
        <v>0</v>
      </c>
      <c r="M660" s="7">
        <v>2.8</v>
      </c>
      <c r="N660" s="7">
        <v>29.9</v>
      </c>
    </row>
    <row r="661" spans="1:14" ht="19.95" customHeight="1">
      <c r="A661" s="6">
        <v>45586</v>
      </c>
      <c r="B661" t="s">
        <v>62</v>
      </c>
      <c r="C661">
        <v>0</v>
      </c>
      <c r="D661">
        <v>10</v>
      </c>
      <c r="E661">
        <v>295</v>
      </c>
      <c r="F661">
        <v>0</v>
      </c>
      <c r="G661">
        <v>0</v>
      </c>
      <c r="I661">
        <v>0</v>
      </c>
      <c r="J661">
        <v>0</v>
      </c>
      <c r="K661">
        <v>0</v>
      </c>
      <c r="L661">
        <v>0</v>
      </c>
      <c r="M661" s="7">
        <v>0.5</v>
      </c>
      <c r="N661" s="7">
        <v>29.6</v>
      </c>
    </row>
    <row r="662" spans="1:14" ht="19.95" customHeight="1">
      <c r="A662" s="6">
        <v>45587</v>
      </c>
      <c r="B662" t="s">
        <v>63</v>
      </c>
      <c r="C662">
        <v>1</v>
      </c>
      <c r="D662">
        <v>10</v>
      </c>
      <c r="E662">
        <v>296</v>
      </c>
      <c r="F662">
        <v>0</v>
      </c>
      <c r="G662">
        <v>0</v>
      </c>
      <c r="I662">
        <v>0</v>
      </c>
      <c r="J662">
        <v>0</v>
      </c>
      <c r="K662">
        <v>0</v>
      </c>
      <c r="L662">
        <v>0</v>
      </c>
      <c r="M662" s="7">
        <v>0.8</v>
      </c>
      <c r="N662" s="7">
        <v>30.3</v>
      </c>
    </row>
    <row r="663" spans="1:14" ht="19.95" customHeight="1">
      <c r="A663" s="6">
        <v>45588</v>
      </c>
      <c r="B663" t="s">
        <v>64</v>
      </c>
      <c r="C663">
        <v>2</v>
      </c>
      <c r="D663">
        <v>10</v>
      </c>
      <c r="E663">
        <v>297</v>
      </c>
      <c r="F663">
        <v>0</v>
      </c>
      <c r="G663">
        <v>0</v>
      </c>
      <c r="I663">
        <v>0</v>
      </c>
      <c r="J663">
        <v>0</v>
      </c>
      <c r="K663">
        <v>0</v>
      </c>
      <c r="L663">
        <v>0</v>
      </c>
      <c r="M663" s="7">
        <v>1.2</v>
      </c>
      <c r="N663" s="7">
        <v>31.5</v>
      </c>
    </row>
    <row r="664" spans="1:14" ht="19.95" customHeight="1">
      <c r="A664" s="6">
        <v>45589</v>
      </c>
      <c r="B664" t="s">
        <v>65</v>
      </c>
      <c r="C664">
        <v>3</v>
      </c>
      <c r="D664">
        <v>10</v>
      </c>
      <c r="E664">
        <v>298</v>
      </c>
      <c r="F664">
        <v>0</v>
      </c>
      <c r="G664">
        <v>0</v>
      </c>
      <c r="I664">
        <v>0</v>
      </c>
      <c r="J664">
        <v>0</v>
      </c>
      <c r="K664">
        <v>0</v>
      </c>
      <c r="L664">
        <v>0</v>
      </c>
      <c r="M664" s="7">
        <v>0.8</v>
      </c>
      <c r="N664" s="7">
        <v>29.3</v>
      </c>
    </row>
    <row r="665" spans="1:14" ht="19.95" customHeight="1">
      <c r="A665" s="6">
        <v>45590</v>
      </c>
      <c r="B665" t="s">
        <v>66</v>
      </c>
      <c r="C665">
        <v>4</v>
      </c>
      <c r="D665">
        <v>10</v>
      </c>
      <c r="E665">
        <v>299</v>
      </c>
      <c r="F665">
        <v>0</v>
      </c>
      <c r="G665">
        <v>0</v>
      </c>
      <c r="I665">
        <v>0</v>
      </c>
      <c r="J665">
        <v>0</v>
      </c>
      <c r="K665">
        <v>0</v>
      </c>
      <c r="L665">
        <v>0</v>
      </c>
      <c r="M665" s="7">
        <v>0.9</v>
      </c>
      <c r="N665" s="7">
        <v>30.4</v>
      </c>
    </row>
    <row r="666" spans="1:14" ht="19.95" customHeight="1">
      <c r="A666" s="6">
        <v>45591</v>
      </c>
      <c r="B666" t="s">
        <v>67</v>
      </c>
      <c r="C666">
        <v>5</v>
      </c>
      <c r="D666">
        <v>10</v>
      </c>
      <c r="E666">
        <v>300</v>
      </c>
      <c r="F666">
        <v>1</v>
      </c>
      <c r="G666">
        <v>0</v>
      </c>
      <c r="I666">
        <v>0</v>
      </c>
      <c r="J666">
        <v>0</v>
      </c>
      <c r="K666">
        <v>0</v>
      </c>
      <c r="L666">
        <v>0</v>
      </c>
      <c r="M666" s="7">
        <v>0</v>
      </c>
      <c r="N666" s="7">
        <v>29.2</v>
      </c>
    </row>
    <row r="667" spans="1:14" ht="19.95" customHeight="1">
      <c r="A667" s="6">
        <v>45592</v>
      </c>
      <c r="B667" t="s">
        <v>60</v>
      </c>
      <c r="C667">
        <v>6</v>
      </c>
      <c r="D667">
        <v>10</v>
      </c>
      <c r="E667">
        <v>301</v>
      </c>
      <c r="F667">
        <v>1</v>
      </c>
      <c r="G667">
        <v>0</v>
      </c>
      <c r="I667">
        <v>0</v>
      </c>
      <c r="J667">
        <v>0</v>
      </c>
      <c r="K667">
        <v>0</v>
      </c>
      <c r="L667">
        <v>0</v>
      </c>
      <c r="M667" s="7">
        <v>1.1000000000000001</v>
      </c>
      <c r="N667" s="7">
        <v>30.9</v>
      </c>
    </row>
    <row r="668" spans="1:14" ht="19.95" customHeight="1">
      <c r="A668" s="6">
        <v>45593</v>
      </c>
      <c r="B668" t="s">
        <v>62</v>
      </c>
      <c r="C668">
        <v>0</v>
      </c>
      <c r="D668">
        <v>10</v>
      </c>
      <c r="E668">
        <v>302</v>
      </c>
      <c r="F668">
        <v>0</v>
      </c>
      <c r="G668">
        <v>0</v>
      </c>
      <c r="I668">
        <v>0</v>
      </c>
      <c r="J668">
        <v>0</v>
      </c>
      <c r="K668">
        <v>0</v>
      </c>
      <c r="L668">
        <v>0</v>
      </c>
      <c r="M668" s="7">
        <v>0</v>
      </c>
      <c r="N668" s="7">
        <v>30.2</v>
      </c>
    </row>
    <row r="669" spans="1:14" ht="19.95" customHeight="1">
      <c r="A669" s="6">
        <v>45594</v>
      </c>
      <c r="B669" t="s">
        <v>63</v>
      </c>
      <c r="C669">
        <v>1</v>
      </c>
      <c r="D669">
        <v>10</v>
      </c>
      <c r="E669">
        <v>303</v>
      </c>
      <c r="F669">
        <v>0</v>
      </c>
      <c r="G669">
        <v>0</v>
      </c>
      <c r="I669">
        <v>0</v>
      </c>
      <c r="J669">
        <v>0</v>
      </c>
      <c r="K669">
        <v>0</v>
      </c>
      <c r="L669">
        <v>0</v>
      </c>
      <c r="M669" s="7">
        <v>2.8</v>
      </c>
      <c r="N669" s="7">
        <v>30.5</v>
      </c>
    </row>
    <row r="670" spans="1:14" ht="19.95" customHeight="1">
      <c r="A670" s="6">
        <v>45595</v>
      </c>
      <c r="B670" t="s">
        <v>64</v>
      </c>
      <c r="C670">
        <v>2</v>
      </c>
      <c r="D670">
        <v>10</v>
      </c>
      <c r="E670">
        <v>304</v>
      </c>
      <c r="F670">
        <v>0</v>
      </c>
      <c r="G670">
        <v>0</v>
      </c>
      <c r="I670">
        <v>0</v>
      </c>
      <c r="J670">
        <v>0</v>
      </c>
      <c r="K670">
        <v>0</v>
      </c>
      <c r="L670">
        <v>0</v>
      </c>
      <c r="M670" s="7">
        <v>0</v>
      </c>
      <c r="N670" s="7">
        <v>28.8</v>
      </c>
    </row>
    <row r="671" spans="1:14" ht="19.95" customHeight="1">
      <c r="A671" s="6">
        <v>45596</v>
      </c>
      <c r="B671" t="s">
        <v>65</v>
      </c>
      <c r="C671">
        <v>3</v>
      </c>
      <c r="D671">
        <v>10</v>
      </c>
      <c r="E671">
        <v>305</v>
      </c>
      <c r="F671">
        <v>0</v>
      </c>
      <c r="G671">
        <v>0</v>
      </c>
      <c r="I671">
        <v>0</v>
      </c>
      <c r="J671">
        <v>0</v>
      </c>
      <c r="K671">
        <v>0</v>
      </c>
      <c r="L671">
        <v>0</v>
      </c>
      <c r="M671" s="7">
        <v>1</v>
      </c>
      <c r="N671" s="7">
        <v>28.8</v>
      </c>
    </row>
    <row r="672" spans="1:14" ht="19.95" customHeight="1">
      <c r="A672" s="6">
        <v>45597</v>
      </c>
      <c r="B672" t="s">
        <v>66</v>
      </c>
      <c r="C672">
        <v>4</v>
      </c>
      <c r="D672">
        <v>11</v>
      </c>
      <c r="E672">
        <v>306</v>
      </c>
      <c r="F672">
        <v>0</v>
      </c>
      <c r="G672">
        <v>0</v>
      </c>
      <c r="I672">
        <v>0</v>
      </c>
      <c r="J672">
        <v>0</v>
      </c>
      <c r="K672">
        <v>0</v>
      </c>
      <c r="L672">
        <v>0</v>
      </c>
      <c r="M672" s="7">
        <v>0</v>
      </c>
      <c r="N672" s="7">
        <v>30.4</v>
      </c>
    </row>
    <row r="673" spans="1:14" ht="19.95" customHeight="1">
      <c r="A673" s="6">
        <v>45598</v>
      </c>
      <c r="B673" t="s">
        <v>67</v>
      </c>
      <c r="C673">
        <v>5</v>
      </c>
      <c r="D673">
        <v>11</v>
      </c>
      <c r="E673">
        <v>307</v>
      </c>
      <c r="F673">
        <v>1</v>
      </c>
      <c r="G673">
        <v>1</v>
      </c>
      <c r="H673" t="s">
        <v>74</v>
      </c>
      <c r="I673">
        <v>0</v>
      </c>
      <c r="J673">
        <v>0</v>
      </c>
      <c r="K673">
        <v>0</v>
      </c>
      <c r="L673">
        <v>0</v>
      </c>
      <c r="M673" s="7">
        <v>0</v>
      </c>
      <c r="N673" s="7">
        <v>29</v>
      </c>
    </row>
    <row r="674" spans="1:14" ht="19.95" customHeight="1">
      <c r="A674" s="6">
        <v>45599</v>
      </c>
      <c r="B674" t="s">
        <v>60</v>
      </c>
      <c r="C674">
        <v>6</v>
      </c>
      <c r="D674">
        <v>11</v>
      </c>
      <c r="E674">
        <v>308</v>
      </c>
      <c r="F674">
        <v>1</v>
      </c>
      <c r="G674">
        <v>0</v>
      </c>
      <c r="I674">
        <v>0</v>
      </c>
      <c r="J674">
        <v>0</v>
      </c>
      <c r="K674">
        <v>0</v>
      </c>
      <c r="L674">
        <v>0</v>
      </c>
      <c r="M674" s="7">
        <v>3.2</v>
      </c>
      <c r="N674" s="7">
        <v>28.8</v>
      </c>
    </row>
    <row r="675" spans="1:14" ht="19.95" customHeight="1">
      <c r="A675" s="6">
        <v>45600</v>
      </c>
      <c r="B675" t="s">
        <v>62</v>
      </c>
      <c r="C675">
        <v>0</v>
      </c>
      <c r="D675">
        <v>11</v>
      </c>
      <c r="E675">
        <v>309</v>
      </c>
      <c r="F675">
        <v>0</v>
      </c>
      <c r="G675">
        <v>0</v>
      </c>
      <c r="I675">
        <v>0</v>
      </c>
      <c r="J675">
        <v>0</v>
      </c>
      <c r="K675">
        <v>0</v>
      </c>
      <c r="L675">
        <v>0</v>
      </c>
      <c r="M675" s="7">
        <v>4.5999999999999996</v>
      </c>
      <c r="N675" s="7">
        <v>28.4</v>
      </c>
    </row>
    <row r="676" spans="1:14" ht="19.95" customHeight="1">
      <c r="A676" s="6">
        <v>45601</v>
      </c>
      <c r="B676" t="s">
        <v>63</v>
      </c>
      <c r="C676">
        <v>1</v>
      </c>
      <c r="D676">
        <v>11</v>
      </c>
      <c r="E676">
        <v>310</v>
      </c>
      <c r="F676">
        <v>0</v>
      </c>
      <c r="G676">
        <v>0</v>
      </c>
      <c r="I676">
        <v>0</v>
      </c>
      <c r="J676">
        <v>0</v>
      </c>
      <c r="K676">
        <v>0</v>
      </c>
      <c r="L676">
        <v>0</v>
      </c>
      <c r="M676" s="7">
        <v>3.3</v>
      </c>
      <c r="N676" s="7">
        <v>29.6</v>
      </c>
    </row>
    <row r="677" spans="1:14" ht="19.95" customHeight="1">
      <c r="A677" s="6">
        <v>45602</v>
      </c>
      <c r="B677" t="s">
        <v>64</v>
      </c>
      <c r="C677">
        <v>2</v>
      </c>
      <c r="D677">
        <v>11</v>
      </c>
      <c r="E677">
        <v>311</v>
      </c>
      <c r="F677">
        <v>0</v>
      </c>
      <c r="G677">
        <v>0</v>
      </c>
      <c r="I677">
        <v>0</v>
      </c>
      <c r="J677">
        <v>0</v>
      </c>
      <c r="K677">
        <v>0</v>
      </c>
      <c r="L677">
        <v>0</v>
      </c>
      <c r="M677" s="7">
        <v>1.6</v>
      </c>
      <c r="N677" s="7">
        <v>29.7</v>
      </c>
    </row>
    <row r="678" spans="1:14" ht="19.95" customHeight="1">
      <c r="A678" s="6">
        <v>45603</v>
      </c>
      <c r="B678" t="s">
        <v>65</v>
      </c>
      <c r="C678">
        <v>3</v>
      </c>
      <c r="D678">
        <v>11</v>
      </c>
      <c r="E678">
        <v>312</v>
      </c>
      <c r="F678">
        <v>0</v>
      </c>
      <c r="G678">
        <v>0</v>
      </c>
      <c r="I678">
        <v>0</v>
      </c>
      <c r="J678">
        <v>0</v>
      </c>
      <c r="K678">
        <v>0</v>
      </c>
      <c r="L678">
        <v>0</v>
      </c>
      <c r="M678" s="7">
        <v>0</v>
      </c>
      <c r="N678" s="7">
        <v>29.9</v>
      </c>
    </row>
    <row r="679" spans="1:14" ht="19.95" customHeight="1">
      <c r="A679" s="6">
        <v>45604</v>
      </c>
      <c r="B679" t="s">
        <v>66</v>
      </c>
      <c r="C679">
        <v>4</v>
      </c>
      <c r="D679">
        <v>11</v>
      </c>
      <c r="E679">
        <v>313</v>
      </c>
      <c r="F679">
        <v>0</v>
      </c>
      <c r="G679">
        <v>0</v>
      </c>
      <c r="I679">
        <v>0</v>
      </c>
      <c r="J679">
        <v>0</v>
      </c>
      <c r="K679">
        <v>0</v>
      </c>
      <c r="L679">
        <v>0</v>
      </c>
      <c r="M679" s="7">
        <v>3.7</v>
      </c>
      <c r="N679" s="7">
        <v>30</v>
      </c>
    </row>
    <row r="680" spans="1:14" ht="19.95" customHeight="1">
      <c r="A680" s="6">
        <v>45605</v>
      </c>
      <c r="B680" t="s">
        <v>67</v>
      </c>
      <c r="C680">
        <v>5</v>
      </c>
      <c r="D680">
        <v>11</v>
      </c>
      <c r="E680">
        <v>314</v>
      </c>
      <c r="F680">
        <v>1</v>
      </c>
      <c r="G680">
        <v>0</v>
      </c>
      <c r="I680">
        <v>0</v>
      </c>
      <c r="J680">
        <v>0</v>
      </c>
      <c r="K680">
        <v>0</v>
      </c>
      <c r="L680">
        <v>0</v>
      </c>
      <c r="M680" s="7">
        <v>1.8</v>
      </c>
      <c r="N680" s="7">
        <v>29.5</v>
      </c>
    </row>
    <row r="681" spans="1:14" ht="19.95" customHeight="1">
      <c r="A681" s="6">
        <v>45606</v>
      </c>
      <c r="B681" t="s">
        <v>60</v>
      </c>
      <c r="C681">
        <v>6</v>
      </c>
      <c r="D681">
        <v>11</v>
      </c>
      <c r="E681">
        <v>315</v>
      </c>
      <c r="F681">
        <v>1</v>
      </c>
      <c r="G681">
        <v>0</v>
      </c>
      <c r="I681">
        <v>0</v>
      </c>
      <c r="J681">
        <v>0</v>
      </c>
      <c r="K681">
        <v>0</v>
      </c>
      <c r="L681">
        <v>0</v>
      </c>
      <c r="M681" s="7">
        <v>0</v>
      </c>
      <c r="N681" s="7">
        <v>27.9</v>
      </c>
    </row>
    <row r="682" spans="1:14" ht="19.95" customHeight="1">
      <c r="A682" s="6">
        <v>45607</v>
      </c>
      <c r="B682" t="s">
        <v>62</v>
      </c>
      <c r="C682">
        <v>0</v>
      </c>
      <c r="D682">
        <v>11</v>
      </c>
      <c r="E682">
        <v>316</v>
      </c>
      <c r="F682">
        <v>0</v>
      </c>
      <c r="G682">
        <v>0</v>
      </c>
      <c r="I682">
        <v>0</v>
      </c>
      <c r="J682">
        <v>0</v>
      </c>
      <c r="K682">
        <v>0</v>
      </c>
      <c r="L682">
        <v>0</v>
      </c>
      <c r="M682" s="7">
        <v>4.5</v>
      </c>
      <c r="N682" s="7">
        <v>29.5</v>
      </c>
    </row>
    <row r="683" spans="1:14" ht="19.95" customHeight="1">
      <c r="A683" s="6">
        <v>45608</v>
      </c>
      <c r="B683" t="s">
        <v>63</v>
      </c>
      <c r="C683">
        <v>1</v>
      </c>
      <c r="D683">
        <v>11</v>
      </c>
      <c r="E683">
        <v>317</v>
      </c>
      <c r="F683">
        <v>0</v>
      </c>
      <c r="G683">
        <v>0</v>
      </c>
      <c r="I683">
        <v>0</v>
      </c>
      <c r="J683">
        <v>0</v>
      </c>
      <c r="K683">
        <v>0</v>
      </c>
      <c r="L683">
        <v>0</v>
      </c>
      <c r="M683" s="7">
        <v>1.6</v>
      </c>
      <c r="N683" s="7">
        <v>30</v>
      </c>
    </row>
    <row r="684" spans="1:14" ht="19.95" customHeight="1">
      <c r="A684" s="6">
        <v>45609</v>
      </c>
      <c r="B684" t="s">
        <v>64</v>
      </c>
      <c r="C684">
        <v>2</v>
      </c>
      <c r="D684">
        <v>11</v>
      </c>
      <c r="E684">
        <v>318</v>
      </c>
      <c r="F684">
        <v>0</v>
      </c>
      <c r="G684">
        <v>0</v>
      </c>
      <c r="I684">
        <v>0</v>
      </c>
      <c r="J684">
        <v>0</v>
      </c>
      <c r="K684">
        <v>0</v>
      </c>
      <c r="L684">
        <v>0</v>
      </c>
      <c r="M684" s="7">
        <v>2.6</v>
      </c>
      <c r="N684" s="7">
        <v>29.9</v>
      </c>
    </row>
    <row r="685" spans="1:14" ht="19.95" customHeight="1">
      <c r="A685" s="6">
        <v>45610</v>
      </c>
      <c r="B685" t="s">
        <v>65</v>
      </c>
      <c r="C685">
        <v>3</v>
      </c>
      <c r="D685">
        <v>11</v>
      </c>
      <c r="E685">
        <v>319</v>
      </c>
      <c r="F685">
        <v>0</v>
      </c>
      <c r="G685">
        <v>0</v>
      </c>
      <c r="I685">
        <v>0</v>
      </c>
      <c r="J685">
        <v>0</v>
      </c>
      <c r="K685">
        <v>0</v>
      </c>
      <c r="L685">
        <v>0</v>
      </c>
      <c r="M685" s="7">
        <v>2.2999999999999998</v>
      </c>
      <c r="N685" s="7">
        <v>29</v>
      </c>
    </row>
    <row r="686" spans="1:14" ht="19.95" customHeight="1">
      <c r="A686" s="6">
        <v>45611</v>
      </c>
      <c r="B686" t="s">
        <v>66</v>
      </c>
      <c r="C686">
        <v>4</v>
      </c>
      <c r="D686">
        <v>11</v>
      </c>
      <c r="E686">
        <v>320</v>
      </c>
      <c r="F686">
        <v>0</v>
      </c>
      <c r="G686">
        <v>1</v>
      </c>
      <c r="H686" t="s">
        <v>75</v>
      </c>
      <c r="I686">
        <v>0</v>
      </c>
      <c r="J686">
        <v>0</v>
      </c>
      <c r="K686">
        <v>0</v>
      </c>
      <c r="L686">
        <v>0</v>
      </c>
      <c r="M686" s="7">
        <v>2.7</v>
      </c>
      <c r="N686" s="7">
        <v>30.7</v>
      </c>
    </row>
    <row r="687" spans="1:14" ht="19.95" customHeight="1">
      <c r="A687" s="6">
        <v>45612</v>
      </c>
      <c r="B687" t="s">
        <v>67</v>
      </c>
      <c r="C687">
        <v>5</v>
      </c>
      <c r="D687">
        <v>11</v>
      </c>
      <c r="E687">
        <v>321</v>
      </c>
      <c r="F687">
        <v>1</v>
      </c>
      <c r="G687">
        <v>0</v>
      </c>
      <c r="I687">
        <v>0</v>
      </c>
      <c r="J687">
        <v>0</v>
      </c>
      <c r="K687">
        <v>0</v>
      </c>
      <c r="L687">
        <v>0</v>
      </c>
      <c r="M687" s="7">
        <v>3.2</v>
      </c>
      <c r="N687" s="7">
        <v>28.6</v>
      </c>
    </row>
    <row r="688" spans="1:14" ht="19.95" customHeight="1">
      <c r="A688" s="6">
        <v>45613</v>
      </c>
      <c r="B688" t="s">
        <v>60</v>
      </c>
      <c r="C688">
        <v>6</v>
      </c>
      <c r="D688">
        <v>11</v>
      </c>
      <c r="E688">
        <v>322</v>
      </c>
      <c r="F688">
        <v>1</v>
      </c>
      <c r="G688">
        <v>0</v>
      </c>
      <c r="I688">
        <v>0</v>
      </c>
      <c r="J688">
        <v>0</v>
      </c>
      <c r="K688">
        <v>0</v>
      </c>
      <c r="L688">
        <v>0</v>
      </c>
      <c r="M688" s="7">
        <v>0</v>
      </c>
      <c r="N688" s="7">
        <v>29.9</v>
      </c>
    </row>
    <row r="689" spans="1:14" ht="19.95" customHeight="1">
      <c r="A689" s="6">
        <v>45614</v>
      </c>
      <c r="B689" t="s">
        <v>62</v>
      </c>
      <c r="C689">
        <v>0</v>
      </c>
      <c r="D689">
        <v>11</v>
      </c>
      <c r="E689">
        <v>323</v>
      </c>
      <c r="F689">
        <v>0</v>
      </c>
      <c r="G689">
        <v>0</v>
      </c>
      <c r="I689">
        <v>0</v>
      </c>
      <c r="J689">
        <v>0</v>
      </c>
      <c r="K689">
        <v>0</v>
      </c>
      <c r="L689">
        <v>0</v>
      </c>
      <c r="M689" s="7">
        <v>0</v>
      </c>
      <c r="N689" s="7">
        <v>28.7</v>
      </c>
    </row>
    <row r="690" spans="1:14" ht="19.95" customHeight="1">
      <c r="A690" s="6">
        <v>45615</v>
      </c>
      <c r="B690" t="s">
        <v>63</v>
      </c>
      <c r="C690">
        <v>1</v>
      </c>
      <c r="D690">
        <v>11</v>
      </c>
      <c r="E690">
        <v>324</v>
      </c>
      <c r="F690">
        <v>0</v>
      </c>
      <c r="G690">
        <v>0</v>
      </c>
      <c r="I690">
        <v>0</v>
      </c>
      <c r="J690">
        <v>0</v>
      </c>
      <c r="K690">
        <v>0</v>
      </c>
      <c r="L690">
        <v>0</v>
      </c>
      <c r="M690" s="7">
        <v>0</v>
      </c>
      <c r="N690" s="7">
        <v>28.9</v>
      </c>
    </row>
    <row r="691" spans="1:14" ht="19.95" customHeight="1">
      <c r="A691" s="6">
        <v>45616</v>
      </c>
      <c r="B691" t="s">
        <v>64</v>
      </c>
      <c r="C691">
        <v>2</v>
      </c>
      <c r="D691">
        <v>11</v>
      </c>
      <c r="E691">
        <v>325</v>
      </c>
      <c r="F691">
        <v>0</v>
      </c>
      <c r="G691">
        <v>0</v>
      </c>
      <c r="I691">
        <v>0</v>
      </c>
      <c r="J691">
        <v>0</v>
      </c>
      <c r="K691">
        <v>0</v>
      </c>
      <c r="L691">
        <v>0</v>
      </c>
      <c r="M691" s="7">
        <v>0</v>
      </c>
      <c r="N691" s="7">
        <v>29.1</v>
      </c>
    </row>
    <row r="692" spans="1:14" ht="19.95" customHeight="1">
      <c r="A692" s="6">
        <v>45617</v>
      </c>
      <c r="B692" t="s">
        <v>65</v>
      </c>
      <c r="C692">
        <v>3</v>
      </c>
      <c r="D692">
        <v>11</v>
      </c>
      <c r="E692">
        <v>326</v>
      </c>
      <c r="F692">
        <v>0</v>
      </c>
      <c r="G692">
        <v>0</v>
      </c>
      <c r="I692">
        <v>0</v>
      </c>
      <c r="J692">
        <v>0</v>
      </c>
      <c r="K692">
        <v>0</v>
      </c>
      <c r="L692">
        <v>0</v>
      </c>
      <c r="M692" s="7">
        <v>1.6</v>
      </c>
      <c r="N692" s="7">
        <v>30.2</v>
      </c>
    </row>
    <row r="693" spans="1:14" ht="19.95" customHeight="1">
      <c r="A693" s="6">
        <v>45618</v>
      </c>
      <c r="B693" t="s">
        <v>66</v>
      </c>
      <c r="C693">
        <v>4</v>
      </c>
      <c r="D693">
        <v>11</v>
      </c>
      <c r="E693">
        <v>327</v>
      </c>
      <c r="F693">
        <v>0</v>
      </c>
      <c r="G693">
        <v>0</v>
      </c>
      <c r="I693">
        <v>0</v>
      </c>
      <c r="J693">
        <v>0</v>
      </c>
      <c r="K693">
        <v>0</v>
      </c>
      <c r="L693">
        <v>0</v>
      </c>
      <c r="M693" s="7">
        <v>0</v>
      </c>
      <c r="N693" s="7">
        <v>29.9</v>
      </c>
    </row>
    <row r="694" spans="1:14" ht="19.95" customHeight="1">
      <c r="A694" s="6">
        <v>45619</v>
      </c>
      <c r="B694" t="s">
        <v>67</v>
      </c>
      <c r="C694">
        <v>5</v>
      </c>
      <c r="D694">
        <v>11</v>
      </c>
      <c r="E694">
        <v>328</v>
      </c>
      <c r="F694">
        <v>1</v>
      </c>
      <c r="G694">
        <v>0</v>
      </c>
      <c r="I694">
        <v>0</v>
      </c>
      <c r="J694">
        <v>0</v>
      </c>
      <c r="K694">
        <v>0</v>
      </c>
      <c r="L694">
        <v>0</v>
      </c>
      <c r="M694" s="7">
        <v>0.1</v>
      </c>
      <c r="N694" s="7">
        <v>28.5</v>
      </c>
    </row>
    <row r="695" spans="1:14" ht="19.95" customHeight="1">
      <c r="A695" s="6">
        <v>45620</v>
      </c>
      <c r="B695" t="s">
        <v>60</v>
      </c>
      <c r="C695">
        <v>6</v>
      </c>
      <c r="D695">
        <v>11</v>
      </c>
      <c r="E695">
        <v>329</v>
      </c>
      <c r="F695">
        <v>1</v>
      </c>
      <c r="G695">
        <v>0</v>
      </c>
      <c r="I695">
        <v>0</v>
      </c>
      <c r="J695">
        <v>0</v>
      </c>
      <c r="K695">
        <v>0</v>
      </c>
      <c r="L695">
        <v>0</v>
      </c>
      <c r="M695" s="7">
        <v>2.2000000000000002</v>
      </c>
      <c r="N695" s="7">
        <v>29.4</v>
      </c>
    </row>
    <row r="696" spans="1:14" ht="19.95" customHeight="1">
      <c r="A696" s="6">
        <v>45621</v>
      </c>
      <c r="B696" t="s">
        <v>62</v>
      </c>
      <c r="C696">
        <v>0</v>
      </c>
      <c r="D696">
        <v>11</v>
      </c>
      <c r="E696">
        <v>330</v>
      </c>
      <c r="F696">
        <v>0</v>
      </c>
      <c r="G696">
        <v>0</v>
      </c>
      <c r="I696">
        <v>0</v>
      </c>
      <c r="J696">
        <v>0</v>
      </c>
      <c r="K696">
        <v>0</v>
      </c>
      <c r="L696">
        <v>0</v>
      </c>
      <c r="M696" s="7">
        <v>0.3</v>
      </c>
      <c r="N696" s="7">
        <v>29.8</v>
      </c>
    </row>
    <row r="697" spans="1:14" ht="19.95" customHeight="1">
      <c r="A697" s="6">
        <v>45622</v>
      </c>
      <c r="B697" t="s">
        <v>63</v>
      </c>
      <c r="C697">
        <v>1</v>
      </c>
      <c r="D697">
        <v>11</v>
      </c>
      <c r="E697">
        <v>331</v>
      </c>
      <c r="F697">
        <v>0</v>
      </c>
      <c r="G697">
        <v>0</v>
      </c>
      <c r="I697">
        <v>0</v>
      </c>
      <c r="J697">
        <v>0</v>
      </c>
      <c r="K697">
        <v>0</v>
      </c>
      <c r="L697">
        <v>0</v>
      </c>
      <c r="M697" s="7">
        <v>3.3</v>
      </c>
      <c r="N697" s="7">
        <v>29.3</v>
      </c>
    </row>
    <row r="698" spans="1:14" ht="19.95" customHeight="1">
      <c r="A698" s="6">
        <v>45623</v>
      </c>
      <c r="B698" t="s">
        <v>64</v>
      </c>
      <c r="C698">
        <v>2</v>
      </c>
      <c r="D698">
        <v>11</v>
      </c>
      <c r="E698">
        <v>332</v>
      </c>
      <c r="F698">
        <v>0</v>
      </c>
      <c r="G698">
        <v>0</v>
      </c>
      <c r="I698">
        <v>0</v>
      </c>
      <c r="J698">
        <v>0</v>
      </c>
      <c r="K698">
        <v>0</v>
      </c>
      <c r="L698">
        <v>0</v>
      </c>
      <c r="M698" s="7">
        <v>3.3</v>
      </c>
      <c r="N698" s="7">
        <v>29.2</v>
      </c>
    </row>
    <row r="699" spans="1:14" ht="19.95" customHeight="1">
      <c r="A699" s="6">
        <v>45624</v>
      </c>
      <c r="B699" t="s">
        <v>65</v>
      </c>
      <c r="C699">
        <v>3</v>
      </c>
      <c r="D699">
        <v>11</v>
      </c>
      <c r="E699">
        <v>333</v>
      </c>
      <c r="F699">
        <v>0</v>
      </c>
      <c r="G699">
        <v>0</v>
      </c>
      <c r="I699">
        <v>0</v>
      </c>
      <c r="J699">
        <v>0</v>
      </c>
      <c r="K699">
        <v>0</v>
      </c>
      <c r="L699">
        <v>0</v>
      </c>
      <c r="M699" s="7">
        <v>0</v>
      </c>
      <c r="N699" s="7">
        <v>29</v>
      </c>
    </row>
    <row r="700" spans="1:14" ht="19.95" customHeight="1">
      <c r="A700" s="6">
        <v>45625</v>
      </c>
      <c r="B700" t="s">
        <v>66</v>
      </c>
      <c r="C700">
        <v>4</v>
      </c>
      <c r="D700">
        <v>11</v>
      </c>
      <c r="E700">
        <v>334</v>
      </c>
      <c r="F700">
        <v>0</v>
      </c>
      <c r="G700">
        <v>0</v>
      </c>
      <c r="I700">
        <v>0</v>
      </c>
      <c r="J700">
        <v>0</v>
      </c>
      <c r="K700">
        <v>0</v>
      </c>
      <c r="L700">
        <v>0</v>
      </c>
      <c r="M700" s="7">
        <v>0.3</v>
      </c>
      <c r="N700" s="7">
        <v>29.3</v>
      </c>
    </row>
    <row r="701" spans="1:14" ht="19.95" customHeight="1">
      <c r="A701" s="6">
        <v>45626</v>
      </c>
      <c r="B701" t="s">
        <v>67</v>
      </c>
      <c r="C701">
        <v>5</v>
      </c>
      <c r="D701">
        <v>11</v>
      </c>
      <c r="E701">
        <v>335</v>
      </c>
      <c r="F701">
        <v>1</v>
      </c>
      <c r="G701">
        <v>0</v>
      </c>
      <c r="I701">
        <v>0</v>
      </c>
      <c r="J701">
        <v>0</v>
      </c>
      <c r="K701">
        <v>0</v>
      </c>
      <c r="L701">
        <v>0</v>
      </c>
      <c r="M701" s="7">
        <v>1</v>
      </c>
      <c r="N701" s="7">
        <v>29.6</v>
      </c>
    </row>
    <row r="702" spans="1:14" ht="19.95" customHeight="1">
      <c r="A702" s="6">
        <v>45627</v>
      </c>
      <c r="B702" t="s">
        <v>60</v>
      </c>
      <c r="C702">
        <v>6</v>
      </c>
      <c r="D702">
        <v>12</v>
      </c>
      <c r="E702">
        <v>336</v>
      </c>
      <c r="F702">
        <v>1</v>
      </c>
      <c r="G702">
        <v>0</v>
      </c>
      <c r="I702">
        <v>0</v>
      </c>
      <c r="J702">
        <v>0</v>
      </c>
      <c r="K702">
        <v>0</v>
      </c>
      <c r="L702">
        <v>0</v>
      </c>
      <c r="M702" s="7">
        <v>1.3</v>
      </c>
      <c r="N702" s="7">
        <v>28.6</v>
      </c>
    </row>
    <row r="703" spans="1:14" ht="19.95" customHeight="1">
      <c r="A703" s="6">
        <v>45628</v>
      </c>
      <c r="B703" t="s">
        <v>62</v>
      </c>
      <c r="C703">
        <v>0</v>
      </c>
      <c r="D703">
        <v>12</v>
      </c>
      <c r="E703">
        <v>337</v>
      </c>
      <c r="F703">
        <v>0</v>
      </c>
      <c r="G703">
        <v>0</v>
      </c>
      <c r="I703">
        <v>0</v>
      </c>
      <c r="J703">
        <v>0</v>
      </c>
      <c r="K703">
        <v>0</v>
      </c>
      <c r="L703">
        <v>0</v>
      </c>
      <c r="M703" s="7">
        <v>2.8</v>
      </c>
      <c r="N703" s="7">
        <v>29.2</v>
      </c>
    </row>
    <row r="704" spans="1:14" ht="19.95" customHeight="1">
      <c r="A704" s="6">
        <v>45629</v>
      </c>
      <c r="B704" t="s">
        <v>63</v>
      </c>
      <c r="C704">
        <v>1</v>
      </c>
      <c r="D704">
        <v>12</v>
      </c>
      <c r="E704">
        <v>338</v>
      </c>
      <c r="F704">
        <v>0</v>
      </c>
      <c r="G704">
        <v>0</v>
      </c>
      <c r="I704">
        <v>0</v>
      </c>
      <c r="J704">
        <v>0</v>
      </c>
      <c r="K704">
        <v>0</v>
      </c>
      <c r="L704">
        <v>0</v>
      </c>
      <c r="M704" s="7">
        <v>0</v>
      </c>
      <c r="N704" s="7">
        <v>29.4</v>
      </c>
    </row>
    <row r="705" spans="1:14" ht="19.95" customHeight="1">
      <c r="A705" s="6">
        <v>45630</v>
      </c>
      <c r="B705" t="s">
        <v>64</v>
      </c>
      <c r="C705">
        <v>2</v>
      </c>
      <c r="D705">
        <v>12</v>
      </c>
      <c r="E705">
        <v>339</v>
      </c>
      <c r="F705">
        <v>0</v>
      </c>
      <c r="G705">
        <v>0</v>
      </c>
      <c r="I705">
        <v>0</v>
      </c>
      <c r="J705">
        <v>0</v>
      </c>
      <c r="K705">
        <v>0</v>
      </c>
      <c r="L705">
        <v>0</v>
      </c>
      <c r="M705" s="7">
        <v>2.6</v>
      </c>
      <c r="N705" s="7">
        <v>29.8</v>
      </c>
    </row>
    <row r="706" spans="1:14" ht="19.95" customHeight="1">
      <c r="A706" s="6">
        <v>45631</v>
      </c>
      <c r="B706" t="s">
        <v>65</v>
      </c>
      <c r="C706">
        <v>3</v>
      </c>
      <c r="D706">
        <v>12</v>
      </c>
      <c r="E706">
        <v>340</v>
      </c>
      <c r="F706">
        <v>0</v>
      </c>
      <c r="G706">
        <v>0</v>
      </c>
      <c r="I706">
        <v>0</v>
      </c>
      <c r="J706">
        <v>0</v>
      </c>
      <c r="K706">
        <v>0</v>
      </c>
      <c r="L706">
        <v>0</v>
      </c>
      <c r="M706" s="7">
        <v>0</v>
      </c>
      <c r="N706" s="7">
        <v>28.8</v>
      </c>
    </row>
    <row r="707" spans="1:14" ht="19.95" customHeight="1">
      <c r="A707" s="6">
        <v>45632</v>
      </c>
      <c r="B707" t="s">
        <v>66</v>
      </c>
      <c r="C707">
        <v>4</v>
      </c>
      <c r="D707">
        <v>12</v>
      </c>
      <c r="E707">
        <v>341</v>
      </c>
      <c r="F707">
        <v>0</v>
      </c>
      <c r="G707">
        <v>0</v>
      </c>
      <c r="I707">
        <v>0</v>
      </c>
      <c r="J707">
        <v>0</v>
      </c>
      <c r="K707">
        <v>0</v>
      </c>
      <c r="L707">
        <v>0</v>
      </c>
      <c r="M707" s="7">
        <v>0</v>
      </c>
      <c r="N707" s="7">
        <v>28.7</v>
      </c>
    </row>
    <row r="708" spans="1:14" ht="19.95" customHeight="1">
      <c r="A708" s="6">
        <v>45633</v>
      </c>
      <c r="B708" t="s">
        <v>67</v>
      </c>
      <c r="C708">
        <v>5</v>
      </c>
      <c r="D708">
        <v>12</v>
      </c>
      <c r="E708">
        <v>342</v>
      </c>
      <c r="F708">
        <v>1</v>
      </c>
      <c r="G708">
        <v>0</v>
      </c>
      <c r="I708">
        <v>0</v>
      </c>
      <c r="J708">
        <v>0</v>
      </c>
      <c r="K708">
        <v>0</v>
      </c>
      <c r="L708">
        <v>0</v>
      </c>
      <c r="M708" s="7">
        <v>3.6</v>
      </c>
      <c r="N708" s="7">
        <v>29.7</v>
      </c>
    </row>
    <row r="709" spans="1:14" ht="19.95" customHeight="1">
      <c r="A709" s="6">
        <v>45634</v>
      </c>
      <c r="B709" t="s">
        <v>60</v>
      </c>
      <c r="C709">
        <v>6</v>
      </c>
      <c r="D709">
        <v>12</v>
      </c>
      <c r="E709">
        <v>343</v>
      </c>
      <c r="F709">
        <v>1</v>
      </c>
      <c r="G709">
        <v>0</v>
      </c>
      <c r="I709">
        <v>0</v>
      </c>
      <c r="J709">
        <v>0</v>
      </c>
      <c r="K709">
        <v>0</v>
      </c>
      <c r="L709">
        <v>0</v>
      </c>
      <c r="M709" s="7">
        <v>0</v>
      </c>
      <c r="N709" s="7">
        <v>28.9</v>
      </c>
    </row>
    <row r="710" spans="1:14" ht="19.95" customHeight="1">
      <c r="A710" s="6">
        <v>45635</v>
      </c>
      <c r="B710" t="s">
        <v>62</v>
      </c>
      <c r="C710">
        <v>0</v>
      </c>
      <c r="D710">
        <v>12</v>
      </c>
      <c r="E710">
        <v>344</v>
      </c>
      <c r="F710">
        <v>0</v>
      </c>
      <c r="G710">
        <v>0</v>
      </c>
      <c r="I710">
        <v>0</v>
      </c>
      <c r="J710">
        <v>0</v>
      </c>
      <c r="K710">
        <v>0</v>
      </c>
      <c r="L710">
        <v>0</v>
      </c>
      <c r="M710" s="7">
        <v>0.6</v>
      </c>
      <c r="N710" s="7">
        <v>29.4</v>
      </c>
    </row>
    <row r="711" spans="1:14" ht="19.95" customHeight="1">
      <c r="A711" s="6">
        <v>45636</v>
      </c>
      <c r="B711" t="s">
        <v>63</v>
      </c>
      <c r="C711">
        <v>1</v>
      </c>
      <c r="D711">
        <v>12</v>
      </c>
      <c r="E711">
        <v>345</v>
      </c>
      <c r="F711">
        <v>0</v>
      </c>
      <c r="G711">
        <v>0</v>
      </c>
      <c r="I711">
        <v>0</v>
      </c>
      <c r="J711">
        <v>0</v>
      </c>
      <c r="K711">
        <v>0</v>
      </c>
      <c r="L711">
        <v>0</v>
      </c>
      <c r="M711" s="7">
        <v>1.5</v>
      </c>
      <c r="N711" s="7">
        <v>28.4</v>
      </c>
    </row>
    <row r="712" spans="1:14" ht="19.95" customHeight="1">
      <c r="A712" s="6">
        <v>45637</v>
      </c>
      <c r="B712" t="s">
        <v>64</v>
      </c>
      <c r="C712">
        <v>2</v>
      </c>
      <c r="D712">
        <v>12</v>
      </c>
      <c r="E712">
        <v>346</v>
      </c>
      <c r="F712">
        <v>0</v>
      </c>
      <c r="G712">
        <v>0</v>
      </c>
      <c r="I712">
        <v>0</v>
      </c>
      <c r="J712">
        <v>0</v>
      </c>
      <c r="K712">
        <v>0</v>
      </c>
      <c r="L712">
        <v>0</v>
      </c>
      <c r="M712" s="7">
        <v>3.2</v>
      </c>
      <c r="N712" s="7">
        <v>29.9</v>
      </c>
    </row>
    <row r="713" spans="1:14" ht="19.95" customHeight="1">
      <c r="A713" s="6">
        <v>45638</v>
      </c>
      <c r="B713" t="s">
        <v>65</v>
      </c>
      <c r="C713">
        <v>3</v>
      </c>
      <c r="D713">
        <v>12</v>
      </c>
      <c r="E713">
        <v>347</v>
      </c>
      <c r="F713">
        <v>0</v>
      </c>
      <c r="G713">
        <v>0</v>
      </c>
      <c r="I713">
        <v>0</v>
      </c>
      <c r="J713">
        <v>0</v>
      </c>
      <c r="K713">
        <v>0</v>
      </c>
      <c r="L713">
        <v>0</v>
      </c>
      <c r="M713" s="7">
        <v>2.9</v>
      </c>
      <c r="N713" s="7">
        <v>29.7</v>
      </c>
    </row>
    <row r="714" spans="1:14" ht="19.95" customHeight="1">
      <c r="A714" s="6">
        <v>45639</v>
      </c>
      <c r="B714" t="s">
        <v>66</v>
      </c>
      <c r="C714">
        <v>4</v>
      </c>
      <c r="D714">
        <v>12</v>
      </c>
      <c r="E714">
        <v>348</v>
      </c>
      <c r="F714">
        <v>0</v>
      </c>
      <c r="G714">
        <v>0</v>
      </c>
      <c r="I714">
        <v>0</v>
      </c>
      <c r="J714">
        <v>0</v>
      </c>
      <c r="K714">
        <v>0</v>
      </c>
      <c r="L714">
        <v>0</v>
      </c>
      <c r="M714" s="7">
        <v>0</v>
      </c>
      <c r="N714" s="7">
        <v>27.7</v>
      </c>
    </row>
    <row r="715" spans="1:14" ht="19.95" customHeight="1">
      <c r="A715" s="6">
        <v>45640</v>
      </c>
      <c r="B715" t="s">
        <v>67</v>
      </c>
      <c r="C715">
        <v>5</v>
      </c>
      <c r="D715">
        <v>12</v>
      </c>
      <c r="E715">
        <v>349</v>
      </c>
      <c r="F715">
        <v>1</v>
      </c>
      <c r="G715">
        <v>0</v>
      </c>
      <c r="I715">
        <v>0</v>
      </c>
      <c r="J715">
        <v>0</v>
      </c>
      <c r="K715">
        <v>0</v>
      </c>
      <c r="L715">
        <v>0</v>
      </c>
      <c r="M715" s="7">
        <v>1.8</v>
      </c>
      <c r="N715" s="7">
        <v>28.2</v>
      </c>
    </row>
    <row r="716" spans="1:14" ht="19.95" customHeight="1">
      <c r="A716" s="6">
        <v>45641</v>
      </c>
      <c r="B716" t="s">
        <v>60</v>
      </c>
      <c r="C716">
        <v>6</v>
      </c>
      <c r="D716">
        <v>12</v>
      </c>
      <c r="E716">
        <v>350</v>
      </c>
      <c r="F716">
        <v>1</v>
      </c>
      <c r="G716">
        <v>0</v>
      </c>
      <c r="I716">
        <v>1</v>
      </c>
      <c r="J716">
        <v>0</v>
      </c>
      <c r="K716">
        <v>0</v>
      </c>
      <c r="L716">
        <v>0</v>
      </c>
      <c r="M716" s="7">
        <v>0</v>
      </c>
      <c r="N716" s="7">
        <v>28.6</v>
      </c>
    </row>
    <row r="717" spans="1:14" ht="19.95" customHeight="1">
      <c r="A717" s="6">
        <v>45642</v>
      </c>
      <c r="B717" t="s">
        <v>62</v>
      </c>
      <c r="C717">
        <v>0</v>
      </c>
      <c r="D717">
        <v>12</v>
      </c>
      <c r="E717">
        <v>351</v>
      </c>
      <c r="F717">
        <v>0</v>
      </c>
      <c r="G717">
        <v>0</v>
      </c>
      <c r="I717">
        <v>1</v>
      </c>
      <c r="J717">
        <v>0</v>
      </c>
      <c r="K717">
        <v>0</v>
      </c>
      <c r="L717">
        <v>0</v>
      </c>
      <c r="M717" s="7">
        <v>0</v>
      </c>
      <c r="N717" s="7">
        <v>29.5</v>
      </c>
    </row>
    <row r="718" spans="1:14" ht="19.95" customHeight="1">
      <c r="A718" s="6">
        <v>45643</v>
      </c>
      <c r="B718" t="s">
        <v>63</v>
      </c>
      <c r="C718">
        <v>1</v>
      </c>
      <c r="D718">
        <v>12</v>
      </c>
      <c r="E718">
        <v>352</v>
      </c>
      <c r="F718">
        <v>0</v>
      </c>
      <c r="G718">
        <v>0</v>
      </c>
      <c r="I718">
        <v>1</v>
      </c>
      <c r="J718">
        <v>0</v>
      </c>
      <c r="K718">
        <v>0</v>
      </c>
      <c r="L718">
        <v>0</v>
      </c>
      <c r="M718" s="7">
        <v>0.7</v>
      </c>
      <c r="N718" s="7">
        <v>28.8</v>
      </c>
    </row>
    <row r="719" spans="1:14" ht="19.95" customHeight="1">
      <c r="A719" s="6">
        <v>45644</v>
      </c>
      <c r="B719" t="s">
        <v>64</v>
      </c>
      <c r="C719">
        <v>2</v>
      </c>
      <c r="D719">
        <v>12</v>
      </c>
      <c r="E719">
        <v>353</v>
      </c>
      <c r="F719">
        <v>0</v>
      </c>
      <c r="G719">
        <v>0</v>
      </c>
      <c r="I719">
        <v>1</v>
      </c>
      <c r="J719">
        <v>0</v>
      </c>
      <c r="K719">
        <v>0</v>
      </c>
      <c r="L719">
        <v>0</v>
      </c>
      <c r="M719" s="7">
        <v>0</v>
      </c>
      <c r="N719" s="7">
        <v>28.3</v>
      </c>
    </row>
    <row r="720" spans="1:14" ht="19.95" customHeight="1">
      <c r="A720" s="6">
        <v>45645</v>
      </c>
      <c r="B720" t="s">
        <v>65</v>
      </c>
      <c r="C720">
        <v>3</v>
      </c>
      <c r="D720">
        <v>12</v>
      </c>
      <c r="E720">
        <v>354</v>
      </c>
      <c r="F720">
        <v>0</v>
      </c>
      <c r="G720">
        <v>0</v>
      </c>
      <c r="I720">
        <v>1</v>
      </c>
      <c r="J720">
        <v>0</v>
      </c>
      <c r="K720">
        <v>0</v>
      </c>
      <c r="L720">
        <v>0</v>
      </c>
      <c r="M720" s="7">
        <v>1.2</v>
      </c>
      <c r="N720" s="7">
        <v>29.1</v>
      </c>
    </row>
    <row r="721" spans="1:14" ht="19.95" customHeight="1">
      <c r="A721" s="6">
        <v>45646</v>
      </c>
      <c r="B721" t="s">
        <v>66</v>
      </c>
      <c r="C721">
        <v>4</v>
      </c>
      <c r="D721">
        <v>12</v>
      </c>
      <c r="E721">
        <v>355</v>
      </c>
      <c r="F721">
        <v>0</v>
      </c>
      <c r="G721">
        <v>0</v>
      </c>
      <c r="I721">
        <v>1</v>
      </c>
      <c r="J721">
        <v>0</v>
      </c>
      <c r="K721">
        <v>0</v>
      </c>
      <c r="L721">
        <v>0</v>
      </c>
      <c r="M721" s="7">
        <v>3.7</v>
      </c>
      <c r="N721" s="7">
        <v>29.2</v>
      </c>
    </row>
    <row r="722" spans="1:14" ht="19.95" customHeight="1">
      <c r="A722" s="6">
        <v>45647</v>
      </c>
      <c r="B722" t="s">
        <v>67</v>
      </c>
      <c r="C722">
        <v>5</v>
      </c>
      <c r="D722">
        <v>12</v>
      </c>
      <c r="E722">
        <v>356</v>
      </c>
      <c r="F722">
        <v>1</v>
      </c>
      <c r="G722">
        <v>0</v>
      </c>
      <c r="I722">
        <v>1</v>
      </c>
      <c r="J722">
        <v>0</v>
      </c>
      <c r="K722">
        <v>0</v>
      </c>
      <c r="L722">
        <v>0</v>
      </c>
      <c r="M722" s="7">
        <v>0</v>
      </c>
      <c r="N722" s="7">
        <v>28.7</v>
      </c>
    </row>
    <row r="723" spans="1:14" ht="19.95" customHeight="1">
      <c r="A723" s="6">
        <v>45648</v>
      </c>
      <c r="B723" t="s">
        <v>60</v>
      </c>
      <c r="C723">
        <v>6</v>
      </c>
      <c r="D723">
        <v>12</v>
      </c>
      <c r="E723">
        <v>357</v>
      </c>
      <c r="F723">
        <v>1</v>
      </c>
      <c r="G723">
        <v>0</v>
      </c>
      <c r="I723">
        <v>1</v>
      </c>
      <c r="J723">
        <v>0</v>
      </c>
      <c r="K723">
        <v>0</v>
      </c>
      <c r="L723">
        <v>0</v>
      </c>
      <c r="M723" s="7">
        <v>0.4</v>
      </c>
      <c r="N723" s="7">
        <v>29</v>
      </c>
    </row>
    <row r="724" spans="1:14" ht="19.95" customHeight="1">
      <c r="A724" s="6">
        <v>45649</v>
      </c>
      <c r="B724" t="s">
        <v>62</v>
      </c>
      <c r="C724">
        <v>0</v>
      </c>
      <c r="D724">
        <v>12</v>
      </c>
      <c r="E724">
        <v>358</v>
      </c>
      <c r="F724">
        <v>0</v>
      </c>
      <c r="G724">
        <v>0</v>
      </c>
      <c r="I724">
        <v>1</v>
      </c>
      <c r="J724">
        <v>0</v>
      </c>
      <c r="K724">
        <v>0</v>
      </c>
      <c r="L724">
        <v>0</v>
      </c>
      <c r="M724" s="7">
        <v>1.9</v>
      </c>
      <c r="N724" s="7">
        <v>28.5</v>
      </c>
    </row>
    <row r="725" spans="1:14" ht="19.95" customHeight="1">
      <c r="A725" s="6">
        <v>45650</v>
      </c>
      <c r="B725" t="s">
        <v>63</v>
      </c>
      <c r="C725">
        <v>1</v>
      </c>
      <c r="D725">
        <v>12</v>
      </c>
      <c r="E725">
        <v>359</v>
      </c>
      <c r="F725">
        <v>0</v>
      </c>
      <c r="G725">
        <v>0</v>
      </c>
      <c r="I725">
        <v>1</v>
      </c>
      <c r="J725">
        <v>0</v>
      </c>
      <c r="K725">
        <v>0</v>
      </c>
      <c r="L725">
        <v>0</v>
      </c>
      <c r="M725" s="7">
        <v>0.4</v>
      </c>
      <c r="N725" s="7">
        <v>30.4</v>
      </c>
    </row>
    <row r="726" spans="1:14" ht="19.95" customHeight="1">
      <c r="A726" s="6">
        <v>45651</v>
      </c>
      <c r="B726" t="s">
        <v>64</v>
      </c>
      <c r="C726">
        <v>2</v>
      </c>
      <c r="D726">
        <v>12</v>
      </c>
      <c r="E726">
        <v>360</v>
      </c>
      <c r="F726">
        <v>0</v>
      </c>
      <c r="G726">
        <v>1</v>
      </c>
      <c r="H726" t="s">
        <v>76</v>
      </c>
      <c r="I726">
        <v>1</v>
      </c>
      <c r="J726">
        <v>0</v>
      </c>
      <c r="K726">
        <v>0</v>
      </c>
      <c r="L726">
        <v>0</v>
      </c>
      <c r="M726" s="7">
        <v>1.9</v>
      </c>
      <c r="N726" s="7">
        <v>29.3</v>
      </c>
    </row>
    <row r="727" spans="1:14" ht="19.95" customHeight="1">
      <c r="A727" s="6">
        <v>45652</v>
      </c>
      <c r="B727" t="s">
        <v>65</v>
      </c>
      <c r="C727">
        <v>3</v>
      </c>
      <c r="D727">
        <v>12</v>
      </c>
      <c r="E727">
        <v>361</v>
      </c>
      <c r="F727">
        <v>0</v>
      </c>
      <c r="G727">
        <v>0</v>
      </c>
      <c r="I727">
        <v>1</v>
      </c>
      <c r="J727">
        <v>0</v>
      </c>
      <c r="K727">
        <v>0</v>
      </c>
      <c r="L727">
        <v>0</v>
      </c>
      <c r="M727" s="7">
        <v>3</v>
      </c>
      <c r="N727" s="7">
        <v>28.6</v>
      </c>
    </row>
    <row r="728" spans="1:14" ht="19.95" customHeight="1">
      <c r="A728" s="6">
        <v>45653</v>
      </c>
      <c r="B728" t="s">
        <v>66</v>
      </c>
      <c r="C728">
        <v>4</v>
      </c>
      <c r="D728">
        <v>12</v>
      </c>
      <c r="E728">
        <v>362</v>
      </c>
      <c r="F728">
        <v>0</v>
      </c>
      <c r="G728">
        <v>0</v>
      </c>
      <c r="I728">
        <v>1</v>
      </c>
      <c r="J728">
        <v>0</v>
      </c>
      <c r="K728">
        <v>0</v>
      </c>
      <c r="L728">
        <v>0</v>
      </c>
      <c r="M728" s="7">
        <v>2.2999999999999998</v>
      </c>
      <c r="N728" s="7">
        <v>29.5</v>
      </c>
    </row>
    <row r="729" spans="1:14" ht="19.95" customHeight="1">
      <c r="A729" s="6">
        <v>45654</v>
      </c>
      <c r="B729" t="s">
        <v>67</v>
      </c>
      <c r="C729">
        <v>5</v>
      </c>
      <c r="D729">
        <v>12</v>
      </c>
      <c r="E729">
        <v>363</v>
      </c>
      <c r="F729">
        <v>1</v>
      </c>
      <c r="G729">
        <v>0</v>
      </c>
      <c r="I729">
        <v>1</v>
      </c>
      <c r="J729">
        <v>0</v>
      </c>
      <c r="K729">
        <v>1</v>
      </c>
      <c r="L729">
        <v>0</v>
      </c>
      <c r="M729" s="7">
        <v>0</v>
      </c>
      <c r="N729" s="7">
        <v>28.3</v>
      </c>
    </row>
    <row r="730" spans="1:14" ht="19.95" customHeight="1">
      <c r="A730" s="6">
        <v>45655</v>
      </c>
      <c r="B730" t="s">
        <v>60</v>
      </c>
      <c r="C730">
        <v>6</v>
      </c>
      <c r="D730">
        <v>12</v>
      </c>
      <c r="E730">
        <v>364</v>
      </c>
      <c r="F730">
        <v>1</v>
      </c>
      <c r="G730">
        <v>0</v>
      </c>
      <c r="I730">
        <v>1</v>
      </c>
      <c r="J730">
        <v>0</v>
      </c>
      <c r="K730">
        <v>1</v>
      </c>
      <c r="L730">
        <v>0</v>
      </c>
      <c r="M730" s="7">
        <v>1.3</v>
      </c>
      <c r="N730" s="7">
        <v>27.7</v>
      </c>
    </row>
    <row r="731" spans="1:14" ht="19.95" customHeight="1">
      <c r="A731" s="6">
        <v>45656</v>
      </c>
      <c r="B731" t="s">
        <v>62</v>
      </c>
      <c r="C731">
        <v>0</v>
      </c>
      <c r="D731">
        <v>12</v>
      </c>
      <c r="E731">
        <v>365</v>
      </c>
      <c r="F731">
        <v>0</v>
      </c>
      <c r="G731">
        <v>0</v>
      </c>
      <c r="I731">
        <v>1</v>
      </c>
      <c r="J731">
        <v>0</v>
      </c>
      <c r="K731">
        <v>1</v>
      </c>
      <c r="L731">
        <v>0</v>
      </c>
      <c r="M731" s="7">
        <v>0</v>
      </c>
      <c r="N731" s="7">
        <v>30</v>
      </c>
    </row>
    <row r="732" spans="1:14" ht="19.95" customHeight="1">
      <c r="A732" s="6">
        <v>45657</v>
      </c>
      <c r="B732" t="s">
        <v>63</v>
      </c>
      <c r="C732">
        <v>1</v>
      </c>
      <c r="D732">
        <v>12</v>
      </c>
      <c r="E732">
        <v>366</v>
      </c>
      <c r="F732">
        <v>0</v>
      </c>
      <c r="G732">
        <v>0</v>
      </c>
      <c r="I732">
        <v>1</v>
      </c>
      <c r="J732">
        <v>0</v>
      </c>
      <c r="K732">
        <v>1</v>
      </c>
      <c r="L732">
        <v>0</v>
      </c>
      <c r="M732" s="7">
        <v>1.6</v>
      </c>
      <c r="N732" s="7">
        <v>29.4</v>
      </c>
    </row>
    <row r="733" spans="1:14" ht="19.95" customHeight="1">
      <c r="A733" s="6">
        <v>45658</v>
      </c>
      <c r="B733" t="s">
        <v>64</v>
      </c>
      <c r="C733">
        <v>2</v>
      </c>
      <c r="D733">
        <v>1</v>
      </c>
      <c r="E733">
        <v>1</v>
      </c>
      <c r="F733">
        <v>0</v>
      </c>
      <c r="G733">
        <v>1</v>
      </c>
      <c r="H733" t="s">
        <v>61</v>
      </c>
      <c r="I733">
        <v>1</v>
      </c>
      <c r="J733">
        <v>0</v>
      </c>
      <c r="K733">
        <v>1</v>
      </c>
      <c r="L733">
        <v>0</v>
      </c>
      <c r="M733" s="7">
        <v>5.9</v>
      </c>
      <c r="N733" s="7">
        <v>29.6</v>
      </c>
    </row>
    <row r="734" spans="1:14" ht="19.95" customHeight="1">
      <c r="A734" s="6">
        <v>45659</v>
      </c>
      <c r="B734" t="s">
        <v>65</v>
      </c>
      <c r="C734">
        <v>3</v>
      </c>
      <c r="D734">
        <v>1</v>
      </c>
      <c r="E734">
        <v>2</v>
      </c>
      <c r="F734">
        <v>0</v>
      </c>
      <c r="G734">
        <v>0</v>
      </c>
      <c r="I734">
        <v>1</v>
      </c>
      <c r="J734">
        <v>0</v>
      </c>
      <c r="K734">
        <v>1</v>
      </c>
      <c r="L734">
        <v>0</v>
      </c>
      <c r="M734" s="7">
        <v>16.100000000000001</v>
      </c>
      <c r="N734" s="7">
        <v>29.5</v>
      </c>
    </row>
    <row r="735" spans="1:14" ht="19.95" customHeight="1">
      <c r="A735" s="6">
        <v>45660</v>
      </c>
      <c r="B735" t="s">
        <v>66</v>
      </c>
      <c r="C735">
        <v>4</v>
      </c>
      <c r="D735">
        <v>1</v>
      </c>
      <c r="E735">
        <v>3</v>
      </c>
      <c r="F735">
        <v>0</v>
      </c>
      <c r="G735">
        <v>0</v>
      </c>
      <c r="I735">
        <v>1</v>
      </c>
      <c r="J735">
        <v>0</v>
      </c>
      <c r="K735">
        <v>0</v>
      </c>
      <c r="L735">
        <v>0</v>
      </c>
      <c r="M735" s="7">
        <v>6.6</v>
      </c>
      <c r="N735" s="7">
        <v>28.2</v>
      </c>
    </row>
    <row r="736" spans="1:14" ht="19.95" customHeight="1">
      <c r="A736" s="6">
        <v>45661</v>
      </c>
      <c r="B736" t="s">
        <v>67</v>
      </c>
      <c r="C736">
        <v>5</v>
      </c>
      <c r="D736">
        <v>1</v>
      </c>
      <c r="E736">
        <v>4</v>
      </c>
      <c r="F736">
        <v>1</v>
      </c>
      <c r="G736">
        <v>0</v>
      </c>
      <c r="I736">
        <v>1</v>
      </c>
      <c r="J736">
        <v>0</v>
      </c>
      <c r="K736">
        <v>0</v>
      </c>
      <c r="L736">
        <v>0</v>
      </c>
      <c r="M736" s="7">
        <v>5.0999999999999996</v>
      </c>
      <c r="N736" s="7">
        <v>28.2</v>
      </c>
    </row>
    <row r="737" spans="1:14" ht="19.95" customHeight="1">
      <c r="A737" s="6">
        <v>45662</v>
      </c>
      <c r="B737" t="s">
        <v>60</v>
      </c>
      <c r="C737">
        <v>6</v>
      </c>
      <c r="D737">
        <v>1</v>
      </c>
      <c r="E737">
        <v>5</v>
      </c>
      <c r="F737">
        <v>1</v>
      </c>
      <c r="G737">
        <v>0</v>
      </c>
      <c r="I737">
        <v>1</v>
      </c>
      <c r="J737">
        <v>0</v>
      </c>
      <c r="K737">
        <v>0</v>
      </c>
      <c r="L737">
        <v>0</v>
      </c>
      <c r="M737" s="7">
        <v>0</v>
      </c>
      <c r="N737" s="7">
        <v>27.8</v>
      </c>
    </row>
    <row r="738" spans="1:14" ht="19.95" customHeight="1">
      <c r="A738" s="6">
        <v>45663</v>
      </c>
      <c r="B738" t="s">
        <v>62</v>
      </c>
      <c r="C738">
        <v>0</v>
      </c>
      <c r="D738">
        <v>1</v>
      </c>
      <c r="E738">
        <v>6</v>
      </c>
      <c r="F738">
        <v>0</v>
      </c>
      <c r="G738">
        <v>0</v>
      </c>
      <c r="I738">
        <v>1</v>
      </c>
      <c r="J738">
        <v>0</v>
      </c>
      <c r="K738">
        <v>0</v>
      </c>
      <c r="L738">
        <v>0</v>
      </c>
      <c r="M738" s="7">
        <v>0.6</v>
      </c>
      <c r="N738" s="7">
        <v>28.7</v>
      </c>
    </row>
    <row r="739" spans="1:14" ht="19.95" customHeight="1">
      <c r="A739" s="6">
        <v>45664</v>
      </c>
      <c r="B739" t="s">
        <v>63</v>
      </c>
      <c r="C739">
        <v>1</v>
      </c>
      <c r="D739">
        <v>1</v>
      </c>
      <c r="E739">
        <v>7</v>
      </c>
      <c r="F739">
        <v>0</v>
      </c>
      <c r="G739">
        <v>0</v>
      </c>
      <c r="I739">
        <v>1</v>
      </c>
      <c r="J739">
        <v>0</v>
      </c>
      <c r="K739">
        <v>0</v>
      </c>
      <c r="L739">
        <v>0</v>
      </c>
      <c r="M739" s="7">
        <v>6.2</v>
      </c>
      <c r="N739" s="7">
        <v>28.2</v>
      </c>
    </row>
    <row r="740" spans="1:14" ht="19.95" customHeight="1">
      <c r="A740" s="6">
        <v>45665</v>
      </c>
      <c r="B740" t="s">
        <v>64</v>
      </c>
      <c r="C740">
        <v>2</v>
      </c>
      <c r="D740">
        <v>1</v>
      </c>
      <c r="E740">
        <v>8</v>
      </c>
      <c r="F740">
        <v>0</v>
      </c>
      <c r="G740">
        <v>0</v>
      </c>
      <c r="I740">
        <v>1</v>
      </c>
      <c r="J740">
        <v>0</v>
      </c>
      <c r="K740">
        <v>0</v>
      </c>
      <c r="L740">
        <v>0</v>
      </c>
      <c r="M740" s="7">
        <v>20.5</v>
      </c>
      <c r="N740" s="7">
        <v>28.6</v>
      </c>
    </row>
    <row r="741" spans="1:14" ht="19.95" customHeight="1">
      <c r="A741" s="6">
        <v>45666</v>
      </c>
      <c r="B741" t="s">
        <v>65</v>
      </c>
      <c r="C741">
        <v>3</v>
      </c>
      <c r="D741">
        <v>1</v>
      </c>
      <c r="E741">
        <v>9</v>
      </c>
      <c r="F741">
        <v>0</v>
      </c>
      <c r="G741">
        <v>0</v>
      </c>
      <c r="I741">
        <v>1</v>
      </c>
      <c r="J741">
        <v>0</v>
      </c>
      <c r="K741">
        <v>0</v>
      </c>
      <c r="L741">
        <v>0</v>
      </c>
      <c r="M741" s="7">
        <v>0</v>
      </c>
      <c r="N741" s="7">
        <v>28.3</v>
      </c>
    </row>
    <row r="742" spans="1:14" ht="19.95" customHeight="1">
      <c r="A742" s="6">
        <v>45667</v>
      </c>
      <c r="B742" t="s">
        <v>66</v>
      </c>
      <c r="C742">
        <v>4</v>
      </c>
      <c r="D742">
        <v>1</v>
      </c>
      <c r="E742">
        <v>10</v>
      </c>
      <c r="F742">
        <v>0</v>
      </c>
      <c r="G742">
        <v>0</v>
      </c>
      <c r="I742">
        <v>1</v>
      </c>
      <c r="J742">
        <v>0</v>
      </c>
      <c r="K742">
        <v>0</v>
      </c>
      <c r="L742">
        <v>0</v>
      </c>
      <c r="M742" s="7">
        <v>3.3</v>
      </c>
      <c r="N742" s="7">
        <v>27.4</v>
      </c>
    </row>
    <row r="743" spans="1:14" ht="19.95" customHeight="1">
      <c r="A743" s="6">
        <v>45668</v>
      </c>
      <c r="B743" t="s">
        <v>67</v>
      </c>
      <c r="C743">
        <v>5</v>
      </c>
      <c r="D743">
        <v>1</v>
      </c>
      <c r="E743">
        <v>11</v>
      </c>
      <c r="F743">
        <v>1</v>
      </c>
      <c r="G743">
        <v>0</v>
      </c>
      <c r="I743">
        <v>1</v>
      </c>
      <c r="J743">
        <v>0</v>
      </c>
      <c r="K743">
        <v>0</v>
      </c>
      <c r="L743">
        <v>0</v>
      </c>
      <c r="M743" s="7">
        <v>8.4</v>
      </c>
      <c r="N743" s="7">
        <v>29.5</v>
      </c>
    </row>
    <row r="744" spans="1:14" ht="19.95" customHeight="1">
      <c r="A744" s="6">
        <v>45669</v>
      </c>
      <c r="B744" t="s">
        <v>60</v>
      </c>
      <c r="C744">
        <v>6</v>
      </c>
      <c r="D744">
        <v>1</v>
      </c>
      <c r="E744">
        <v>12</v>
      </c>
      <c r="F744">
        <v>1</v>
      </c>
      <c r="G744">
        <v>0</v>
      </c>
      <c r="I744">
        <v>1</v>
      </c>
      <c r="J744">
        <v>0</v>
      </c>
      <c r="K744">
        <v>0</v>
      </c>
      <c r="L744">
        <v>0</v>
      </c>
      <c r="M744" s="7">
        <v>8.6999999999999993</v>
      </c>
      <c r="N744" s="7">
        <v>29</v>
      </c>
    </row>
    <row r="745" spans="1:14" ht="19.95" customHeight="1">
      <c r="A745" s="6">
        <v>45670</v>
      </c>
      <c r="B745" t="s">
        <v>62</v>
      </c>
      <c r="C745">
        <v>0</v>
      </c>
      <c r="D745">
        <v>1</v>
      </c>
      <c r="E745">
        <v>13</v>
      </c>
      <c r="F745">
        <v>0</v>
      </c>
      <c r="G745">
        <v>0</v>
      </c>
      <c r="I745">
        <v>1</v>
      </c>
      <c r="J745">
        <v>0</v>
      </c>
      <c r="K745">
        <v>0</v>
      </c>
      <c r="L745">
        <v>0</v>
      </c>
      <c r="M745" s="7">
        <v>9.1</v>
      </c>
      <c r="N745" s="7">
        <v>28.2</v>
      </c>
    </row>
    <row r="746" spans="1:14" ht="19.95" customHeight="1">
      <c r="A746" s="6">
        <v>45671</v>
      </c>
      <c r="B746" t="s">
        <v>63</v>
      </c>
      <c r="C746">
        <v>1</v>
      </c>
      <c r="D746">
        <v>1</v>
      </c>
      <c r="E746">
        <v>14</v>
      </c>
      <c r="F746">
        <v>0</v>
      </c>
      <c r="G746">
        <v>0</v>
      </c>
      <c r="I746">
        <v>1</v>
      </c>
      <c r="J746">
        <v>0</v>
      </c>
      <c r="K746">
        <v>0</v>
      </c>
      <c r="L746">
        <v>0</v>
      </c>
      <c r="M746" s="7">
        <v>0</v>
      </c>
      <c r="N746" s="7">
        <v>28.6</v>
      </c>
    </row>
    <row r="747" spans="1:14" ht="19.95" customHeight="1">
      <c r="A747" s="6">
        <v>45672</v>
      </c>
      <c r="B747" t="s">
        <v>64</v>
      </c>
      <c r="C747">
        <v>2</v>
      </c>
      <c r="D747">
        <v>1</v>
      </c>
      <c r="E747">
        <v>15</v>
      </c>
      <c r="F747">
        <v>0</v>
      </c>
      <c r="G747">
        <v>0</v>
      </c>
      <c r="I747">
        <v>1</v>
      </c>
      <c r="J747">
        <v>0</v>
      </c>
      <c r="K747">
        <v>0</v>
      </c>
      <c r="L747">
        <v>0</v>
      </c>
      <c r="M747" s="7">
        <v>2.5</v>
      </c>
      <c r="N747" s="7">
        <v>28.1</v>
      </c>
    </row>
    <row r="748" spans="1:14" ht="19.95" customHeight="1">
      <c r="A748" s="6">
        <v>45673</v>
      </c>
      <c r="B748" t="s">
        <v>65</v>
      </c>
      <c r="C748">
        <v>3</v>
      </c>
      <c r="D748">
        <v>1</v>
      </c>
      <c r="E748">
        <v>16</v>
      </c>
      <c r="F748">
        <v>0</v>
      </c>
      <c r="G748">
        <v>0</v>
      </c>
      <c r="I748">
        <v>1</v>
      </c>
      <c r="J748">
        <v>0</v>
      </c>
      <c r="K748">
        <v>0</v>
      </c>
      <c r="L748">
        <v>0</v>
      </c>
      <c r="M748" s="7">
        <v>0</v>
      </c>
      <c r="N748" s="7">
        <v>29.3</v>
      </c>
    </row>
    <row r="749" spans="1:14" ht="19.95" customHeight="1">
      <c r="A749" s="6">
        <v>45674</v>
      </c>
      <c r="B749" t="s">
        <v>66</v>
      </c>
      <c r="C749">
        <v>4</v>
      </c>
      <c r="D749">
        <v>1</v>
      </c>
      <c r="E749">
        <v>17</v>
      </c>
      <c r="F749">
        <v>0</v>
      </c>
      <c r="G749">
        <v>0</v>
      </c>
      <c r="I749">
        <v>1</v>
      </c>
      <c r="J749">
        <v>0</v>
      </c>
      <c r="K749">
        <v>0</v>
      </c>
      <c r="L749">
        <v>0</v>
      </c>
      <c r="M749" s="7">
        <v>5.2</v>
      </c>
      <c r="N749" s="7">
        <v>27.8</v>
      </c>
    </row>
    <row r="750" spans="1:14" ht="19.95" customHeight="1">
      <c r="A750" s="6">
        <v>45675</v>
      </c>
      <c r="B750" t="s">
        <v>67</v>
      </c>
      <c r="C750">
        <v>5</v>
      </c>
      <c r="D750">
        <v>1</v>
      </c>
      <c r="E750">
        <v>18</v>
      </c>
      <c r="F750">
        <v>1</v>
      </c>
      <c r="G750">
        <v>0</v>
      </c>
      <c r="I750">
        <v>1</v>
      </c>
      <c r="J750">
        <v>0</v>
      </c>
      <c r="K750">
        <v>0</v>
      </c>
      <c r="L750">
        <v>0</v>
      </c>
      <c r="M750" s="7">
        <v>0</v>
      </c>
      <c r="N750" s="7">
        <v>29</v>
      </c>
    </row>
    <row r="751" spans="1:14" ht="19.95" customHeight="1">
      <c r="A751" s="6">
        <v>45676</v>
      </c>
      <c r="B751" t="s">
        <v>60</v>
      </c>
      <c r="C751">
        <v>6</v>
      </c>
      <c r="D751">
        <v>1</v>
      </c>
      <c r="E751">
        <v>19</v>
      </c>
      <c r="F751">
        <v>1</v>
      </c>
      <c r="G751">
        <v>0</v>
      </c>
      <c r="I751">
        <v>1</v>
      </c>
      <c r="J751">
        <v>0</v>
      </c>
      <c r="K751">
        <v>0</v>
      </c>
      <c r="L751">
        <v>0</v>
      </c>
      <c r="M751" s="7">
        <v>0</v>
      </c>
      <c r="N751" s="7">
        <v>29.4</v>
      </c>
    </row>
    <row r="752" spans="1:14" ht="19.95" customHeight="1">
      <c r="A752" s="6">
        <v>45677</v>
      </c>
      <c r="B752" t="s">
        <v>62</v>
      </c>
      <c r="C752">
        <v>0</v>
      </c>
      <c r="D752">
        <v>1</v>
      </c>
      <c r="E752">
        <v>20</v>
      </c>
      <c r="F752">
        <v>0</v>
      </c>
      <c r="G752">
        <v>0</v>
      </c>
      <c r="I752">
        <v>1</v>
      </c>
      <c r="J752">
        <v>0</v>
      </c>
      <c r="K752">
        <v>0</v>
      </c>
      <c r="L752">
        <v>0</v>
      </c>
      <c r="M752" s="7">
        <v>0</v>
      </c>
      <c r="N752" s="7">
        <v>28.9</v>
      </c>
    </row>
    <row r="753" spans="1:14" ht="19.95" customHeight="1">
      <c r="A753" s="6">
        <v>45678</v>
      </c>
      <c r="B753" t="s">
        <v>63</v>
      </c>
      <c r="C753">
        <v>1</v>
      </c>
      <c r="D753">
        <v>1</v>
      </c>
      <c r="E753">
        <v>21</v>
      </c>
      <c r="F753">
        <v>0</v>
      </c>
      <c r="G753">
        <v>0</v>
      </c>
      <c r="I753">
        <v>1</v>
      </c>
      <c r="J753">
        <v>0</v>
      </c>
      <c r="K753">
        <v>0</v>
      </c>
      <c r="L753">
        <v>0</v>
      </c>
      <c r="M753" s="7">
        <v>0</v>
      </c>
      <c r="N753" s="7">
        <v>28.4</v>
      </c>
    </row>
    <row r="754" spans="1:14" ht="19.95" customHeight="1">
      <c r="A754" s="6">
        <v>45679</v>
      </c>
      <c r="B754" t="s">
        <v>64</v>
      </c>
      <c r="C754">
        <v>2</v>
      </c>
      <c r="D754">
        <v>1</v>
      </c>
      <c r="E754">
        <v>22</v>
      </c>
      <c r="F754">
        <v>0</v>
      </c>
      <c r="G754">
        <v>0</v>
      </c>
      <c r="I754">
        <v>1</v>
      </c>
      <c r="J754">
        <v>0</v>
      </c>
      <c r="K754">
        <v>0</v>
      </c>
      <c r="L754">
        <v>0</v>
      </c>
      <c r="M754" s="7">
        <v>0</v>
      </c>
      <c r="N754" s="7">
        <v>27.4</v>
      </c>
    </row>
    <row r="755" spans="1:14" ht="19.95" customHeight="1">
      <c r="A755" s="6">
        <v>45680</v>
      </c>
      <c r="B755" t="s">
        <v>65</v>
      </c>
      <c r="C755">
        <v>3</v>
      </c>
      <c r="D755">
        <v>1</v>
      </c>
      <c r="E755">
        <v>23</v>
      </c>
      <c r="F755">
        <v>0</v>
      </c>
      <c r="G755">
        <v>0</v>
      </c>
      <c r="I755">
        <v>1</v>
      </c>
      <c r="J755">
        <v>0</v>
      </c>
      <c r="K755">
        <v>0</v>
      </c>
      <c r="L755">
        <v>0</v>
      </c>
      <c r="M755" s="7">
        <v>2.8</v>
      </c>
      <c r="N755" s="7">
        <v>28.6</v>
      </c>
    </row>
    <row r="756" spans="1:14" ht="19.95" customHeight="1">
      <c r="A756" s="6">
        <v>45681</v>
      </c>
      <c r="B756" t="s">
        <v>66</v>
      </c>
      <c r="C756">
        <v>4</v>
      </c>
      <c r="D756">
        <v>1</v>
      </c>
      <c r="E756">
        <v>24</v>
      </c>
      <c r="F756">
        <v>0</v>
      </c>
      <c r="G756">
        <v>0</v>
      </c>
      <c r="I756">
        <v>1</v>
      </c>
      <c r="J756">
        <v>0</v>
      </c>
      <c r="K756">
        <v>0</v>
      </c>
      <c r="L756">
        <v>0</v>
      </c>
      <c r="M756" s="7">
        <v>0</v>
      </c>
      <c r="N756" s="7">
        <v>29.3</v>
      </c>
    </row>
    <row r="757" spans="1:14" ht="19.95" customHeight="1">
      <c r="A757" s="6">
        <v>45682</v>
      </c>
      <c r="B757" t="s">
        <v>67</v>
      </c>
      <c r="C757">
        <v>5</v>
      </c>
      <c r="D757">
        <v>1</v>
      </c>
      <c r="E757">
        <v>25</v>
      </c>
      <c r="F757">
        <v>1</v>
      </c>
      <c r="G757">
        <v>0</v>
      </c>
      <c r="I757">
        <v>1</v>
      </c>
      <c r="J757">
        <v>0</v>
      </c>
      <c r="K757">
        <v>0</v>
      </c>
      <c r="L757">
        <v>0</v>
      </c>
      <c r="M757" s="7">
        <v>10.3</v>
      </c>
      <c r="N757" s="7">
        <v>28</v>
      </c>
    </row>
    <row r="758" spans="1:14" ht="19.95" customHeight="1">
      <c r="A758" s="6">
        <v>45683</v>
      </c>
      <c r="B758" t="s">
        <v>60</v>
      </c>
      <c r="C758">
        <v>6</v>
      </c>
      <c r="D758">
        <v>1</v>
      </c>
      <c r="E758">
        <v>26</v>
      </c>
      <c r="F758">
        <v>1</v>
      </c>
      <c r="G758">
        <v>0</v>
      </c>
      <c r="I758">
        <v>1</v>
      </c>
      <c r="J758">
        <v>0</v>
      </c>
      <c r="K758">
        <v>0</v>
      </c>
      <c r="L758">
        <v>0</v>
      </c>
      <c r="M758" s="7">
        <v>0</v>
      </c>
      <c r="N758" s="7">
        <v>29</v>
      </c>
    </row>
    <row r="759" spans="1:14" ht="19.95" customHeight="1">
      <c r="A759" s="6">
        <v>45684</v>
      </c>
      <c r="B759" t="s">
        <v>62</v>
      </c>
      <c r="C759">
        <v>0</v>
      </c>
      <c r="D759">
        <v>1</v>
      </c>
      <c r="E759">
        <v>27</v>
      </c>
      <c r="F759">
        <v>0</v>
      </c>
      <c r="G759">
        <v>0</v>
      </c>
      <c r="I759">
        <v>1</v>
      </c>
      <c r="J759">
        <v>0</v>
      </c>
      <c r="K759">
        <v>0</v>
      </c>
      <c r="L759">
        <v>0</v>
      </c>
      <c r="M759" s="7">
        <v>11</v>
      </c>
      <c r="N759" s="7">
        <v>27.7</v>
      </c>
    </row>
    <row r="760" spans="1:14" ht="19.95" customHeight="1">
      <c r="A760" s="6">
        <v>45685</v>
      </c>
      <c r="B760" t="s">
        <v>63</v>
      </c>
      <c r="C760">
        <v>1</v>
      </c>
      <c r="D760">
        <v>1</v>
      </c>
      <c r="E760">
        <v>28</v>
      </c>
      <c r="F760">
        <v>0</v>
      </c>
      <c r="G760">
        <v>0</v>
      </c>
      <c r="I760">
        <v>1</v>
      </c>
      <c r="J760">
        <v>0</v>
      </c>
      <c r="K760">
        <v>0</v>
      </c>
      <c r="L760">
        <v>0</v>
      </c>
      <c r="M760" s="7">
        <v>0</v>
      </c>
      <c r="N760" s="7">
        <v>27.7</v>
      </c>
    </row>
    <row r="761" spans="1:14" ht="19.95" customHeight="1">
      <c r="A761" s="6">
        <v>45686</v>
      </c>
      <c r="B761" t="s">
        <v>64</v>
      </c>
      <c r="C761">
        <v>2</v>
      </c>
      <c r="D761">
        <v>1</v>
      </c>
      <c r="E761">
        <v>29</v>
      </c>
      <c r="F761">
        <v>0</v>
      </c>
      <c r="G761">
        <v>0</v>
      </c>
      <c r="I761">
        <v>1</v>
      </c>
      <c r="J761">
        <v>0</v>
      </c>
      <c r="K761">
        <v>0</v>
      </c>
      <c r="L761">
        <v>0</v>
      </c>
      <c r="M761" s="7">
        <v>17</v>
      </c>
      <c r="N761" s="7">
        <v>27.7</v>
      </c>
    </row>
    <row r="762" spans="1:14" ht="19.95" customHeight="1">
      <c r="A762" s="6">
        <v>45687</v>
      </c>
      <c r="B762" t="s">
        <v>65</v>
      </c>
      <c r="C762">
        <v>3</v>
      </c>
      <c r="D762">
        <v>1</v>
      </c>
      <c r="E762">
        <v>30</v>
      </c>
      <c r="F762">
        <v>0</v>
      </c>
      <c r="G762">
        <v>0</v>
      </c>
      <c r="I762">
        <v>1</v>
      </c>
      <c r="J762">
        <v>0</v>
      </c>
      <c r="K762">
        <v>0</v>
      </c>
      <c r="L762">
        <v>0</v>
      </c>
      <c r="M762" s="7">
        <v>19.399999999999999</v>
      </c>
      <c r="N762" s="7">
        <v>27.4</v>
      </c>
    </row>
    <row r="763" spans="1:14" ht="19.95" customHeight="1">
      <c r="A763" s="6">
        <v>45688</v>
      </c>
      <c r="B763" t="s">
        <v>66</v>
      </c>
      <c r="C763">
        <v>4</v>
      </c>
      <c r="D763">
        <v>1</v>
      </c>
      <c r="E763">
        <v>31</v>
      </c>
      <c r="F763">
        <v>0</v>
      </c>
      <c r="G763">
        <v>0</v>
      </c>
      <c r="I763">
        <v>1</v>
      </c>
      <c r="J763">
        <v>0</v>
      </c>
      <c r="K763">
        <v>0</v>
      </c>
      <c r="L763">
        <v>0</v>
      </c>
      <c r="M763" s="7">
        <v>0</v>
      </c>
      <c r="N763" s="7">
        <v>27.8</v>
      </c>
    </row>
    <row r="764" spans="1:14" ht="19.95" customHeight="1">
      <c r="A764" s="6">
        <v>45689</v>
      </c>
      <c r="B764" t="s">
        <v>67</v>
      </c>
      <c r="C764">
        <v>5</v>
      </c>
      <c r="D764">
        <v>2</v>
      </c>
      <c r="E764">
        <v>32</v>
      </c>
      <c r="F764">
        <v>1</v>
      </c>
      <c r="G764">
        <v>0</v>
      </c>
      <c r="I764">
        <v>0</v>
      </c>
      <c r="J764">
        <v>0</v>
      </c>
      <c r="K764">
        <v>0</v>
      </c>
      <c r="L764">
        <v>0</v>
      </c>
      <c r="M764" s="7">
        <v>2.2999999999999998</v>
      </c>
      <c r="N764" s="7">
        <v>27.7</v>
      </c>
    </row>
    <row r="765" spans="1:14" ht="19.95" customHeight="1">
      <c r="A765" s="6">
        <v>45690</v>
      </c>
      <c r="B765" t="s">
        <v>60</v>
      </c>
      <c r="C765">
        <v>6</v>
      </c>
      <c r="D765">
        <v>2</v>
      </c>
      <c r="E765">
        <v>33</v>
      </c>
      <c r="F765">
        <v>1</v>
      </c>
      <c r="G765">
        <v>0</v>
      </c>
      <c r="I765">
        <v>0</v>
      </c>
      <c r="J765">
        <v>0</v>
      </c>
      <c r="K765">
        <v>0</v>
      </c>
      <c r="L765">
        <v>0</v>
      </c>
      <c r="M765" s="7">
        <v>1.2</v>
      </c>
      <c r="N765" s="7">
        <v>27.6</v>
      </c>
    </row>
    <row r="766" spans="1:14" ht="19.95" customHeight="1">
      <c r="A766" s="6">
        <v>45691</v>
      </c>
      <c r="B766" t="s">
        <v>62</v>
      </c>
      <c r="C766">
        <v>0</v>
      </c>
      <c r="D766">
        <v>2</v>
      </c>
      <c r="E766">
        <v>34</v>
      </c>
      <c r="F766">
        <v>0</v>
      </c>
      <c r="G766">
        <v>0</v>
      </c>
      <c r="I766">
        <v>0</v>
      </c>
      <c r="J766">
        <v>0</v>
      </c>
      <c r="K766">
        <v>0</v>
      </c>
      <c r="L766">
        <v>0</v>
      </c>
      <c r="M766" s="7">
        <v>0.9</v>
      </c>
      <c r="N766" s="7">
        <v>27</v>
      </c>
    </row>
    <row r="767" spans="1:14" ht="19.95" customHeight="1">
      <c r="A767" s="6">
        <v>45692</v>
      </c>
      <c r="B767" t="s">
        <v>63</v>
      </c>
      <c r="C767">
        <v>1</v>
      </c>
      <c r="D767">
        <v>2</v>
      </c>
      <c r="E767">
        <v>35</v>
      </c>
      <c r="F767">
        <v>0</v>
      </c>
      <c r="G767">
        <v>0</v>
      </c>
      <c r="I767">
        <v>0</v>
      </c>
      <c r="J767">
        <v>0</v>
      </c>
      <c r="K767">
        <v>0</v>
      </c>
      <c r="L767">
        <v>0</v>
      </c>
      <c r="M767" s="7">
        <v>3.5</v>
      </c>
      <c r="N767" s="7">
        <v>27.5</v>
      </c>
    </row>
    <row r="768" spans="1:14" ht="19.95" customHeight="1">
      <c r="A768" s="6">
        <v>45693</v>
      </c>
      <c r="B768" t="s">
        <v>64</v>
      </c>
      <c r="C768">
        <v>2</v>
      </c>
      <c r="D768">
        <v>2</v>
      </c>
      <c r="E768">
        <v>36</v>
      </c>
      <c r="F768">
        <v>0</v>
      </c>
      <c r="G768">
        <v>0</v>
      </c>
      <c r="I768">
        <v>0</v>
      </c>
      <c r="J768">
        <v>0</v>
      </c>
      <c r="K768">
        <v>0</v>
      </c>
      <c r="L768">
        <v>0</v>
      </c>
      <c r="M768" s="7">
        <v>15.1</v>
      </c>
      <c r="N768" s="7">
        <v>28</v>
      </c>
    </row>
    <row r="769" spans="1:14" ht="19.95" customHeight="1">
      <c r="A769" s="6">
        <v>45694</v>
      </c>
      <c r="B769" t="s">
        <v>65</v>
      </c>
      <c r="C769">
        <v>3</v>
      </c>
      <c r="D769">
        <v>2</v>
      </c>
      <c r="E769">
        <v>37</v>
      </c>
      <c r="F769">
        <v>0</v>
      </c>
      <c r="G769">
        <v>0</v>
      </c>
      <c r="I769">
        <v>0</v>
      </c>
      <c r="J769">
        <v>0</v>
      </c>
      <c r="K769">
        <v>0</v>
      </c>
      <c r="L769">
        <v>0</v>
      </c>
      <c r="M769" s="7">
        <v>0</v>
      </c>
      <c r="N769" s="7">
        <v>27.5</v>
      </c>
    </row>
    <row r="770" spans="1:14" ht="19.95" customHeight="1">
      <c r="A770" s="6">
        <v>45695</v>
      </c>
      <c r="B770" t="s">
        <v>66</v>
      </c>
      <c r="C770">
        <v>4</v>
      </c>
      <c r="D770">
        <v>2</v>
      </c>
      <c r="E770">
        <v>38</v>
      </c>
      <c r="F770">
        <v>0</v>
      </c>
      <c r="G770">
        <v>0</v>
      </c>
      <c r="I770">
        <v>0</v>
      </c>
      <c r="J770">
        <v>0</v>
      </c>
      <c r="K770">
        <v>0</v>
      </c>
      <c r="L770">
        <v>0</v>
      </c>
      <c r="M770" s="7">
        <v>0</v>
      </c>
      <c r="N770" s="7">
        <v>28.6</v>
      </c>
    </row>
    <row r="771" spans="1:14" ht="19.95" customHeight="1">
      <c r="A771" s="6">
        <v>45696</v>
      </c>
      <c r="B771" t="s">
        <v>67</v>
      </c>
      <c r="C771">
        <v>5</v>
      </c>
      <c r="D771">
        <v>2</v>
      </c>
      <c r="E771">
        <v>39</v>
      </c>
      <c r="F771">
        <v>1</v>
      </c>
      <c r="G771">
        <v>0</v>
      </c>
      <c r="I771">
        <v>0</v>
      </c>
      <c r="J771">
        <v>0</v>
      </c>
      <c r="K771">
        <v>0</v>
      </c>
      <c r="L771">
        <v>0</v>
      </c>
      <c r="M771" s="7">
        <v>0.8</v>
      </c>
      <c r="N771" s="7">
        <v>27.6</v>
      </c>
    </row>
    <row r="772" spans="1:14" ht="19.95" customHeight="1">
      <c r="A772" s="6">
        <v>45697</v>
      </c>
      <c r="B772" t="s">
        <v>60</v>
      </c>
      <c r="C772">
        <v>6</v>
      </c>
      <c r="D772">
        <v>2</v>
      </c>
      <c r="E772">
        <v>40</v>
      </c>
      <c r="F772">
        <v>1</v>
      </c>
      <c r="G772">
        <v>0</v>
      </c>
      <c r="I772">
        <v>0</v>
      </c>
      <c r="J772">
        <v>0</v>
      </c>
      <c r="K772">
        <v>0</v>
      </c>
      <c r="L772">
        <v>0</v>
      </c>
      <c r="M772" s="7">
        <v>3.5</v>
      </c>
      <c r="N772" s="7">
        <v>27.2</v>
      </c>
    </row>
    <row r="773" spans="1:14" ht="19.95" customHeight="1">
      <c r="A773" s="6">
        <v>45698</v>
      </c>
      <c r="B773" t="s">
        <v>62</v>
      </c>
      <c r="C773">
        <v>0</v>
      </c>
      <c r="D773">
        <v>2</v>
      </c>
      <c r="E773">
        <v>41</v>
      </c>
      <c r="F773">
        <v>0</v>
      </c>
      <c r="G773">
        <v>0</v>
      </c>
      <c r="I773">
        <v>0</v>
      </c>
      <c r="J773">
        <v>0</v>
      </c>
      <c r="K773">
        <v>0</v>
      </c>
      <c r="L773">
        <v>0</v>
      </c>
      <c r="M773" s="7">
        <v>0</v>
      </c>
      <c r="N773" s="7">
        <v>28.3</v>
      </c>
    </row>
    <row r="774" spans="1:14" ht="19.95" customHeight="1">
      <c r="A774" s="6">
        <v>45699</v>
      </c>
      <c r="B774" t="s">
        <v>63</v>
      </c>
      <c r="C774">
        <v>1</v>
      </c>
      <c r="D774">
        <v>2</v>
      </c>
      <c r="E774">
        <v>42</v>
      </c>
      <c r="F774">
        <v>0</v>
      </c>
      <c r="G774">
        <v>0</v>
      </c>
      <c r="I774">
        <v>0</v>
      </c>
      <c r="J774">
        <v>0</v>
      </c>
      <c r="K774">
        <v>0</v>
      </c>
      <c r="L774">
        <v>0</v>
      </c>
      <c r="M774" s="7">
        <v>0</v>
      </c>
      <c r="N774" s="7">
        <v>26.5</v>
      </c>
    </row>
    <row r="775" spans="1:14" ht="19.95" customHeight="1">
      <c r="A775" s="6">
        <v>45700</v>
      </c>
      <c r="B775" t="s">
        <v>64</v>
      </c>
      <c r="C775">
        <v>2</v>
      </c>
      <c r="D775">
        <v>2</v>
      </c>
      <c r="E775">
        <v>43</v>
      </c>
      <c r="F775">
        <v>0</v>
      </c>
      <c r="G775">
        <v>0</v>
      </c>
      <c r="I775">
        <v>0</v>
      </c>
      <c r="J775">
        <v>0</v>
      </c>
      <c r="K775">
        <v>0</v>
      </c>
      <c r="L775">
        <v>0</v>
      </c>
      <c r="M775" s="7">
        <v>7</v>
      </c>
      <c r="N775" s="7">
        <v>27.3</v>
      </c>
    </row>
    <row r="776" spans="1:14" ht="19.95" customHeight="1">
      <c r="A776" s="6">
        <v>45701</v>
      </c>
      <c r="B776" t="s">
        <v>65</v>
      </c>
      <c r="C776">
        <v>3</v>
      </c>
      <c r="D776">
        <v>2</v>
      </c>
      <c r="E776">
        <v>44</v>
      </c>
      <c r="F776">
        <v>0</v>
      </c>
      <c r="G776">
        <v>0</v>
      </c>
      <c r="I776">
        <v>0</v>
      </c>
      <c r="J776">
        <v>0</v>
      </c>
      <c r="K776">
        <v>0</v>
      </c>
      <c r="L776">
        <v>0</v>
      </c>
      <c r="M776" s="7">
        <v>11</v>
      </c>
      <c r="N776" s="7">
        <v>26.8</v>
      </c>
    </row>
    <row r="777" spans="1:14" ht="19.95" customHeight="1">
      <c r="A777" s="6">
        <v>45702</v>
      </c>
      <c r="B777" t="s">
        <v>66</v>
      </c>
      <c r="C777">
        <v>4</v>
      </c>
      <c r="D777">
        <v>2</v>
      </c>
      <c r="E777">
        <v>45</v>
      </c>
      <c r="F777">
        <v>0</v>
      </c>
      <c r="G777">
        <v>0</v>
      </c>
      <c r="I777">
        <v>0</v>
      </c>
      <c r="J777">
        <v>0</v>
      </c>
      <c r="K777">
        <v>0</v>
      </c>
      <c r="L777">
        <v>0</v>
      </c>
      <c r="M777" s="7">
        <v>5.5</v>
      </c>
      <c r="N777" s="7">
        <v>28.5</v>
      </c>
    </row>
    <row r="778" spans="1:14" ht="19.95" customHeight="1">
      <c r="A778" s="6">
        <v>45703</v>
      </c>
      <c r="B778" t="s">
        <v>67</v>
      </c>
      <c r="C778">
        <v>5</v>
      </c>
      <c r="D778">
        <v>2</v>
      </c>
      <c r="E778">
        <v>46</v>
      </c>
      <c r="F778">
        <v>1</v>
      </c>
      <c r="G778">
        <v>0</v>
      </c>
      <c r="I778">
        <v>0</v>
      </c>
      <c r="J778">
        <v>0</v>
      </c>
      <c r="K778">
        <v>0</v>
      </c>
      <c r="L778">
        <v>0</v>
      </c>
      <c r="M778" s="7">
        <v>5.5</v>
      </c>
      <c r="N778" s="7">
        <v>26.5</v>
      </c>
    </row>
    <row r="779" spans="1:14" ht="19.95" customHeight="1">
      <c r="A779" s="6">
        <v>45704</v>
      </c>
      <c r="B779" t="s">
        <v>60</v>
      </c>
      <c r="C779">
        <v>6</v>
      </c>
      <c r="D779">
        <v>2</v>
      </c>
      <c r="E779">
        <v>47</v>
      </c>
      <c r="F779">
        <v>1</v>
      </c>
      <c r="G779">
        <v>0</v>
      </c>
      <c r="I779">
        <v>0</v>
      </c>
      <c r="J779">
        <v>0</v>
      </c>
      <c r="K779">
        <v>0</v>
      </c>
      <c r="L779">
        <v>0</v>
      </c>
      <c r="M779" s="7">
        <v>7</v>
      </c>
      <c r="N779" s="7">
        <v>27</v>
      </c>
    </row>
    <row r="780" spans="1:14" ht="19.95" customHeight="1">
      <c r="A780" s="6">
        <v>45705</v>
      </c>
      <c r="B780" t="s">
        <v>62</v>
      </c>
      <c r="C780">
        <v>0</v>
      </c>
      <c r="D780">
        <v>2</v>
      </c>
      <c r="E780">
        <v>48</v>
      </c>
      <c r="F780">
        <v>0</v>
      </c>
      <c r="G780">
        <v>0</v>
      </c>
      <c r="I780">
        <v>0</v>
      </c>
      <c r="J780">
        <v>0</v>
      </c>
      <c r="K780">
        <v>0</v>
      </c>
      <c r="L780">
        <v>0</v>
      </c>
      <c r="M780" s="7">
        <v>5.5</v>
      </c>
      <c r="N780" s="7">
        <v>27.8</v>
      </c>
    </row>
    <row r="781" spans="1:14" ht="19.95" customHeight="1">
      <c r="A781" s="6">
        <v>45706</v>
      </c>
      <c r="B781" t="s">
        <v>63</v>
      </c>
      <c r="C781">
        <v>1</v>
      </c>
      <c r="D781">
        <v>2</v>
      </c>
      <c r="E781">
        <v>49</v>
      </c>
      <c r="F781">
        <v>0</v>
      </c>
      <c r="G781">
        <v>0</v>
      </c>
      <c r="I781">
        <v>0</v>
      </c>
      <c r="J781">
        <v>0</v>
      </c>
      <c r="K781">
        <v>0</v>
      </c>
      <c r="L781">
        <v>0</v>
      </c>
      <c r="M781" s="7">
        <v>6.3</v>
      </c>
      <c r="N781" s="7">
        <v>27.7</v>
      </c>
    </row>
    <row r="782" spans="1:14" ht="19.95" customHeight="1">
      <c r="A782" s="6">
        <v>45707</v>
      </c>
      <c r="B782" t="s">
        <v>64</v>
      </c>
      <c r="C782">
        <v>2</v>
      </c>
      <c r="D782">
        <v>2</v>
      </c>
      <c r="E782">
        <v>50</v>
      </c>
      <c r="F782">
        <v>0</v>
      </c>
      <c r="G782">
        <v>0</v>
      </c>
      <c r="I782">
        <v>0</v>
      </c>
      <c r="J782">
        <v>0</v>
      </c>
      <c r="K782">
        <v>0</v>
      </c>
      <c r="L782">
        <v>0</v>
      </c>
      <c r="M782" s="7">
        <v>14.1</v>
      </c>
      <c r="N782" s="7">
        <v>26.4</v>
      </c>
    </row>
    <row r="783" spans="1:14" ht="19.95" customHeight="1">
      <c r="A783" s="6">
        <v>45708</v>
      </c>
      <c r="B783" t="s">
        <v>65</v>
      </c>
      <c r="C783">
        <v>3</v>
      </c>
      <c r="D783">
        <v>2</v>
      </c>
      <c r="E783">
        <v>51</v>
      </c>
      <c r="F783">
        <v>0</v>
      </c>
      <c r="G783">
        <v>0</v>
      </c>
      <c r="I783">
        <v>0</v>
      </c>
      <c r="J783">
        <v>0</v>
      </c>
      <c r="K783">
        <v>0</v>
      </c>
      <c r="L783">
        <v>0</v>
      </c>
      <c r="M783" s="7">
        <v>0</v>
      </c>
      <c r="N783" s="7">
        <v>27.3</v>
      </c>
    </row>
    <row r="784" spans="1:14" ht="19.95" customHeight="1">
      <c r="A784" s="6">
        <v>45709</v>
      </c>
      <c r="B784" t="s">
        <v>66</v>
      </c>
      <c r="C784">
        <v>4</v>
      </c>
      <c r="D784">
        <v>2</v>
      </c>
      <c r="E784">
        <v>52</v>
      </c>
      <c r="F784">
        <v>0</v>
      </c>
      <c r="G784">
        <v>0</v>
      </c>
      <c r="I784">
        <v>0</v>
      </c>
      <c r="J784">
        <v>0</v>
      </c>
      <c r="K784">
        <v>0</v>
      </c>
      <c r="L784">
        <v>0</v>
      </c>
      <c r="M784" s="7">
        <v>0.3</v>
      </c>
      <c r="N784" s="7">
        <v>28.8</v>
      </c>
    </row>
    <row r="785" spans="1:14" ht="19.95" customHeight="1">
      <c r="A785" s="6">
        <v>45710</v>
      </c>
      <c r="B785" t="s">
        <v>67</v>
      </c>
      <c r="C785">
        <v>5</v>
      </c>
      <c r="D785">
        <v>2</v>
      </c>
      <c r="E785">
        <v>53</v>
      </c>
      <c r="F785">
        <v>1</v>
      </c>
      <c r="G785">
        <v>0</v>
      </c>
      <c r="I785">
        <v>0</v>
      </c>
      <c r="J785">
        <v>0</v>
      </c>
      <c r="K785">
        <v>0</v>
      </c>
      <c r="L785">
        <v>0</v>
      </c>
      <c r="M785" s="7">
        <v>8.1999999999999993</v>
      </c>
      <c r="N785" s="7">
        <v>26.9</v>
      </c>
    </row>
    <row r="786" spans="1:14" ht="19.95" customHeight="1">
      <c r="A786" s="6">
        <v>45711</v>
      </c>
      <c r="B786" t="s">
        <v>60</v>
      </c>
      <c r="C786">
        <v>6</v>
      </c>
      <c r="D786">
        <v>2</v>
      </c>
      <c r="E786">
        <v>54</v>
      </c>
      <c r="F786">
        <v>1</v>
      </c>
      <c r="G786">
        <v>0</v>
      </c>
      <c r="I786">
        <v>0</v>
      </c>
      <c r="J786">
        <v>0</v>
      </c>
      <c r="K786">
        <v>0</v>
      </c>
      <c r="L786">
        <v>0</v>
      </c>
      <c r="M786" s="7">
        <v>1.1000000000000001</v>
      </c>
      <c r="N786" s="7">
        <v>27.6</v>
      </c>
    </row>
    <row r="787" spans="1:14" ht="19.95" customHeight="1">
      <c r="A787" s="6">
        <v>45712</v>
      </c>
      <c r="B787" t="s">
        <v>62</v>
      </c>
      <c r="C787">
        <v>0</v>
      </c>
      <c r="D787">
        <v>2</v>
      </c>
      <c r="E787">
        <v>55</v>
      </c>
      <c r="F787">
        <v>0</v>
      </c>
      <c r="G787">
        <v>0</v>
      </c>
      <c r="I787">
        <v>0</v>
      </c>
      <c r="J787">
        <v>0</v>
      </c>
      <c r="K787">
        <v>0</v>
      </c>
      <c r="L787">
        <v>0</v>
      </c>
      <c r="M787" s="7">
        <v>0</v>
      </c>
      <c r="N787" s="7">
        <v>26.8</v>
      </c>
    </row>
    <row r="788" spans="1:14" ht="19.95" customHeight="1">
      <c r="A788" s="6">
        <v>45713</v>
      </c>
      <c r="B788" t="s">
        <v>63</v>
      </c>
      <c r="C788">
        <v>1</v>
      </c>
      <c r="D788">
        <v>2</v>
      </c>
      <c r="E788">
        <v>56</v>
      </c>
      <c r="F788">
        <v>0</v>
      </c>
      <c r="G788">
        <v>0</v>
      </c>
      <c r="I788">
        <v>0</v>
      </c>
      <c r="J788">
        <v>0</v>
      </c>
      <c r="K788">
        <v>0</v>
      </c>
      <c r="L788">
        <v>0</v>
      </c>
      <c r="M788" s="7">
        <v>17.100000000000001</v>
      </c>
      <c r="N788" s="7">
        <v>27.1</v>
      </c>
    </row>
    <row r="789" spans="1:14" ht="19.95" customHeight="1">
      <c r="A789" s="6">
        <v>45714</v>
      </c>
      <c r="B789" t="s">
        <v>64</v>
      </c>
      <c r="C789">
        <v>2</v>
      </c>
      <c r="D789">
        <v>2</v>
      </c>
      <c r="E789">
        <v>57</v>
      </c>
      <c r="F789">
        <v>0</v>
      </c>
      <c r="G789">
        <v>0</v>
      </c>
      <c r="I789">
        <v>0</v>
      </c>
      <c r="J789">
        <v>0</v>
      </c>
      <c r="K789">
        <v>0</v>
      </c>
      <c r="L789">
        <v>0</v>
      </c>
      <c r="M789" s="7">
        <v>18.100000000000001</v>
      </c>
      <c r="N789" s="7">
        <v>26.4</v>
      </c>
    </row>
    <row r="790" spans="1:14" ht="19.95" customHeight="1">
      <c r="A790" s="6">
        <v>45715</v>
      </c>
      <c r="B790" t="s">
        <v>65</v>
      </c>
      <c r="C790">
        <v>3</v>
      </c>
      <c r="D790">
        <v>2</v>
      </c>
      <c r="E790">
        <v>58</v>
      </c>
      <c r="F790">
        <v>0</v>
      </c>
      <c r="G790">
        <v>0</v>
      </c>
      <c r="I790">
        <v>0</v>
      </c>
      <c r="J790">
        <v>0</v>
      </c>
      <c r="K790">
        <v>0</v>
      </c>
      <c r="L790">
        <v>0</v>
      </c>
      <c r="M790" s="7">
        <v>9.4</v>
      </c>
      <c r="N790" s="7">
        <v>28</v>
      </c>
    </row>
    <row r="791" spans="1:14" ht="19.95" customHeight="1">
      <c r="A791" s="6">
        <v>45716</v>
      </c>
      <c r="B791" t="s">
        <v>66</v>
      </c>
      <c r="C791">
        <v>4</v>
      </c>
      <c r="D791">
        <v>2</v>
      </c>
      <c r="E791">
        <v>59</v>
      </c>
      <c r="F791">
        <v>0</v>
      </c>
      <c r="G791">
        <v>0</v>
      </c>
      <c r="I791">
        <v>0</v>
      </c>
      <c r="J791">
        <v>1</v>
      </c>
      <c r="K791">
        <v>0</v>
      </c>
      <c r="L791">
        <v>0</v>
      </c>
      <c r="M791" s="7">
        <v>0</v>
      </c>
      <c r="N791" s="7">
        <v>28.2</v>
      </c>
    </row>
    <row r="792" spans="1:14" ht="19.95" customHeight="1">
      <c r="A792" s="6">
        <v>45717</v>
      </c>
      <c r="B792" t="s">
        <v>67</v>
      </c>
      <c r="C792">
        <v>5</v>
      </c>
      <c r="D792">
        <v>3</v>
      </c>
      <c r="E792">
        <v>60</v>
      </c>
      <c r="F792">
        <v>1</v>
      </c>
      <c r="G792">
        <v>0</v>
      </c>
      <c r="I792">
        <v>0</v>
      </c>
      <c r="J792">
        <v>1</v>
      </c>
      <c r="K792">
        <v>0</v>
      </c>
      <c r="L792">
        <v>0</v>
      </c>
      <c r="M792" s="7">
        <v>18.899999999999999</v>
      </c>
      <c r="N792" s="7">
        <v>28.4</v>
      </c>
    </row>
    <row r="793" spans="1:14" ht="19.95" customHeight="1">
      <c r="A793" s="6">
        <v>45718</v>
      </c>
      <c r="B793" t="s">
        <v>60</v>
      </c>
      <c r="C793">
        <v>6</v>
      </c>
      <c r="D793">
        <v>3</v>
      </c>
      <c r="E793">
        <v>61</v>
      </c>
      <c r="F793">
        <v>1</v>
      </c>
      <c r="G793">
        <v>0</v>
      </c>
      <c r="I793">
        <v>0</v>
      </c>
      <c r="J793">
        <v>1</v>
      </c>
      <c r="K793">
        <v>0</v>
      </c>
      <c r="L793">
        <v>0</v>
      </c>
      <c r="M793" s="7">
        <v>8.3000000000000007</v>
      </c>
      <c r="N793" s="7">
        <v>26.9</v>
      </c>
    </row>
    <row r="794" spans="1:14" ht="19.95" customHeight="1">
      <c r="A794" s="6">
        <v>45719</v>
      </c>
      <c r="B794" t="s">
        <v>62</v>
      </c>
      <c r="C794">
        <v>0</v>
      </c>
      <c r="D794">
        <v>3</v>
      </c>
      <c r="E794">
        <v>62</v>
      </c>
      <c r="F794">
        <v>0</v>
      </c>
      <c r="G794">
        <v>0</v>
      </c>
      <c r="I794">
        <v>0</v>
      </c>
      <c r="J794">
        <v>1</v>
      </c>
      <c r="K794">
        <v>0</v>
      </c>
      <c r="L794">
        <v>0</v>
      </c>
      <c r="M794" s="7">
        <v>6.9</v>
      </c>
      <c r="N794" s="7">
        <v>27.5</v>
      </c>
    </row>
    <row r="795" spans="1:14" ht="19.95" customHeight="1">
      <c r="A795" s="6">
        <v>45720</v>
      </c>
      <c r="B795" t="s">
        <v>63</v>
      </c>
      <c r="C795">
        <v>1</v>
      </c>
      <c r="D795">
        <v>3</v>
      </c>
      <c r="E795">
        <v>63</v>
      </c>
      <c r="F795">
        <v>0</v>
      </c>
      <c r="G795">
        <v>0</v>
      </c>
      <c r="I795">
        <v>0</v>
      </c>
      <c r="J795">
        <v>1</v>
      </c>
      <c r="K795">
        <v>0</v>
      </c>
      <c r="L795">
        <v>0</v>
      </c>
      <c r="M795" s="7">
        <v>12.9</v>
      </c>
      <c r="N795" s="7">
        <v>27.2</v>
      </c>
    </row>
    <row r="796" spans="1:14" ht="19.95" customHeight="1">
      <c r="A796" s="6">
        <v>45721</v>
      </c>
      <c r="B796" t="s">
        <v>64</v>
      </c>
      <c r="C796">
        <v>2</v>
      </c>
      <c r="D796">
        <v>3</v>
      </c>
      <c r="E796">
        <v>64</v>
      </c>
      <c r="F796">
        <v>0</v>
      </c>
      <c r="G796">
        <v>0</v>
      </c>
      <c r="I796">
        <v>0</v>
      </c>
      <c r="J796">
        <v>0</v>
      </c>
      <c r="K796">
        <v>0</v>
      </c>
      <c r="L796">
        <v>0</v>
      </c>
      <c r="M796" s="7">
        <v>0</v>
      </c>
      <c r="N796" s="7">
        <v>28.5</v>
      </c>
    </row>
    <row r="797" spans="1:14" ht="19.95" customHeight="1">
      <c r="A797" s="6">
        <v>45722</v>
      </c>
      <c r="B797" t="s">
        <v>65</v>
      </c>
      <c r="C797">
        <v>3</v>
      </c>
      <c r="D797">
        <v>3</v>
      </c>
      <c r="E797">
        <v>65</v>
      </c>
      <c r="F797">
        <v>0</v>
      </c>
      <c r="G797">
        <v>0</v>
      </c>
      <c r="I797">
        <v>0</v>
      </c>
      <c r="J797">
        <v>0</v>
      </c>
      <c r="K797">
        <v>0</v>
      </c>
      <c r="L797">
        <v>0</v>
      </c>
      <c r="M797" s="7">
        <v>6</v>
      </c>
      <c r="N797" s="7">
        <v>27.9</v>
      </c>
    </row>
    <row r="798" spans="1:14" ht="19.95" customHeight="1">
      <c r="A798" s="6">
        <v>45723</v>
      </c>
      <c r="B798" t="s">
        <v>66</v>
      </c>
      <c r="C798">
        <v>4</v>
      </c>
      <c r="D798">
        <v>3</v>
      </c>
      <c r="E798">
        <v>66</v>
      </c>
      <c r="F798">
        <v>0</v>
      </c>
      <c r="G798">
        <v>0</v>
      </c>
      <c r="I798">
        <v>0</v>
      </c>
      <c r="J798">
        <v>0</v>
      </c>
      <c r="K798">
        <v>0</v>
      </c>
      <c r="L798">
        <v>0</v>
      </c>
      <c r="M798" s="7">
        <v>12.7</v>
      </c>
      <c r="N798" s="7">
        <v>27.6</v>
      </c>
    </row>
    <row r="799" spans="1:14" ht="19.95" customHeight="1">
      <c r="A799" s="6">
        <v>45724</v>
      </c>
      <c r="B799" t="s">
        <v>67</v>
      </c>
      <c r="C799">
        <v>5</v>
      </c>
      <c r="D799">
        <v>3</v>
      </c>
      <c r="E799">
        <v>67</v>
      </c>
      <c r="F799">
        <v>1</v>
      </c>
      <c r="G799">
        <v>0</v>
      </c>
      <c r="I799">
        <v>0</v>
      </c>
      <c r="J799">
        <v>0</v>
      </c>
      <c r="K799">
        <v>0</v>
      </c>
      <c r="L799">
        <v>0</v>
      </c>
      <c r="M799" s="7">
        <v>16.8</v>
      </c>
      <c r="N799" s="7">
        <v>28.1</v>
      </c>
    </row>
    <row r="800" spans="1:14" ht="19.95" customHeight="1">
      <c r="A800" s="6">
        <v>45725</v>
      </c>
      <c r="B800" t="s">
        <v>60</v>
      </c>
      <c r="C800">
        <v>6</v>
      </c>
      <c r="D800">
        <v>3</v>
      </c>
      <c r="E800">
        <v>68</v>
      </c>
      <c r="F800">
        <v>1</v>
      </c>
      <c r="G800">
        <v>0</v>
      </c>
      <c r="I800">
        <v>0</v>
      </c>
      <c r="J800">
        <v>0</v>
      </c>
      <c r="K800">
        <v>0</v>
      </c>
      <c r="L800">
        <v>0</v>
      </c>
      <c r="M800" s="7">
        <v>13.2</v>
      </c>
      <c r="N800" s="7">
        <v>28.3</v>
      </c>
    </row>
    <row r="801" spans="1:14" ht="19.95" customHeight="1">
      <c r="A801" s="6">
        <v>45726</v>
      </c>
      <c r="B801" t="s">
        <v>62</v>
      </c>
      <c r="C801">
        <v>0</v>
      </c>
      <c r="D801">
        <v>3</v>
      </c>
      <c r="E801">
        <v>69</v>
      </c>
      <c r="F801">
        <v>0</v>
      </c>
      <c r="G801">
        <v>0</v>
      </c>
      <c r="I801">
        <v>0</v>
      </c>
      <c r="J801">
        <v>0</v>
      </c>
      <c r="K801">
        <v>0</v>
      </c>
      <c r="L801">
        <v>0</v>
      </c>
      <c r="M801" s="7">
        <v>8.6</v>
      </c>
      <c r="N801" s="7">
        <v>26.8</v>
      </c>
    </row>
    <row r="802" spans="1:14" ht="19.95" customHeight="1">
      <c r="A802" s="6">
        <v>45727</v>
      </c>
      <c r="B802" t="s">
        <v>63</v>
      </c>
      <c r="C802">
        <v>1</v>
      </c>
      <c r="D802">
        <v>3</v>
      </c>
      <c r="E802">
        <v>70</v>
      </c>
      <c r="F802">
        <v>0</v>
      </c>
      <c r="G802">
        <v>0</v>
      </c>
      <c r="I802">
        <v>0</v>
      </c>
      <c r="J802">
        <v>0</v>
      </c>
      <c r="K802">
        <v>0</v>
      </c>
      <c r="L802">
        <v>0</v>
      </c>
      <c r="M802" s="7">
        <v>6.4</v>
      </c>
      <c r="N802" s="7">
        <v>28.1</v>
      </c>
    </row>
    <row r="803" spans="1:14" ht="19.95" customHeight="1">
      <c r="A803" s="6">
        <v>45728</v>
      </c>
      <c r="B803" t="s">
        <v>64</v>
      </c>
      <c r="C803">
        <v>2</v>
      </c>
      <c r="D803">
        <v>3</v>
      </c>
      <c r="E803">
        <v>71</v>
      </c>
      <c r="F803">
        <v>0</v>
      </c>
      <c r="G803">
        <v>0</v>
      </c>
      <c r="I803">
        <v>0</v>
      </c>
      <c r="J803">
        <v>0</v>
      </c>
      <c r="K803">
        <v>0</v>
      </c>
      <c r="L803">
        <v>0</v>
      </c>
      <c r="M803" s="7">
        <v>9.6</v>
      </c>
      <c r="N803" s="7">
        <v>28.1</v>
      </c>
    </row>
    <row r="804" spans="1:14" ht="19.95" customHeight="1">
      <c r="A804" s="6">
        <v>45729</v>
      </c>
      <c r="B804" t="s">
        <v>65</v>
      </c>
      <c r="C804">
        <v>3</v>
      </c>
      <c r="D804">
        <v>3</v>
      </c>
      <c r="E804">
        <v>72</v>
      </c>
      <c r="F804">
        <v>0</v>
      </c>
      <c r="G804">
        <v>0</v>
      </c>
      <c r="I804">
        <v>0</v>
      </c>
      <c r="J804">
        <v>0</v>
      </c>
      <c r="K804">
        <v>0</v>
      </c>
      <c r="L804">
        <v>0</v>
      </c>
      <c r="M804" s="7">
        <v>21.3</v>
      </c>
      <c r="N804" s="7">
        <v>28.1</v>
      </c>
    </row>
    <row r="805" spans="1:14" ht="19.95" customHeight="1">
      <c r="A805" s="6">
        <v>45730</v>
      </c>
      <c r="B805" t="s">
        <v>66</v>
      </c>
      <c r="C805">
        <v>4</v>
      </c>
      <c r="D805">
        <v>3</v>
      </c>
      <c r="E805">
        <v>73</v>
      </c>
      <c r="F805">
        <v>0</v>
      </c>
      <c r="G805">
        <v>0</v>
      </c>
      <c r="I805">
        <v>0</v>
      </c>
      <c r="J805">
        <v>0</v>
      </c>
      <c r="K805">
        <v>0</v>
      </c>
      <c r="L805">
        <v>0</v>
      </c>
      <c r="M805" s="7">
        <v>14.2</v>
      </c>
      <c r="N805" s="7">
        <v>26.8</v>
      </c>
    </row>
    <row r="806" spans="1:14" ht="19.95" customHeight="1">
      <c r="A806" s="6">
        <v>45731</v>
      </c>
      <c r="B806" t="s">
        <v>67</v>
      </c>
      <c r="C806">
        <v>5</v>
      </c>
      <c r="D806">
        <v>3</v>
      </c>
      <c r="E806">
        <v>74</v>
      </c>
      <c r="F806">
        <v>1</v>
      </c>
      <c r="G806">
        <v>0</v>
      </c>
      <c r="I806">
        <v>0</v>
      </c>
      <c r="J806">
        <v>0</v>
      </c>
      <c r="K806">
        <v>0</v>
      </c>
      <c r="L806">
        <v>0</v>
      </c>
      <c r="M806" s="7">
        <v>0</v>
      </c>
      <c r="N806" s="7">
        <v>27</v>
      </c>
    </row>
    <row r="807" spans="1:14" ht="19.95" customHeight="1">
      <c r="A807" s="6">
        <v>45732</v>
      </c>
      <c r="B807" t="s">
        <v>60</v>
      </c>
      <c r="C807">
        <v>6</v>
      </c>
      <c r="D807">
        <v>3</v>
      </c>
      <c r="E807">
        <v>75</v>
      </c>
      <c r="F807">
        <v>1</v>
      </c>
      <c r="G807">
        <v>0</v>
      </c>
      <c r="I807">
        <v>0</v>
      </c>
      <c r="J807">
        <v>0</v>
      </c>
      <c r="K807">
        <v>0</v>
      </c>
      <c r="L807">
        <v>0</v>
      </c>
      <c r="M807" s="7">
        <v>16</v>
      </c>
      <c r="N807" s="7">
        <v>27.4</v>
      </c>
    </row>
    <row r="808" spans="1:14" ht="19.95" customHeight="1">
      <c r="A808" s="6">
        <v>45733</v>
      </c>
      <c r="B808" t="s">
        <v>62</v>
      </c>
      <c r="C808">
        <v>0</v>
      </c>
      <c r="D808">
        <v>3</v>
      </c>
      <c r="E808">
        <v>76</v>
      </c>
      <c r="F808">
        <v>0</v>
      </c>
      <c r="G808">
        <v>0</v>
      </c>
      <c r="I808">
        <v>0</v>
      </c>
      <c r="J808">
        <v>0</v>
      </c>
      <c r="K808">
        <v>0</v>
      </c>
      <c r="L808">
        <v>0</v>
      </c>
      <c r="M808" s="7">
        <v>14.5</v>
      </c>
      <c r="N808" s="7">
        <v>26.7</v>
      </c>
    </row>
    <row r="809" spans="1:14" ht="19.95" customHeight="1">
      <c r="A809" s="6">
        <v>45734</v>
      </c>
      <c r="B809" t="s">
        <v>63</v>
      </c>
      <c r="C809">
        <v>1</v>
      </c>
      <c r="D809">
        <v>3</v>
      </c>
      <c r="E809">
        <v>77</v>
      </c>
      <c r="F809">
        <v>0</v>
      </c>
      <c r="G809">
        <v>0</v>
      </c>
      <c r="I809">
        <v>0</v>
      </c>
      <c r="J809">
        <v>0</v>
      </c>
      <c r="K809">
        <v>0</v>
      </c>
      <c r="L809">
        <v>0</v>
      </c>
      <c r="M809" s="7">
        <v>12.5</v>
      </c>
      <c r="N809" s="7">
        <v>27.6</v>
      </c>
    </row>
    <row r="810" spans="1:14" ht="19.95" customHeight="1">
      <c r="A810" s="6">
        <v>45735</v>
      </c>
      <c r="B810" t="s">
        <v>64</v>
      </c>
      <c r="C810">
        <v>2</v>
      </c>
      <c r="D810">
        <v>3</v>
      </c>
      <c r="E810">
        <v>78</v>
      </c>
      <c r="F810">
        <v>0</v>
      </c>
      <c r="G810">
        <v>1</v>
      </c>
      <c r="H810" t="s">
        <v>68</v>
      </c>
      <c r="I810">
        <v>0</v>
      </c>
      <c r="J810">
        <v>0</v>
      </c>
      <c r="K810">
        <v>0</v>
      </c>
      <c r="L810">
        <v>0</v>
      </c>
      <c r="M810" s="7">
        <v>7.3</v>
      </c>
      <c r="N810" s="7">
        <v>27.8</v>
      </c>
    </row>
    <row r="811" spans="1:14" ht="19.95" customHeight="1">
      <c r="A811" s="6">
        <v>45736</v>
      </c>
      <c r="B811" t="s">
        <v>65</v>
      </c>
      <c r="C811">
        <v>3</v>
      </c>
      <c r="D811">
        <v>3</v>
      </c>
      <c r="E811">
        <v>79</v>
      </c>
      <c r="F811">
        <v>0</v>
      </c>
      <c r="G811">
        <v>0</v>
      </c>
      <c r="I811">
        <v>0</v>
      </c>
      <c r="J811">
        <v>0</v>
      </c>
      <c r="K811">
        <v>0</v>
      </c>
      <c r="L811">
        <v>0</v>
      </c>
      <c r="M811" s="7">
        <v>9.1999999999999993</v>
      </c>
      <c r="N811" s="7">
        <v>28.6</v>
      </c>
    </row>
    <row r="812" spans="1:14" ht="19.95" customHeight="1">
      <c r="A812" s="6">
        <v>45737</v>
      </c>
      <c r="B812" t="s">
        <v>66</v>
      </c>
      <c r="C812">
        <v>4</v>
      </c>
      <c r="D812">
        <v>3</v>
      </c>
      <c r="E812">
        <v>80</v>
      </c>
      <c r="F812">
        <v>0</v>
      </c>
      <c r="G812">
        <v>0</v>
      </c>
      <c r="I812">
        <v>0</v>
      </c>
      <c r="J812">
        <v>0</v>
      </c>
      <c r="K812">
        <v>0</v>
      </c>
      <c r="L812">
        <v>0</v>
      </c>
      <c r="M812" s="7">
        <v>8.8000000000000007</v>
      </c>
      <c r="N812" s="7">
        <v>26</v>
      </c>
    </row>
    <row r="813" spans="1:14" ht="19.95" customHeight="1">
      <c r="A813" s="6">
        <v>45738</v>
      </c>
      <c r="B813" t="s">
        <v>67</v>
      </c>
      <c r="C813">
        <v>5</v>
      </c>
      <c r="D813">
        <v>3</v>
      </c>
      <c r="E813">
        <v>81</v>
      </c>
      <c r="F813">
        <v>1</v>
      </c>
      <c r="G813">
        <v>0</v>
      </c>
      <c r="I813">
        <v>0</v>
      </c>
      <c r="J813">
        <v>0</v>
      </c>
      <c r="K813">
        <v>0</v>
      </c>
      <c r="L813">
        <v>0</v>
      </c>
      <c r="M813" s="7">
        <v>11.4</v>
      </c>
      <c r="N813" s="7">
        <v>27.3</v>
      </c>
    </row>
    <row r="814" spans="1:14" ht="19.95" customHeight="1">
      <c r="A814" s="6">
        <v>45739</v>
      </c>
      <c r="B814" t="s">
        <v>60</v>
      </c>
      <c r="C814">
        <v>6</v>
      </c>
      <c r="D814">
        <v>3</v>
      </c>
      <c r="E814">
        <v>82</v>
      </c>
      <c r="F814">
        <v>1</v>
      </c>
      <c r="G814">
        <v>0</v>
      </c>
      <c r="I814">
        <v>0</v>
      </c>
      <c r="J814">
        <v>0</v>
      </c>
      <c r="K814">
        <v>0</v>
      </c>
      <c r="L814">
        <v>0</v>
      </c>
      <c r="M814" s="7">
        <v>6.5</v>
      </c>
      <c r="N814" s="7">
        <v>27.5</v>
      </c>
    </row>
    <row r="815" spans="1:14" ht="19.95" customHeight="1">
      <c r="A815" s="6">
        <v>45740</v>
      </c>
      <c r="B815" t="s">
        <v>62</v>
      </c>
      <c r="C815">
        <v>0</v>
      </c>
      <c r="D815">
        <v>3</v>
      </c>
      <c r="E815">
        <v>83</v>
      </c>
      <c r="F815">
        <v>0</v>
      </c>
      <c r="G815">
        <v>0</v>
      </c>
      <c r="I815">
        <v>0</v>
      </c>
      <c r="J815">
        <v>0</v>
      </c>
      <c r="K815">
        <v>0</v>
      </c>
      <c r="L815">
        <v>0</v>
      </c>
      <c r="M815" s="7">
        <v>0</v>
      </c>
      <c r="N815" s="7">
        <v>28.1</v>
      </c>
    </row>
    <row r="816" spans="1:14" ht="19.95" customHeight="1">
      <c r="A816" s="6">
        <v>45741</v>
      </c>
      <c r="B816" t="s">
        <v>63</v>
      </c>
      <c r="C816">
        <v>1</v>
      </c>
      <c r="D816">
        <v>3</v>
      </c>
      <c r="E816">
        <v>84</v>
      </c>
      <c r="F816">
        <v>0</v>
      </c>
      <c r="G816">
        <v>1</v>
      </c>
      <c r="H816" t="s">
        <v>69</v>
      </c>
      <c r="I816">
        <v>0</v>
      </c>
      <c r="J816">
        <v>0</v>
      </c>
      <c r="K816">
        <v>0</v>
      </c>
      <c r="L816">
        <v>0</v>
      </c>
      <c r="M816" s="7">
        <v>13.3</v>
      </c>
      <c r="N816" s="7">
        <v>26.7</v>
      </c>
    </row>
    <row r="817" spans="1:14" ht="19.95" customHeight="1">
      <c r="A817" s="6">
        <v>45742</v>
      </c>
      <c r="B817" t="s">
        <v>64</v>
      </c>
      <c r="C817">
        <v>2</v>
      </c>
      <c r="D817">
        <v>3</v>
      </c>
      <c r="E817">
        <v>85</v>
      </c>
      <c r="F817">
        <v>0</v>
      </c>
      <c r="G817">
        <v>0</v>
      </c>
      <c r="I817">
        <v>0</v>
      </c>
      <c r="J817">
        <v>0</v>
      </c>
      <c r="K817">
        <v>0</v>
      </c>
      <c r="L817">
        <v>0</v>
      </c>
      <c r="M817" s="7">
        <v>7</v>
      </c>
      <c r="N817" s="7">
        <v>26.4</v>
      </c>
    </row>
    <row r="818" spans="1:14" ht="19.95" customHeight="1">
      <c r="A818" s="6">
        <v>45743</v>
      </c>
      <c r="B818" t="s">
        <v>65</v>
      </c>
      <c r="C818">
        <v>3</v>
      </c>
      <c r="D818">
        <v>3</v>
      </c>
      <c r="E818">
        <v>86</v>
      </c>
      <c r="F818">
        <v>0</v>
      </c>
      <c r="G818">
        <v>0</v>
      </c>
      <c r="I818">
        <v>0</v>
      </c>
      <c r="J818">
        <v>0</v>
      </c>
      <c r="K818">
        <v>0</v>
      </c>
      <c r="L818">
        <v>0</v>
      </c>
      <c r="M818" s="7">
        <v>0</v>
      </c>
      <c r="N818" s="7">
        <v>28.5</v>
      </c>
    </row>
    <row r="819" spans="1:14" ht="19.95" customHeight="1">
      <c r="A819" s="6">
        <v>45744</v>
      </c>
      <c r="B819" t="s">
        <v>66</v>
      </c>
      <c r="C819">
        <v>4</v>
      </c>
      <c r="D819">
        <v>3</v>
      </c>
      <c r="E819">
        <v>87</v>
      </c>
      <c r="F819">
        <v>0</v>
      </c>
      <c r="G819">
        <v>0</v>
      </c>
      <c r="I819">
        <v>0</v>
      </c>
      <c r="J819">
        <v>0</v>
      </c>
      <c r="K819">
        <v>0</v>
      </c>
      <c r="L819">
        <v>0</v>
      </c>
      <c r="M819" s="7">
        <v>9.9</v>
      </c>
      <c r="N819" s="7">
        <v>27</v>
      </c>
    </row>
    <row r="820" spans="1:14" ht="19.95" customHeight="1">
      <c r="A820" s="6">
        <v>45745</v>
      </c>
      <c r="B820" t="s">
        <v>67</v>
      </c>
      <c r="C820">
        <v>5</v>
      </c>
      <c r="D820">
        <v>3</v>
      </c>
      <c r="E820">
        <v>88</v>
      </c>
      <c r="F820">
        <v>1</v>
      </c>
      <c r="G820">
        <v>0</v>
      </c>
      <c r="I820">
        <v>0</v>
      </c>
      <c r="J820">
        <v>0</v>
      </c>
      <c r="K820">
        <v>0</v>
      </c>
      <c r="L820">
        <v>0</v>
      </c>
      <c r="M820" s="7">
        <v>2.8</v>
      </c>
      <c r="N820" s="7">
        <v>28.2</v>
      </c>
    </row>
    <row r="821" spans="1:14" ht="19.95" customHeight="1">
      <c r="A821" s="6">
        <v>45746</v>
      </c>
      <c r="B821" t="s">
        <v>60</v>
      </c>
      <c r="C821">
        <v>6</v>
      </c>
      <c r="D821">
        <v>3</v>
      </c>
      <c r="E821">
        <v>89</v>
      </c>
      <c r="F821">
        <v>1</v>
      </c>
      <c r="G821">
        <v>0</v>
      </c>
      <c r="I821">
        <v>0</v>
      </c>
      <c r="J821">
        <v>0</v>
      </c>
      <c r="K821">
        <v>0</v>
      </c>
      <c r="L821">
        <v>0</v>
      </c>
      <c r="M821" s="7">
        <v>16.600000000000001</v>
      </c>
      <c r="N821" s="7">
        <v>26.5</v>
      </c>
    </row>
    <row r="822" spans="1:14" ht="19.95" customHeight="1">
      <c r="A822" s="6">
        <v>45747</v>
      </c>
      <c r="B822" t="s">
        <v>62</v>
      </c>
      <c r="C822">
        <v>0</v>
      </c>
      <c r="D822">
        <v>3</v>
      </c>
      <c r="E822">
        <v>90</v>
      </c>
      <c r="F822">
        <v>0</v>
      </c>
      <c r="G822">
        <v>0</v>
      </c>
      <c r="I822">
        <v>0</v>
      </c>
      <c r="J822">
        <v>0</v>
      </c>
      <c r="K822">
        <v>0</v>
      </c>
      <c r="L822">
        <v>0</v>
      </c>
      <c r="M822" s="7">
        <v>5.2</v>
      </c>
      <c r="N822" s="7">
        <v>27.7</v>
      </c>
    </row>
    <row r="823" spans="1:14" ht="19.95" customHeight="1">
      <c r="A823" s="6">
        <v>45748</v>
      </c>
      <c r="B823" t="s">
        <v>63</v>
      </c>
      <c r="C823">
        <v>1</v>
      </c>
      <c r="D823">
        <v>4</v>
      </c>
      <c r="E823">
        <v>91</v>
      </c>
      <c r="F823">
        <v>0</v>
      </c>
      <c r="G823">
        <v>0</v>
      </c>
      <c r="I823">
        <v>0</v>
      </c>
      <c r="J823">
        <v>0</v>
      </c>
      <c r="K823">
        <v>0</v>
      </c>
      <c r="L823">
        <v>0</v>
      </c>
      <c r="M823" s="7">
        <v>5.7</v>
      </c>
      <c r="N823" s="7">
        <v>27.6</v>
      </c>
    </row>
    <row r="824" spans="1:14" ht="19.95" customHeight="1">
      <c r="A824" s="6">
        <v>45749</v>
      </c>
      <c r="B824" t="s">
        <v>64</v>
      </c>
      <c r="C824">
        <v>2</v>
      </c>
      <c r="D824">
        <v>4</v>
      </c>
      <c r="E824">
        <v>92</v>
      </c>
      <c r="F824">
        <v>0</v>
      </c>
      <c r="G824">
        <v>0</v>
      </c>
      <c r="I824">
        <v>0</v>
      </c>
      <c r="J824">
        <v>0</v>
      </c>
      <c r="K824">
        <v>0</v>
      </c>
      <c r="L824">
        <v>0</v>
      </c>
      <c r="M824" s="7">
        <v>17.399999999999999</v>
      </c>
      <c r="N824" s="7">
        <v>26.4</v>
      </c>
    </row>
    <row r="825" spans="1:14" ht="19.95" customHeight="1">
      <c r="A825" s="6">
        <v>45750</v>
      </c>
      <c r="B825" t="s">
        <v>65</v>
      </c>
      <c r="C825">
        <v>3</v>
      </c>
      <c r="D825">
        <v>4</v>
      </c>
      <c r="E825">
        <v>93</v>
      </c>
      <c r="F825">
        <v>0</v>
      </c>
      <c r="G825">
        <v>0</v>
      </c>
      <c r="I825">
        <v>0</v>
      </c>
      <c r="J825">
        <v>0</v>
      </c>
      <c r="K825">
        <v>0</v>
      </c>
      <c r="L825">
        <v>0</v>
      </c>
      <c r="M825" s="7">
        <v>9.5</v>
      </c>
      <c r="N825" s="7">
        <v>26.7</v>
      </c>
    </row>
    <row r="826" spans="1:14" ht="19.95" customHeight="1">
      <c r="A826" s="6">
        <v>45751</v>
      </c>
      <c r="B826" t="s">
        <v>66</v>
      </c>
      <c r="C826">
        <v>4</v>
      </c>
      <c r="D826">
        <v>4</v>
      </c>
      <c r="E826">
        <v>94</v>
      </c>
      <c r="F826">
        <v>0</v>
      </c>
      <c r="G826">
        <v>0</v>
      </c>
      <c r="I826">
        <v>0</v>
      </c>
      <c r="J826">
        <v>0</v>
      </c>
      <c r="K826">
        <v>0</v>
      </c>
      <c r="L826">
        <v>0</v>
      </c>
      <c r="M826" s="7">
        <v>8.1999999999999993</v>
      </c>
      <c r="N826" s="7">
        <v>26.9</v>
      </c>
    </row>
    <row r="827" spans="1:14" ht="19.95" customHeight="1">
      <c r="A827" s="6">
        <v>45752</v>
      </c>
      <c r="B827" t="s">
        <v>67</v>
      </c>
      <c r="C827">
        <v>5</v>
      </c>
      <c r="D827">
        <v>4</v>
      </c>
      <c r="E827">
        <v>95</v>
      </c>
      <c r="F827">
        <v>1</v>
      </c>
      <c r="G827">
        <v>0</v>
      </c>
      <c r="I827">
        <v>0</v>
      </c>
      <c r="J827">
        <v>0</v>
      </c>
      <c r="K827">
        <v>0</v>
      </c>
      <c r="L827">
        <v>0</v>
      </c>
      <c r="M827" s="7">
        <v>20.399999999999999</v>
      </c>
      <c r="N827" s="7">
        <v>28.9</v>
      </c>
    </row>
    <row r="828" spans="1:14" ht="19.95" customHeight="1">
      <c r="A828" s="6">
        <v>45753</v>
      </c>
      <c r="B828" t="s">
        <v>60</v>
      </c>
      <c r="C828">
        <v>6</v>
      </c>
      <c r="D828">
        <v>4</v>
      </c>
      <c r="E828">
        <v>96</v>
      </c>
      <c r="F828">
        <v>1</v>
      </c>
      <c r="G828">
        <v>0</v>
      </c>
      <c r="I828">
        <v>0</v>
      </c>
      <c r="J828">
        <v>0</v>
      </c>
      <c r="K828">
        <v>0</v>
      </c>
      <c r="L828">
        <v>0</v>
      </c>
      <c r="M828" s="7">
        <v>5.6</v>
      </c>
      <c r="N828" s="7">
        <v>25.9</v>
      </c>
    </row>
    <row r="829" spans="1:14" ht="19.95" customHeight="1">
      <c r="A829" s="6">
        <v>45754</v>
      </c>
      <c r="B829" t="s">
        <v>62</v>
      </c>
      <c r="C829">
        <v>0</v>
      </c>
      <c r="D829">
        <v>4</v>
      </c>
      <c r="E829">
        <v>97</v>
      </c>
      <c r="F829">
        <v>0</v>
      </c>
      <c r="G829">
        <v>0</v>
      </c>
      <c r="I829">
        <v>0</v>
      </c>
      <c r="J829">
        <v>0</v>
      </c>
      <c r="K829">
        <v>0</v>
      </c>
      <c r="L829">
        <v>0</v>
      </c>
      <c r="M829" s="7">
        <v>17.100000000000001</v>
      </c>
      <c r="N829" s="7">
        <v>25.8</v>
      </c>
    </row>
    <row r="830" spans="1:14" ht="19.95" customHeight="1">
      <c r="A830" s="6">
        <v>45755</v>
      </c>
      <c r="B830" t="s">
        <v>63</v>
      </c>
      <c r="C830">
        <v>1</v>
      </c>
      <c r="D830">
        <v>4</v>
      </c>
      <c r="E830">
        <v>98</v>
      </c>
      <c r="F830">
        <v>0</v>
      </c>
      <c r="G830">
        <v>0</v>
      </c>
      <c r="I830">
        <v>0</v>
      </c>
      <c r="J830">
        <v>0</v>
      </c>
      <c r="K830">
        <v>0</v>
      </c>
      <c r="L830">
        <v>0</v>
      </c>
      <c r="M830" s="7">
        <v>9.1999999999999993</v>
      </c>
      <c r="N830" s="7">
        <v>28.1</v>
      </c>
    </row>
    <row r="831" spans="1:14" ht="19.95" customHeight="1">
      <c r="A831" s="6">
        <v>45756</v>
      </c>
      <c r="B831" t="s">
        <v>64</v>
      </c>
      <c r="C831">
        <v>2</v>
      </c>
      <c r="D831">
        <v>4</v>
      </c>
      <c r="E831">
        <v>99</v>
      </c>
      <c r="F831">
        <v>0</v>
      </c>
      <c r="G831">
        <v>0</v>
      </c>
      <c r="I831">
        <v>0</v>
      </c>
      <c r="J831">
        <v>0</v>
      </c>
      <c r="K831">
        <v>0</v>
      </c>
      <c r="L831">
        <v>0</v>
      </c>
      <c r="M831" s="7">
        <v>13.4</v>
      </c>
      <c r="N831" s="7">
        <v>26.6</v>
      </c>
    </row>
    <row r="832" spans="1:14" ht="19.95" customHeight="1">
      <c r="A832" s="6">
        <v>45757</v>
      </c>
      <c r="B832" t="s">
        <v>65</v>
      </c>
      <c r="C832">
        <v>3</v>
      </c>
      <c r="D832">
        <v>4</v>
      </c>
      <c r="E832">
        <v>100</v>
      </c>
      <c r="F832">
        <v>0</v>
      </c>
      <c r="G832">
        <v>0</v>
      </c>
      <c r="I832">
        <v>0</v>
      </c>
      <c r="J832">
        <v>0</v>
      </c>
      <c r="K832">
        <v>0</v>
      </c>
      <c r="L832">
        <v>0</v>
      </c>
      <c r="M832" s="7">
        <v>22.9</v>
      </c>
      <c r="N832" s="7">
        <v>27.4</v>
      </c>
    </row>
    <row r="833" spans="1:14" ht="19.95" customHeight="1">
      <c r="A833" s="6">
        <v>45758</v>
      </c>
      <c r="B833" t="s">
        <v>66</v>
      </c>
      <c r="C833">
        <v>4</v>
      </c>
      <c r="D833">
        <v>4</v>
      </c>
      <c r="E833">
        <v>101</v>
      </c>
      <c r="F833">
        <v>0</v>
      </c>
      <c r="G833">
        <v>0</v>
      </c>
      <c r="I833">
        <v>0</v>
      </c>
      <c r="J833">
        <v>0</v>
      </c>
      <c r="K833">
        <v>0</v>
      </c>
      <c r="L833">
        <v>0</v>
      </c>
      <c r="M833" s="7">
        <v>21.4</v>
      </c>
      <c r="N833" s="7">
        <v>27.4</v>
      </c>
    </row>
    <row r="834" spans="1:14" ht="19.95" customHeight="1">
      <c r="A834" s="6">
        <v>45759</v>
      </c>
      <c r="B834" t="s">
        <v>67</v>
      </c>
      <c r="C834">
        <v>5</v>
      </c>
      <c r="D834">
        <v>4</v>
      </c>
      <c r="E834">
        <v>102</v>
      </c>
      <c r="F834">
        <v>1</v>
      </c>
      <c r="G834">
        <v>0</v>
      </c>
      <c r="I834">
        <v>0</v>
      </c>
      <c r="J834">
        <v>0</v>
      </c>
      <c r="K834">
        <v>0</v>
      </c>
      <c r="L834">
        <v>0</v>
      </c>
      <c r="M834" s="7">
        <v>19.5</v>
      </c>
      <c r="N834" s="7">
        <v>28</v>
      </c>
    </row>
    <row r="835" spans="1:14" ht="19.95" customHeight="1">
      <c r="A835" s="6">
        <v>45760</v>
      </c>
      <c r="B835" t="s">
        <v>60</v>
      </c>
      <c r="C835">
        <v>6</v>
      </c>
      <c r="D835">
        <v>4</v>
      </c>
      <c r="E835">
        <v>103</v>
      </c>
      <c r="F835">
        <v>1</v>
      </c>
      <c r="G835">
        <v>0</v>
      </c>
      <c r="I835">
        <v>0</v>
      </c>
      <c r="J835">
        <v>0</v>
      </c>
      <c r="K835">
        <v>0</v>
      </c>
      <c r="L835">
        <v>0</v>
      </c>
      <c r="M835" s="7">
        <v>24.6</v>
      </c>
      <c r="N835" s="7">
        <v>26.3</v>
      </c>
    </row>
    <row r="836" spans="1:14" ht="19.95" customHeight="1">
      <c r="A836" s="6">
        <v>45761</v>
      </c>
      <c r="B836" t="s">
        <v>62</v>
      </c>
      <c r="C836">
        <v>0</v>
      </c>
      <c r="D836">
        <v>4</v>
      </c>
      <c r="E836">
        <v>104</v>
      </c>
      <c r="F836">
        <v>0</v>
      </c>
      <c r="G836">
        <v>0</v>
      </c>
      <c r="I836">
        <v>0</v>
      </c>
      <c r="J836">
        <v>0</v>
      </c>
      <c r="K836">
        <v>0</v>
      </c>
      <c r="L836">
        <v>0</v>
      </c>
      <c r="M836" s="7">
        <v>6.5</v>
      </c>
      <c r="N836" s="7">
        <v>27.4</v>
      </c>
    </row>
    <row r="837" spans="1:14" ht="19.95" customHeight="1">
      <c r="A837" s="6">
        <v>45762</v>
      </c>
      <c r="B837" t="s">
        <v>63</v>
      </c>
      <c r="C837">
        <v>1</v>
      </c>
      <c r="D837">
        <v>4</v>
      </c>
      <c r="E837">
        <v>105</v>
      </c>
      <c r="F837">
        <v>0</v>
      </c>
      <c r="G837">
        <v>0</v>
      </c>
      <c r="I837">
        <v>0</v>
      </c>
      <c r="J837">
        <v>0</v>
      </c>
      <c r="K837">
        <v>0</v>
      </c>
      <c r="L837">
        <v>0</v>
      </c>
      <c r="M837" s="7">
        <v>14.2</v>
      </c>
      <c r="N837" s="7">
        <v>27.4</v>
      </c>
    </row>
    <row r="838" spans="1:14" ht="19.95" customHeight="1">
      <c r="A838" s="6">
        <v>45763</v>
      </c>
      <c r="B838" t="s">
        <v>64</v>
      </c>
      <c r="C838">
        <v>2</v>
      </c>
      <c r="D838">
        <v>4</v>
      </c>
      <c r="E838">
        <v>106</v>
      </c>
      <c r="F838">
        <v>0</v>
      </c>
      <c r="G838">
        <v>0</v>
      </c>
      <c r="I838">
        <v>0</v>
      </c>
      <c r="J838">
        <v>0</v>
      </c>
      <c r="K838">
        <v>0</v>
      </c>
      <c r="L838">
        <v>0</v>
      </c>
      <c r="M838" s="7">
        <v>8.4</v>
      </c>
      <c r="N838" s="7">
        <v>26.8</v>
      </c>
    </row>
    <row r="839" spans="1:14" ht="19.95" customHeight="1">
      <c r="A839" s="6">
        <v>45764</v>
      </c>
      <c r="B839" t="s">
        <v>65</v>
      </c>
      <c r="C839">
        <v>3</v>
      </c>
      <c r="D839">
        <v>4</v>
      </c>
      <c r="E839">
        <v>107</v>
      </c>
      <c r="F839">
        <v>0</v>
      </c>
      <c r="G839">
        <v>0</v>
      </c>
      <c r="I839">
        <v>0</v>
      </c>
      <c r="J839">
        <v>0</v>
      </c>
      <c r="K839">
        <v>0</v>
      </c>
      <c r="L839">
        <v>0</v>
      </c>
      <c r="M839" s="7">
        <v>19.5</v>
      </c>
      <c r="N839" s="7">
        <v>26.7</v>
      </c>
    </row>
    <row r="840" spans="1:14" ht="19.95" customHeight="1">
      <c r="A840" s="6">
        <v>45765</v>
      </c>
      <c r="B840" t="s">
        <v>66</v>
      </c>
      <c r="C840">
        <v>4</v>
      </c>
      <c r="D840">
        <v>4</v>
      </c>
      <c r="E840">
        <v>108</v>
      </c>
      <c r="F840">
        <v>0</v>
      </c>
      <c r="G840">
        <v>0</v>
      </c>
      <c r="I840">
        <v>0</v>
      </c>
      <c r="J840">
        <v>0</v>
      </c>
      <c r="K840">
        <v>0</v>
      </c>
      <c r="L840">
        <v>0</v>
      </c>
      <c r="M840" s="7">
        <v>15.7</v>
      </c>
      <c r="N840" s="7">
        <v>25.4</v>
      </c>
    </row>
    <row r="841" spans="1:14" ht="19.95" customHeight="1">
      <c r="A841" s="6">
        <v>45766</v>
      </c>
      <c r="B841" t="s">
        <v>67</v>
      </c>
      <c r="C841">
        <v>5</v>
      </c>
      <c r="D841">
        <v>4</v>
      </c>
      <c r="E841">
        <v>109</v>
      </c>
      <c r="F841">
        <v>1</v>
      </c>
      <c r="G841">
        <v>0</v>
      </c>
      <c r="I841">
        <v>0</v>
      </c>
      <c r="J841">
        <v>0</v>
      </c>
      <c r="K841">
        <v>0</v>
      </c>
      <c r="L841">
        <v>0</v>
      </c>
      <c r="M841" s="7">
        <v>17</v>
      </c>
      <c r="N841" s="7">
        <v>27.3</v>
      </c>
    </row>
    <row r="842" spans="1:14" ht="19.95" customHeight="1">
      <c r="A842" s="6">
        <v>45767</v>
      </c>
      <c r="B842" t="s">
        <v>60</v>
      </c>
      <c r="C842">
        <v>6</v>
      </c>
      <c r="D842">
        <v>4</v>
      </c>
      <c r="E842">
        <v>110</v>
      </c>
      <c r="F842">
        <v>1</v>
      </c>
      <c r="G842">
        <v>0</v>
      </c>
      <c r="I842">
        <v>0</v>
      </c>
      <c r="J842">
        <v>0</v>
      </c>
      <c r="K842">
        <v>0</v>
      </c>
      <c r="L842">
        <v>0</v>
      </c>
      <c r="M842" s="7">
        <v>14.3</v>
      </c>
      <c r="N842" s="7">
        <v>25.9</v>
      </c>
    </row>
    <row r="843" spans="1:14" ht="19.95" customHeight="1">
      <c r="A843" s="6">
        <v>45768</v>
      </c>
      <c r="B843" t="s">
        <v>62</v>
      </c>
      <c r="C843">
        <v>0</v>
      </c>
      <c r="D843">
        <v>4</v>
      </c>
      <c r="E843">
        <v>111</v>
      </c>
      <c r="F843">
        <v>0</v>
      </c>
      <c r="G843">
        <v>1</v>
      </c>
      <c r="H843" t="s">
        <v>70</v>
      </c>
      <c r="I843">
        <v>0</v>
      </c>
      <c r="J843">
        <v>0</v>
      </c>
      <c r="K843">
        <v>0</v>
      </c>
      <c r="L843">
        <v>0</v>
      </c>
      <c r="M843" s="7">
        <v>10.7</v>
      </c>
      <c r="N843" s="7">
        <v>26.4</v>
      </c>
    </row>
    <row r="844" spans="1:14" ht="19.95" customHeight="1">
      <c r="A844" s="6">
        <v>45769</v>
      </c>
      <c r="B844" t="s">
        <v>63</v>
      </c>
      <c r="C844">
        <v>1</v>
      </c>
      <c r="D844">
        <v>4</v>
      </c>
      <c r="E844">
        <v>112</v>
      </c>
      <c r="F844">
        <v>0</v>
      </c>
      <c r="G844">
        <v>0</v>
      </c>
      <c r="I844">
        <v>0</v>
      </c>
      <c r="J844">
        <v>0</v>
      </c>
      <c r="K844">
        <v>0</v>
      </c>
      <c r="L844">
        <v>0</v>
      </c>
      <c r="M844" s="7">
        <v>9.4</v>
      </c>
      <c r="N844" s="7">
        <v>27.1</v>
      </c>
    </row>
    <row r="845" spans="1:14" ht="19.95" customHeight="1">
      <c r="A845" s="6">
        <v>45770</v>
      </c>
      <c r="B845" t="s">
        <v>64</v>
      </c>
      <c r="C845">
        <v>2</v>
      </c>
      <c r="D845">
        <v>4</v>
      </c>
      <c r="E845">
        <v>113</v>
      </c>
      <c r="F845">
        <v>0</v>
      </c>
      <c r="G845">
        <v>0</v>
      </c>
      <c r="I845">
        <v>0</v>
      </c>
      <c r="J845">
        <v>0</v>
      </c>
      <c r="K845">
        <v>0</v>
      </c>
      <c r="L845">
        <v>0</v>
      </c>
      <c r="M845" s="7">
        <v>9.1999999999999993</v>
      </c>
      <c r="N845" s="7">
        <v>28.9</v>
      </c>
    </row>
    <row r="846" spans="1:14" ht="19.95" customHeight="1">
      <c r="A846" s="6">
        <v>45771</v>
      </c>
      <c r="B846" t="s">
        <v>65</v>
      </c>
      <c r="C846">
        <v>3</v>
      </c>
      <c r="D846">
        <v>4</v>
      </c>
      <c r="E846">
        <v>114</v>
      </c>
      <c r="F846">
        <v>0</v>
      </c>
      <c r="G846">
        <v>0</v>
      </c>
      <c r="I846">
        <v>0</v>
      </c>
      <c r="J846">
        <v>0</v>
      </c>
      <c r="K846">
        <v>0</v>
      </c>
      <c r="L846">
        <v>0</v>
      </c>
      <c r="M846" s="7">
        <v>14.7</v>
      </c>
      <c r="N846" s="7">
        <v>26.9</v>
      </c>
    </row>
    <row r="847" spans="1:14" ht="19.95" customHeight="1">
      <c r="A847" s="6">
        <v>45772</v>
      </c>
      <c r="B847" t="s">
        <v>66</v>
      </c>
      <c r="C847">
        <v>4</v>
      </c>
      <c r="D847">
        <v>4</v>
      </c>
      <c r="E847">
        <v>115</v>
      </c>
      <c r="F847">
        <v>0</v>
      </c>
      <c r="G847">
        <v>0</v>
      </c>
      <c r="I847">
        <v>0</v>
      </c>
      <c r="J847">
        <v>0</v>
      </c>
      <c r="K847">
        <v>0</v>
      </c>
      <c r="L847">
        <v>0</v>
      </c>
      <c r="M847" s="7">
        <v>5.9</v>
      </c>
      <c r="N847" s="7">
        <v>28</v>
      </c>
    </row>
    <row r="848" spans="1:14" ht="19.95" customHeight="1">
      <c r="A848" s="6">
        <v>45773</v>
      </c>
      <c r="B848" t="s">
        <v>67</v>
      </c>
      <c r="C848">
        <v>5</v>
      </c>
      <c r="D848">
        <v>4</v>
      </c>
      <c r="E848">
        <v>116</v>
      </c>
      <c r="F848">
        <v>1</v>
      </c>
      <c r="G848">
        <v>0</v>
      </c>
      <c r="I848">
        <v>0</v>
      </c>
      <c r="J848">
        <v>0</v>
      </c>
      <c r="K848">
        <v>0</v>
      </c>
      <c r="L848">
        <v>0</v>
      </c>
      <c r="M848" s="7">
        <v>13.9</v>
      </c>
      <c r="N848" s="7">
        <v>27.4</v>
      </c>
    </row>
    <row r="849" spans="1:14" ht="19.95" customHeight="1">
      <c r="A849" s="6">
        <v>45774</v>
      </c>
      <c r="B849" t="s">
        <v>60</v>
      </c>
      <c r="C849">
        <v>6</v>
      </c>
      <c r="D849">
        <v>4</v>
      </c>
      <c r="E849">
        <v>117</v>
      </c>
      <c r="F849">
        <v>1</v>
      </c>
      <c r="G849">
        <v>0</v>
      </c>
      <c r="I849">
        <v>0</v>
      </c>
      <c r="J849">
        <v>0</v>
      </c>
      <c r="K849">
        <v>0</v>
      </c>
      <c r="L849">
        <v>0</v>
      </c>
      <c r="M849" s="7">
        <v>8.8000000000000007</v>
      </c>
      <c r="N849" s="7">
        <v>26.8</v>
      </c>
    </row>
    <row r="850" spans="1:14" ht="19.95" customHeight="1">
      <c r="A850" s="6">
        <v>45775</v>
      </c>
      <c r="B850" t="s">
        <v>62</v>
      </c>
      <c r="C850">
        <v>0</v>
      </c>
      <c r="D850">
        <v>4</v>
      </c>
      <c r="E850">
        <v>118</v>
      </c>
      <c r="F850">
        <v>0</v>
      </c>
      <c r="G850">
        <v>0</v>
      </c>
      <c r="I850">
        <v>0</v>
      </c>
      <c r="J850">
        <v>0</v>
      </c>
      <c r="K850">
        <v>0</v>
      </c>
      <c r="L850">
        <v>0</v>
      </c>
      <c r="M850" s="7">
        <v>21.2</v>
      </c>
      <c r="N850" s="7">
        <v>25.7</v>
      </c>
    </row>
    <row r="851" spans="1:14" ht="19.95" customHeight="1">
      <c r="A851" s="6">
        <v>45776</v>
      </c>
      <c r="B851" t="s">
        <v>63</v>
      </c>
      <c r="C851">
        <v>1</v>
      </c>
      <c r="D851">
        <v>4</v>
      </c>
      <c r="E851">
        <v>119</v>
      </c>
      <c r="F851">
        <v>0</v>
      </c>
      <c r="G851">
        <v>0</v>
      </c>
      <c r="I851">
        <v>0</v>
      </c>
      <c r="J851">
        <v>0</v>
      </c>
      <c r="K851">
        <v>0</v>
      </c>
      <c r="L851">
        <v>0</v>
      </c>
      <c r="M851" s="7">
        <v>2.5</v>
      </c>
      <c r="N851" s="7">
        <v>27</v>
      </c>
    </row>
    <row r="852" spans="1:14" ht="19.95" customHeight="1">
      <c r="A852" s="6">
        <v>45777</v>
      </c>
      <c r="B852" t="s">
        <v>64</v>
      </c>
      <c r="C852">
        <v>2</v>
      </c>
      <c r="D852">
        <v>4</v>
      </c>
      <c r="E852">
        <v>120</v>
      </c>
      <c r="F852">
        <v>0</v>
      </c>
      <c r="G852">
        <v>0</v>
      </c>
      <c r="I852">
        <v>0</v>
      </c>
      <c r="J852">
        <v>0</v>
      </c>
      <c r="K852">
        <v>0</v>
      </c>
      <c r="L852">
        <v>0</v>
      </c>
      <c r="M852" s="7">
        <v>10.9</v>
      </c>
      <c r="N852" s="7">
        <v>27.9</v>
      </c>
    </row>
    <row r="853" spans="1:14" ht="19.95" customHeight="1">
      <c r="A853" s="6">
        <v>45778</v>
      </c>
      <c r="B853" t="s">
        <v>65</v>
      </c>
      <c r="C853">
        <v>3</v>
      </c>
      <c r="D853">
        <v>5</v>
      </c>
      <c r="E853">
        <v>121</v>
      </c>
      <c r="F853">
        <v>0</v>
      </c>
      <c r="G853">
        <v>1</v>
      </c>
      <c r="H853" t="s">
        <v>71</v>
      </c>
      <c r="I853">
        <v>0</v>
      </c>
      <c r="J853">
        <v>0</v>
      </c>
      <c r="K853">
        <v>0</v>
      </c>
      <c r="L853">
        <v>0</v>
      </c>
      <c r="M853" s="7">
        <v>5.6</v>
      </c>
      <c r="N853" s="7">
        <v>27.3</v>
      </c>
    </row>
    <row r="854" spans="1:14" ht="19.95" customHeight="1">
      <c r="A854" s="6">
        <v>45779</v>
      </c>
      <c r="B854" t="s">
        <v>66</v>
      </c>
      <c r="C854">
        <v>4</v>
      </c>
      <c r="D854">
        <v>5</v>
      </c>
      <c r="E854">
        <v>122</v>
      </c>
      <c r="F854">
        <v>0</v>
      </c>
      <c r="G854">
        <v>0</v>
      </c>
      <c r="I854">
        <v>0</v>
      </c>
      <c r="J854">
        <v>0</v>
      </c>
      <c r="K854">
        <v>0</v>
      </c>
      <c r="L854">
        <v>0</v>
      </c>
      <c r="M854" s="7">
        <v>3.6</v>
      </c>
      <c r="N854" s="7">
        <v>28.8</v>
      </c>
    </row>
    <row r="855" spans="1:14" ht="19.95" customHeight="1">
      <c r="A855" s="6">
        <v>45780</v>
      </c>
      <c r="B855" t="s">
        <v>67</v>
      </c>
      <c r="C855">
        <v>5</v>
      </c>
      <c r="D855">
        <v>5</v>
      </c>
      <c r="E855">
        <v>123</v>
      </c>
      <c r="F855">
        <v>1</v>
      </c>
      <c r="G855">
        <v>0</v>
      </c>
      <c r="I855">
        <v>0</v>
      </c>
      <c r="J855">
        <v>0</v>
      </c>
      <c r="K855">
        <v>0</v>
      </c>
      <c r="L855">
        <v>0</v>
      </c>
      <c r="M855" s="7">
        <v>4.4000000000000004</v>
      </c>
      <c r="N855" s="7">
        <v>28.5</v>
      </c>
    </row>
    <row r="856" spans="1:14" ht="19.95" customHeight="1">
      <c r="A856" s="6">
        <v>45781</v>
      </c>
      <c r="B856" t="s">
        <v>60</v>
      </c>
      <c r="C856">
        <v>6</v>
      </c>
      <c r="D856">
        <v>5</v>
      </c>
      <c r="E856">
        <v>124</v>
      </c>
      <c r="F856">
        <v>1</v>
      </c>
      <c r="G856">
        <v>0</v>
      </c>
      <c r="I856">
        <v>0</v>
      </c>
      <c r="J856">
        <v>0</v>
      </c>
      <c r="K856">
        <v>0</v>
      </c>
      <c r="L856">
        <v>0</v>
      </c>
      <c r="M856" s="7">
        <v>13.8</v>
      </c>
      <c r="N856" s="7">
        <v>26.2</v>
      </c>
    </row>
    <row r="857" spans="1:14" ht="19.95" customHeight="1">
      <c r="A857" s="6">
        <v>45782</v>
      </c>
      <c r="B857" t="s">
        <v>62</v>
      </c>
      <c r="C857">
        <v>0</v>
      </c>
      <c r="D857">
        <v>5</v>
      </c>
      <c r="E857">
        <v>125</v>
      </c>
      <c r="F857">
        <v>0</v>
      </c>
      <c r="G857">
        <v>0</v>
      </c>
      <c r="I857">
        <v>0</v>
      </c>
      <c r="J857">
        <v>0</v>
      </c>
      <c r="K857">
        <v>0</v>
      </c>
      <c r="L857">
        <v>0</v>
      </c>
      <c r="M857" s="7">
        <v>16.8</v>
      </c>
      <c r="N857" s="7">
        <v>27</v>
      </c>
    </row>
    <row r="858" spans="1:14" ht="19.95" customHeight="1">
      <c r="A858" s="6">
        <v>45783</v>
      </c>
      <c r="B858" t="s">
        <v>63</v>
      </c>
      <c r="C858">
        <v>1</v>
      </c>
      <c r="D858">
        <v>5</v>
      </c>
      <c r="E858">
        <v>126</v>
      </c>
      <c r="F858">
        <v>0</v>
      </c>
      <c r="G858">
        <v>0</v>
      </c>
      <c r="I858">
        <v>0</v>
      </c>
      <c r="J858">
        <v>0</v>
      </c>
      <c r="K858">
        <v>0</v>
      </c>
      <c r="L858">
        <v>0</v>
      </c>
      <c r="M858" s="7">
        <v>23.1</v>
      </c>
      <c r="N858" s="7">
        <v>26.7</v>
      </c>
    </row>
    <row r="859" spans="1:14" ht="19.95" customHeight="1">
      <c r="A859" s="6">
        <v>45784</v>
      </c>
      <c r="B859" t="s">
        <v>64</v>
      </c>
      <c r="C859">
        <v>2</v>
      </c>
      <c r="D859">
        <v>5</v>
      </c>
      <c r="E859">
        <v>127</v>
      </c>
      <c r="F859">
        <v>0</v>
      </c>
      <c r="G859">
        <v>0</v>
      </c>
      <c r="I859">
        <v>0</v>
      </c>
      <c r="J859">
        <v>0</v>
      </c>
      <c r="K859">
        <v>0</v>
      </c>
      <c r="L859">
        <v>0</v>
      </c>
      <c r="M859" s="7">
        <v>21.1</v>
      </c>
      <c r="N859" s="7">
        <v>26</v>
      </c>
    </row>
    <row r="860" spans="1:14" ht="19.95" customHeight="1">
      <c r="A860" s="6">
        <v>45785</v>
      </c>
      <c r="B860" t="s">
        <v>65</v>
      </c>
      <c r="C860">
        <v>3</v>
      </c>
      <c r="D860">
        <v>5</v>
      </c>
      <c r="E860">
        <v>128</v>
      </c>
      <c r="F860">
        <v>0</v>
      </c>
      <c r="G860">
        <v>0</v>
      </c>
      <c r="I860">
        <v>0</v>
      </c>
      <c r="J860">
        <v>0</v>
      </c>
      <c r="K860">
        <v>0</v>
      </c>
      <c r="L860">
        <v>0</v>
      </c>
      <c r="M860" s="7">
        <v>23</v>
      </c>
      <c r="N860" s="7">
        <v>28.2</v>
      </c>
    </row>
    <row r="861" spans="1:14" ht="19.95" customHeight="1">
      <c r="A861" s="6">
        <v>45786</v>
      </c>
      <c r="B861" t="s">
        <v>66</v>
      </c>
      <c r="C861">
        <v>4</v>
      </c>
      <c r="D861">
        <v>5</v>
      </c>
      <c r="E861">
        <v>129</v>
      </c>
      <c r="F861">
        <v>0</v>
      </c>
      <c r="G861">
        <v>0</v>
      </c>
      <c r="I861">
        <v>0</v>
      </c>
      <c r="J861">
        <v>0</v>
      </c>
      <c r="K861">
        <v>0</v>
      </c>
      <c r="L861">
        <v>0</v>
      </c>
      <c r="M861" s="7">
        <v>0</v>
      </c>
      <c r="N861" s="7">
        <v>27</v>
      </c>
    </row>
    <row r="862" spans="1:14" ht="19.95" customHeight="1">
      <c r="A862" s="6">
        <v>45787</v>
      </c>
      <c r="B862" t="s">
        <v>67</v>
      </c>
      <c r="C862">
        <v>5</v>
      </c>
      <c r="D862">
        <v>5</v>
      </c>
      <c r="E862">
        <v>130</v>
      </c>
      <c r="F862">
        <v>1</v>
      </c>
      <c r="G862">
        <v>0</v>
      </c>
      <c r="I862">
        <v>0</v>
      </c>
      <c r="J862">
        <v>0</v>
      </c>
      <c r="K862">
        <v>0</v>
      </c>
      <c r="L862">
        <v>0</v>
      </c>
      <c r="M862" s="7">
        <v>2.1</v>
      </c>
      <c r="N862" s="7">
        <v>27.8</v>
      </c>
    </row>
    <row r="863" spans="1:14" ht="19.95" customHeight="1">
      <c r="A863" s="6">
        <v>45788</v>
      </c>
      <c r="B863" t="s">
        <v>60</v>
      </c>
      <c r="C863">
        <v>6</v>
      </c>
      <c r="D863">
        <v>5</v>
      </c>
      <c r="E863">
        <v>131</v>
      </c>
      <c r="F863">
        <v>1</v>
      </c>
      <c r="G863">
        <v>0</v>
      </c>
      <c r="I863">
        <v>0</v>
      </c>
      <c r="J863">
        <v>0</v>
      </c>
      <c r="K863">
        <v>0</v>
      </c>
      <c r="L863">
        <v>0</v>
      </c>
      <c r="M863" s="7">
        <v>18.3</v>
      </c>
      <c r="N863" s="7">
        <v>27.2</v>
      </c>
    </row>
    <row r="864" spans="1:14" ht="19.95" customHeight="1">
      <c r="A864" s="6">
        <v>45789</v>
      </c>
      <c r="B864" t="s">
        <v>62</v>
      </c>
      <c r="C864">
        <v>0</v>
      </c>
      <c r="D864">
        <v>5</v>
      </c>
      <c r="E864">
        <v>132</v>
      </c>
      <c r="F864">
        <v>0</v>
      </c>
      <c r="G864">
        <v>0</v>
      </c>
      <c r="I864">
        <v>0</v>
      </c>
      <c r="J864">
        <v>0</v>
      </c>
      <c r="K864">
        <v>0</v>
      </c>
      <c r="L864">
        <v>0</v>
      </c>
      <c r="M864" s="7">
        <v>10.7</v>
      </c>
      <c r="N864" s="7">
        <v>25.8</v>
      </c>
    </row>
    <row r="865" spans="1:14" ht="19.95" customHeight="1">
      <c r="A865" s="6">
        <v>45790</v>
      </c>
      <c r="B865" t="s">
        <v>63</v>
      </c>
      <c r="C865">
        <v>1</v>
      </c>
      <c r="D865">
        <v>5</v>
      </c>
      <c r="E865">
        <v>133</v>
      </c>
      <c r="F865">
        <v>0</v>
      </c>
      <c r="G865">
        <v>0</v>
      </c>
      <c r="I865">
        <v>0</v>
      </c>
      <c r="J865">
        <v>0</v>
      </c>
      <c r="K865">
        <v>0</v>
      </c>
      <c r="L865">
        <v>0</v>
      </c>
      <c r="M865" s="7">
        <v>7</v>
      </c>
      <c r="N865" s="7">
        <v>27.2</v>
      </c>
    </row>
    <row r="866" spans="1:14" ht="19.95" customHeight="1">
      <c r="A866" s="6">
        <v>45791</v>
      </c>
      <c r="B866" t="s">
        <v>64</v>
      </c>
      <c r="C866">
        <v>2</v>
      </c>
      <c r="D866">
        <v>5</v>
      </c>
      <c r="E866">
        <v>134</v>
      </c>
      <c r="F866">
        <v>0</v>
      </c>
      <c r="G866">
        <v>0</v>
      </c>
      <c r="I866">
        <v>0</v>
      </c>
      <c r="J866">
        <v>0</v>
      </c>
      <c r="K866">
        <v>0</v>
      </c>
      <c r="L866">
        <v>0</v>
      </c>
      <c r="M866" s="7">
        <v>16.899999999999999</v>
      </c>
      <c r="N866" s="7">
        <v>27.5</v>
      </c>
    </row>
    <row r="867" spans="1:14" ht="19.95" customHeight="1">
      <c r="A867" s="6">
        <v>45792</v>
      </c>
      <c r="B867" t="s">
        <v>65</v>
      </c>
      <c r="C867">
        <v>3</v>
      </c>
      <c r="D867">
        <v>5</v>
      </c>
      <c r="E867">
        <v>135</v>
      </c>
      <c r="F867">
        <v>0</v>
      </c>
      <c r="G867">
        <v>0</v>
      </c>
      <c r="I867">
        <v>0</v>
      </c>
      <c r="J867">
        <v>0</v>
      </c>
      <c r="K867">
        <v>0</v>
      </c>
      <c r="L867">
        <v>0</v>
      </c>
      <c r="M867" s="7">
        <v>20.2</v>
      </c>
      <c r="N867" s="7">
        <v>26.5</v>
      </c>
    </row>
    <row r="868" spans="1:14" ht="19.95" customHeight="1">
      <c r="A868" s="6">
        <v>45793</v>
      </c>
      <c r="B868" t="s">
        <v>66</v>
      </c>
      <c r="C868">
        <v>4</v>
      </c>
      <c r="D868">
        <v>5</v>
      </c>
      <c r="E868">
        <v>136</v>
      </c>
      <c r="F868">
        <v>0</v>
      </c>
      <c r="G868">
        <v>0</v>
      </c>
      <c r="I868">
        <v>0</v>
      </c>
      <c r="J868">
        <v>0</v>
      </c>
      <c r="K868">
        <v>0</v>
      </c>
      <c r="L868">
        <v>0</v>
      </c>
      <c r="M868" s="7">
        <v>0</v>
      </c>
      <c r="N868" s="7">
        <v>26.5</v>
      </c>
    </row>
    <row r="869" spans="1:14" ht="19.95" customHeight="1">
      <c r="A869" s="6">
        <v>45794</v>
      </c>
      <c r="B869" t="s">
        <v>67</v>
      </c>
      <c r="C869">
        <v>5</v>
      </c>
      <c r="D869">
        <v>5</v>
      </c>
      <c r="E869">
        <v>137</v>
      </c>
      <c r="F869">
        <v>1</v>
      </c>
      <c r="G869">
        <v>0</v>
      </c>
      <c r="I869">
        <v>0</v>
      </c>
      <c r="J869">
        <v>0</v>
      </c>
      <c r="K869">
        <v>0</v>
      </c>
      <c r="L869">
        <v>0</v>
      </c>
      <c r="M869" s="7">
        <v>9.4</v>
      </c>
      <c r="N869" s="7">
        <v>27.7</v>
      </c>
    </row>
    <row r="870" spans="1:14" ht="19.95" customHeight="1">
      <c r="A870" s="6">
        <v>45795</v>
      </c>
      <c r="B870" t="s">
        <v>60</v>
      </c>
      <c r="C870">
        <v>6</v>
      </c>
      <c r="D870">
        <v>5</v>
      </c>
      <c r="E870">
        <v>138</v>
      </c>
      <c r="F870">
        <v>1</v>
      </c>
      <c r="G870">
        <v>0</v>
      </c>
      <c r="I870">
        <v>0</v>
      </c>
      <c r="J870">
        <v>0</v>
      </c>
      <c r="K870">
        <v>0</v>
      </c>
      <c r="L870">
        <v>0</v>
      </c>
      <c r="M870" s="7">
        <v>8.8000000000000007</v>
      </c>
      <c r="N870" s="7">
        <v>27.3</v>
      </c>
    </row>
    <row r="871" spans="1:14" ht="19.95" customHeight="1">
      <c r="A871" s="6">
        <v>45796</v>
      </c>
      <c r="B871" t="s">
        <v>62</v>
      </c>
      <c r="C871">
        <v>0</v>
      </c>
      <c r="D871">
        <v>5</v>
      </c>
      <c r="E871">
        <v>139</v>
      </c>
      <c r="F871">
        <v>0</v>
      </c>
      <c r="G871">
        <v>0</v>
      </c>
      <c r="I871">
        <v>0</v>
      </c>
      <c r="J871">
        <v>0</v>
      </c>
      <c r="K871">
        <v>0</v>
      </c>
      <c r="L871">
        <v>0</v>
      </c>
      <c r="M871" s="7">
        <v>9.1</v>
      </c>
      <c r="N871" s="7">
        <v>25.2</v>
      </c>
    </row>
    <row r="872" spans="1:14" ht="19.95" customHeight="1">
      <c r="A872" s="6">
        <v>45797</v>
      </c>
      <c r="B872" t="s">
        <v>63</v>
      </c>
      <c r="C872">
        <v>1</v>
      </c>
      <c r="D872">
        <v>5</v>
      </c>
      <c r="E872">
        <v>140</v>
      </c>
      <c r="F872">
        <v>0</v>
      </c>
      <c r="G872">
        <v>0</v>
      </c>
      <c r="I872">
        <v>0</v>
      </c>
      <c r="J872">
        <v>0</v>
      </c>
      <c r="K872">
        <v>0</v>
      </c>
      <c r="L872">
        <v>0</v>
      </c>
      <c r="M872" s="7">
        <v>0</v>
      </c>
      <c r="N872" s="7">
        <v>28.1</v>
      </c>
    </row>
    <row r="873" spans="1:14" ht="19.95" customHeight="1">
      <c r="A873" s="6">
        <v>45798</v>
      </c>
      <c r="B873" t="s">
        <v>64</v>
      </c>
      <c r="C873">
        <v>2</v>
      </c>
      <c r="D873">
        <v>5</v>
      </c>
      <c r="E873">
        <v>141</v>
      </c>
      <c r="F873">
        <v>0</v>
      </c>
      <c r="G873">
        <v>0</v>
      </c>
      <c r="I873">
        <v>0</v>
      </c>
      <c r="J873">
        <v>0</v>
      </c>
      <c r="K873">
        <v>0</v>
      </c>
      <c r="L873">
        <v>0</v>
      </c>
      <c r="M873" s="7">
        <v>12.6</v>
      </c>
      <c r="N873" s="7">
        <v>27.9</v>
      </c>
    </row>
    <row r="874" spans="1:14" ht="19.95" customHeight="1">
      <c r="A874" s="6">
        <v>45799</v>
      </c>
      <c r="B874" t="s">
        <v>65</v>
      </c>
      <c r="C874">
        <v>3</v>
      </c>
      <c r="D874">
        <v>5</v>
      </c>
      <c r="E874">
        <v>142</v>
      </c>
      <c r="F874">
        <v>0</v>
      </c>
      <c r="G874">
        <v>0</v>
      </c>
      <c r="I874">
        <v>0</v>
      </c>
      <c r="J874">
        <v>0</v>
      </c>
      <c r="K874">
        <v>0</v>
      </c>
      <c r="L874">
        <v>0</v>
      </c>
      <c r="M874" s="7">
        <v>7.1</v>
      </c>
      <c r="N874" s="7">
        <v>27</v>
      </c>
    </row>
    <row r="875" spans="1:14" ht="19.95" customHeight="1">
      <c r="A875" s="6">
        <v>45800</v>
      </c>
      <c r="B875" t="s">
        <v>66</v>
      </c>
      <c r="C875">
        <v>4</v>
      </c>
      <c r="D875">
        <v>5</v>
      </c>
      <c r="E875">
        <v>143</v>
      </c>
      <c r="F875">
        <v>0</v>
      </c>
      <c r="G875">
        <v>0</v>
      </c>
      <c r="I875">
        <v>0</v>
      </c>
      <c r="J875">
        <v>0</v>
      </c>
      <c r="K875">
        <v>0</v>
      </c>
      <c r="L875">
        <v>0</v>
      </c>
      <c r="M875" s="7">
        <v>0</v>
      </c>
      <c r="N875" s="7">
        <v>26.1</v>
      </c>
    </row>
    <row r="876" spans="1:14" ht="19.95" customHeight="1">
      <c r="A876" s="6">
        <v>45801</v>
      </c>
      <c r="B876" t="s">
        <v>67</v>
      </c>
      <c r="C876">
        <v>5</v>
      </c>
      <c r="D876">
        <v>5</v>
      </c>
      <c r="E876">
        <v>144</v>
      </c>
      <c r="F876">
        <v>1</v>
      </c>
      <c r="G876">
        <v>0</v>
      </c>
      <c r="I876">
        <v>0</v>
      </c>
      <c r="J876">
        <v>0</v>
      </c>
      <c r="K876">
        <v>0</v>
      </c>
      <c r="L876">
        <v>0</v>
      </c>
      <c r="M876" s="7">
        <v>6.4</v>
      </c>
      <c r="N876" s="7">
        <v>26.2</v>
      </c>
    </row>
    <row r="877" spans="1:14" ht="19.95" customHeight="1">
      <c r="A877" s="6">
        <v>45802</v>
      </c>
      <c r="B877" t="s">
        <v>60</v>
      </c>
      <c r="C877">
        <v>6</v>
      </c>
      <c r="D877">
        <v>5</v>
      </c>
      <c r="E877">
        <v>145</v>
      </c>
      <c r="F877">
        <v>1</v>
      </c>
      <c r="G877">
        <v>0</v>
      </c>
      <c r="I877">
        <v>0</v>
      </c>
      <c r="J877">
        <v>0</v>
      </c>
      <c r="K877">
        <v>0</v>
      </c>
      <c r="L877">
        <v>0</v>
      </c>
      <c r="M877" s="7">
        <v>23.3</v>
      </c>
      <c r="N877" s="7">
        <v>27.2</v>
      </c>
    </row>
    <row r="878" spans="1:14" ht="19.95" customHeight="1">
      <c r="A878" s="6">
        <v>45803</v>
      </c>
      <c r="B878" t="s">
        <v>62</v>
      </c>
      <c r="C878">
        <v>0</v>
      </c>
      <c r="D878">
        <v>5</v>
      </c>
      <c r="E878">
        <v>146</v>
      </c>
      <c r="F878">
        <v>0</v>
      </c>
      <c r="G878">
        <v>0</v>
      </c>
      <c r="I878">
        <v>0</v>
      </c>
      <c r="J878">
        <v>0</v>
      </c>
      <c r="K878">
        <v>0</v>
      </c>
      <c r="L878">
        <v>0</v>
      </c>
      <c r="M878" s="7">
        <v>18.5</v>
      </c>
      <c r="N878" s="7">
        <v>26.4</v>
      </c>
    </row>
    <row r="879" spans="1:14" ht="19.95" customHeight="1">
      <c r="A879" s="6">
        <v>45804</v>
      </c>
      <c r="B879" t="s">
        <v>63</v>
      </c>
      <c r="C879">
        <v>1</v>
      </c>
      <c r="D879">
        <v>5</v>
      </c>
      <c r="E879">
        <v>147</v>
      </c>
      <c r="F879">
        <v>0</v>
      </c>
      <c r="G879">
        <v>0</v>
      </c>
      <c r="I879">
        <v>0</v>
      </c>
      <c r="J879">
        <v>0</v>
      </c>
      <c r="K879">
        <v>0</v>
      </c>
      <c r="L879">
        <v>0</v>
      </c>
      <c r="M879" s="7">
        <v>7.1</v>
      </c>
      <c r="N879" s="7">
        <v>27.2</v>
      </c>
    </row>
    <row r="880" spans="1:14" ht="19.95" customHeight="1">
      <c r="A880" s="6">
        <v>45805</v>
      </c>
      <c r="B880" t="s">
        <v>64</v>
      </c>
      <c r="C880">
        <v>2</v>
      </c>
      <c r="D880">
        <v>5</v>
      </c>
      <c r="E880">
        <v>148</v>
      </c>
      <c r="F880">
        <v>0</v>
      </c>
      <c r="G880">
        <v>0</v>
      </c>
      <c r="I880">
        <v>0</v>
      </c>
      <c r="J880">
        <v>0</v>
      </c>
      <c r="K880">
        <v>0</v>
      </c>
      <c r="L880">
        <v>0</v>
      </c>
      <c r="M880" s="7">
        <v>11.5</v>
      </c>
      <c r="N880" s="7">
        <v>27.3</v>
      </c>
    </row>
    <row r="881" spans="1:14" ht="19.95" customHeight="1">
      <c r="A881" s="6">
        <v>45806</v>
      </c>
      <c r="B881" t="s">
        <v>65</v>
      </c>
      <c r="C881">
        <v>3</v>
      </c>
      <c r="D881">
        <v>5</v>
      </c>
      <c r="E881">
        <v>149</v>
      </c>
      <c r="F881">
        <v>0</v>
      </c>
      <c r="G881">
        <v>0</v>
      </c>
      <c r="I881">
        <v>0</v>
      </c>
      <c r="J881">
        <v>0</v>
      </c>
      <c r="K881">
        <v>0</v>
      </c>
      <c r="L881">
        <v>0</v>
      </c>
      <c r="M881" s="7">
        <v>18.2</v>
      </c>
      <c r="N881" s="7">
        <v>27.7</v>
      </c>
    </row>
    <row r="882" spans="1:14" ht="19.95" customHeight="1">
      <c r="A882" s="6">
        <v>45807</v>
      </c>
      <c r="B882" t="s">
        <v>66</v>
      </c>
      <c r="C882">
        <v>4</v>
      </c>
      <c r="D882">
        <v>5</v>
      </c>
      <c r="E882">
        <v>150</v>
      </c>
      <c r="F882">
        <v>0</v>
      </c>
      <c r="G882">
        <v>0</v>
      </c>
      <c r="I882">
        <v>0</v>
      </c>
      <c r="J882">
        <v>0</v>
      </c>
      <c r="K882">
        <v>0</v>
      </c>
      <c r="L882">
        <v>0</v>
      </c>
      <c r="M882" s="7">
        <v>3.6</v>
      </c>
      <c r="N882" s="7">
        <v>25.9</v>
      </c>
    </row>
    <row r="883" spans="1:14" ht="19.95" customHeight="1">
      <c r="A883" s="6">
        <v>45808</v>
      </c>
      <c r="B883" t="s">
        <v>67</v>
      </c>
      <c r="C883">
        <v>5</v>
      </c>
      <c r="D883">
        <v>5</v>
      </c>
      <c r="E883">
        <v>151</v>
      </c>
      <c r="F883">
        <v>1</v>
      </c>
      <c r="G883">
        <v>0</v>
      </c>
      <c r="I883">
        <v>0</v>
      </c>
      <c r="J883">
        <v>0</v>
      </c>
      <c r="K883">
        <v>0</v>
      </c>
      <c r="L883">
        <v>0</v>
      </c>
      <c r="M883" s="7">
        <v>4.7</v>
      </c>
      <c r="N883" s="7">
        <v>27.5</v>
      </c>
    </row>
    <row r="884" spans="1:14" ht="19.95" customHeight="1">
      <c r="A884" s="6">
        <v>45809</v>
      </c>
      <c r="B884" t="s">
        <v>60</v>
      </c>
      <c r="C884">
        <v>6</v>
      </c>
      <c r="D884">
        <v>6</v>
      </c>
      <c r="E884">
        <v>152</v>
      </c>
      <c r="F884">
        <v>1</v>
      </c>
      <c r="G884">
        <v>0</v>
      </c>
      <c r="I884">
        <v>0</v>
      </c>
      <c r="J884">
        <v>0</v>
      </c>
      <c r="K884">
        <v>0</v>
      </c>
      <c r="L884">
        <v>0</v>
      </c>
      <c r="M884" s="7">
        <v>15.2</v>
      </c>
      <c r="N884" s="7">
        <v>27.9</v>
      </c>
    </row>
    <row r="885" spans="1:14" ht="19.95" customHeight="1">
      <c r="A885" s="6">
        <v>45810</v>
      </c>
      <c r="B885" t="s">
        <v>62</v>
      </c>
      <c r="C885">
        <v>0</v>
      </c>
      <c r="D885">
        <v>6</v>
      </c>
      <c r="E885">
        <v>153</v>
      </c>
      <c r="F885">
        <v>0</v>
      </c>
      <c r="G885">
        <v>0</v>
      </c>
      <c r="I885">
        <v>0</v>
      </c>
      <c r="J885">
        <v>0</v>
      </c>
      <c r="K885">
        <v>0</v>
      </c>
      <c r="L885">
        <v>0</v>
      </c>
      <c r="M885" s="7">
        <v>6</v>
      </c>
      <c r="N885" s="7">
        <v>27.1</v>
      </c>
    </row>
    <row r="886" spans="1:14" ht="19.95" customHeight="1">
      <c r="A886" s="6">
        <v>45811</v>
      </c>
      <c r="B886" t="s">
        <v>63</v>
      </c>
      <c r="C886">
        <v>1</v>
      </c>
      <c r="D886">
        <v>6</v>
      </c>
      <c r="E886">
        <v>154</v>
      </c>
      <c r="F886">
        <v>0</v>
      </c>
      <c r="G886">
        <v>0</v>
      </c>
      <c r="I886">
        <v>0</v>
      </c>
      <c r="J886">
        <v>0</v>
      </c>
      <c r="K886">
        <v>0</v>
      </c>
      <c r="L886">
        <v>0</v>
      </c>
      <c r="M886" s="7">
        <v>0</v>
      </c>
      <c r="N886" s="7">
        <v>29.1</v>
      </c>
    </row>
    <row r="887" spans="1:14" ht="19.95" customHeight="1">
      <c r="A887" s="6">
        <v>45812</v>
      </c>
      <c r="B887" t="s">
        <v>64</v>
      </c>
      <c r="C887">
        <v>2</v>
      </c>
      <c r="D887">
        <v>6</v>
      </c>
      <c r="E887">
        <v>155</v>
      </c>
      <c r="F887">
        <v>0</v>
      </c>
      <c r="G887">
        <v>0</v>
      </c>
      <c r="I887">
        <v>0</v>
      </c>
      <c r="J887">
        <v>0</v>
      </c>
      <c r="K887">
        <v>0</v>
      </c>
      <c r="L887">
        <v>0</v>
      </c>
      <c r="M887" s="7">
        <v>12.9</v>
      </c>
      <c r="N887" s="7">
        <v>28.3</v>
      </c>
    </row>
    <row r="888" spans="1:14" ht="19.95" customHeight="1">
      <c r="A888" s="6">
        <v>45813</v>
      </c>
      <c r="B888" t="s">
        <v>65</v>
      </c>
      <c r="C888">
        <v>3</v>
      </c>
      <c r="D888">
        <v>6</v>
      </c>
      <c r="E888">
        <v>156</v>
      </c>
      <c r="F888">
        <v>0</v>
      </c>
      <c r="G888">
        <v>0</v>
      </c>
      <c r="I888">
        <v>0</v>
      </c>
      <c r="J888">
        <v>0</v>
      </c>
      <c r="K888">
        <v>0</v>
      </c>
      <c r="L888">
        <v>0</v>
      </c>
      <c r="M888" s="7">
        <v>16.899999999999999</v>
      </c>
      <c r="N888" s="7">
        <v>27.5</v>
      </c>
    </row>
    <row r="889" spans="1:14" ht="19.95" customHeight="1">
      <c r="A889" s="6">
        <v>45814</v>
      </c>
      <c r="B889" t="s">
        <v>66</v>
      </c>
      <c r="C889">
        <v>4</v>
      </c>
      <c r="D889">
        <v>6</v>
      </c>
      <c r="E889">
        <v>157</v>
      </c>
      <c r="F889">
        <v>0</v>
      </c>
      <c r="G889">
        <v>0</v>
      </c>
      <c r="I889">
        <v>0</v>
      </c>
      <c r="J889">
        <v>0</v>
      </c>
      <c r="K889">
        <v>0</v>
      </c>
      <c r="L889">
        <v>0</v>
      </c>
      <c r="M889" s="7">
        <v>15.6</v>
      </c>
      <c r="N889" s="7">
        <v>28.6</v>
      </c>
    </row>
    <row r="890" spans="1:14" ht="19.95" customHeight="1">
      <c r="A890" s="6">
        <v>45815</v>
      </c>
      <c r="B890" t="s">
        <v>67</v>
      </c>
      <c r="C890">
        <v>5</v>
      </c>
      <c r="D890">
        <v>6</v>
      </c>
      <c r="E890">
        <v>158</v>
      </c>
      <c r="F890">
        <v>1</v>
      </c>
      <c r="G890">
        <v>0</v>
      </c>
      <c r="I890">
        <v>0</v>
      </c>
      <c r="J890">
        <v>0</v>
      </c>
      <c r="K890">
        <v>0</v>
      </c>
      <c r="L890">
        <v>0</v>
      </c>
      <c r="M890" s="7">
        <v>11.1</v>
      </c>
      <c r="N890" s="7">
        <v>26.8</v>
      </c>
    </row>
    <row r="891" spans="1:14" ht="19.95" customHeight="1">
      <c r="A891" s="6">
        <v>45816</v>
      </c>
      <c r="B891" t="s">
        <v>60</v>
      </c>
      <c r="C891">
        <v>6</v>
      </c>
      <c r="D891">
        <v>6</v>
      </c>
      <c r="E891">
        <v>159</v>
      </c>
      <c r="F891">
        <v>1</v>
      </c>
      <c r="G891">
        <v>0</v>
      </c>
      <c r="I891">
        <v>0</v>
      </c>
      <c r="J891">
        <v>0</v>
      </c>
      <c r="K891">
        <v>0</v>
      </c>
      <c r="L891">
        <v>0</v>
      </c>
      <c r="M891" s="7">
        <v>11.8</v>
      </c>
      <c r="N891" s="7">
        <v>28</v>
      </c>
    </row>
    <row r="892" spans="1:14" ht="19.95" customHeight="1">
      <c r="A892" s="6">
        <v>45817</v>
      </c>
      <c r="B892" t="s">
        <v>62</v>
      </c>
      <c r="C892">
        <v>0</v>
      </c>
      <c r="D892">
        <v>6</v>
      </c>
      <c r="E892">
        <v>160</v>
      </c>
      <c r="F892">
        <v>0</v>
      </c>
      <c r="G892">
        <v>0</v>
      </c>
      <c r="I892">
        <v>0</v>
      </c>
      <c r="J892">
        <v>0</v>
      </c>
      <c r="K892">
        <v>0</v>
      </c>
      <c r="L892">
        <v>0</v>
      </c>
      <c r="M892" s="7">
        <v>8</v>
      </c>
      <c r="N892" s="7">
        <v>28.1</v>
      </c>
    </row>
    <row r="893" spans="1:14" ht="19.95" customHeight="1">
      <c r="A893" s="6">
        <v>45818</v>
      </c>
      <c r="B893" t="s">
        <v>63</v>
      </c>
      <c r="C893">
        <v>1</v>
      </c>
      <c r="D893">
        <v>6</v>
      </c>
      <c r="E893">
        <v>161</v>
      </c>
      <c r="F893">
        <v>0</v>
      </c>
      <c r="G893">
        <v>0</v>
      </c>
      <c r="I893">
        <v>0</v>
      </c>
      <c r="J893">
        <v>0</v>
      </c>
      <c r="K893">
        <v>0</v>
      </c>
      <c r="L893">
        <v>0</v>
      </c>
      <c r="M893" s="7">
        <v>13.1</v>
      </c>
      <c r="N893" s="7">
        <v>28.8</v>
      </c>
    </row>
    <row r="894" spans="1:14" ht="19.95" customHeight="1">
      <c r="A894" s="6">
        <v>45819</v>
      </c>
      <c r="B894" t="s">
        <v>64</v>
      </c>
      <c r="C894">
        <v>2</v>
      </c>
      <c r="D894">
        <v>6</v>
      </c>
      <c r="E894">
        <v>162</v>
      </c>
      <c r="F894">
        <v>0</v>
      </c>
      <c r="G894">
        <v>0</v>
      </c>
      <c r="I894">
        <v>0</v>
      </c>
      <c r="J894">
        <v>0</v>
      </c>
      <c r="K894">
        <v>0</v>
      </c>
      <c r="L894">
        <v>0</v>
      </c>
      <c r="M894" s="7">
        <v>5.9</v>
      </c>
      <c r="N894" s="7">
        <v>28.7</v>
      </c>
    </row>
    <row r="895" spans="1:14" ht="19.95" customHeight="1">
      <c r="A895" s="6">
        <v>45820</v>
      </c>
      <c r="B895" t="s">
        <v>65</v>
      </c>
      <c r="C895">
        <v>3</v>
      </c>
      <c r="D895">
        <v>6</v>
      </c>
      <c r="E895">
        <v>163</v>
      </c>
      <c r="F895">
        <v>0</v>
      </c>
      <c r="G895">
        <v>0</v>
      </c>
      <c r="I895">
        <v>0</v>
      </c>
      <c r="J895">
        <v>0</v>
      </c>
      <c r="K895">
        <v>0</v>
      </c>
      <c r="L895">
        <v>0</v>
      </c>
      <c r="M895" s="7">
        <v>20</v>
      </c>
      <c r="N895" s="7">
        <v>25.6</v>
      </c>
    </row>
    <row r="896" spans="1:14" ht="19.95" customHeight="1">
      <c r="A896" s="6">
        <v>45821</v>
      </c>
      <c r="B896" t="s">
        <v>66</v>
      </c>
      <c r="C896">
        <v>4</v>
      </c>
      <c r="D896">
        <v>6</v>
      </c>
      <c r="E896">
        <v>164</v>
      </c>
      <c r="F896">
        <v>0</v>
      </c>
      <c r="G896">
        <v>0</v>
      </c>
      <c r="I896">
        <v>0</v>
      </c>
      <c r="J896">
        <v>0</v>
      </c>
      <c r="K896">
        <v>0</v>
      </c>
      <c r="L896">
        <v>0</v>
      </c>
      <c r="M896" s="7">
        <v>12.2</v>
      </c>
      <c r="N896" s="7">
        <v>27.2</v>
      </c>
    </row>
    <row r="897" spans="1:14" ht="19.95" customHeight="1">
      <c r="A897" s="6">
        <v>45822</v>
      </c>
      <c r="B897" t="s">
        <v>67</v>
      </c>
      <c r="C897">
        <v>5</v>
      </c>
      <c r="D897">
        <v>6</v>
      </c>
      <c r="E897">
        <v>165</v>
      </c>
      <c r="F897">
        <v>1</v>
      </c>
      <c r="G897">
        <v>0</v>
      </c>
      <c r="I897">
        <v>0</v>
      </c>
      <c r="J897">
        <v>0</v>
      </c>
      <c r="K897">
        <v>0</v>
      </c>
      <c r="L897">
        <v>0</v>
      </c>
      <c r="M897" s="7">
        <v>14.5</v>
      </c>
      <c r="N897" s="7">
        <v>28</v>
      </c>
    </row>
    <row r="898" spans="1:14" ht="19.95" customHeight="1">
      <c r="A898" s="6">
        <v>45823</v>
      </c>
      <c r="B898" t="s">
        <v>60</v>
      </c>
      <c r="C898">
        <v>6</v>
      </c>
      <c r="D898">
        <v>6</v>
      </c>
      <c r="E898">
        <v>166</v>
      </c>
      <c r="F898">
        <v>1</v>
      </c>
      <c r="G898">
        <v>0</v>
      </c>
      <c r="I898">
        <v>0</v>
      </c>
      <c r="J898">
        <v>0</v>
      </c>
      <c r="K898">
        <v>0</v>
      </c>
      <c r="L898">
        <v>0</v>
      </c>
      <c r="M898" s="7">
        <v>7.8</v>
      </c>
      <c r="N898" s="7">
        <v>27.4</v>
      </c>
    </row>
    <row r="899" spans="1:14" ht="19.95" customHeight="1">
      <c r="A899" s="6">
        <v>45824</v>
      </c>
      <c r="B899" t="s">
        <v>62</v>
      </c>
      <c r="C899">
        <v>0</v>
      </c>
      <c r="D899">
        <v>6</v>
      </c>
      <c r="E899">
        <v>167</v>
      </c>
      <c r="F899">
        <v>0</v>
      </c>
      <c r="G899">
        <v>0</v>
      </c>
      <c r="I899">
        <v>0</v>
      </c>
      <c r="J899">
        <v>0</v>
      </c>
      <c r="K899">
        <v>0</v>
      </c>
      <c r="L899">
        <v>0</v>
      </c>
      <c r="M899" s="7">
        <v>19.899999999999999</v>
      </c>
      <c r="N899" s="7">
        <v>27.9</v>
      </c>
    </row>
    <row r="900" spans="1:14" ht="19.95" customHeight="1">
      <c r="A900" s="6">
        <v>45825</v>
      </c>
      <c r="B900" t="s">
        <v>63</v>
      </c>
      <c r="C900">
        <v>1</v>
      </c>
      <c r="D900">
        <v>6</v>
      </c>
      <c r="E900">
        <v>168</v>
      </c>
      <c r="F900">
        <v>0</v>
      </c>
      <c r="G900">
        <v>0</v>
      </c>
      <c r="I900">
        <v>0</v>
      </c>
      <c r="J900">
        <v>0</v>
      </c>
      <c r="K900">
        <v>0</v>
      </c>
      <c r="L900">
        <v>0</v>
      </c>
      <c r="M900" s="7">
        <v>9.1999999999999993</v>
      </c>
      <c r="N900" s="7">
        <v>28.1</v>
      </c>
    </row>
    <row r="901" spans="1:14" ht="19.95" customHeight="1">
      <c r="A901" s="6">
        <v>45826</v>
      </c>
      <c r="B901" t="s">
        <v>64</v>
      </c>
      <c r="C901">
        <v>2</v>
      </c>
      <c r="D901">
        <v>6</v>
      </c>
      <c r="E901">
        <v>169</v>
      </c>
      <c r="F901">
        <v>0</v>
      </c>
      <c r="G901">
        <v>0</v>
      </c>
      <c r="I901">
        <v>0</v>
      </c>
      <c r="J901">
        <v>0</v>
      </c>
      <c r="K901">
        <v>0</v>
      </c>
      <c r="L901">
        <v>0</v>
      </c>
      <c r="M901" s="7">
        <v>8.8000000000000007</v>
      </c>
      <c r="N901" s="7">
        <v>28.6</v>
      </c>
    </row>
    <row r="902" spans="1:14" ht="19.95" customHeight="1">
      <c r="A902" s="6">
        <v>45827</v>
      </c>
      <c r="B902" t="s">
        <v>65</v>
      </c>
      <c r="C902">
        <v>3</v>
      </c>
      <c r="D902">
        <v>6</v>
      </c>
      <c r="E902">
        <v>170</v>
      </c>
      <c r="F902">
        <v>0</v>
      </c>
      <c r="G902">
        <v>0</v>
      </c>
      <c r="I902">
        <v>0</v>
      </c>
      <c r="J902">
        <v>0</v>
      </c>
      <c r="K902">
        <v>0</v>
      </c>
      <c r="L902">
        <v>0</v>
      </c>
      <c r="M902" s="7">
        <v>2.8</v>
      </c>
      <c r="N902" s="7">
        <v>27</v>
      </c>
    </row>
    <row r="903" spans="1:14" ht="19.95" customHeight="1">
      <c r="A903" s="6">
        <v>45828</v>
      </c>
      <c r="B903" t="s">
        <v>66</v>
      </c>
      <c r="C903">
        <v>4</v>
      </c>
      <c r="D903">
        <v>6</v>
      </c>
      <c r="E903">
        <v>171</v>
      </c>
      <c r="F903">
        <v>0</v>
      </c>
      <c r="G903">
        <v>0</v>
      </c>
      <c r="I903">
        <v>0</v>
      </c>
      <c r="J903">
        <v>0</v>
      </c>
      <c r="K903">
        <v>0</v>
      </c>
      <c r="L903">
        <v>0</v>
      </c>
      <c r="M903" s="7">
        <v>9.1999999999999993</v>
      </c>
      <c r="N903" s="7">
        <v>27.1</v>
      </c>
    </row>
    <row r="904" spans="1:14" ht="19.95" customHeight="1">
      <c r="A904" s="6">
        <v>45829</v>
      </c>
      <c r="B904" t="s">
        <v>67</v>
      </c>
      <c r="C904">
        <v>5</v>
      </c>
      <c r="D904">
        <v>6</v>
      </c>
      <c r="E904">
        <v>172</v>
      </c>
      <c r="F904">
        <v>1</v>
      </c>
      <c r="G904">
        <v>0</v>
      </c>
      <c r="I904">
        <v>0</v>
      </c>
      <c r="J904">
        <v>0</v>
      </c>
      <c r="K904">
        <v>0</v>
      </c>
      <c r="L904">
        <v>0</v>
      </c>
      <c r="M904" s="7">
        <v>4.0999999999999996</v>
      </c>
      <c r="N904" s="7">
        <v>27.4</v>
      </c>
    </row>
    <row r="905" spans="1:14" ht="19.95" customHeight="1">
      <c r="A905" s="6">
        <v>45830</v>
      </c>
      <c r="B905" t="s">
        <v>60</v>
      </c>
      <c r="C905">
        <v>6</v>
      </c>
      <c r="D905">
        <v>6</v>
      </c>
      <c r="E905">
        <v>173</v>
      </c>
      <c r="F905">
        <v>1</v>
      </c>
      <c r="G905">
        <v>0</v>
      </c>
      <c r="I905">
        <v>0</v>
      </c>
      <c r="J905">
        <v>0</v>
      </c>
      <c r="K905">
        <v>0</v>
      </c>
      <c r="L905">
        <v>0</v>
      </c>
      <c r="M905" s="7">
        <v>15.3</v>
      </c>
      <c r="N905" s="7">
        <v>29.4</v>
      </c>
    </row>
    <row r="906" spans="1:14" ht="19.95" customHeight="1">
      <c r="A906" s="6">
        <v>45831</v>
      </c>
      <c r="B906" t="s">
        <v>62</v>
      </c>
      <c r="C906">
        <v>0</v>
      </c>
      <c r="D906">
        <v>6</v>
      </c>
      <c r="E906">
        <v>174</v>
      </c>
      <c r="F906">
        <v>0</v>
      </c>
      <c r="G906">
        <v>0</v>
      </c>
      <c r="I906">
        <v>0</v>
      </c>
      <c r="J906">
        <v>0</v>
      </c>
      <c r="K906">
        <v>0</v>
      </c>
      <c r="L906">
        <v>0</v>
      </c>
      <c r="M906" s="7">
        <v>8.8000000000000007</v>
      </c>
      <c r="N906" s="7">
        <v>28.1</v>
      </c>
    </row>
    <row r="907" spans="1:14" ht="19.95" customHeight="1">
      <c r="A907" s="6">
        <v>45832</v>
      </c>
      <c r="B907" t="s">
        <v>63</v>
      </c>
      <c r="C907">
        <v>1</v>
      </c>
      <c r="D907">
        <v>6</v>
      </c>
      <c r="E907">
        <v>175</v>
      </c>
      <c r="F907">
        <v>0</v>
      </c>
      <c r="G907">
        <v>0</v>
      </c>
      <c r="I907">
        <v>0</v>
      </c>
      <c r="J907">
        <v>0</v>
      </c>
      <c r="K907">
        <v>0</v>
      </c>
      <c r="L907">
        <v>0</v>
      </c>
      <c r="M907" s="7">
        <v>25.6</v>
      </c>
      <c r="N907" s="7">
        <v>27.1</v>
      </c>
    </row>
    <row r="908" spans="1:14" ht="19.95" customHeight="1">
      <c r="A908" s="6">
        <v>45833</v>
      </c>
      <c r="B908" t="s">
        <v>64</v>
      </c>
      <c r="C908">
        <v>2</v>
      </c>
      <c r="D908">
        <v>6</v>
      </c>
      <c r="E908">
        <v>176</v>
      </c>
      <c r="F908">
        <v>0</v>
      </c>
      <c r="G908">
        <v>0</v>
      </c>
      <c r="I908">
        <v>0</v>
      </c>
      <c r="J908">
        <v>0</v>
      </c>
      <c r="K908">
        <v>0</v>
      </c>
      <c r="L908">
        <v>0</v>
      </c>
      <c r="M908" s="7">
        <v>13.6</v>
      </c>
      <c r="N908" s="7">
        <v>26.9</v>
      </c>
    </row>
    <row r="909" spans="1:14" ht="19.95" customHeight="1">
      <c r="A909" s="6">
        <v>45834</v>
      </c>
      <c r="B909" t="s">
        <v>65</v>
      </c>
      <c r="C909">
        <v>3</v>
      </c>
      <c r="D909">
        <v>6</v>
      </c>
      <c r="E909">
        <v>177</v>
      </c>
      <c r="F909">
        <v>0</v>
      </c>
      <c r="G909">
        <v>0</v>
      </c>
      <c r="I909">
        <v>0</v>
      </c>
      <c r="J909">
        <v>0</v>
      </c>
      <c r="K909">
        <v>0</v>
      </c>
      <c r="L909">
        <v>0</v>
      </c>
      <c r="M909" s="7">
        <v>11.2</v>
      </c>
      <c r="N909" s="7">
        <v>29.2</v>
      </c>
    </row>
    <row r="910" spans="1:14" ht="19.95" customHeight="1">
      <c r="A910" s="6">
        <v>45835</v>
      </c>
      <c r="B910" t="s">
        <v>66</v>
      </c>
      <c r="C910">
        <v>4</v>
      </c>
      <c r="D910">
        <v>6</v>
      </c>
      <c r="E910">
        <v>178</v>
      </c>
      <c r="F910">
        <v>0</v>
      </c>
      <c r="G910">
        <v>0</v>
      </c>
      <c r="I910">
        <v>0</v>
      </c>
      <c r="J910">
        <v>0</v>
      </c>
      <c r="K910">
        <v>0</v>
      </c>
      <c r="L910">
        <v>0</v>
      </c>
      <c r="M910" s="7">
        <v>7.6</v>
      </c>
      <c r="N910" s="7">
        <v>28.5</v>
      </c>
    </row>
    <row r="911" spans="1:14" ht="19.95" customHeight="1">
      <c r="A911" s="6">
        <v>45836</v>
      </c>
      <c r="B911" t="s">
        <v>67</v>
      </c>
      <c r="C911">
        <v>5</v>
      </c>
      <c r="D911">
        <v>6</v>
      </c>
      <c r="E911">
        <v>179</v>
      </c>
      <c r="F911">
        <v>1</v>
      </c>
      <c r="G911">
        <v>0</v>
      </c>
      <c r="I911">
        <v>0</v>
      </c>
      <c r="J911">
        <v>0</v>
      </c>
      <c r="K911">
        <v>0</v>
      </c>
      <c r="L911">
        <v>0</v>
      </c>
      <c r="M911" s="7">
        <v>10.5</v>
      </c>
      <c r="N911" s="7">
        <v>28.7</v>
      </c>
    </row>
    <row r="912" spans="1:14" ht="19.95" customHeight="1">
      <c r="A912" s="6">
        <v>45837</v>
      </c>
      <c r="B912" t="s">
        <v>60</v>
      </c>
      <c r="C912">
        <v>6</v>
      </c>
      <c r="D912">
        <v>6</v>
      </c>
      <c r="E912">
        <v>180</v>
      </c>
      <c r="F912">
        <v>1</v>
      </c>
      <c r="G912">
        <v>0</v>
      </c>
      <c r="I912">
        <v>0</v>
      </c>
      <c r="J912">
        <v>0</v>
      </c>
      <c r="K912">
        <v>0</v>
      </c>
      <c r="L912">
        <v>0</v>
      </c>
      <c r="M912" s="7">
        <v>3.6</v>
      </c>
      <c r="N912" s="7">
        <v>27.1</v>
      </c>
    </row>
    <row r="913" spans="1:14" ht="19.95" customHeight="1">
      <c r="A913" s="6">
        <v>45838</v>
      </c>
      <c r="B913" t="s">
        <v>62</v>
      </c>
      <c r="C913">
        <v>0</v>
      </c>
      <c r="D913">
        <v>6</v>
      </c>
      <c r="E913">
        <v>181</v>
      </c>
      <c r="F913">
        <v>0</v>
      </c>
      <c r="G913">
        <v>0</v>
      </c>
      <c r="I913">
        <v>0</v>
      </c>
      <c r="J913">
        <v>0</v>
      </c>
      <c r="K913">
        <v>0</v>
      </c>
      <c r="L913">
        <v>0</v>
      </c>
      <c r="M913" s="7">
        <v>3</v>
      </c>
      <c r="N913" s="7">
        <v>28.5</v>
      </c>
    </row>
    <row r="914" spans="1:14" ht="19.95" customHeight="1">
      <c r="A914" s="6">
        <v>45839</v>
      </c>
      <c r="B914" t="s">
        <v>63</v>
      </c>
      <c r="C914">
        <v>1</v>
      </c>
      <c r="D914">
        <v>7</v>
      </c>
      <c r="E914">
        <v>182</v>
      </c>
      <c r="F914">
        <v>0</v>
      </c>
      <c r="G914">
        <v>0</v>
      </c>
      <c r="I914">
        <v>1</v>
      </c>
      <c r="J914">
        <v>0</v>
      </c>
      <c r="K914">
        <v>0</v>
      </c>
      <c r="L914">
        <v>0</v>
      </c>
      <c r="M914" s="7">
        <v>0</v>
      </c>
      <c r="N914" s="7">
        <v>27.2</v>
      </c>
    </row>
    <row r="915" spans="1:14" ht="19.95" customHeight="1">
      <c r="A915" s="6">
        <v>45840</v>
      </c>
      <c r="B915" t="s">
        <v>64</v>
      </c>
      <c r="C915">
        <v>2</v>
      </c>
      <c r="D915">
        <v>7</v>
      </c>
      <c r="E915">
        <v>183</v>
      </c>
      <c r="F915">
        <v>0</v>
      </c>
      <c r="G915">
        <v>0</v>
      </c>
      <c r="I915">
        <v>1</v>
      </c>
      <c r="J915">
        <v>0</v>
      </c>
      <c r="K915">
        <v>0</v>
      </c>
      <c r="L915">
        <v>0</v>
      </c>
      <c r="M915" s="7">
        <v>13.1</v>
      </c>
      <c r="N915" s="7">
        <v>26</v>
      </c>
    </row>
    <row r="916" spans="1:14" ht="19.95" customHeight="1">
      <c r="A916" s="6">
        <v>45841</v>
      </c>
      <c r="B916" t="s">
        <v>65</v>
      </c>
      <c r="C916">
        <v>3</v>
      </c>
      <c r="D916">
        <v>7</v>
      </c>
      <c r="E916">
        <v>184</v>
      </c>
      <c r="F916">
        <v>0</v>
      </c>
      <c r="G916">
        <v>0</v>
      </c>
      <c r="I916">
        <v>1</v>
      </c>
      <c r="J916">
        <v>0</v>
      </c>
      <c r="K916">
        <v>0</v>
      </c>
      <c r="L916">
        <v>0</v>
      </c>
      <c r="M916" s="7">
        <v>0</v>
      </c>
      <c r="N916" s="7">
        <v>27.1</v>
      </c>
    </row>
    <row r="917" spans="1:14" ht="19.95" customHeight="1">
      <c r="A917" s="6">
        <v>45842</v>
      </c>
      <c r="B917" t="s">
        <v>66</v>
      </c>
      <c r="C917">
        <v>4</v>
      </c>
      <c r="D917">
        <v>7</v>
      </c>
      <c r="E917">
        <v>185</v>
      </c>
      <c r="F917">
        <v>0</v>
      </c>
      <c r="G917">
        <v>0</v>
      </c>
      <c r="I917">
        <v>1</v>
      </c>
      <c r="J917">
        <v>0</v>
      </c>
      <c r="K917">
        <v>0</v>
      </c>
      <c r="L917">
        <v>0</v>
      </c>
      <c r="M917" s="7">
        <v>4.2</v>
      </c>
      <c r="N917" s="7">
        <v>27.4</v>
      </c>
    </row>
    <row r="918" spans="1:14" ht="19.95" customHeight="1">
      <c r="A918" s="6">
        <v>45843</v>
      </c>
      <c r="B918" t="s">
        <v>67</v>
      </c>
      <c r="C918">
        <v>5</v>
      </c>
      <c r="D918">
        <v>7</v>
      </c>
      <c r="E918">
        <v>186</v>
      </c>
      <c r="F918">
        <v>1</v>
      </c>
      <c r="G918">
        <v>0</v>
      </c>
      <c r="I918">
        <v>1</v>
      </c>
      <c r="J918">
        <v>0</v>
      </c>
      <c r="K918">
        <v>0</v>
      </c>
      <c r="L918">
        <v>0</v>
      </c>
      <c r="M918" s="7">
        <v>10.8</v>
      </c>
      <c r="N918" s="7">
        <v>26.9</v>
      </c>
    </row>
    <row r="919" spans="1:14" ht="19.95" customHeight="1">
      <c r="A919" s="6">
        <v>45844</v>
      </c>
      <c r="B919" t="s">
        <v>60</v>
      </c>
      <c r="C919">
        <v>6</v>
      </c>
      <c r="D919">
        <v>7</v>
      </c>
      <c r="E919">
        <v>187</v>
      </c>
      <c r="F919">
        <v>1</v>
      </c>
      <c r="G919">
        <v>0</v>
      </c>
      <c r="I919">
        <v>1</v>
      </c>
      <c r="J919">
        <v>0</v>
      </c>
      <c r="K919">
        <v>0</v>
      </c>
      <c r="L919">
        <v>0</v>
      </c>
      <c r="M919" s="7">
        <v>5</v>
      </c>
      <c r="N919" s="7">
        <v>28.1</v>
      </c>
    </row>
    <row r="920" spans="1:14" ht="19.95" customHeight="1">
      <c r="A920" s="6">
        <v>45845</v>
      </c>
      <c r="B920" t="s">
        <v>62</v>
      </c>
      <c r="C920">
        <v>0</v>
      </c>
      <c r="D920">
        <v>7</v>
      </c>
      <c r="E920">
        <v>188</v>
      </c>
      <c r="F920">
        <v>0</v>
      </c>
      <c r="G920">
        <v>0</v>
      </c>
      <c r="I920">
        <v>1</v>
      </c>
      <c r="J920">
        <v>0</v>
      </c>
      <c r="K920">
        <v>0</v>
      </c>
      <c r="L920">
        <v>0</v>
      </c>
      <c r="M920" s="7">
        <v>0</v>
      </c>
      <c r="N920" s="7">
        <v>29.5</v>
      </c>
    </row>
    <row r="921" spans="1:14" ht="19.95" customHeight="1">
      <c r="A921" s="6">
        <v>45846</v>
      </c>
      <c r="B921" t="s">
        <v>63</v>
      </c>
      <c r="C921">
        <v>1</v>
      </c>
      <c r="D921">
        <v>7</v>
      </c>
      <c r="E921">
        <v>189</v>
      </c>
      <c r="F921">
        <v>0</v>
      </c>
      <c r="G921">
        <v>0</v>
      </c>
      <c r="I921">
        <v>1</v>
      </c>
      <c r="J921">
        <v>0</v>
      </c>
      <c r="K921">
        <v>0</v>
      </c>
      <c r="L921">
        <v>0</v>
      </c>
      <c r="M921" s="7">
        <v>10.8</v>
      </c>
      <c r="N921" s="7">
        <v>29.3</v>
      </c>
    </row>
    <row r="922" spans="1:14" ht="19.95" customHeight="1">
      <c r="A922" s="6">
        <v>45847</v>
      </c>
      <c r="B922" t="s">
        <v>64</v>
      </c>
      <c r="C922">
        <v>2</v>
      </c>
      <c r="D922">
        <v>7</v>
      </c>
      <c r="E922">
        <v>190</v>
      </c>
      <c r="F922">
        <v>0</v>
      </c>
      <c r="G922">
        <v>0</v>
      </c>
      <c r="I922">
        <v>1</v>
      </c>
      <c r="J922">
        <v>0</v>
      </c>
      <c r="K922">
        <v>0</v>
      </c>
      <c r="L922">
        <v>0</v>
      </c>
      <c r="M922" s="7">
        <v>2</v>
      </c>
      <c r="N922" s="7">
        <v>29.4</v>
      </c>
    </row>
    <row r="923" spans="1:14" ht="19.95" customHeight="1">
      <c r="A923" s="6">
        <v>45848</v>
      </c>
      <c r="B923" t="s">
        <v>65</v>
      </c>
      <c r="C923">
        <v>3</v>
      </c>
      <c r="D923">
        <v>7</v>
      </c>
      <c r="E923">
        <v>191</v>
      </c>
      <c r="F923">
        <v>0</v>
      </c>
      <c r="G923">
        <v>0</v>
      </c>
      <c r="I923">
        <v>1</v>
      </c>
      <c r="J923">
        <v>0</v>
      </c>
      <c r="K923">
        <v>0</v>
      </c>
      <c r="L923">
        <v>0</v>
      </c>
      <c r="M923" s="7">
        <v>0</v>
      </c>
      <c r="N923" s="7">
        <v>28.2</v>
      </c>
    </row>
    <row r="924" spans="1:14" ht="19.95" customHeight="1">
      <c r="A924" s="6">
        <v>45849</v>
      </c>
      <c r="B924" t="s">
        <v>66</v>
      </c>
      <c r="C924">
        <v>4</v>
      </c>
      <c r="D924">
        <v>7</v>
      </c>
      <c r="E924">
        <v>192</v>
      </c>
      <c r="F924">
        <v>0</v>
      </c>
      <c r="G924">
        <v>0</v>
      </c>
      <c r="I924">
        <v>1</v>
      </c>
      <c r="J924">
        <v>0</v>
      </c>
      <c r="K924">
        <v>0</v>
      </c>
      <c r="L924">
        <v>0</v>
      </c>
      <c r="M924" s="7">
        <v>0.1</v>
      </c>
      <c r="N924" s="7">
        <v>28.7</v>
      </c>
    </row>
    <row r="925" spans="1:14" ht="19.95" customHeight="1">
      <c r="A925" s="6">
        <v>45850</v>
      </c>
      <c r="B925" t="s">
        <v>67</v>
      </c>
      <c r="C925">
        <v>5</v>
      </c>
      <c r="D925">
        <v>7</v>
      </c>
      <c r="E925">
        <v>193</v>
      </c>
      <c r="F925">
        <v>1</v>
      </c>
      <c r="G925">
        <v>0</v>
      </c>
      <c r="I925">
        <v>1</v>
      </c>
      <c r="J925">
        <v>0</v>
      </c>
      <c r="K925">
        <v>0</v>
      </c>
      <c r="L925">
        <v>0</v>
      </c>
      <c r="M925" s="7">
        <v>15.7</v>
      </c>
      <c r="N925" s="7">
        <v>28.9</v>
      </c>
    </row>
    <row r="926" spans="1:14" ht="19.95" customHeight="1">
      <c r="A926" s="6">
        <v>45851</v>
      </c>
      <c r="B926" t="s">
        <v>60</v>
      </c>
      <c r="C926">
        <v>6</v>
      </c>
      <c r="D926">
        <v>7</v>
      </c>
      <c r="E926">
        <v>194</v>
      </c>
      <c r="F926">
        <v>1</v>
      </c>
      <c r="G926">
        <v>0</v>
      </c>
      <c r="I926">
        <v>1</v>
      </c>
      <c r="J926">
        <v>0</v>
      </c>
      <c r="K926">
        <v>0</v>
      </c>
      <c r="L926">
        <v>0</v>
      </c>
      <c r="M926" s="7">
        <v>8.9</v>
      </c>
      <c r="N926" s="7">
        <v>27.8</v>
      </c>
    </row>
    <row r="927" spans="1:14" ht="19.95" customHeight="1">
      <c r="A927" s="6">
        <v>45852</v>
      </c>
      <c r="B927" t="s">
        <v>62</v>
      </c>
      <c r="C927">
        <v>0</v>
      </c>
      <c r="D927">
        <v>7</v>
      </c>
      <c r="E927">
        <v>195</v>
      </c>
      <c r="F927">
        <v>0</v>
      </c>
      <c r="G927">
        <v>0</v>
      </c>
      <c r="I927">
        <v>1</v>
      </c>
      <c r="J927">
        <v>0</v>
      </c>
      <c r="K927">
        <v>0</v>
      </c>
      <c r="L927">
        <v>0</v>
      </c>
      <c r="M927" s="7">
        <v>23.7</v>
      </c>
      <c r="N927" s="7">
        <v>28.2</v>
      </c>
    </row>
    <row r="928" spans="1:14" ht="19.95" customHeight="1">
      <c r="A928" s="6">
        <v>45853</v>
      </c>
      <c r="B928" t="s">
        <v>63</v>
      </c>
      <c r="C928">
        <v>1</v>
      </c>
      <c r="D928">
        <v>7</v>
      </c>
      <c r="E928">
        <v>196</v>
      </c>
      <c r="F928">
        <v>0</v>
      </c>
      <c r="G928">
        <v>0</v>
      </c>
      <c r="I928">
        <v>1</v>
      </c>
      <c r="J928">
        <v>0</v>
      </c>
      <c r="K928">
        <v>0</v>
      </c>
      <c r="L928">
        <v>1</v>
      </c>
      <c r="M928" s="7">
        <v>6.5</v>
      </c>
      <c r="N928" s="7">
        <v>28.1</v>
      </c>
    </row>
    <row r="929" spans="1:14" ht="19.95" customHeight="1">
      <c r="A929" s="6">
        <v>45854</v>
      </c>
      <c r="B929" t="s">
        <v>64</v>
      </c>
      <c r="C929">
        <v>2</v>
      </c>
      <c r="D929">
        <v>7</v>
      </c>
      <c r="E929">
        <v>197</v>
      </c>
      <c r="F929">
        <v>0</v>
      </c>
      <c r="G929">
        <v>0</v>
      </c>
      <c r="I929">
        <v>1</v>
      </c>
      <c r="J929">
        <v>0</v>
      </c>
      <c r="K929">
        <v>0</v>
      </c>
      <c r="L929">
        <v>1</v>
      </c>
      <c r="M929" s="7">
        <v>5.9</v>
      </c>
      <c r="N929" s="7">
        <v>27.6</v>
      </c>
    </row>
    <row r="930" spans="1:14" ht="19.95" customHeight="1">
      <c r="A930" s="6">
        <v>45855</v>
      </c>
      <c r="B930" t="s">
        <v>65</v>
      </c>
      <c r="C930">
        <v>3</v>
      </c>
      <c r="D930">
        <v>7</v>
      </c>
      <c r="E930">
        <v>198</v>
      </c>
      <c r="F930">
        <v>0</v>
      </c>
      <c r="G930">
        <v>0</v>
      </c>
      <c r="I930">
        <v>1</v>
      </c>
      <c r="J930">
        <v>0</v>
      </c>
      <c r="K930">
        <v>0</v>
      </c>
      <c r="L930">
        <v>0</v>
      </c>
      <c r="M930" s="7">
        <v>9.5</v>
      </c>
      <c r="N930" s="7">
        <v>29.9</v>
      </c>
    </row>
    <row r="931" spans="1:14" ht="19.95" customHeight="1">
      <c r="A931" s="6">
        <v>45856</v>
      </c>
      <c r="B931" t="s">
        <v>66</v>
      </c>
      <c r="C931">
        <v>4</v>
      </c>
      <c r="D931">
        <v>7</v>
      </c>
      <c r="E931">
        <v>199</v>
      </c>
      <c r="F931">
        <v>0</v>
      </c>
      <c r="G931">
        <v>0</v>
      </c>
      <c r="I931">
        <v>1</v>
      </c>
      <c r="J931">
        <v>0</v>
      </c>
      <c r="K931">
        <v>0</v>
      </c>
      <c r="L931">
        <v>0</v>
      </c>
      <c r="M931" s="7">
        <v>0.9</v>
      </c>
      <c r="N931" s="7">
        <v>30.1</v>
      </c>
    </row>
    <row r="932" spans="1:14" ht="19.95" customHeight="1">
      <c r="A932" s="6">
        <v>45857</v>
      </c>
      <c r="B932" t="s">
        <v>67</v>
      </c>
      <c r="C932">
        <v>5</v>
      </c>
      <c r="D932">
        <v>7</v>
      </c>
      <c r="E932">
        <v>200</v>
      </c>
      <c r="F932">
        <v>1</v>
      </c>
      <c r="G932">
        <v>0</v>
      </c>
      <c r="I932">
        <v>1</v>
      </c>
      <c r="J932">
        <v>0</v>
      </c>
      <c r="K932">
        <v>0</v>
      </c>
      <c r="L932">
        <v>0</v>
      </c>
      <c r="M932" s="7">
        <v>3.3</v>
      </c>
      <c r="N932" s="7">
        <v>28</v>
      </c>
    </row>
    <row r="933" spans="1:14" ht="19.95" customHeight="1">
      <c r="A933" s="6">
        <v>45858</v>
      </c>
      <c r="B933" t="s">
        <v>60</v>
      </c>
      <c r="C933">
        <v>6</v>
      </c>
      <c r="D933">
        <v>7</v>
      </c>
      <c r="E933">
        <v>201</v>
      </c>
      <c r="F933">
        <v>1</v>
      </c>
      <c r="G933">
        <v>0</v>
      </c>
      <c r="I933">
        <v>1</v>
      </c>
      <c r="J933">
        <v>0</v>
      </c>
      <c r="K933">
        <v>0</v>
      </c>
      <c r="L933">
        <v>0</v>
      </c>
      <c r="M933" s="7">
        <v>17.2</v>
      </c>
      <c r="N933" s="7">
        <v>29.5</v>
      </c>
    </row>
    <row r="934" spans="1:14" ht="19.95" customHeight="1">
      <c r="A934" s="6">
        <v>45859</v>
      </c>
      <c r="B934" t="s">
        <v>62</v>
      </c>
      <c r="C934">
        <v>0</v>
      </c>
      <c r="D934">
        <v>7</v>
      </c>
      <c r="E934">
        <v>202</v>
      </c>
      <c r="F934">
        <v>0</v>
      </c>
      <c r="G934">
        <v>0</v>
      </c>
      <c r="I934">
        <v>1</v>
      </c>
      <c r="J934">
        <v>0</v>
      </c>
      <c r="K934">
        <v>0</v>
      </c>
      <c r="L934">
        <v>0</v>
      </c>
      <c r="M934" s="7">
        <v>3.4</v>
      </c>
      <c r="N934" s="7">
        <v>28.1</v>
      </c>
    </row>
    <row r="935" spans="1:14" ht="19.95" customHeight="1">
      <c r="A935" s="6">
        <v>45860</v>
      </c>
      <c r="B935" t="s">
        <v>63</v>
      </c>
      <c r="C935">
        <v>1</v>
      </c>
      <c r="D935">
        <v>7</v>
      </c>
      <c r="E935">
        <v>203</v>
      </c>
      <c r="F935">
        <v>0</v>
      </c>
      <c r="G935">
        <v>0</v>
      </c>
      <c r="I935">
        <v>1</v>
      </c>
      <c r="J935">
        <v>0</v>
      </c>
      <c r="K935">
        <v>0</v>
      </c>
      <c r="L935">
        <v>1</v>
      </c>
      <c r="M935" s="7">
        <v>22</v>
      </c>
      <c r="N935" s="7">
        <v>27.8</v>
      </c>
    </row>
    <row r="936" spans="1:14" ht="19.95" customHeight="1">
      <c r="A936" s="6">
        <v>45861</v>
      </c>
      <c r="B936" t="s">
        <v>64</v>
      </c>
      <c r="C936">
        <v>2</v>
      </c>
      <c r="D936">
        <v>7</v>
      </c>
      <c r="E936">
        <v>204</v>
      </c>
      <c r="F936">
        <v>0</v>
      </c>
      <c r="G936">
        <v>0</v>
      </c>
      <c r="I936">
        <v>1</v>
      </c>
      <c r="J936">
        <v>0</v>
      </c>
      <c r="K936">
        <v>0</v>
      </c>
      <c r="L936">
        <v>1</v>
      </c>
      <c r="M936" s="7">
        <v>5.3</v>
      </c>
      <c r="N936" s="7">
        <v>28.5</v>
      </c>
    </row>
    <row r="937" spans="1:14" ht="19.95" customHeight="1">
      <c r="A937" s="6">
        <v>45862</v>
      </c>
      <c r="B937" t="s">
        <v>65</v>
      </c>
      <c r="C937">
        <v>3</v>
      </c>
      <c r="D937">
        <v>7</v>
      </c>
      <c r="E937">
        <v>205</v>
      </c>
      <c r="F937">
        <v>0</v>
      </c>
      <c r="G937">
        <v>0</v>
      </c>
      <c r="I937">
        <v>1</v>
      </c>
      <c r="J937">
        <v>0</v>
      </c>
      <c r="K937">
        <v>0</v>
      </c>
      <c r="L937">
        <v>0</v>
      </c>
      <c r="M937" s="7">
        <v>14.5</v>
      </c>
      <c r="N937" s="7">
        <v>28.4</v>
      </c>
    </row>
    <row r="938" spans="1:14" ht="19.95" customHeight="1">
      <c r="A938" s="6">
        <v>45863</v>
      </c>
      <c r="B938" t="s">
        <v>66</v>
      </c>
      <c r="C938">
        <v>4</v>
      </c>
      <c r="D938">
        <v>7</v>
      </c>
      <c r="E938">
        <v>206</v>
      </c>
      <c r="F938">
        <v>0</v>
      </c>
      <c r="G938">
        <v>0</v>
      </c>
      <c r="I938">
        <v>1</v>
      </c>
      <c r="J938">
        <v>0</v>
      </c>
      <c r="K938">
        <v>0</v>
      </c>
      <c r="L938">
        <v>0</v>
      </c>
      <c r="M938" s="7">
        <v>0</v>
      </c>
      <c r="N938" s="7">
        <v>27.2</v>
      </c>
    </row>
    <row r="939" spans="1:14" ht="19.95" customHeight="1">
      <c r="A939" s="6">
        <v>45864</v>
      </c>
      <c r="B939" t="s">
        <v>67</v>
      </c>
      <c r="C939">
        <v>5</v>
      </c>
      <c r="D939">
        <v>7</v>
      </c>
      <c r="E939">
        <v>207</v>
      </c>
      <c r="F939">
        <v>1</v>
      </c>
      <c r="G939">
        <v>0</v>
      </c>
      <c r="I939">
        <v>1</v>
      </c>
      <c r="J939">
        <v>0</v>
      </c>
      <c r="K939">
        <v>0</v>
      </c>
      <c r="L939">
        <v>0</v>
      </c>
      <c r="M939" s="7">
        <v>0</v>
      </c>
      <c r="N939" s="7">
        <v>27.3</v>
      </c>
    </row>
    <row r="940" spans="1:14" ht="19.95" customHeight="1">
      <c r="A940" s="6">
        <v>45865</v>
      </c>
      <c r="B940" t="s">
        <v>60</v>
      </c>
      <c r="C940">
        <v>6</v>
      </c>
      <c r="D940">
        <v>7</v>
      </c>
      <c r="E940">
        <v>208</v>
      </c>
      <c r="F940">
        <v>1</v>
      </c>
      <c r="G940">
        <v>0</v>
      </c>
      <c r="I940">
        <v>1</v>
      </c>
      <c r="J940">
        <v>0</v>
      </c>
      <c r="K940">
        <v>0</v>
      </c>
      <c r="L940">
        <v>0</v>
      </c>
      <c r="M940" s="7">
        <v>0</v>
      </c>
      <c r="N940" s="7">
        <v>27.6</v>
      </c>
    </row>
    <row r="941" spans="1:14" ht="19.95" customHeight="1">
      <c r="A941" s="6">
        <v>45866</v>
      </c>
      <c r="B941" t="s">
        <v>62</v>
      </c>
      <c r="C941">
        <v>0</v>
      </c>
      <c r="D941">
        <v>7</v>
      </c>
      <c r="E941">
        <v>209</v>
      </c>
      <c r="F941">
        <v>0</v>
      </c>
      <c r="G941">
        <v>0</v>
      </c>
      <c r="I941">
        <v>1</v>
      </c>
      <c r="J941">
        <v>0</v>
      </c>
      <c r="K941">
        <v>0</v>
      </c>
      <c r="L941">
        <v>0</v>
      </c>
      <c r="M941" s="7">
        <v>15.2</v>
      </c>
      <c r="N941" s="7">
        <v>28.8</v>
      </c>
    </row>
    <row r="942" spans="1:14" ht="19.95" customHeight="1">
      <c r="A942" s="6">
        <v>45867</v>
      </c>
      <c r="B942" t="s">
        <v>63</v>
      </c>
      <c r="C942">
        <v>1</v>
      </c>
      <c r="D942">
        <v>7</v>
      </c>
      <c r="E942">
        <v>210</v>
      </c>
      <c r="F942">
        <v>0</v>
      </c>
      <c r="G942">
        <v>0</v>
      </c>
      <c r="I942">
        <v>1</v>
      </c>
      <c r="J942">
        <v>0</v>
      </c>
      <c r="K942">
        <v>0</v>
      </c>
      <c r="L942">
        <v>0</v>
      </c>
      <c r="M942" s="7">
        <v>5.0999999999999996</v>
      </c>
      <c r="N942" s="7">
        <v>28.5</v>
      </c>
    </row>
    <row r="943" spans="1:14" ht="19.95" customHeight="1">
      <c r="A943" s="6">
        <v>45868</v>
      </c>
      <c r="B943" t="s">
        <v>64</v>
      </c>
      <c r="C943">
        <v>2</v>
      </c>
      <c r="D943">
        <v>7</v>
      </c>
      <c r="E943">
        <v>211</v>
      </c>
      <c r="F943">
        <v>0</v>
      </c>
      <c r="G943">
        <v>0</v>
      </c>
      <c r="I943">
        <v>1</v>
      </c>
      <c r="J943">
        <v>0</v>
      </c>
      <c r="K943">
        <v>0</v>
      </c>
      <c r="L943">
        <v>0</v>
      </c>
      <c r="M943" s="7">
        <v>0</v>
      </c>
      <c r="N943" s="7">
        <v>27.1</v>
      </c>
    </row>
    <row r="944" spans="1:14" ht="19.95" customHeight="1">
      <c r="A944" s="6">
        <v>45869</v>
      </c>
      <c r="B944" t="s">
        <v>65</v>
      </c>
      <c r="C944">
        <v>3</v>
      </c>
      <c r="D944">
        <v>7</v>
      </c>
      <c r="E944">
        <v>212</v>
      </c>
      <c r="F944">
        <v>0</v>
      </c>
      <c r="G944">
        <v>0</v>
      </c>
      <c r="I944">
        <v>1</v>
      </c>
      <c r="J944">
        <v>0</v>
      </c>
      <c r="K944">
        <v>0</v>
      </c>
      <c r="L944">
        <v>0</v>
      </c>
      <c r="M944" s="7">
        <v>7.3</v>
      </c>
      <c r="N944" s="7">
        <v>28.4</v>
      </c>
    </row>
    <row r="945" spans="1:14" ht="19.95" customHeight="1">
      <c r="A945" s="6">
        <v>45870</v>
      </c>
      <c r="B945" t="s">
        <v>66</v>
      </c>
      <c r="C945">
        <v>4</v>
      </c>
      <c r="D945">
        <v>8</v>
      </c>
      <c r="E945">
        <v>213</v>
      </c>
      <c r="F945">
        <v>0</v>
      </c>
      <c r="G945">
        <v>0</v>
      </c>
      <c r="I945">
        <v>0</v>
      </c>
      <c r="J945">
        <v>0</v>
      </c>
      <c r="K945">
        <v>0</v>
      </c>
      <c r="L945">
        <v>0</v>
      </c>
      <c r="M945" s="7">
        <v>3.6</v>
      </c>
      <c r="N945" s="7">
        <v>28.5</v>
      </c>
    </row>
    <row r="946" spans="1:14" ht="19.95" customHeight="1">
      <c r="A946" s="6">
        <v>45871</v>
      </c>
      <c r="B946" t="s">
        <v>67</v>
      </c>
      <c r="C946">
        <v>5</v>
      </c>
      <c r="D946">
        <v>8</v>
      </c>
      <c r="E946">
        <v>214</v>
      </c>
      <c r="F946">
        <v>1</v>
      </c>
      <c r="G946">
        <v>0</v>
      </c>
      <c r="I946">
        <v>0</v>
      </c>
      <c r="J946">
        <v>0</v>
      </c>
      <c r="K946">
        <v>0</v>
      </c>
      <c r="L946">
        <v>0</v>
      </c>
      <c r="M946" s="7">
        <v>0.2</v>
      </c>
      <c r="N946" s="7">
        <v>29.6</v>
      </c>
    </row>
    <row r="947" spans="1:14" ht="19.95" customHeight="1">
      <c r="A947" s="6">
        <v>45872</v>
      </c>
      <c r="B947" t="s">
        <v>60</v>
      </c>
      <c r="C947">
        <v>6</v>
      </c>
      <c r="D947">
        <v>8</v>
      </c>
      <c r="E947">
        <v>215</v>
      </c>
      <c r="F947">
        <v>1</v>
      </c>
      <c r="G947">
        <v>0</v>
      </c>
      <c r="I947">
        <v>0</v>
      </c>
      <c r="J947">
        <v>0</v>
      </c>
      <c r="K947">
        <v>0</v>
      </c>
      <c r="L947">
        <v>0</v>
      </c>
      <c r="M947" s="7">
        <v>3.5</v>
      </c>
      <c r="N947" s="7">
        <v>28</v>
      </c>
    </row>
    <row r="948" spans="1:14" ht="19.95" customHeight="1">
      <c r="A948" s="6">
        <v>45873</v>
      </c>
      <c r="B948" t="s">
        <v>62</v>
      </c>
      <c r="C948">
        <v>0</v>
      </c>
      <c r="D948">
        <v>8</v>
      </c>
      <c r="E948">
        <v>216</v>
      </c>
      <c r="F948">
        <v>0</v>
      </c>
      <c r="G948">
        <v>0</v>
      </c>
      <c r="I948">
        <v>0</v>
      </c>
      <c r="J948">
        <v>0</v>
      </c>
      <c r="K948">
        <v>0</v>
      </c>
      <c r="L948">
        <v>0</v>
      </c>
      <c r="M948" s="7">
        <v>0</v>
      </c>
      <c r="N948" s="7">
        <v>29</v>
      </c>
    </row>
    <row r="949" spans="1:14" ht="19.95" customHeight="1">
      <c r="A949" s="6">
        <v>45874</v>
      </c>
      <c r="B949" t="s">
        <v>63</v>
      </c>
      <c r="C949">
        <v>1</v>
      </c>
      <c r="D949">
        <v>8</v>
      </c>
      <c r="E949">
        <v>217</v>
      </c>
      <c r="F949">
        <v>0</v>
      </c>
      <c r="G949">
        <v>0</v>
      </c>
      <c r="I949">
        <v>0</v>
      </c>
      <c r="J949">
        <v>0</v>
      </c>
      <c r="K949">
        <v>0</v>
      </c>
      <c r="L949">
        <v>1</v>
      </c>
      <c r="M949" s="7">
        <v>0.7</v>
      </c>
      <c r="N949" s="7">
        <v>27.4</v>
      </c>
    </row>
    <row r="950" spans="1:14" ht="19.95" customHeight="1">
      <c r="A950" s="6">
        <v>45875</v>
      </c>
      <c r="B950" t="s">
        <v>64</v>
      </c>
      <c r="C950">
        <v>2</v>
      </c>
      <c r="D950">
        <v>8</v>
      </c>
      <c r="E950">
        <v>218</v>
      </c>
      <c r="F950">
        <v>0</v>
      </c>
      <c r="G950">
        <v>0</v>
      </c>
      <c r="I950">
        <v>0</v>
      </c>
      <c r="J950">
        <v>0</v>
      </c>
      <c r="K950">
        <v>0</v>
      </c>
      <c r="L950">
        <v>1</v>
      </c>
      <c r="M950" s="7">
        <v>0</v>
      </c>
      <c r="N950" s="7">
        <v>28.8</v>
      </c>
    </row>
    <row r="951" spans="1:14" ht="19.95" customHeight="1">
      <c r="A951" s="6">
        <v>45876</v>
      </c>
      <c r="B951" t="s">
        <v>65</v>
      </c>
      <c r="C951">
        <v>3</v>
      </c>
      <c r="D951">
        <v>8</v>
      </c>
      <c r="E951">
        <v>219</v>
      </c>
      <c r="F951">
        <v>0</v>
      </c>
      <c r="G951">
        <v>0</v>
      </c>
      <c r="I951">
        <v>0</v>
      </c>
      <c r="J951">
        <v>0</v>
      </c>
      <c r="K951">
        <v>0</v>
      </c>
      <c r="L951">
        <v>0</v>
      </c>
      <c r="M951" s="7">
        <v>4.5</v>
      </c>
      <c r="N951" s="7">
        <v>29</v>
      </c>
    </row>
    <row r="952" spans="1:14" ht="19.95" customHeight="1">
      <c r="A952" s="6">
        <v>45877</v>
      </c>
      <c r="B952" t="s">
        <v>66</v>
      </c>
      <c r="C952">
        <v>4</v>
      </c>
      <c r="D952">
        <v>8</v>
      </c>
      <c r="E952">
        <v>220</v>
      </c>
      <c r="F952">
        <v>0</v>
      </c>
      <c r="G952">
        <v>0</v>
      </c>
      <c r="I952">
        <v>0</v>
      </c>
      <c r="J952">
        <v>0</v>
      </c>
      <c r="K952">
        <v>0</v>
      </c>
      <c r="L952">
        <v>0</v>
      </c>
      <c r="M952" s="7">
        <v>0.6</v>
      </c>
      <c r="N952" s="7">
        <v>29.8</v>
      </c>
    </row>
    <row r="953" spans="1:14" ht="19.95" customHeight="1">
      <c r="A953" s="6">
        <v>45878</v>
      </c>
      <c r="B953" t="s">
        <v>67</v>
      </c>
      <c r="C953">
        <v>5</v>
      </c>
      <c r="D953">
        <v>8</v>
      </c>
      <c r="E953">
        <v>221</v>
      </c>
      <c r="F953">
        <v>1</v>
      </c>
      <c r="G953">
        <v>0</v>
      </c>
      <c r="I953">
        <v>0</v>
      </c>
      <c r="J953">
        <v>0</v>
      </c>
      <c r="K953">
        <v>0</v>
      </c>
      <c r="L953">
        <v>0</v>
      </c>
      <c r="M953" s="7">
        <v>0</v>
      </c>
      <c r="N953" s="7">
        <v>28.5</v>
      </c>
    </row>
    <row r="954" spans="1:14" ht="19.95" customHeight="1">
      <c r="A954" s="6">
        <v>45879</v>
      </c>
      <c r="B954" t="s">
        <v>60</v>
      </c>
      <c r="C954">
        <v>6</v>
      </c>
      <c r="D954">
        <v>8</v>
      </c>
      <c r="E954">
        <v>222</v>
      </c>
      <c r="F954">
        <v>1</v>
      </c>
      <c r="G954">
        <v>0</v>
      </c>
      <c r="I954">
        <v>0</v>
      </c>
      <c r="J954">
        <v>0</v>
      </c>
      <c r="K954">
        <v>0</v>
      </c>
      <c r="L954">
        <v>0</v>
      </c>
      <c r="M954" s="7">
        <v>1.2</v>
      </c>
      <c r="N954" s="7">
        <v>29.9</v>
      </c>
    </row>
    <row r="955" spans="1:14" ht="19.95" customHeight="1">
      <c r="A955" s="6">
        <v>45880</v>
      </c>
      <c r="B955" t="s">
        <v>62</v>
      </c>
      <c r="C955">
        <v>0</v>
      </c>
      <c r="D955">
        <v>8</v>
      </c>
      <c r="E955">
        <v>223</v>
      </c>
      <c r="F955">
        <v>0</v>
      </c>
      <c r="G955">
        <v>0</v>
      </c>
      <c r="I955">
        <v>0</v>
      </c>
      <c r="J955">
        <v>0</v>
      </c>
      <c r="K955">
        <v>0</v>
      </c>
      <c r="L955">
        <v>0</v>
      </c>
      <c r="M955" s="7">
        <v>3.3</v>
      </c>
      <c r="N955" s="7">
        <v>28.5</v>
      </c>
    </row>
    <row r="956" spans="1:14" ht="19.95" customHeight="1">
      <c r="A956" s="6">
        <v>45881</v>
      </c>
      <c r="B956" t="s">
        <v>63</v>
      </c>
      <c r="C956">
        <v>1</v>
      </c>
      <c r="D956">
        <v>8</v>
      </c>
      <c r="E956">
        <v>224</v>
      </c>
      <c r="F956">
        <v>0</v>
      </c>
      <c r="G956">
        <v>0</v>
      </c>
      <c r="I956">
        <v>0</v>
      </c>
      <c r="J956">
        <v>0</v>
      </c>
      <c r="K956">
        <v>0</v>
      </c>
      <c r="L956">
        <v>1</v>
      </c>
      <c r="M956" s="7">
        <v>0.8</v>
      </c>
      <c r="N956" s="7">
        <v>30.1</v>
      </c>
    </row>
    <row r="957" spans="1:14" ht="19.95" customHeight="1">
      <c r="A957" s="6">
        <v>45882</v>
      </c>
      <c r="B957" t="s">
        <v>64</v>
      </c>
      <c r="C957">
        <v>2</v>
      </c>
      <c r="D957">
        <v>8</v>
      </c>
      <c r="E957">
        <v>225</v>
      </c>
      <c r="F957">
        <v>0</v>
      </c>
      <c r="G957">
        <v>0</v>
      </c>
      <c r="I957">
        <v>0</v>
      </c>
      <c r="J957">
        <v>0</v>
      </c>
      <c r="K957">
        <v>0</v>
      </c>
      <c r="L957">
        <v>1</v>
      </c>
      <c r="M957" s="7">
        <v>3.4</v>
      </c>
      <c r="N957" s="7">
        <v>28.4</v>
      </c>
    </row>
    <row r="958" spans="1:14" ht="19.95" customHeight="1">
      <c r="A958" s="6">
        <v>45883</v>
      </c>
      <c r="B958" t="s">
        <v>65</v>
      </c>
      <c r="C958">
        <v>3</v>
      </c>
      <c r="D958">
        <v>8</v>
      </c>
      <c r="E958">
        <v>226</v>
      </c>
      <c r="F958">
        <v>0</v>
      </c>
      <c r="G958">
        <v>0</v>
      </c>
      <c r="I958">
        <v>0</v>
      </c>
      <c r="J958">
        <v>0</v>
      </c>
      <c r="K958">
        <v>0</v>
      </c>
      <c r="L958">
        <v>0</v>
      </c>
      <c r="M958" s="7">
        <v>1.9</v>
      </c>
      <c r="N958" s="7">
        <v>28.4</v>
      </c>
    </row>
    <row r="959" spans="1:14" ht="19.95" customHeight="1">
      <c r="A959" s="6">
        <v>45884</v>
      </c>
      <c r="B959" t="s">
        <v>66</v>
      </c>
      <c r="C959">
        <v>4</v>
      </c>
      <c r="D959">
        <v>8</v>
      </c>
      <c r="E959">
        <v>227</v>
      </c>
      <c r="F959">
        <v>0</v>
      </c>
      <c r="G959">
        <v>0</v>
      </c>
      <c r="I959">
        <v>0</v>
      </c>
      <c r="J959">
        <v>0</v>
      </c>
      <c r="K959">
        <v>0</v>
      </c>
      <c r="L959">
        <v>0</v>
      </c>
      <c r="M959" s="7">
        <v>1</v>
      </c>
      <c r="N959" s="7">
        <v>27.9</v>
      </c>
    </row>
    <row r="960" spans="1:14" ht="19.95" customHeight="1">
      <c r="A960" s="6">
        <v>45885</v>
      </c>
      <c r="B960" t="s">
        <v>67</v>
      </c>
      <c r="C960">
        <v>5</v>
      </c>
      <c r="D960">
        <v>8</v>
      </c>
      <c r="E960">
        <v>228</v>
      </c>
      <c r="F960">
        <v>1</v>
      </c>
      <c r="G960">
        <v>0</v>
      </c>
      <c r="I960">
        <v>0</v>
      </c>
      <c r="J960">
        <v>0</v>
      </c>
      <c r="K960">
        <v>0</v>
      </c>
      <c r="L960">
        <v>0</v>
      </c>
      <c r="M960" s="7">
        <v>0.5</v>
      </c>
      <c r="N960" s="7">
        <v>28.6</v>
      </c>
    </row>
    <row r="961" spans="1:14" ht="19.95" customHeight="1">
      <c r="A961" s="6">
        <v>45886</v>
      </c>
      <c r="B961" t="s">
        <v>60</v>
      </c>
      <c r="C961">
        <v>6</v>
      </c>
      <c r="D961">
        <v>8</v>
      </c>
      <c r="E961">
        <v>229</v>
      </c>
      <c r="F961">
        <v>1</v>
      </c>
      <c r="G961">
        <v>0</v>
      </c>
      <c r="I961">
        <v>0</v>
      </c>
      <c r="J961">
        <v>0</v>
      </c>
      <c r="K961">
        <v>0</v>
      </c>
      <c r="L961">
        <v>0</v>
      </c>
      <c r="M961" s="7">
        <v>0.6</v>
      </c>
      <c r="N961" s="7">
        <v>29.1</v>
      </c>
    </row>
    <row r="962" spans="1:14" ht="19.95" customHeight="1">
      <c r="A962" s="6">
        <v>45887</v>
      </c>
      <c r="B962" t="s">
        <v>62</v>
      </c>
      <c r="C962">
        <v>0</v>
      </c>
      <c r="D962">
        <v>8</v>
      </c>
      <c r="E962">
        <v>230</v>
      </c>
      <c r="F962">
        <v>0</v>
      </c>
      <c r="G962">
        <v>0</v>
      </c>
      <c r="I962">
        <v>0</v>
      </c>
      <c r="J962">
        <v>0</v>
      </c>
      <c r="K962">
        <v>0</v>
      </c>
      <c r="L962">
        <v>0</v>
      </c>
      <c r="M962" s="7">
        <v>2.8</v>
      </c>
      <c r="N962" s="7">
        <v>28.9</v>
      </c>
    </row>
    <row r="963" spans="1:14" ht="19.95" customHeight="1">
      <c r="A963" s="6">
        <v>45888</v>
      </c>
      <c r="B963" t="s">
        <v>63</v>
      </c>
      <c r="C963">
        <v>1</v>
      </c>
      <c r="D963">
        <v>8</v>
      </c>
      <c r="E963">
        <v>231</v>
      </c>
      <c r="F963">
        <v>0</v>
      </c>
      <c r="G963">
        <v>0</v>
      </c>
      <c r="I963">
        <v>0</v>
      </c>
      <c r="J963">
        <v>0</v>
      </c>
      <c r="K963">
        <v>0</v>
      </c>
      <c r="L963">
        <v>0</v>
      </c>
      <c r="M963" s="7">
        <v>2.8</v>
      </c>
      <c r="N963" s="7">
        <v>29.4</v>
      </c>
    </row>
    <row r="964" spans="1:14" ht="19.95" customHeight="1">
      <c r="A964" s="6">
        <v>45889</v>
      </c>
      <c r="B964" t="s">
        <v>64</v>
      </c>
      <c r="C964">
        <v>2</v>
      </c>
      <c r="D964">
        <v>8</v>
      </c>
      <c r="E964">
        <v>232</v>
      </c>
      <c r="F964">
        <v>0</v>
      </c>
      <c r="G964">
        <v>0</v>
      </c>
      <c r="I964">
        <v>0</v>
      </c>
      <c r="J964">
        <v>0</v>
      </c>
      <c r="K964">
        <v>0</v>
      </c>
      <c r="L964">
        <v>0</v>
      </c>
      <c r="M964" s="7">
        <v>2.2000000000000002</v>
      </c>
      <c r="N964" s="7">
        <v>28.9</v>
      </c>
    </row>
    <row r="965" spans="1:14" ht="19.95" customHeight="1">
      <c r="A965" s="6">
        <v>45890</v>
      </c>
      <c r="B965" t="s">
        <v>65</v>
      </c>
      <c r="C965">
        <v>3</v>
      </c>
      <c r="D965">
        <v>8</v>
      </c>
      <c r="E965">
        <v>233</v>
      </c>
      <c r="F965">
        <v>0</v>
      </c>
      <c r="G965">
        <v>0</v>
      </c>
      <c r="I965">
        <v>0</v>
      </c>
      <c r="J965">
        <v>0</v>
      </c>
      <c r="K965">
        <v>0</v>
      </c>
      <c r="L965">
        <v>0</v>
      </c>
      <c r="M965" s="7">
        <v>0</v>
      </c>
      <c r="N965" s="7">
        <v>27.3</v>
      </c>
    </row>
    <row r="966" spans="1:14" ht="19.95" customHeight="1">
      <c r="A966" s="6">
        <v>45891</v>
      </c>
      <c r="B966" t="s">
        <v>66</v>
      </c>
      <c r="C966">
        <v>4</v>
      </c>
      <c r="D966">
        <v>8</v>
      </c>
      <c r="E966">
        <v>234</v>
      </c>
      <c r="F966">
        <v>0</v>
      </c>
      <c r="G966">
        <v>0</v>
      </c>
      <c r="I966">
        <v>0</v>
      </c>
      <c r="J966">
        <v>0</v>
      </c>
      <c r="K966">
        <v>0</v>
      </c>
      <c r="L966">
        <v>0</v>
      </c>
      <c r="M966" s="7">
        <v>0.2</v>
      </c>
      <c r="N966" s="7">
        <v>28.7</v>
      </c>
    </row>
    <row r="967" spans="1:14" ht="19.95" customHeight="1">
      <c r="A967" s="6">
        <v>45892</v>
      </c>
      <c r="B967" t="s">
        <v>67</v>
      </c>
      <c r="C967">
        <v>5</v>
      </c>
      <c r="D967">
        <v>8</v>
      </c>
      <c r="E967">
        <v>235</v>
      </c>
      <c r="F967">
        <v>1</v>
      </c>
      <c r="G967">
        <v>0</v>
      </c>
      <c r="I967">
        <v>0</v>
      </c>
      <c r="J967">
        <v>0</v>
      </c>
      <c r="K967">
        <v>0</v>
      </c>
      <c r="L967">
        <v>0</v>
      </c>
      <c r="M967" s="7">
        <v>3.5</v>
      </c>
      <c r="N967" s="7">
        <v>30.3</v>
      </c>
    </row>
    <row r="968" spans="1:14" ht="19.95" customHeight="1">
      <c r="A968" s="6">
        <v>45893</v>
      </c>
      <c r="B968" t="s">
        <v>60</v>
      </c>
      <c r="C968">
        <v>6</v>
      </c>
      <c r="D968">
        <v>8</v>
      </c>
      <c r="E968">
        <v>236</v>
      </c>
      <c r="F968">
        <v>1</v>
      </c>
      <c r="G968">
        <v>0</v>
      </c>
      <c r="I968">
        <v>0</v>
      </c>
      <c r="J968">
        <v>0</v>
      </c>
      <c r="K968">
        <v>0</v>
      </c>
      <c r="L968">
        <v>0</v>
      </c>
      <c r="M968" s="7">
        <v>1.2</v>
      </c>
      <c r="N968" s="7">
        <v>29.8</v>
      </c>
    </row>
    <row r="969" spans="1:14" ht="19.95" customHeight="1">
      <c r="A969" s="6">
        <v>45894</v>
      </c>
      <c r="B969" t="s">
        <v>62</v>
      </c>
      <c r="C969">
        <v>0</v>
      </c>
      <c r="D969">
        <v>8</v>
      </c>
      <c r="E969">
        <v>237</v>
      </c>
      <c r="F969">
        <v>0</v>
      </c>
      <c r="G969">
        <v>0</v>
      </c>
      <c r="I969">
        <v>0</v>
      </c>
      <c r="J969">
        <v>0</v>
      </c>
      <c r="K969">
        <v>0</v>
      </c>
      <c r="L969">
        <v>0</v>
      </c>
      <c r="M969" s="7">
        <v>0</v>
      </c>
      <c r="N969" s="7">
        <v>30.5</v>
      </c>
    </row>
    <row r="970" spans="1:14" ht="19.95" customHeight="1">
      <c r="A970" s="6">
        <v>45895</v>
      </c>
      <c r="B970" t="s">
        <v>63</v>
      </c>
      <c r="C970">
        <v>1</v>
      </c>
      <c r="D970">
        <v>8</v>
      </c>
      <c r="E970">
        <v>238</v>
      </c>
      <c r="F970">
        <v>0</v>
      </c>
      <c r="G970">
        <v>0</v>
      </c>
      <c r="I970">
        <v>0</v>
      </c>
      <c r="J970">
        <v>0</v>
      </c>
      <c r="K970">
        <v>0</v>
      </c>
      <c r="L970">
        <v>0</v>
      </c>
      <c r="M970" s="7">
        <v>0</v>
      </c>
      <c r="N970" s="7">
        <v>28.8</v>
      </c>
    </row>
    <row r="971" spans="1:14" ht="19.95" customHeight="1">
      <c r="A971" s="6">
        <v>45896</v>
      </c>
      <c r="B971" t="s">
        <v>64</v>
      </c>
      <c r="C971">
        <v>2</v>
      </c>
      <c r="D971">
        <v>8</v>
      </c>
      <c r="E971">
        <v>239</v>
      </c>
      <c r="F971">
        <v>0</v>
      </c>
      <c r="G971">
        <v>0</v>
      </c>
      <c r="I971">
        <v>0</v>
      </c>
      <c r="J971">
        <v>0</v>
      </c>
      <c r="K971">
        <v>0</v>
      </c>
      <c r="L971">
        <v>0</v>
      </c>
      <c r="M971" s="7">
        <v>4.4000000000000004</v>
      </c>
      <c r="N971" s="7">
        <v>27.9</v>
      </c>
    </row>
    <row r="972" spans="1:14" ht="19.95" customHeight="1">
      <c r="A972" s="6">
        <v>45897</v>
      </c>
      <c r="B972" t="s">
        <v>65</v>
      </c>
      <c r="C972">
        <v>3</v>
      </c>
      <c r="D972">
        <v>8</v>
      </c>
      <c r="E972">
        <v>240</v>
      </c>
      <c r="F972">
        <v>0</v>
      </c>
      <c r="G972">
        <v>0</v>
      </c>
      <c r="I972">
        <v>0</v>
      </c>
      <c r="J972">
        <v>0</v>
      </c>
      <c r="K972">
        <v>0</v>
      </c>
      <c r="L972">
        <v>0</v>
      </c>
      <c r="M972" s="7">
        <v>0</v>
      </c>
      <c r="N972" s="7">
        <v>28.6</v>
      </c>
    </row>
    <row r="973" spans="1:14" ht="19.95" customHeight="1">
      <c r="A973" s="6">
        <v>45898</v>
      </c>
      <c r="B973" t="s">
        <v>66</v>
      </c>
      <c r="C973">
        <v>4</v>
      </c>
      <c r="D973">
        <v>8</v>
      </c>
      <c r="E973">
        <v>241</v>
      </c>
      <c r="F973">
        <v>0</v>
      </c>
      <c r="G973">
        <v>0</v>
      </c>
      <c r="I973">
        <v>0</v>
      </c>
      <c r="J973">
        <v>0</v>
      </c>
      <c r="K973">
        <v>0</v>
      </c>
      <c r="L973">
        <v>0</v>
      </c>
      <c r="M973" s="7">
        <v>3.8</v>
      </c>
      <c r="N973" s="7">
        <v>27.7</v>
      </c>
    </row>
    <row r="974" spans="1:14" ht="19.95" customHeight="1">
      <c r="A974" s="6">
        <v>45899</v>
      </c>
      <c r="B974" t="s">
        <v>67</v>
      </c>
      <c r="C974">
        <v>5</v>
      </c>
      <c r="D974">
        <v>8</v>
      </c>
      <c r="E974">
        <v>242</v>
      </c>
      <c r="F974">
        <v>1</v>
      </c>
      <c r="G974">
        <v>0</v>
      </c>
      <c r="I974">
        <v>0</v>
      </c>
      <c r="J974">
        <v>0</v>
      </c>
      <c r="K974">
        <v>0</v>
      </c>
      <c r="L974">
        <v>0</v>
      </c>
      <c r="M974" s="7">
        <v>1.4</v>
      </c>
      <c r="N974" s="7">
        <v>28.7</v>
      </c>
    </row>
    <row r="975" spans="1:14" ht="19.95" customHeight="1">
      <c r="A975" s="6">
        <v>45900</v>
      </c>
      <c r="B975" t="s">
        <v>60</v>
      </c>
      <c r="C975">
        <v>6</v>
      </c>
      <c r="D975">
        <v>8</v>
      </c>
      <c r="E975">
        <v>243</v>
      </c>
      <c r="F975">
        <v>1</v>
      </c>
      <c r="G975">
        <v>0</v>
      </c>
      <c r="I975">
        <v>0</v>
      </c>
      <c r="J975">
        <v>0</v>
      </c>
      <c r="K975">
        <v>0</v>
      </c>
      <c r="L975">
        <v>0</v>
      </c>
      <c r="M975" s="7">
        <v>5.7</v>
      </c>
      <c r="N975" s="7">
        <v>29.4</v>
      </c>
    </row>
    <row r="976" spans="1:14" ht="19.95" customHeight="1">
      <c r="A976" s="6">
        <v>45901</v>
      </c>
      <c r="B976" t="s">
        <v>62</v>
      </c>
      <c r="C976">
        <v>0</v>
      </c>
      <c r="D976">
        <v>9</v>
      </c>
      <c r="E976">
        <v>244</v>
      </c>
      <c r="F976">
        <v>0</v>
      </c>
      <c r="G976">
        <v>0</v>
      </c>
      <c r="I976">
        <v>0</v>
      </c>
      <c r="J976">
        <v>0</v>
      </c>
      <c r="K976">
        <v>0</v>
      </c>
      <c r="L976">
        <v>0</v>
      </c>
      <c r="M976" s="7">
        <v>1.9</v>
      </c>
      <c r="N976" s="7">
        <v>29</v>
      </c>
    </row>
    <row r="977" spans="1:14" ht="19.95" customHeight="1">
      <c r="A977" s="6">
        <v>45902</v>
      </c>
      <c r="B977" t="s">
        <v>63</v>
      </c>
      <c r="C977">
        <v>1</v>
      </c>
      <c r="D977">
        <v>9</v>
      </c>
      <c r="E977">
        <v>245</v>
      </c>
      <c r="F977">
        <v>0</v>
      </c>
      <c r="G977">
        <v>0</v>
      </c>
      <c r="I977">
        <v>0</v>
      </c>
      <c r="J977">
        <v>0</v>
      </c>
      <c r="K977">
        <v>0</v>
      </c>
      <c r="L977">
        <v>0</v>
      </c>
      <c r="M977" s="7">
        <v>0</v>
      </c>
      <c r="N977" s="7">
        <v>30</v>
      </c>
    </row>
    <row r="978" spans="1:14" ht="19.95" customHeight="1">
      <c r="A978" s="6">
        <v>45903</v>
      </c>
      <c r="B978" t="s">
        <v>64</v>
      </c>
      <c r="C978">
        <v>2</v>
      </c>
      <c r="D978">
        <v>9</v>
      </c>
      <c r="E978">
        <v>246</v>
      </c>
      <c r="F978">
        <v>0</v>
      </c>
      <c r="G978">
        <v>0</v>
      </c>
      <c r="I978">
        <v>0</v>
      </c>
      <c r="J978">
        <v>0</v>
      </c>
      <c r="K978">
        <v>0</v>
      </c>
      <c r="L978">
        <v>0</v>
      </c>
      <c r="M978" s="7">
        <v>0</v>
      </c>
      <c r="N978" s="7">
        <v>29.7</v>
      </c>
    </row>
    <row r="979" spans="1:14" ht="19.95" customHeight="1">
      <c r="A979" s="6">
        <v>45904</v>
      </c>
      <c r="B979" t="s">
        <v>65</v>
      </c>
      <c r="C979">
        <v>3</v>
      </c>
      <c r="D979">
        <v>9</v>
      </c>
      <c r="E979">
        <v>247</v>
      </c>
      <c r="F979">
        <v>0</v>
      </c>
      <c r="G979">
        <v>0</v>
      </c>
      <c r="I979">
        <v>0</v>
      </c>
      <c r="J979">
        <v>0</v>
      </c>
      <c r="K979">
        <v>0</v>
      </c>
      <c r="L979">
        <v>0</v>
      </c>
      <c r="M979" s="7">
        <v>0</v>
      </c>
      <c r="N979" s="7">
        <v>30.6</v>
      </c>
    </row>
    <row r="980" spans="1:14" ht="19.95" customHeight="1">
      <c r="A980" s="6">
        <v>45905</v>
      </c>
      <c r="B980" t="s">
        <v>66</v>
      </c>
      <c r="C980">
        <v>4</v>
      </c>
      <c r="D980">
        <v>9</v>
      </c>
      <c r="E980">
        <v>248</v>
      </c>
      <c r="F980">
        <v>0</v>
      </c>
      <c r="G980">
        <v>0</v>
      </c>
      <c r="I980">
        <v>0</v>
      </c>
      <c r="J980">
        <v>0</v>
      </c>
      <c r="K980">
        <v>0</v>
      </c>
      <c r="L980">
        <v>0</v>
      </c>
      <c r="M980" s="7">
        <v>0</v>
      </c>
      <c r="N980" s="7">
        <v>28</v>
      </c>
    </row>
    <row r="981" spans="1:14" ht="19.95" customHeight="1">
      <c r="A981" s="6">
        <v>45906</v>
      </c>
      <c r="B981" t="s">
        <v>67</v>
      </c>
      <c r="C981">
        <v>5</v>
      </c>
      <c r="D981">
        <v>9</v>
      </c>
      <c r="E981">
        <v>249</v>
      </c>
      <c r="F981">
        <v>1</v>
      </c>
      <c r="G981">
        <v>0</v>
      </c>
      <c r="I981">
        <v>0</v>
      </c>
      <c r="J981">
        <v>0</v>
      </c>
      <c r="K981">
        <v>0</v>
      </c>
      <c r="L981">
        <v>0</v>
      </c>
      <c r="M981" s="7">
        <v>1.5</v>
      </c>
      <c r="N981" s="7">
        <v>29</v>
      </c>
    </row>
    <row r="982" spans="1:14" ht="19.95" customHeight="1">
      <c r="A982" s="6">
        <v>45907</v>
      </c>
      <c r="B982" t="s">
        <v>60</v>
      </c>
      <c r="C982">
        <v>6</v>
      </c>
      <c r="D982">
        <v>9</v>
      </c>
      <c r="E982">
        <v>250</v>
      </c>
      <c r="F982">
        <v>1</v>
      </c>
      <c r="G982">
        <v>1</v>
      </c>
      <c r="H982" t="s">
        <v>72</v>
      </c>
      <c r="I982">
        <v>0</v>
      </c>
      <c r="J982">
        <v>0</v>
      </c>
      <c r="K982">
        <v>0</v>
      </c>
      <c r="L982">
        <v>0</v>
      </c>
      <c r="M982" s="7">
        <v>1.6</v>
      </c>
      <c r="N982" s="7">
        <v>29.9</v>
      </c>
    </row>
    <row r="983" spans="1:14" ht="19.95" customHeight="1">
      <c r="A983" s="6">
        <v>45908</v>
      </c>
      <c r="B983" t="s">
        <v>62</v>
      </c>
      <c r="C983">
        <v>0</v>
      </c>
      <c r="D983">
        <v>9</v>
      </c>
      <c r="E983">
        <v>251</v>
      </c>
      <c r="F983">
        <v>0</v>
      </c>
      <c r="G983">
        <v>0</v>
      </c>
      <c r="I983">
        <v>0</v>
      </c>
      <c r="J983">
        <v>0</v>
      </c>
      <c r="K983">
        <v>0</v>
      </c>
      <c r="L983">
        <v>0</v>
      </c>
      <c r="M983" s="7">
        <v>0.5</v>
      </c>
      <c r="N983" s="7">
        <v>29.2</v>
      </c>
    </row>
    <row r="984" spans="1:14" ht="19.95" customHeight="1">
      <c r="A984" s="6">
        <v>45909</v>
      </c>
      <c r="B984" t="s">
        <v>63</v>
      </c>
      <c r="C984">
        <v>1</v>
      </c>
      <c r="D984">
        <v>9</v>
      </c>
      <c r="E984">
        <v>252</v>
      </c>
      <c r="F984">
        <v>0</v>
      </c>
      <c r="G984">
        <v>0</v>
      </c>
      <c r="I984">
        <v>0</v>
      </c>
      <c r="J984">
        <v>0</v>
      </c>
      <c r="K984">
        <v>0</v>
      </c>
      <c r="L984">
        <v>0</v>
      </c>
      <c r="M984" s="7">
        <v>3.5</v>
      </c>
      <c r="N984" s="7">
        <v>28.8</v>
      </c>
    </row>
    <row r="985" spans="1:14" ht="19.95" customHeight="1">
      <c r="A985" s="6">
        <v>45910</v>
      </c>
      <c r="B985" t="s">
        <v>64</v>
      </c>
      <c r="C985">
        <v>2</v>
      </c>
      <c r="D985">
        <v>9</v>
      </c>
      <c r="E985">
        <v>253</v>
      </c>
      <c r="F985">
        <v>0</v>
      </c>
      <c r="G985">
        <v>0</v>
      </c>
      <c r="I985">
        <v>0</v>
      </c>
      <c r="J985">
        <v>0</v>
      </c>
      <c r="K985">
        <v>0</v>
      </c>
      <c r="L985">
        <v>0</v>
      </c>
      <c r="M985" s="7">
        <v>0</v>
      </c>
      <c r="N985" s="7">
        <v>30</v>
      </c>
    </row>
    <row r="986" spans="1:14" ht="19.95" customHeight="1">
      <c r="A986" s="6">
        <v>45911</v>
      </c>
      <c r="B986" t="s">
        <v>65</v>
      </c>
      <c r="C986">
        <v>3</v>
      </c>
      <c r="D986">
        <v>9</v>
      </c>
      <c r="E986">
        <v>254</v>
      </c>
      <c r="F986">
        <v>0</v>
      </c>
      <c r="G986">
        <v>0</v>
      </c>
      <c r="I986">
        <v>0</v>
      </c>
      <c r="J986">
        <v>0</v>
      </c>
      <c r="K986">
        <v>0</v>
      </c>
      <c r="L986">
        <v>0</v>
      </c>
      <c r="M986" s="7">
        <v>0</v>
      </c>
      <c r="N986" s="7">
        <v>29</v>
      </c>
    </row>
    <row r="987" spans="1:14" ht="19.95" customHeight="1">
      <c r="A987" s="6">
        <v>45912</v>
      </c>
      <c r="B987" t="s">
        <v>66</v>
      </c>
      <c r="C987">
        <v>4</v>
      </c>
      <c r="D987">
        <v>9</v>
      </c>
      <c r="E987">
        <v>255</v>
      </c>
      <c r="F987">
        <v>0</v>
      </c>
      <c r="G987">
        <v>0</v>
      </c>
      <c r="I987">
        <v>0</v>
      </c>
      <c r="J987">
        <v>0</v>
      </c>
      <c r="K987">
        <v>0</v>
      </c>
      <c r="L987">
        <v>0</v>
      </c>
      <c r="M987" s="7">
        <v>1.1000000000000001</v>
      </c>
      <c r="N987" s="7">
        <v>30.3</v>
      </c>
    </row>
    <row r="988" spans="1:14" ht="19.95" customHeight="1">
      <c r="A988" s="6">
        <v>45913</v>
      </c>
      <c r="B988" t="s">
        <v>67</v>
      </c>
      <c r="C988">
        <v>5</v>
      </c>
      <c r="D988">
        <v>9</v>
      </c>
      <c r="E988">
        <v>256</v>
      </c>
      <c r="F988">
        <v>1</v>
      </c>
      <c r="G988">
        <v>0</v>
      </c>
      <c r="I988">
        <v>0</v>
      </c>
      <c r="J988">
        <v>0</v>
      </c>
      <c r="K988">
        <v>0</v>
      </c>
      <c r="L988">
        <v>0</v>
      </c>
      <c r="M988" s="7">
        <v>0</v>
      </c>
      <c r="N988" s="7">
        <v>29</v>
      </c>
    </row>
    <row r="989" spans="1:14" ht="19.95" customHeight="1">
      <c r="A989" s="6">
        <v>45914</v>
      </c>
      <c r="B989" t="s">
        <v>60</v>
      </c>
      <c r="C989">
        <v>6</v>
      </c>
      <c r="D989">
        <v>9</v>
      </c>
      <c r="E989">
        <v>257</v>
      </c>
      <c r="F989">
        <v>1</v>
      </c>
      <c r="G989">
        <v>0</v>
      </c>
      <c r="I989">
        <v>0</v>
      </c>
      <c r="J989">
        <v>0</v>
      </c>
      <c r="K989">
        <v>0</v>
      </c>
      <c r="L989">
        <v>0</v>
      </c>
      <c r="M989" s="7">
        <v>0.2</v>
      </c>
      <c r="N989" s="7">
        <v>29.7</v>
      </c>
    </row>
    <row r="990" spans="1:14" ht="19.95" customHeight="1">
      <c r="A990" s="6">
        <v>45915</v>
      </c>
      <c r="B990" t="s">
        <v>62</v>
      </c>
      <c r="C990">
        <v>0</v>
      </c>
      <c r="D990">
        <v>9</v>
      </c>
      <c r="E990">
        <v>258</v>
      </c>
      <c r="F990">
        <v>0</v>
      </c>
      <c r="G990">
        <v>0</v>
      </c>
      <c r="I990">
        <v>0</v>
      </c>
      <c r="J990">
        <v>0</v>
      </c>
      <c r="K990">
        <v>0</v>
      </c>
      <c r="L990">
        <v>0</v>
      </c>
      <c r="M990" s="7">
        <v>3.4</v>
      </c>
      <c r="N990" s="7">
        <v>30.7</v>
      </c>
    </row>
    <row r="991" spans="1:14" ht="19.95" customHeight="1">
      <c r="A991" s="6">
        <v>45916</v>
      </c>
      <c r="B991" t="s">
        <v>63</v>
      </c>
      <c r="C991">
        <v>1</v>
      </c>
      <c r="D991">
        <v>9</v>
      </c>
      <c r="E991">
        <v>259</v>
      </c>
      <c r="F991">
        <v>0</v>
      </c>
      <c r="G991">
        <v>0</v>
      </c>
      <c r="I991">
        <v>0</v>
      </c>
      <c r="J991">
        <v>0</v>
      </c>
      <c r="K991">
        <v>0</v>
      </c>
      <c r="L991">
        <v>0</v>
      </c>
      <c r="M991" s="7">
        <v>2.2999999999999998</v>
      </c>
      <c r="N991" s="7">
        <v>28.1</v>
      </c>
    </row>
    <row r="992" spans="1:14" ht="19.95" customHeight="1">
      <c r="A992" s="6">
        <v>45917</v>
      </c>
      <c r="B992" t="s">
        <v>64</v>
      </c>
      <c r="C992">
        <v>2</v>
      </c>
      <c r="D992">
        <v>9</v>
      </c>
      <c r="E992">
        <v>260</v>
      </c>
      <c r="F992">
        <v>0</v>
      </c>
      <c r="G992">
        <v>0</v>
      </c>
      <c r="I992">
        <v>0</v>
      </c>
      <c r="J992">
        <v>0</v>
      </c>
      <c r="K992">
        <v>0</v>
      </c>
      <c r="L992">
        <v>0</v>
      </c>
      <c r="M992" s="7">
        <v>1.8</v>
      </c>
      <c r="N992" s="7">
        <v>29.2</v>
      </c>
    </row>
    <row r="993" spans="1:14" ht="19.95" customHeight="1">
      <c r="A993" s="6">
        <v>45918</v>
      </c>
      <c r="B993" t="s">
        <v>65</v>
      </c>
      <c r="C993">
        <v>3</v>
      </c>
      <c r="D993">
        <v>9</v>
      </c>
      <c r="E993">
        <v>261</v>
      </c>
      <c r="F993">
        <v>0</v>
      </c>
      <c r="G993">
        <v>0</v>
      </c>
      <c r="I993">
        <v>0</v>
      </c>
      <c r="J993">
        <v>0</v>
      </c>
      <c r="K993">
        <v>0</v>
      </c>
      <c r="L993">
        <v>0</v>
      </c>
      <c r="M993" s="7">
        <v>0</v>
      </c>
      <c r="N993" s="7">
        <v>29.1</v>
      </c>
    </row>
    <row r="994" spans="1:14" ht="19.95" customHeight="1">
      <c r="A994" s="6">
        <v>45919</v>
      </c>
      <c r="B994" t="s">
        <v>66</v>
      </c>
      <c r="C994">
        <v>4</v>
      </c>
      <c r="D994">
        <v>9</v>
      </c>
      <c r="E994">
        <v>262</v>
      </c>
      <c r="F994">
        <v>0</v>
      </c>
      <c r="G994">
        <v>0</v>
      </c>
      <c r="I994">
        <v>0</v>
      </c>
      <c r="J994">
        <v>0</v>
      </c>
      <c r="K994">
        <v>0</v>
      </c>
      <c r="L994">
        <v>0</v>
      </c>
      <c r="M994" s="7">
        <v>0</v>
      </c>
      <c r="N994" s="7">
        <v>29.2</v>
      </c>
    </row>
    <row r="995" spans="1:14" ht="19.95" customHeight="1">
      <c r="A995" s="6">
        <v>45920</v>
      </c>
      <c r="B995" t="s">
        <v>67</v>
      </c>
      <c r="C995">
        <v>5</v>
      </c>
      <c r="D995">
        <v>9</v>
      </c>
      <c r="E995">
        <v>263</v>
      </c>
      <c r="F995">
        <v>1</v>
      </c>
      <c r="G995">
        <v>0</v>
      </c>
      <c r="I995">
        <v>0</v>
      </c>
      <c r="J995">
        <v>0</v>
      </c>
      <c r="K995">
        <v>0</v>
      </c>
      <c r="L995">
        <v>0</v>
      </c>
      <c r="M995" s="7">
        <v>0.8</v>
      </c>
      <c r="N995" s="7">
        <v>29.5</v>
      </c>
    </row>
    <row r="996" spans="1:14" ht="19.95" customHeight="1">
      <c r="A996" s="6">
        <v>45921</v>
      </c>
      <c r="B996" t="s">
        <v>60</v>
      </c>
      <c r="C996">
        <v>6</v>
      </c>
      <c r="D996">
        <v>9</v>
      </c>
      <c r="E996">
        <v>264</v>
      </c>
      <c r="F996">
        <v>1</v>
      </c>
      <c r="G996">
        <v>0</v>
      </c>
      <c r="I996">
        <v>0</v>
      </c>
      <c r="J996">
        <v>0</v>
      </c>
      <c r="K996">
        <v>0</v>
      </c>
      <c r="L996">
        <v>0</v>
      </c>
      <c r="M996" s="7">
        <v>0.8</v>
      </c>
      <c r="N996" s="7">
        <v>29.3</v>
      </c>
    </row>
    <row r="997" spans="1:14" ht="19.95" customHeight="1">
      <c r="A997" s="6">
        <v>45922</v>
      </c>
      <c r="B997" t="s">
        <v>62</v>
      </c>
      <c r="C997">
        <v>0</v>
      </c>
      <c r="D997">
        <v>9</v>
      </c>
      <c r="E997">
        <v>265</v>
      </c>
      <c r="F997">
        <v>0</v>
      </c>
      <c r="G997">
        <v>0</v>
      </c>
      <c r="I997">
        <v>0</v>
      </c>
      <c r="J997">
        <v>0</v>
      </c>
      <c r="K997">
        <v>0</v>
      </c>
      <c r="L997">
        <v>0</v>
      </c>
      <c r="M997" s="7">
        <v>0.8</v>
      </c>
      <c r="N997" s="7">
        <v>28.8</v>
      </c>
    </row>
    <row r="998" spans="1:14" ht="19.95" customHeight="1">
      <c r="A998" s="6">
        <v>45923</v>
      </c>
      <c r="B998" t="s">
        <v>63</v>
      </c>
      <c r="C998">
        <v>1</v>
      </c>
      <c r="D998">
        <v>9</v>
      </c>
      <c r="E998">
        <v>266</v>
      </c>
      <c r="F998">
        <v>0</v>
      </c>
      <c r="G998">
        <v>0</v>
      </c>
      <c r="I998">
        <v>0</v>
      </c>
      <c r="J998">
        <v>0</v>
      </c>
      <c r="K998">
        <v>0</v>
      </c>
      <c r="L998">
        <v>0</v>
      </c>
      <c r="M998" s="7">
        <v>4.0999999999999996</v>
      </c>
      <c r="N998" s="7">
        <v>30</v>
      </c>
    </row>
    <row r="999" spans="1:14" ht="19.95" customHeight="1">
      <c r="A999" s="6">
        <v>45924</v>
      </c>
      <c r="B999" t="s">
        <v>64</v>
      </c>
      <c r="C999">
        <v>2</v>
      </c>
      <c r="D999">
        <v>9</v>
      </c>
      <c r="E999">
        <v>267</v>
      </c>
      <c r="F999">
        <v>0</v>
      </c>
      <c r="G999">
        <v>0</v>
      </c>
      <c r="I999">
        <v>0</v>
      </c>
      <c r="J999">
        <v>0</v>
      </c>
      <c r="K999">
        <v>0</v>
      </c>
      <c r="L999">
        <v>0</v>
      </c>
      <c r="M999" s="7">
        <v>0</v>
      </c>
      <c r="N999" s="7">
        <v>29.3</v>
      </c>
    </row>
    <row r="1000" spans="1:14" ht="19.95" customHeight="1">
      <c r="A1000" s="6">
        <v>45925</v>
      </c>
      <c r="B1000" t="s">
        <v>65</v>
      </c>
      <c r="C1000">
        <v>3</v>
      </c>
      <c r="D1000">
        <v>9</v>
      </c>
      <c r="E1000">
        <v>268</v>
      </c>
      <c r="F1000">
        <v>0</v>
      </c>
      <c r="G1000">
        <v>0</v>
      </c>
      <c r="I1000">
        <v>0</v>
      </c>
      <c r="J1000">
        <v>0</v>
      </c>
      <c r="K1000">
        <v>0</v>
      </c>
      <c r="L1000">
        <v>0</v>
      </c>
      <c r="M1000" s="7">
        <v>4</v>
      </c>
      <c r="N1000" s="7">
        <v>28.8</v>
      </c>
    </row>
    <row r="1001" spans="1:14" ht="19.95" customHeight="1">
      <c r="A1001" s="6">
        <v>45926</v>
      </c>
      <c r="B1001" t="s">
        <v>66</v>
      </c>
      <c r="C1001">
        <v>4</v>
      </c>
      <c r="D1001">
        <v>9</v>
      </c>
      <c r="E1001">
        <v>269</v>
      </c>
      <c r="F1001">
        <v>0</v>
      </c>
      <c r="G1001">
        <v>0</v>
      </c>
      <c r="I1001">
        <v>0</v>
      </c>
      <c r="J1001">
        <v>0</v>
      </c>
      <c r="K1001">
        <v>0</v>
      </c>
      <c r="L1001">
        <v>0</v>
      </c>
      <c r="M1001" s="7">
        <v>0</v>
      </c>
      <c r="N1001" s="7">
        <v>31.2</v>
      </c>
    </row>
    <row r="1002" spans="1:14" ht="19.95" customHeight="1">
      <c r="A1002" s="6">
        <v>45927</v>
      </c>
      <c r="B1002" t="s">
        <v>67</v>
      </c>
      <c r="C1002">
        <v>5</v>
      </c>
      <c r="D1002">
        <v>9</v>
      </c>
      <c r="E1002">
        <v>270</v>
      </c>
      <c r="F1002">
        <v>1</v>
      </c>
      <c r="G1002">
        <v>0</v>
      </c>
      <c r="I1002">
        <v>0</v>
      </c>
      <c r="J1002">
        <v>0</v>
      </c>
      <c r="K1002">
        <v>0</v>
      </c>
      <c r="L1002">
        <v>0</v>
      </c>
      <c r="M1002" s="7">
        <v>0.6</v>
      </c>
      <c r="N1002" s="7">
        <v>29.6</v>
      </c>
    </row>
    <row r="1003" spans="1:14" ht="19.95" customHeight="1">
      <c r="A1003" s="6">
        <v>45928</v>
      </c>
      <c r="B1003" t="s">
        <v>60</v>
      </c>
      <c r="C1003">
        <v>6</v>
      </c>
      <c r="D1003">
        <v>9</v>
      </c>
      <c r="E1003">
        <v>271</v>
      </c>
      <c r="F1003">
        <v>1</v>
      </c>
      <c r="G1003">
        <v>0</v>
      </c>
      <c r="I1003">
        <v>0</v>
      </c>
      <c r="J1003">
        <v>0</v>
      </c>
      <c r="K1003">
        <v>0</v>
      </c>
      <c r="L1003">
        <v>0</v>
      </c>
      <c r="M1003" s="7">
        <v>0</v>
      </c>
      <c r="N1003" s="7">
        <v>29.1</v>
      </c>
    </row>
    <row r="1004" spans="1:14" ht="19.95" customHeight="1">
      <c r="A1004" s="6">
        <v>45929</v>
      </c>
      <c r="B1004" t="s">
        <v>62</v>
      </c>
      <c r="C1004">
        <v>0</v>
      </c>
      <c r="D1004">
        <v>9</v>
      </c>
      <c r="E1004">
        <v>272</v>
      </c>
      <c r="F1004">
        <v>0</v>
      </c>
      <c r="G1004">
        <v>0</v>
      </c>
      <c r="I1004">
        <v>0</v>
      </c>
      <c r="J1004">
        <v>0</v>
      </c>
      <c r="K1004">
        <v>0</v>
      </c>
      <c r="L1004">
        <v>0</v>
      </c>
      <c r="M1004" s="7">
        <v>0</v>
      </c>
      <c r="N1004" s="7">
        <v>30.9</v>
      </c>
    </row>
    <row r="1005" spans="1:14" ht="19.95" customHeight="1">
      <c r="A1005" s="6">
        <v>45930</v>
      </c>
      <c r="B1005" t="s">
        <v>63</v>
      </c>
      <c r="C1005">
        <v>1</v>
      </c>
      <c r="D1005">
        <v>9</v>
      </c>
      <c r="E1005">
        <v>273</v>
      </c>
      <c r="F1005">
        <v>0</v>
      </c>
      <c r="G1005">
        <v>0</v>
      </c>
      <c r="I1005">
        <v>0</v>
      </c>
      <c r="J1005">
        <v>0</v>
      </c>
      <c r="K1005">
        <v>0</v>
      </c>
      <c r="L1005">
        <v>0</v>
      </c>
      <c r="M1005" s="7">
        <v>2.5</v>
      </c>
      <c r="N1005" s="7">
        <v>29.1</v>
      </c>
    </row>
    <row r="1006" spans="1:14" ht="19.95" customHeight="1">
      <c r="A1006" s="6">
        <v>45931</v>
      </c>
      <c r="B1006" t="s">
        <v>64</v>
      </c>
      <c r="C1006">
        <v>2</v>
      </c>
      <c r="D1006">
        <v>10</v>
      </c>
      <c r="E1006">
        <v>274</v>
      </c>
      <c r="F1006">
        <v>0</v>
      </c>
      <c r="G1006">
        <v>0</v>
      </c>
      <c r="I1006">
        <v>0</v>
      </c>
      <c r="J1006">
        <v>0</v>
      </c>
      <c r="K1006">
        <v>0</v>
      </c>
      <c r="L1006">
        <v>0</v>
      </c>
      <c r="M1006" s="7">
        <v>0</v>
      </c>
      <c r="N1006" s="7">
        <v>28.6</v>
      </c>
    </row>
    <row r="1007" spans="1:14" ht="19.95" customHeight="1">
      <c r="A1007" s="6">
        <v>45932</v>
      </c>
      <c r="B1007" t="s">
        <v>65</v>
      </c>
      <c r="C1007">
        <v>3</v>
      </c>
      <c r="D1007">
        <v>10</v>
      </c>
      <c r="E1007">
        <v>275</v>
      </c>
      <c r="F1007">
        <v>0</v>
      </c>
      <c r="G1007">
        <v>0</v>
      </c>
      <c r="I1007">
        <v>0</v>
      </c>
      <c r="J1007">
        <v>0</v>
      </c>
      <c r="K1007">
        <v>0</v>
      </c>
      <c r="L1007">
        <v>0</v>
      </c>
      <c r="M1007" s="7">
        <v>0</v>
      </c>
      <c r="N1007" s="7">
        <v>28.6</v>
      </c>
    </row>
    <row r="1008" spans="1:14" ht="19.95" customHeight="1">
      <c r="A1008" s="6">
        <v>45933</v>
      </c>
      <c r="B1008" t="s">
        <v>66</v>
      </c>
      <c r="C1008">
        <v>4</v>
      </c>
      <c r="D1008">
        <v>10</v>
      </c>
      <c r="E1008">
        <v>276</v>
      </c>
      <c r="F1008">
        <v>0</v>
      </c>
      <c r="G1008">
        <v>0</v>
      </c>
      <c r="I1008">
        <v>0</v>
      </c>
      <c r="J1008">
        <v>0</v>
      </c>
      <c r="K1008">
        <v>0</v>
      </c>
      <c r="L1008">
        <v>0</v>
      </c>
      <c r="M1008" s="7">
        <v>1.6</v>
      </c>
      <c r="N1008" s="7">
        <v>30.2</v>
      </c>
    </row>
    <row r="1009" spans="1:14" ht="19.95" customHeight="1">
      <c r="A1009" s="6">
        <v>45934</v>
      </c>
      <c r="B1009" t="s">
        <v>67</v>
      </c>
      <c r="C1009">
        <v>5</v>
      </c>
      <c r="D1009">
        <v>10</v>
      </c>
      <c r="E1009">
        <v>277</v>
      </c>
      <c r="F1009">
        <v>1</v>
      </c>
      <c r="G1009">
        <v>0</v>
      </c>
      <c r="I1009">
        <v>0</v>
      </c>
      <c r="J1009">
        <v>0</v>
      </c>
      <c r="K1009">
        <v>0</v>
      </c>
      <c r="L1009">
        <v>0</v>
      </c>
      <c r="M1009" s="7">
        <v>3.3</v>
      </c>
      <c r="N1009" s="7">
        <v>28.3</v>
      </c>
    </row>
    <row r="1010" spans="1:14" ht="19.95" customHeight="1">
      <c r="A1010" s="6">
        <v>45935</v>
      </c>
      <c r="B1010" t="s">
        <v>60</v>
      </c>
      <c r="C1010">
        <v>6</v>
      </c>
      <c r="D1010">
        <v>10</v>
      </c>
      <c r="E1010">
        <v>278</v>
      </c>
      <c r="F1010">
        <v>1</v>
      </c>
      <c r="G1010">
        <v>0</v>
      </c>
      <c r="I1010">
        <v>0</v>
      </c>
      <c r="J1010">
        <v>0</v>
      </c>
      <c r="K1010">
        <v>0</v>
      </c>
      <c r="L1010">
        <v>0</v>
      </c>
      <c r="M1010" s="7">
        <v>0</v>
      </c>
      <c r="N1010" s="7">
        <v>30.3</v>
      </c>
    </row>
    <row r="1011" spans="1:14" ht="19.95" customHeight="1">
      <c r="A1011" s="6">
        <v>45936</v>
      </c>
      <c r="B1011" t="s">
        <v>62</v>
      </c>
      <c r="C1011">
        <v>0</v>
      </c>
      <c r="D1011">
        <v>10</v>
      </c>
      <c r="E1011">
        <v>279</v>
      </c>
      <c r="F1011">
        <v>0</v>
      </c>
      <c r="G1011">
        <v>0</v>
      </c>
      <c r="I1011">
        <v>0</v>
      </c>
      <c r="J1011">
        <v>0</v>
      </c>
      <c r="K1011">
        <v>0</v>
      </c>
      <c r="L1011">
        <v>0</v>
      </c>
      <c r="M1011" s="7">
        <v>4.4000000000000004</v>
      </c>
      <c r="N1011" s="7">
        <v>29.2</v>
      </c>
    </row>
    <row r="1012" spans="1:14" ht="19.95" customHeight="1">
      <c r="A1012" s="6">
        <v>45937</v>
      </c>
      <c r="B1012" t="s">
        <v>63</v>
      </c>
      <c r="C1012">
        <v>1</v>
      </c>
      <c r="D1012">
        <v>10</v>
      </c>
      <c r="E1012">
        <v>280</v>
      </c>
      <c r="F1012">
        <v>0</v>
      </c>
      <c r="G1012">
        <v>0</v>
      </c>
      <c r="I1012">
        <v>0</v>
      </c>
      <c r="J1012">
        <v>0</v>
      </c>
      <c r="K1012">
        <v>0</v>
      </c>
      <c r="L1012">
        <v>0</v>
      </c>
      <c r="M1012" s="7">
        <v>0</v>
      </c>
      <c r="N1012" s="7">
        <v>29.8</v>
      </c>
    </row>
    <row r="1013" spans="1:14" ht="19.95" customHeight="1">
      <c r="A1013" s="6">
        <v>45938</v>
      </c>
      <c r="B1013" t="s">
        <v>64</v>
      </c>
      <c r="C1013">
        <v>2</v>
      </c>
      <c r="D1013">
        <v>10</v>
      </c>
      <c r="E1013">
        <v>281</v>
      </c>
      <c r="F1013">
        <v>0</v>
      </c>
      <c r="G1013">
        <v>0</v>
      </c>
      <c r="I1013">
        <v>0</v>
      </c>
      <c r="J1013">
        <v>0</v>
      </c>
      <c r="K1013">
        <v>0</v>
      </c>
      <c r="L1013">
        <v>0</v>
      </c>
      <c r="M1013" s="7">
        <v>4.5</v>
      </c>
      <c r="N1013" s="7">
        <v>30.2</v>
      </c>
    </row>
    <row r="1014" spans="1:14" ht="19.95" customHeight="1">
      <c r="A1014" s="6">
        <v>45939</v>
      </c>
      <c r="B1014" t="s">
        <v>65</v>
      </c>
      <c r="C1014">
        <v>3</v>
      </c>
      <c r="D1014">
        <v>10</v>
      </c>
      <c r="E1014">
        <v>282</v>
      </c>
      <c r="F1014">
        <v>0</v>
      </c>
      <c r="G1014">
        <v>0</v>
      </c>
      <c r="I1014">
        <v>0</v>
      </c>
      <c r="J1014">
        <v>0</v>
      </c>
      <c r="K1014">
        <v>0</v>
      </c>
      <c r="L1014">
        <v>0</v>
      </c>
      <c r="M1014" s="7">
        <v>1.8</v>
      </c>
      <c r="N1014" s="7">
        <v>30.1</v>
      </c>
    </row>
    <row r="1015" spans="1:14" ht="19.95" customHeight="1">
      <c r="A1015" s="6">
        <v>45940</v>
      </c>
      <c r="B1015" t="s">
        <v>66</v>
      </c>
      <c r="C1015">
        <v>4</v>
      </c>
      <c r="D1015">
        <v>10</v>
      </c>
      <c r="E1015">
        <v>283</v>
      </c>
      <c r="F1015">
        <v>0</v>
      </c>
      <c r="G1015">
        <v>0</v>
      </c>
      <c r="I1015">
        <v>0</v>
      </c>
      <c r="J1015">
        <v>0</v>
      </c>
      <c r="K1015">
        <v>0</v>
      </c>
      <c r="L1015">
        <v>0</v>
      </c>
      <c r="M1015" s="7">
        <v>1.6</v>
      </c>
      <c r="N1015" s="7">
        <v>28.6</v>
      </c>
    </row>
    <row r="1016" spans="1:14" ht="19.95" customHeight="1">
      <c r="A1016" s="6">
        <v>45941</v>
      </c>
      <c r="B1016" t="s">
        <v>67</v>
      </c>
      <c r="C1016">
        <v>5</v>
      </c>
      <c r="D1016">
        <v>10</v>
      </c>
      <c r="E1016">
        <v>284</v>
      </c>
      <c r="F1016">
        <v>1</v>
      </c>
      <c r="G1016">
        <v>0</v>
      </c>
      <c r="I1016">
        <v>0</v>
      </c>
      <c r="J1016">
        <v>0</v>
      </c>
      <c r="K1016">
        <v>0</v>
      </c>
      <c r="L1016">
        <v>0</v>
      </c>
      <c r="M1016" s="7">
        <v>0</v>
      </c>
      <c r="N1016" s="7">
        <v>28.9</v>
      </c>
    </row>
    <row r="1017" spans="1:14" ht="19.95" customHeight="1">
      <c r="A1017" s="6">
        <v>45942</v>
      </c>
      <c r="B1017" t="s">
        <v>60</v>
      </c>
      <c r="C1017">
        <v>6</v>
      </c>
      <c r="D1017">
        <v>10</v>
      </c>
      <c r="E1017">
        <v>285</v>
      </c>
      <c r="F1017">
        <v>1</v>
      </c>
      <c r="G1017">
        <v>1</v>
      </c>
      <c r="H1017" t="s">
        <v>73</v>
      </c>
      <c r="I1017">
        <v>0</v>
      </c>
      <c r="J1017">
        <v>0</v>
      </c>
      <c r="K1017">
        <v>0</v>
      </c>
      <c r="L1017">
        <v>0</v>
      </c>
      <c r="M1017" s="7">
        <v>0.4</v>
      </c>
      <c r="N1017" s="7">
        <v>28.2</v>
      </c>
    </row>
    <row r="1018" spans="1:14" ht="19.95" customHeight="1">
      <c r="A1018" s="6">
        <v>45943</v>
      </c>
      <c r="B1018" t="s">
        <v>62</v>
      </c>
      <c r="C1018">
        <v>0</v>
      </c>
      <c r="D1018">
        <v>10</v>
      </c>
      <c r="E1018">
        <v>286</v>
      </c>
      <c r="F1018">
        <v>0</v>
      </c>
      <c r="G1018">
        <v>0</v>
      </c>
      <c r="I1018">
        <v>0</v>
      </c>
      <c r="J1018">
        <v>0</v>
      </c>
      <c r="K1018">
        <v>0</v>
      </c>
      <c r="L1018">
        <v>0</v>
      </c>
      <c r="M1018" s="7">
        <v>0</v>
      </c>
      <c r="N1018" s="7">
        <v>30</v>
      </c>
    </row>
    <row r="1019" spans="1:14" ht="19.95" customHeight="1">
      <c r="A1019" s="6">
        <v>45944</v>
      </c>
      <c r="B1019" t="s">
        <v>63</v>
      </c>
      <c r="C1019">
        <v>1</v>
      </c>
      <c r="D1019">
        <v>10</v>
      </c>
      <c r="E1019">
        <v>287</v>
      </c>
      <c r="F1019">
        <v>0</v>
      </c>
      <c r="G1019">
        <v>0</v>
      </c>
      <c r="I1019">
        <v>0</v>
      </c>
      <c r="J1019">
        <v>0</v>
      </c>
      <c r="K1019">
        <v>0</v>
      </c>
      <c r="L1019">
        <v>0</v>
      </c>
      <c r="M1019" s="7">
        <v>3.1</v>
      </c>
      <c r="N1019" s="7">
        <v>30.6</v>
      </c>
    </row>
    <row r="1020" spans="1:14" ht="19.95" customHeight="1">
      <c r="A1020" s="6">
        <v>45945</v>
      </c>
      <c r="B1020" t="s">
        <v>64</v>
      </c>
      <c r="C1020">
        <v>2</v>
      </c>
      <c r="D1020">
        <v>10</v>
      </c>
      <c r="E1020">
        <v>288</v>
      </c>
      <c r="F1020">
        <v>0</v>
      </c>
      <c r="G1020">
        <v>0</v>
      </c>
      <c r="I1020">
        <v>0</v>
      </c>
      <c r="J1020">
        <v>0</v>
      </c>
      <c r="K1020">
        <v>0</v>
      </c>
      <c r="L1020">
        <v>0</v>
      </c>
      <c r="M1020" s="7">
        <v>1.9</v>
      </c>
      <c r="N1020" s="7">
        <v>28.3</v>
      </c>
    </row>
    <row r="1021" spans="1:14" ht="19.95" customHeight="1">
      <c r="A1021" s="6">
        <v>45946</v>
      </c>
      <c r="B1021" t="s">
        <v>65</v>
      </c>
      <c r="C1021">
        <v>3</v>
      </c>
      <c r="D1021">
        <v>10</v>
      </c>
      <c r="E1021">
        <v>289</v>
      </c>
      <c r="F1021">
        <v>0</v>
      </c>
      <c r="G1021">
        <v>0</v>
      </c>
      <c r="I1021">
        <v>0</v>
      </c>
      <c r="J1021">
        <v>0</v>
      </c>
      <c r="K1021">
        <v>0</v>
      </c>
      <c r="L1021">
        <v>0</v>
      </c>
      <c r="M1021" s="7">
        <v>3.8</v>
      </c>
      <c r="N1021" s="7">
        <v>30.4</v>
      </c>
    </row>
    <row r="1022" spans="1:14" ht="19.95" customHeight="1">
      <c r="A1022" s="6">
        <v>45947</v>
      </c>
      <c r="B1022" t="s">
        <v>66</v>
      </c>
      <c r="C1022">
        <v>4</v>
      </c>
      <c r="D1022">
        <v>10</v>
      </c>
      <c r="E1022">
        <v>290</v>
      </c>
      <c r="F1022">
        <v>0</v>
      </c>
      <c r="G1022">
        <v>0</v>
      </c>
      <c r="I1022">
        <v>0</v>
      </c>
      <c r="J1022">
        <v>0</v>
      </c>
      <c r="K1022">
        <v>0</v>
      </c>
      <c r="L1022">
        <v>0</v>
      </c>
      <c r="M1022" s="7">
        <v>0.5</v>
      </c>
      <c r="N1022" s="7">
        <v>30.1</v>
      </c>
    </row>
    <row r="1023" spans="1:14" ht="19.95" customHeight="1">
      <c r="A1023" s="6">
        <v>45948</v>
      </c>
      <c r="B1023" t="s">
        <v>67</v>
      </c>
      <c r="C1023">
        <v>5</v>
      </c>
      <c r="D1023">
        <v>10</v>
      </c>
      <c r="E1023">
        <v>291</v>
      </c>
      <c r="F1023">
        <v>1</v>
      </c>
      <c r="G1023">
        <v>0</v>
      </c>
      <c r="I1023">
        <v>0</v>
      </c>
      <c r="J1023">
        <v>0</v>
      </c>
      <c r="K1023">
        <v>0</v>
      </c>
      <c r="L1023">
        <v>0</v>
      </c>
      <c r="M1023" s="7">
        <v>0.1</v>
      </c>
      <c r="N1023" s="7">
        <v>29.4</v>
      </c>
    </row>
    <row r="1024" spans="1:14" ht="19.95" customHeight="1">
      <c r="A1024" s="6">
        <v>45949</v>
      </c>
      <c r="B1024" t="s">
        <v>60</v>
      </c>
      <c r="C1024">
        <v>6</v>
      </c>
      <c r="D1024">
        <v>10</v>
      </c>
      <c r="E1024">
        <v>292</v>
      </c>
      <c r="F1024">
        <v>1</v>
      </c>
      <c r="G1024">
        <v>0</v>
      </c>
      <c r="I1024">
        <v>0</v>
      </c>
      <c r="J1024">
        <v>0</v>
      </c>
      <c r="K1024">
        <v>0</v>
      </c>
      <c r="L1024">
        <v>0</v>
      </c>
      <c r="M1024" s="7">
        <v>3.1</v>
      </c>
      <c r="N1024" s="7">
        <v>30.4</v>
      </c>
    </row>
    <row r="1025" spans="1:14" ht="19.95" customHeight="1">
      <c r="A1025" s="6">
        <v>45950</v>
      </c>
      <c r="B1025" t="s">
        <v>62</v>
      </c>
      <c r="C1025">
        <v>0</v>
      </c>
      <c r="D1025">
        <v>10</v>
      </c>
      <c r="E1025">
        <v>293</v>
      </c>
      <c r="F1025">
        <v>0</v>
      </c>
      <c r="G1025">
        <v>0</v>
      </c>
      <c r="I1025">
        <v>0</v>
      </c>
      <c r="J1025">
        <v>0</v>
      </c>
      <c r="K1025">
        <v>0</v>
      </c>
      <c r="L1025">
        <v>0</v>
      </c>
      <c r="M1025" s="7">
        <v>0</v>
      </c>
      <c r="N1025" s="7">
        <v>29.8</v>
      </c>
    </row>
    <row r="1026" spans="1:14" ht="19.95" customHeight="1">
      <c r="A1026" s="6">
        <v>45951</v>
      </c>
      <c r="B1026" t="s">
        <v>63</v>
      </c>
      <c r="C1026">
        <v>1</v>
      </c>
      <c r="D1026">
        <v>10</v>
      </c>
      <c r="E1026">
        <v>294</v>
      </c>
      <c r="F1026">
        <v>0</v>
      </c>
      <c r="G1026">
        <v>0</v>
      </c>
      <c r="I1026">
        <v>0</v>
      </c>
      <c r="J1026">
        <v>0</v>
      </c>
      <c r="K1026">
        <v>0</v>
      </c>
      <c r="L1026">
        <v>0</v>
      </c>
      <c r="M1026" s="7">
        <v>3.5</v>
      </c>
      <c r="N1026" s="7">
        <v>29.1</v>
      </c>
    </row>
    <row r="1027" spans="1:14" ht="19.95" customHeight="1">
      <c r="A1027" s="6">
        <v>45952</v>
      </c>
      <c r="B1027" t="s">
        <v>64</v>
      </c>
      <c r="C1027">
        <v>2</v>
      </c>
      <c r="D1027">
        <v>10</v>
      </c>
      <c r="E1027">
        <v>295</v>
      </c>
      <c r="F1027">
        <v>0</v>
      </c>
      <c r="G1027">
        <v>0</v>
      </c>
      <c r="I1027">
        <v>0</v>
      </c>
      <c r="J1027">
        <v>0</v>
      </c>
      <c r="K1027">
        <v>0</v>
      </c>
      <c r="L1027">
        <v>0</v>
      </c>
      <c r="M1027" s="7">
        <v>5.6</v>
      </c>
      <c r="N1027" s="7">
        <v>29.1</v>
      </c>
    </row>
    <row r="1028" spans="1:14" ht="19.95" customHeight="1">
      <c r="A1028" s="6">
        <v>45953</v>
      </c>
      <c r="B1028" t="s">
        <v>65</v>
      </c>
      <c r="C1028">
        <v>3</v>
      </c>
      <c r="D1028">
        <v>10</v>
      </c>
      <c r="E1028">
        <v>296</v>
      </c>
      <c r="F1028">
        <v>0</v>
      </c>
      <c r="G1028">
        <v>0</v>
      </c>
      <c r="I1028">
        <v>0</v>
      </c>
      <c r="J1028">
        <v>0</v>
      </c>
      <c r="K1028">
        <v>0</v>
      </c>
      <c r="L1028">
        <v>0</v>
      </c>
      <c r="M1028" s="7">
        <v>1.4</v>
      </c>
      <c r="N1028" s="7">
        <v>29.4</v>
      </c>
    </row>
    <row r="1029" spans="1:14" ht="19.95" customHeight="1">
      <c r="A1029" s="6">
        <v>45954</v>
      </c>
      <c r="B1029" t="s">
        <v>66</v>
      </c>
      <c r="C1029">
        <v>4</v>
      </c>
      <c r="D1029">
        <v>10</v>
      </c>
      <c r="E1029">
        <v>297</v>
      </c>
      <c r="F1029">
        <v>0</v>
      </c>
      <c r="G1029">
        <v>0</v>
      </c>
      <c r="I1029">
        <v>0</v>
      </c>
      <c r="J1029">
        <v>0</v>
      </c>
      <c r="K1029">
        <v>0</v>
      </c>
      <c r="L1029">
        <v>0</v>
      </c>
      <c r="M1029" s="7">
        <v>2</v>
      </c>
      <c r="N1029" s="7">
        <v>29.1</v>
      </c>
    </row>
    <row r="1030" spans="1:14" ht="19.95" customHeight="1">
      <c r="A1030" s="6">
        <v>45955</v>
      </c>
      <c r="B1030" t="s">
        <v>67</v>
      </c>
      <c r="C1030">
        <v>5</v>
      </c>
      <c r="D1030">
        <v>10</v>
      </c>
      <c r="E1030">
        <v>298</v>
      </c>
      <c r="F1030">
        <v>1</v>
      </c>
      <c r="G1030">
        <v>0</v>
      </c>
      <c r="I1030">
        <v>0</v>
      </c>
      <c r="J1030">
        <v>0</v>
      </c>
      <c r="K1030">
        <v>0</v>
      </c>
      <c r="L1030">
        <v>0</v>
      </c>
      <c r="M1030" s="7">
        <v>0.4</v>
      </c>
      <c r="N1030" s="7">
        <v>29.5</v>
      </c>
    </row>
    <row r="1031" spans="1:14" ht="19.95" customHeight="1">
      <c r="A1031" s="6">
        <v>45956</v>
      </c>
      <c r="B1031" t="s">
        <v>60</v>
      </c>
      <c r="C1031">
        <v>6</v>
      </c>
      <c r="D1031">
        <v>10</v>
      </c>
      <c r="E1031">
        <v>299</v>
      </c>
      <c r="F1031">
        <v>1</v>
      </c>
      <c r="G1031">
        <v>0</v>
      </c>
      <c r="I1031">
        <v>0</v>
      </c>
      <c r="J1031">
        <v>0</v>
      </c>
      <c r="K1031">
        <v>0</v>
      </c>
      <c r="L1031">
        <v>0</v>
      </c>
      <c r="M1031" s="7">
        <v>0</v>
      </c>
      <c r="N1031" s="7">
        <v>29.3</v>
      </c>
    </row>
    <row r="1032" spans="1:14" ht="19.95" customHeight="1">
      <c r="A1032" s="6">
        <v>45957</v>
      </c>
      <c r="B1032" t="s">
        <v>62</v>
      </c>
      <c r="C1032">
        <v>0</v>
      </c>
      <c r="D1032">
        <v>10</v>
      </c>
      <c r="E1032">
        <v>300</v>
      </c>
      <c r="F1032">
        <v>0</v>
      </c>
      <c r="G1032">
        <v>0</v>
      </c>
      <c r="I1032">
        <v>0</v>
      </c>
      <c r="J1032">
        <v>0</v>
      </c>
      <c r="K1032">
        <v>0</v>
      </c>
      <c r="L1032">
        <v>0</v>
      </c>
      <c r="M1032" s="7">
        <v>1.6</v>
      </c>
      <c r="N1032" s="7">
        <v>28.6</v>
      </c>
    </row>
    <row r="1033" spans="1:14" ht="19.95" customHeight="1">
      <c r="A1033" s="6">
        <v>45958</v>
      </c>
      <c r="B1033" t="s">
        <v>63</v>
      </c>
      <c r="C1033">
        <v>1</v>
      </c>
      <c r="D1033">
        <v>10</v>
      </c>
      <c r="E1033">
        <v>301</v>
      </c>
      <c r="F1033">
        <v>0</v>
      </c>
      <c r="G1033">
        <v>0</v>
      </c>
      <c r="I1033">
        <v>0</v>
      </c>
      <c r="J1033">
        <v>0</v>
      </c>
      <c r="K1033">
        <v>0</v>
      </c>
      <c r="L1033">
        <v>0</v>
      </c>
      <c r="M1033" s="7">
        <v>0</v>
      </c>
      <c r="N1033" s="7">
        <v>29.6</v>
      </c>
    </row>
    <row r="1034" spans="1:14" ht="19.95" customHeight="1">
      <c r="A1034" s="6">
        <v>45959</v>
      </c>
      <c r="B1034" t="s">
        <v>64</v>
      </c>
      <c r="C1034">
        <v>2</v>
      </c>
      <c r="D1034">
        <v>10</v>
      </c>
      <c r="E1034">
        <v>302</v>
      </c>
      <c r="F1034">
        <v>0</v>
      </c>
      <c r="G1034">
        <v>0</v>
      </c>
      <c r="I1034">
        <v>0</v>
      </c>
      <c r="J1034">
        <v>0</v>
      </c>
      <c r="K1034">
        <v>0</v>
      </c>
      <c r="L1034">
        <v>0</v>
      </c>
      <c r="M1034" s="7">
        <v>0.5</v>
      </c>
      <c r="N1034" s="7">
        <v>28.6</v>
      </c>
    </row>
    <row r="1035" spans="1:14" ht="19.95" customHeight="1">
      <c r="A1035" s="6">
        <v>45960</v>
      </c>
      <c r="B1035" t="s">
        <v>65</v>
      </c>
      <c r="C1035">
        <v>3</v>
      </c>
      <c r="D1035">
        <v>10</v>
      </c>
      <c r="E1035">
        <v>303</v>
      </c>
      <c r="F1035">
        <v>0</v>
      </c>
      <c r="G1035">
        <v>0</v>
      </c>
      <c r="I1035">
        <v>0</v>
      </c>
      <c r="J1035">
        <v>0</v>
      </c>
      <c r="K1035">
        <v>0</v>
      </c>
      <c r="L1035">
        <v>0</v>
      </c>
      <c r="M1035" s="7">
        <v>1.4</v>
      </c>
      <c r="N1035" s="7">
        <v>30.3</v>
      </c>
    </row>
    <row r="1036" spans="1:14" ht="19.95" customHeight="1">
      <c r="A1036" s="6">
        <v>45961</v>
      </c>
      <c r="B1036" t="s">
        <v>66</v>
      </c>
      <c r="C1036">
        <v>4</v>
      </c>
      <c r="D1036">
        <v>10</v>
      </c>
      <c r="E1036">
        <v>304</v>
      </c>
      <c r="F1036">
        <v>0</v>
      </c>
      <c r="G1036">
        <v>0</v>
      </c>
      <c r="I1036">
        <v>0</v>
      </c>
      <c r="J1036">
        <v>0</v>
      </c>
      <c r="K1036">
        <v>0</v>
      </c>
      <c r="L1036">
        <v>0</v>
      </c>
      <c r="M1036" s="7">
        <v>1.2</v>
      </c>
      <c r="N1036" s="7">
        <v>29.1</v>
      </c>
    </row>
    <row r="1037" spans="1:14" ht="19.95" customHeight="1">
      <c r="A1037" s="6">
        <v>45962</v>
      </c>
      <c r="B1037" t="s">
        <v>67</v>
      </c>
      <c r="C1037">
        <v>5</v>
      </c>
      <c r="D1037">
        <v>11</v>
      </c>
      <c r="E1037">
        <v>305</v>
      </c>
      <c r="F1037">
        <v>1</v>
      </c>
      <c r="G1037">
        <v>0</v>
      </c>
      <c r="I1037">
        <v>0</v>
      </c>
      <c r="J1037">
        <v>0</v>
      </c>
      <c r="K1037">
        <v>0</v>
      </c>
      <c r="L1037">
        <v>0</v>
      </c>
      <c r="M1037" s="7">
        <v>0.1</v>
      </c>
      <c r="N1037" s="7">
        <v>30.1</v>
      </c>
    </row>
    <row r="1038" spans="1:14" ht="19.95" customHeight="1">
      <c r="A1038" s="6">
        <v>45963</v>
      </c>
      <c r="B1038" t="s">
        <v>60</v>
      </c>
      <c r="C1038">
        <v>6</v>
      </c>
      <c r="D1038">
        <v>11</v>
      </c>
      <c r="E1038">
        <v>306</v>
      </c>
      <c r="F1038">
        <v>1</v>
      </c>
      <c r="G1038">
        <v>1</v>
      </c>
      <c r="H1038" t="s">
        <v>74</v>
      </c>
      <c r="I1038">
        <v>0</v>
      </c>
      <c r="J1038">
        <v>0</v>
      </c>
      <c r="K1038">
        <v>0</v>
      </c>
      <c r="L1038">
        <v>0</v>
      </c>
      <c r="M1038" s="7">
        <v>0</v>
      </c>
      <c r="N1038" s="7">
        <v>28.8</v>
      </c>
    </row>
    <row r="1039" spans="1:14" ht="19.95" customHeight="1">
      <c r="A1039" s="6">
        <v>45964</v>
      </c>
      <c r="B1039" t="s">
        <v>62</v>
      </c>
      <c r="C1039">
        <v>0</v>
      </c>
      <c r="D1039">
        <v>11</v>
      </c>
      <c r="E1039">
        <v>307</v>
      </c>
      <c r="F1039">
        <v>0</v>
      </c>
      <c r="G1039">
        <v>0</v>
      </c>
      <c r="I1039">
        <v>0</v>
      </c>
      <c r="J1039">
        <v>0</v>
      </c>
      <c r="K1039">
        <v>0</v>
      </c>
      <c r="L1039">
        <v>0</v>
      </c>
      <c r="M1039" s="7">
        <v>1.9</v>
      </c>
      <c r="N1039" s="7">
        <v>30.7</v>
      </c>
    </row>
    <row r="1040" spans="1:14" ht="19.95" customHeight="1">
      <c r="A1040" s="6">
        <v>45965</v>
      </c>
      <c r="B1040" t="s">
        <v>63</v>
      </c>
      <c r="C1040">
        <v>1</v>
      </c>
      <c r="D1040">
        <v>11</v>
      </c>
      <c r="E1040">
        <v>308</v>
      </c>
      <c r="F1040">
        <v>0</v>
      </c>
      <c r="G1040">
        <v>0</v>
      </c>
      <c r="I1040">
        <v>0</v>
      </c>
      <c r="J1040">
        <v>0</v>
      </c>
      <c r="K1040">
        <v>0</v>
      </c>
      <c r="L1040">
        <v>0</v>
      </c>
      <c r="M1040" s="7">
        <v>0.1</v>
      </c>
      <c r="N1040" s="7">
        <v>29.6</v>
      </c>
    </row>
    <row r="1041" spans="1:14" ht="19.95" customHeight="1">
      <c r="A1041" s="6">
        <v>45966</v>
      </c>
      <c r="B1041" t="s">
        <v>64</v>
      </c>
      <c r="C1041">
        <v>2</v>
      </c>
      <c r="D1041">
        <v>11</v>
      </c>
      <c r="E1041">
        <v>309</v>
      </c>
      <c r="F1041">
        <v>0</v>
      </c>
      <c r="G1041">
        <v>0</v>
      </c>
      <c r="I1041">
        <v>0</v>
      </c>
      <c r="J1041">
        <v>0</v>
      </c>
      <c r="K1041">
        <v>0</v>
      </c>
      <c r="L1041">
        <v>0</v>
      </c>
      <c r="M1041" s="7">
        <v>0</v>
      </c>
      <c r="N1041" s="7">
        <v>29.3</v>
      </c>
    </row>
    <row r="1042" spans="1:14" ht="19.95" customHeight="1">
      <c r="A1042" s="6">
        <v>45967</v>
      </c>
      <c r="B1042" t="s">
        <v>65</v>
      </c>
      <c r="C1042">
        <v>3</v>
      </c>
      <c r="D1042">
        <v>11</v>
      </c>
      <c r="E1042">
        <v>310</v>
      </c>
      <c r="F1042">
        <v>0</v>
      </c>
      <c r="G1042">
        <v>0</v>
      </c>
      <c r="I1042">
        <v>0</v>
      </c>
      <c r="J1042">
        <v>0</v>
      </c>
      <c r="K1042">
        <v>0</v>
      </c>
      <c r="L1042">
        <v>0</v>
      </c>
      <c r="M1042" s="7">
        <v>0</v>
      </c>
      <c r="N1042" s="7">
        <v>29.6</v>
      </c>
    </row>
    <row r="1043" spans="1:14" ht="19.95" customHeight="1">
      <c r="A1043" s="6">
        <v>45968</v>
      </c>
      <c r="B1043" t="s">
        <v>66</v>
      </c>
      <c r="C1043">
        <v>4</v>
      </c>
      <c r="D1043">
        <v>11</v>
      </c>
      <c r="E1043">
        <v>311</v>
      </c>
      <c r="F1043">
        <v>0</v>
      </c>
      <c r="G1043">
        <v>0</v>
      </c>
      <c r="I1043">
        <v>0</v>
      </c>
      <c r="J1043">
        <v>0</v>
      </c>
      <c r="K1043">
        <v>0</v>
      </c>
      <c r="L1043">
        <v>0</v>
      </c>
      <c r="M1043" s="7">
        <v>7.1</v>
      </c>
      <c r="N1043" s="7">
        <v>29.4</v>
      </c>
    </row>
    <row r="1044" spans="1:14" ht="19.95" customHeight="1">
      <c r="A1044" s="6">
        <v>45969</v>
      </c>
      <c r="B1044" t="s">
        <v>67</v>
      </c>
      <c r="C1044">
        <v>5</v>
      </c>
      <c r="D1044">
        <v>11</v>
      </c>
      <c r="E1044">
        <v>312</v>
      </c>
      <c r="F1044">
        <v>1</v>
      </c>
      <c r="G1044">
        <v>0</v>
      </c>
      <c r="I1044">
        <v>0</v>
      </c>
      <c r="J1044">
        <v>0</v>
      </c>
      <c r="K1044">
        <v>0</v>
      </c>
      <c r="L1044">
        <v>0</v>
      </c>
      <c r="M1044" s="7">
        <v>0</v>
      </c>
      <c r="N1044" s="7">
        <v>29.1</v>
      </c>
    </row>
    <row r="1045" spans="1:14" ht="19.95" customHeight="1">
      <c r="A1045" s="6">
        <v>45970</v>
      </c>
      <c r="B1045" t="s">
        <v>60</v>
      </c>
      <c r="C1045">
        <v>6</v>
      </c>
      <c r="D1045">
        <v>11</v>
      </c>
      <c r="E1045">
        <v>313</v>
      </c>
      <c r="F1045">
        <v>1</v>
      </c>
      <c r="G1045">
        <v>0</v>
      </c>
      <c r="I1045">
        <v>0</v>
      </c>
      <c r="J1045">
        <v>0</v>
      </c>
      <c r="K1045">
        <v>0</v>
      </c>
      <c r="L1045">
        <v>0</v>
      </c>
      <c r="M1045" s="7">
        <v>0.7</v>
      </c>
      <c r="N1045" s="7">
        <v>29.7</v>
      </c>
    </row>
    <row r="1046" spans="1:14" ht="19.95" customHeight="1">
      <c r="A1046" s="6">
        <v>45971</v>
      </c>
      <c r="B1046" t="s">
        <v>62</v>
      </c>
      <c r="C1046">
        <v>0</v>
      </c>
      <c r="D1046">
        <v>11</v>
      </c>
      <c r="E1046">
        <v>314</v>
      </c>
      <c r="F1046">
        <v>0</v>
      </c>
      <c r="G1046">
        <v>0</v>
      </c>
      <c r="I1046">
        <v>0</v>
      </c>
      <c r="J1046">
        <v>0</v>
      </c>
      <c r="K1046">
        <v>0</v>
      </c>
      <c r="L1046">
        <v>0</v>
      </c>
      <c r="M1046" s="7">
        <v>4.0999999999999996</v>
      </c>
      <c r="N1046" s="7">
        <v>28.1</v>
      </c>
    </row>
    <row r="1047" spans="1:14" ht="19.95" customHeight="1">
      <c r="A1047" s="6">
        <v>45972</v>
      </c>
      <c r="B1047" t="s">
        <v>63</v>
      </c>
      <c r="C1047">
        <v>1</v>
      </c>
      <c r="D1047">
        <v>11</v>
      </c>
      <c r="E1047">
        <v>315</v>
      </c>
      <c r="F1047">
        <v>0</v>
      </c>
      <c r="G1047">
        <v>0</v>
      </c>
      <c r="I1047">
        <v>0</v>
      </c>
      <c r="J1047">
        <v>0</v>
      </c>
      <c r="K1047">
        <v>0</v>
      </c>
      <c r="L1047">
        <v>0</v>
      </c>
      <c r="M1047" s="7">
        <v>1.6</v>
      </c>
      <c r="N1047" s="7">
        <v>30.7</v>
      </c>
    </row>
    <row r="1048" spans="1:14" ht="19.95" customHeight="1">
      <c r="A1048" s="6">
        <v>45973</v>
      </c>
      <c r="B1048" t="s">
        <v>64</v>
      </c>
      <c r="C1048">
        <v>2</v>
      </c>
      <c r="D1048">
        <v>11</v>
      </c>
      <c r="E1048">
        <v>316</v>
      </c>
      <c r="F1048">
        <v>0</v>
      </c>
      <c r="G1048">
        <v>0</v>
      </c>
      <c r="I1048">
        <v>0</v>
      </c>
      <c r="J1048">
        <v>0</v>
      </c>
      <c r="K1048">
        <v>0</v>
      </c>
      <c r="L1048">
        <v>0</v>
      </c>
      <c r="M1048" s="7">
        <v>0.1</v>
      </c>
      <c r="N1048" s="7">
        <v>29.2</v>
      </c>
    </row>
    <row r="1049" spans="1:14" ht="19.95" customHeight="1">
      <c r="A1049" s="6">
        <v>45974</v>
      </c>
      <c r="B1049" t="s">
        <v>65</v>
      </c>
      <c r="C1049">
        <v>3</v>
      </c>
      <c r="D1049">
        <v>11</v>
      </c>
      <c r="E1049">
        <v>317</v>
      </c>
      <c r="F1049">
        <v>0</v>
      </c>
      <c r="G1049">
        <v>0</v>
      </c>
      <c r="I1049">
        <v>0</v>
      </c>
      <c r="J1049">
        <v>0</v>
      </c>
      <c r="K1049">
        <v>0</v>
      </c>
      <c r="L1049">
        <v>0</v>
      </c>
      <c r="M1049" s="7">
        <v>1.9</v>
      </c>
      <c r="N1049" s="7">
        <v>30.6</v>
      </c>
    </row>
    <row r="1050" spans="1:14" ht="19.95" customHeight="1">
      <c r="A1050" s="6">
        <v>45975</v>
      </c>
      <c r="B1050" t="s">
        <v>66</v>
      </c>
      <c r="C1050">
        <v>4</v>
      </c>
      <c r="D1050">
        <v>11</v>
      </c>
      <c r="E1050">
        <v>318</v>
      </c>
      <c r="F1050">
        <v>0</v>
      </c>
      <c r="G1050">
        <v>0</v>
      </c>
      <c r="I1050">
        <v>0</v>
      </c>
      <c r="J1050">
        <v>0</v>
      </c>
      <c r="K1050">
        <v>0</v>
      </c>
      <c r="L1050">
        <v>0</v>
      </c>
      <c r="M1050" s="7">
        <v>0.1</v>
      </c>
      <c r="N1050" s="7">
        <v>29</v>
      </c>
    </row>
    <row r="1051" spans="1:14" ht="19.95" customHeight="1">
      <c r="A1051" s="6">
        <v>45976</v>
      </c>
      <c r="B1051" t="s">
        <v>67</v>
      </c>
      <c r="C1051">
        <v>5</v>
      </c>
      <c r="D1051">
        <v>11</v>
      </c>
      <c r="E1051">
        <v>319</v>
      </c>
      <c r="F1051">
        <v>1</v>
      </c>
      <c r="G1051">
        <v>1</v>
      </c>
      <c r="H1051" t="s">
        <v>75</v>
      </c>
      <c r="I1051">
        <v>0</v>
      </c>
      <c r="J1051">
        <v>0</v>
      </c>
      <c r="K1051">
        <v>0</v>
      </c>
      <c r="L1051">
        <v>0</v>
      </c>
      <c r="M1051" s="7">
        <v>0.4</v>
      </c>
      <c r="N1051" s="7">
        <v>29.6</v>
      </c>
    </row>
    <row r="1052" spans="1:14" ht="19.95" customHeight="1">
      <c r="A1052" s="6">
        <v>45977</v>
      </c>
      <c r="B1052" t="s">
        <v>60</v>
      </c>
      <c r="C1052">
        <v>6</v>
      </c>
      <c r="D1052">
        <v>11</v>
      </c>
      <c r="E1052">
        <v>320</v>
      </c>
      <c r="F1052">
        <v>1</v>
      </c>
      <c r="G1052">
        <v>0</v>
      </c>
      <c r="I1052">
        <v>0</v>
      </c>
      <c r="J1052">
        <v>0</v>
      </c>
      <c r="K1052">
        <v>0</v>
      </c>
      <c r="L1052">
        <v>0</v>
      </c>
      <c r="M1052" s="7">
        <v>0</v>
      </c>
      <c r="N1052" s="7">
        <v>29.3</v>
      </c>
    </row>
    <row r="1053" spans="1:14" ht="19.95" customHeight="1">
      <c r="A1053" s="6">
        <v>45978</v>
      </c>
      <c r="B1053" t="s">
        <v>62</v>
      </c>
      <c r="C1053">
        <v>0</v>
      </c>
      <c r="D1053">
        <v>11</v>
      </c>
      <c r="E1053">
        <v>321</v>
      </c>
      <c r="F1053">
        <v>0</v>
      </c>
      <c r="G1053">
        <v>0</v>
      </c>
      <c r="I1053">
        <v>0</v>
      </c>
      <c r="J1053">
        <v>0</v>
      </c>
      <c r="K1053">
        <v>0</v>
      </c>
      <c r="L1053">
        <v>0</v>
      </c>
      <c r="M1053" s="7">
        <v>2.2000000000000002</v>
      </c>
      <c r="N1053" s="7">
        <v>28.9</v>
      </c>
    </row>
    <row r="1054" spans="1:14" ht="19.95" customHeight="1">
      <c r="A1054" s="6">
        <v>45979</v>
      </c>
      <c r="B1054" t="s">
        <v>63</v>
      </c>
      <c r="C1054">
        <v>1</v>
      </c>
      <c r="D1054">
        <v>11</v>
      </c>
      <c r="E1054">
        <v>322</v>
      </c>
      <c r="F1054">
        <v>0</v>
      </c>
      <c r="G1054">
        <v>0</v>
      </c>
      <c r="I1054">
        <v>0</v>
      </c>
      <c r="J1054">
        <v>0</v>
      </c>
      <c r="K1054">
        <v>0</v>
      </c>
      <c r="L1054">
        <v>0</v>
      </c>
      <c r="M1054" s="7">
        <v>0</v>
      </c>
      <c r="N1054" s="7">
        <v>30.8</v>
      </c>
    </row>
    <row r="1055" spans="1:14" ht="19.95" customHeight="1">
      <c r="A1055" s="6">
        <v>45980</v>
      </c>
      <c r="B1055" t="s">
        <v>64</v>
      </c>
      <c r="C1055">
        <v>2</v>
      </c>
      <c r="D1055">
        <v>11</v>
      </c>
      <c r="E1055">
        <v>323</v>
      </c>
      <c r="F1055">
        <v>0</v>
      </c>
      <c r="G1055">
        <v>0</v>
      </c>
      <c r="I1055">
        <v>0</v>
      </c>
      <c r="J1055">
        <v>0</v>
      </c>
      <c r="K1055">
        <v>0</v>
      </c>
      <c r="L1055">
        <v>0</v>
      </c>
      <c r="M1055" s="7">
        <v>1.5</v>
      </c>
      <c r="N1055" s="7">
        <v>28.6</v>
      </c>
    </row>
    <row r="1056" spans="1:14" ht="19.95" customHeight="1">
      <c r="A1056" s="6">
        <v>45981</v>
      </c>
      <c r="B1056" t="s">
        <v>65</v>
      </c>
      <c r="C1056">
        <v>3</v>
      </c>
      <c r="D1056">
        <v>11</v>
      </c>
      <c r="E1056">
        <v>324</v>
      </c>
      <c r="F1056">
        <v>0</v>
      </c>
      <c r="G1056">
        <v>0</v>
      </c>
      <c r="I1056">
        <v>0</v>
      </c>
      <c r="J1056">
        <v>0</v>
      </c>
      <c r="K1056">
        <v>0</v>
      </c>
      <c r="L1056">
        <v>0</v>
      </c>
      <c r="M1056" s="7">
        <v>3.4</v>
      </c>
      <c r="N1056" s="7">
        <v>30.3</v>
      </c>
    </row>
    <row r="1057" spans="1:14" ht="19.95" customHeight="1">
      <c r="A1057" s="6">
        <v>45982</v>
      </c>
      <c r="B1057" t="s">
        <v>66</v>
      </c>
      <c r="C1057">
        <v>4</v>
      </c>
      <c r="D1057">
        <v>11</v>
      </c>
      <c r="E1057">
        <v>325</v>
      </c>
      <c r="F1057">
        <v>0</v>
      </c>
      <c r="G1057">
        <v>0</v>
      </c>
      <c r="I1057">
        <v>0</v>
      </c>
      <c r="J1057">
        <v>0</v>
      </c>
      <c r="K1057">
        <v>0</v>
      </c>
      <c r="L1057">
        <v>0</v>
      </c>
      <c r="M1057" s="7">
        <v>0</v>
      </c>
      <c r="N1057" s="7">
        <v>29.3</v>
      </c>
    </row>
    <row r="1058" spans="1:14" ht="19.95" customHeight="1">
      <c r="A1058" s="6">
        <v>45983</v>
      </c>
      <c r="B1058" t="s">
        <v>67</v>
      </c>
      <c r="C1058">
        <v>5</v>
      </c>
      <c r="D1058">
        <v>11</v>
      </c>
      <c r="E1058">
        <v>326</v>
      </c>
      <c r="F1058">
        <v>1</v>
      </c>
      <c r="G1058">
        <v>0</v>
      </c>
      <c r="I1058">
        <v>0</v>
      </c>
      <c r="J1058">
        <v>0</v>
      </c>
      <c r="K1058">
        <v>0</v>
      </c>
      <c r="L1058">
        <v>0</v>
      </c>
      <c r="M1058" s="7">
        <v>2.2999999999999998</v>
      </c>
      <c r="N1058" s="7">
        <v>29.6</v>
      </c>
    </row>
    <row r="1059" spans="1:14" ht="19.95" customHeight="1">
      <c r="A1059" s="6">
        <v>45984</v>
      </c>
      <c r="B1059" t="s">
        <v>60</v>
      </c>
      <c r="C1059">
        <v>6</v>
      </c>
      <c r="D1059">
        <v>11</v>
      </c>
      <c r="E1059">
        <v>327</v>
      </c>
      <c r="F1059">
        <v>1</v>
      </c>
      <c r="G1059">
        <v>0</v>
      </c>
      <c r="I1059">
        <v>0</v>
      </c>
      <c r="J1059">
        <v>0</v>
      </c>
      <c r="K1059">
        <v>0</v>
      </c>
      <c r="L1059">
        <v>0</v>
      </c>
      <c r="M1059" s="7">
        <v>1.2</v>
      </c>
      <c r="N1059" s="7">
        <v>29.2</v>
      </c>
    </row>
    <row r="1060" spans="1:14" ht="19.95" customHeight="1">
      <c r="A1060" s="6">
        <v>45985</v>
      </c>
      <c r="B1060" t="s">
        <v>62</v>
      </c>
      <c r="C1060">
        <v>0</v>
      </c>
      <c r="D1060">
        <v>11</v>
      </c>
      <c r="E1060">
        <v>328</v>
      </c>
      <c r="F1060">
        <v>0</v>
      </c>
      <c r="G1060">
        <v>0</v>
      </c>
      <c r="I1060">
        <v>0</v>
      </c>
      <c r="J1060">
        <v>0</v>
      </c>
      <c r="K1060">
        <v>0</v>
      </c>
      <c r="L1060">
        <v>0</v>
      </c>
      <c r="M1060" s="7">
        <v>0</v>
      </c>
      <c r="N1060" s="7">
        <v>28.7</v>
      </c>
    </row>
    <row r="1061" spans="1:14" ht="19.95" customHeight="1">
      <c r="A1061" s="6">
        <v>45986</v>
      </c>
      <c r="B1061" t="s">
        <v>63</v>
      </c>
      <c r="C1061">
        <v>1</v>
      </c>
      <c r="D1061">
        <v>11</v>
      </c>
      <c r="E1061">
        <v>329</v>
      </c>
      <c r="F1061">
        <v>0</v>
      </c>
      <c r="G1061">
        <v>0</v>
      </c>
      <c r="I1061">
        <v>0</v>
      </c>
      <c r="J1061">
        <v>0</v>
      </c>
      <c r="K1061">
        <v>0</v>
      </c>
      <c r="L1061">
        <v>0</v>
      </c>
      <c r="M1061" s="7">
        <v>0</v>
      </c>
      <c r="N1061" s="7">
        <v>30.4</v>
      </c>
    </row>
    <row r="1062" spans="1:14" ht="19.95" customHeight="1">
      <c r="A1062" s="6">
        <v>45987</v>
      </c>
      <c r="B1062" t="s">
        <v>64</v>
      </c>
      <c r="C1062">
        <v>2</v>
      </c>
      <c r="D1062">
        <v>11</v>
      </c>
      <c r="E1062">
        <v>330</v>
      </c>
      <c r="F1062">
        <v>0</v>
      </c>
      <c r="G1062">
        <v>0</v>
      </c>
      <c r="I1062">
        <v>0</v>
      </c>
      <c r="J1062">
        <v>0</v>
      </c>
      <c r="K1062">
        <v>0</v>
      </c>
      <c r="L1062">
        <v>0</v>
      </c>
      <c r="M1062" s="7">
        <v>0</v>
      </c>
      <c r="N1062" s="7">
        <v>29.7</v>
      </c>
    </row>
    <row r="1063" spans="1:14" ht="19.95" customHeight="1">
      <c r="A1063" s="6">
        <v>45988</v>
      </c>
      <c r="B1063" t="s">
        <v>65</v>
      </c>
      <c r="C1063">
        <v>3</v>
      </c>
      <c r="D1063">
        <v>11</v>
      </c>
      <c r="E1063">
        <v>331</v>
      </c>
      <c r="F1063">
        <v>0</v>
      </c>
      <c r="G1063">
        <v>0</v>
      </c>
      <c r="I1063">
        <v>0</v>
      </c>
      <c r="J1063">
        <v>0</v>
      </c>
      <c r="K1063">
        <v>0</v>
      </c>
      <c r="L1063">
        <v>0</v>
      </c>
      <c r="M1063" s="7">
        <v>0</v>
      </c>
      <c r="N1063" s="7">
        <v>28.4</v>
      </c>
    </row>
    <row r="1064" spans="1:14" ht="19.95" customHeight="1">
      <c r="A1064" s="6">
        <v>45989</v>
      </c>
      <c r="B1064" t="s">
        <v>66</v>
      </c>
      <c r="C1064">
        <v>4</v>
      </c>
      <c r="D1064">
        <v>11</v>
      </c>
      <c r="E1064">
        <v>332</v>
      </c>
      <c r="F1064">
        <v>0</v>
      </c>
      <c r="G1064">
        <v>0</v>
      </c>
      <c r="I1064">
        <v>0</v>
      </c>
      <c r="J1064">
        <v>0</v>
      </c>
      <c r="K1064">
        <v>0</v>
      </c>
      <c r="L1064">
        <v>0</v>
      </c>
      <c r="M1064" s="7">
        <v>0.4</v>
      </c>
      <c r="N1064" s="7">
        <v>30.2</v>
      </c>
    </row>
    <row r="1065" spans="1:14" ht="19.95" customHeight="1">
      <c r="A1065" s="6">
        <v>45990</v>
      </c>
      <c r="B1065" t="s">
        <v>67</v>
      </c>
      <c r="C1065">
        <v>5</v>
      </c>
      <c r="D1065">
        <v>11</v>
      </c>
      <c r="E1065">
        <v>333</v>
      </c>
      <c r="F1065">
        <v>1</v>
      </c>
      <c r="G1065">
        <v>0</v>
      </c>
      <c r="I1065">
        <v>0</v>
      </c>
      <c r="J1065">
        <v>0</v>
      </c>
      <c r="K1065">
        <v>0</v>
      </c>
      <c r="L1065">
        <v>0</v>
      </c>
      <c r="M1065" s="7">
        <v>0</v>
      </c>
      <c r="N1065" s="7">
        <v>29.2</v>
      </c>
    </row>
    <row r="1066" spans="1:14" ht="19.95" customHeight="1">
      <c r="A1066" s="6">
        <v>45991</v>
      </c>
      <c r="B1066" t="s">
        <v>60</v>
      </c>
      <c r="C1066">
        <v>6</v>
      </c>
      <c r="D1066">
        <v>11</v>
      </c>
      <c r="E1066">
        <v>334</v>
      </c>
      <c r="F1066">
        <v>1</v>
      </c>
      <c r="G1066">
        <v>0</v>
      </c>
      <c r="I1066">
        <v>0</v>
      </c>
      <c r="J1066">
        <v>0</v>
      </c>
      <c r="K1066">
        <v>0</v>
      </c>
      <c r="L1066">
        <v>0</v>
      </c>
      <c r="M1066" s="7">
        <v>3.2</v>
      </c>
      <c r="N1066" s="7">
        <v>30</v>
      </c>
    </row>
    <row r="1067" spans="1:14" ht="19.95" customHeight="1">
      <c r="A1067" s="6">
        <v>45992</v>
      </c>
      <c r="B1067" t="s">
        <v>62</v>
      </c>
      <c r="C1067">
        <v>0</v>
      </c>
      <c r="D1067">
        <v>12</v>
      </c>
      <c r="E1067">
        <v>335</v>
      </c>
      <c r="F1067">
        <v>0</v>
      </c>
      <c r="G1067">
        <v>0</v>
      </c>
      <c r="I1067">
        <v>0</v>
      </c>
      <c r="J1067">
        <v>0</v>
      </c>
      <c r="K1067">
        <v>0</v>
      </c>
      <c r="L1067">
        <v>0</v>
      </c>
      <c r="M1067" s="7">
        <v>1</v>
      </c>
      <c r="N1067" s="7">
        <v>30</v>
      </c>
    </row>
    <row r="1068" spans="1:14" ht="19.95" customHeight="1">
      <c r="A1068" s="6">
        <v>45993</v>
      </c>
      <c r="B1068" t="s">
        <v>63</v>
      </c>
      <c r="C1068">
        <v>1</v>
      </c>
      <c r="D1068">
        <v>12</v>
      </c>
      <c r="E1068">
        <v>336</v>
      </c>
      <c r="F1068">
        <v>0</v>
      </c>
      <c r="G1068">
        <v>0</v>
      </c>
      <c r="I1068">
        <v>0</v>
      </c>
      <c r="J1068">
        <v>0</v>
      </c>
      <c r="K1068">
        <v>0</v>
      </c>
      <c r="L1068">
        <v>0</v>
      </c>
      <c r="M1068" s="7">
        <v>2.7</v>
      </c>
      <c r="N1068" s="7">
        <v>29.6</v>
      </c>
    </row>
    <row r="1069" spans="1:14" ht="19.95" customHeight="1">
      <c r="A1069" s="6">
        <v>45994</v>
      </c>
      <c r="B1069" t="s">
        <v>64</v>
      </c>
      <c r="C1069">
        <v>2</v>
      </c>
      <c r="D1069">
        <v>12</v>
      </c>
      <c r="E1069">
        <v>337</v>
      </c>
      <c r="F1069">
        <v>0</v>
      </c>
      <c r="G1069">
        <v>0</v>
      </c>
      <c r="I1069">
        <v>0</v>
      </c>
      <c r="J1069">
        <v>0</v>
      </c>
      <c r="K1069">
        <v>0</v>
      </c>
      <c r="L1069">
        <v>0</v>
      </c>
      <c r="M1069" s="7">
        <v>2.6</v>
      </c>
      <c r="N1069" s="7">
        <v>29.8</v>
      </c>
    </row>
    <row r="1070" spans="1:14" ht="19.95" customHeight="1">
      <c r="A1070" s="6">
        <v>45995</v>
      </c>
      <c r="B1070" t="s">
        <v>65</v>
      </c>
      <c r="C1070">
        <v>3</v>
      </c>
      <c r="D1070">
        <v>12</v>
      </c>
      <c r="E1070">
        <v>338</v>
      </c>
      <c r="F1070">
        <v>0</v>
      </c>
      <c r="G1070">
        <v>0</v>
      </c>
      <c r="I1070">
        <v>0</v>
      </c>
      <c r="J1070">
        <v>0</v>
      </c>
      <c r="K1070">
        <v>0</v>
      </c>
      <c r="L1070">
        <v>0</v>
      </c>
      <c r="M1070" s="7">
        <v>6</v>
      </c>
      <c r="N1070" s="7">
        <v>28.9</v>
      </c>
    </row>
    <row r="1071" spans="1:14" ht="19.95" customHeight="1">
      <c r="A1071" s="6">
        <v>45996</v>
      </c>
      <c r="B1071" t="s">
        <v>66</v>
      </c>
      <c r="C1071">
        <v>4</v>
      </c>
      <c r="D1071">
        <v>12</v>
      </c>
      <c r="E1071">
        <v>339</v>
      </c>
      <c r="F1071">
        <v>0</v>
      </c>
      <c r="G1071">
        <v>0</v>
      </c>
      <c r="I1071">
        <v>0</v>
      </c>
      <c r="J1071">
        <v>0</v>
      </c>
      <c r="K1071">
        <v>0</v>
      </c>
      <c r="L1071">
        <v>0</v>
      </c>
      <c r="M1071" s="7">
        <v>3.2</v>
      </c>
      <c r="N1071" s="7">
        <v>28.7</v>
      </c>
    </row>
    <row r="1072" spans="1:14" ht="19.95" customHeight="1">
      <c r="A1072" s="6">
        <v>45997</v>
      </c>
      <c r="B1072" t="s">
        <v>67</v>
      </c>
      <c r="C1072">
        <v>5</v>
      </c>
      <c r="D1072">
        <v>12</v>
      </c>
      <c r="E1072">
        <v>340</v>
      </c>
      <c r="F1072">
        <v>1</v>
      </c>
      <c r="G1072">
        <v>0</v>
      </c>
      <c r="I1072">
        <v>0</v>
      </c>
      <c r="J1072">
        <v>0</v>
      </c>
      <c r="K1072">
        <v>0</v>
      </c>
      <c r="L1072">
        <v>0</v>
      </c>
      <c r="M1072" s="7">
        <v>1.8</v>
      </c>
      <c r="N1072" s="7">
        <v>29</v>
      </c>
    </row>
    <row r="1073" spans="1:14" ht="19.95" customHeight="1">
      <c r="A1073" s="6">
        <v>45998</v>
      </c>
      <c r="B1073" t="s">
        <v>60</v>
      </c>
      <c r="C1073">
        <v>6</v>
      </c>
      <c r="D1073">
        <v>12</v>
      </c>
      <c r="E1073">
        <v>341</v>
      </c>
      <c r="F1073">
        <v>1</v>
      </c>
      <c r="G1073">
        <v>0</v>
      </c>
      <c r="I1073">
        <v>0</v>
      </c>
      <c r="J1073">
        <v>0</v>
      </c>
      <c r="K1073">
        <v>0</v>
      </c>
      <c r="L1073">
        <v>0</v>
      </c>
      <c r="M1073" s="7">
        <v>0.8</v>
      </c>
      <c r="N1073" s="7">
        <v>28.8</v>
      </c>
    </row>
    <row r="1074" spans="1:14" ht="19.95" customHeight="1">
      <c r="A1074" s="6">
        <v>45999</v>
      </c>
      <c r="B1074" t="s">
        <v>62</v>
      </c>
      <c r="C1074">
        <v>0</v>
      </c>
      <c r="D1074">
        <v>12</v>
      </c>
      <c r="E1074">
        <v>342</v>
      </c>
      <c r="F1074">
        <v>0</v>
      </c>
      <c r="G1074">
        <v>0</v>
      </c>
      <c r="I1074">
        <v>0</v>
      </c>
      <c r="J1074">
        <v>0</v>
      </c>
      <c r="K1074">
        <v>0</v>
      </c>
      <c r="L1074">
        <v>0</v>
      </c>
      <c r="M1074" s="7">
        <v>2.6</v>
      </c>
      <c r="N1074" s="7">
        <v>29.7</v>
      </c>
    </row>
    <row r="1075" spans="1:14" ht="19.95" customHeight="1">
      <c r="A1075" s="6">
        <v>46000</v>
      </c>
      <c r="B1075" t="s">
        <v>63</v>
      </c>
      <c r="C1075">
        <v>1</v>
      </c>
      <c r="D1075">
        <v>12</v>
      </c>
      <c r="E1075">
        <v>343</v>
      </c>
      <c r="F1075">
        <v>0</v>
      </c>
      <c r="G1075">
        <v>0</v>
      </c>
      <c r="I1075">
        <v>0</v>
      </c>
      <c r="J1075">
        <v>0</v>
      </c>
      <c r="K1075">
        <v>0</v>
      </c>
      <c r="L1075">
        <v>0</v>
      </c>
      <c r="M1075" s="7">
        <v>0.1</v>
      </c>
      <c r="N1075" s="7">
        <v>28.7</v>
      </c>
    </row>
    <row r="1076" spans="1:14" ht="19.95" customHeight="1">
      <c r="A1076" s="6">
        <v>46001</v>
      </c>
      <c r="B1076" t="s">
        <v>64</v>
      </c>
      <c r="C1076">
        <v>2</v>
      </c>
      <c r="D1076">
        <v>12</v>
      </c>
      <c r="E1076">
        <v>344</v>
      </c>
      <c r="F1076">
        <v>0</v>
      </c>
      <c r="G1076">
        <v>0</v>
      </c>
      <c r="I1076">
        <v>0</v>
      </c>
      <c r="J1076">
        <v>0</v>
      </c>
      <c r="K1076">
        <v>0</v>
      </c>
      <c r="L1076">
        <v>0</v>
      </c>
      <c r="M1076" s="7">
        <v>0.8</v>
      </c>
      <c r="N1076" s="7">
        <v>28.3</v>
      </c>
    </row>
    <row r="1077" spans="1:14" ht="19.95" customHeight="1">
      <c r="A1077" s="6">
        <v>46002</v>
      </c>
      <c r="B1077" t="s">
        <v>65</v>
      </c>
      <c r="C1077">
        <v>3</v>
      </c>
      <c r="D1077">
        <v>12</v>
      </c>
      <c r="E1077">
        <v>345</v>
      </c>
      <c r="F1077">
        <v>0</v>
      </c>
      <c r="G1077">
        <v>0</v>
      </c>
      <c r="I1077">
        <v>0</v>
      </c>
      <c r="J1077">
        <v>0</v>
      </c>
      <c r="K1077">
        <v>0</v>
      </c>
      <c r="L1077">
        <v>0</v>
      </c>
      <c r="M1077" s="7">
        <v>1.1000000000000001</v>
      </c>
      <c r="N1077" s="7">
        <v>29.3</v>
      </c>
    </row>
    <row r="1078" spans="1:14" ht="19.95" customHeight="1">
      <c r="A1078" s="6">
        <v>46003</v>
      </c>
      <c r="B1078" t="s">
        <v>66</v>
      </c>
      <c r="C1078">
        <v>4</v>
      </c>
      <c r="D1078">
        <v>12</v>
      </c>
      <c r="E1078">
        <v>346</v>
      </c>
      <c r="F1078">
        <v>0</v>
      </c>
      <c r="G1078">
        <v>0</v>
      </c>
      <c r="I1078">
        <v>0</v>
      </c>
      <c r="J1078">
        <v>0</v>
      </c>
      <c r="K1078">
        <v>0</v>
      </c>
      <c r="L1078">
        <v>0</v>
      </c>
      <c r="M1078" s="7">
        <v>0</v>
      </c>
      <c r="N1078" s="7">
        <v>27.7</v>
      </c>
    </row>
    <row r="1079" spans="1:14" ht="19.95" customHeight="1">
      <c r="A1079" s="6">
        <v>46004</v>
      </c>
      <c r="B1079" t="s">
        <v>67</v>
      </c>
      <c r="C1079">
        <v>5</v>
      </c>
      <c r="D1079">
        <v>12</v>
      </c>
      <c r="E1079">
        <v>347</v>
      </c>
      <c r="F1079">
        <v>1</v>
      </c>
      <c r="G1079">
        <v>0</v>
      </c>
      <c r="I1079">
        <v>0</v>
      </c>
      <c r="J1079">
        <v>0</v>
      </c>
      <c r="K1079">
        <v>0</v>
      </c>
      <c r="L1079">
        <v>0</v>
      </c>
      <c r="M1079" s="7">
        <v>1.4</v>
      </c>
      <c r="N1079" s="7">
        <v>28.5</v>
      </c>
    </row>
    <row r="1080" spans="1:14" ht="19.95" customHeight="1">
      <c r="A1080" s="6">
        <v>46005</v>
      </c>
      <c r="B1080" t="s">
        <v>60</v>
      </c>
      <c r="C1080">
        <v>6</v>
      </c>
      <c r="D1080">
        <v>12</v>
      </c>
      <c r="E1080">
        <v>348</v>
      </c>
      <c r="F1080">
        <v>1</v>
      </c>
      <c r="G1080">
        <v>0</v>
      </c>
      <c r="I1080">
        <v>0</v>
      </c>
      <c r="J1080">
        <v>0</v>
      </c>
      <c r="K1080">
        <v>0</v>
      </c>
      <c r="L1080">
        <v>0</v>
      </c>
      <c r="M1080" s="7">
        <v>0</v>
      </c>
      <c r="N1080" s="7">
        <v>29.5</v>
      </c>
    </row>
    <row r="1081" spans="1:14" ht="19.95" customHeight="1">
      <c r="A1081" s="6">
        <v>46006</v>
      </c>
      <c r="B1081" t="s">
        <v>62</v>
      </c>
      <c r="C1081">
        <v>0</v>
      </c>
      <c r="D1081">
        <v>12</v>
      </c>
      <c r="E1081">
        <v>349</v>
      </c>
      <c r="F1081">
        <v>0</v>
      </c>
      <c r="G1081">
        <v>0</v>
      </c>
      <c r="I1081">
        <v>1</v>
      </c>
      <c r="J1081">
        <v>0</v>
      </c>
      <c r="K1081">
        <v>0</v>
      </c>
      <c r="L1081">
        <v>0</v>
      </c>
      <c r="M1081" s="7">
        <v>1</v>
      </c>
      <c r="N1081" s="7">
        <v>28.6</v>
      </c>
    </row>
    <row r="1082" spans="1:14" ht="19.95" customHeight="1">
      <c r="A1082" s="6">
        <v>46007</v>
      </c>
      <c r="B1082" t="s">
        <v>63</v>
      </c>
      <c r="C1082">
        <v>1</v>
      </c>
      <c r="D1082">
        <v>12</v>
      </c>
      <c r="E1082">
        <v>350</v>
      </c>
      <c r="F1082">
        <v>0</v>
      </c>
      <c r="G1082">
        <v>0</v>
      </c>
      <c r="I1082">
        <v>1</v>
      </c>
      <c r="J1082">
        <v>0</v>
      </c>
      <c r="K1082">
        <v>0</v>
      </c>
      <c r="L1082">
        <v>0</v>
      </c>
      <c r="M1082" s="7">
        <v>0</v>
      </c>
      <c r="N1082" s="7">
        <v>29.1</v>
      </c>
    </row>
    <row r="1083" spans="1:14" ht="19.95" customHeight="1">
      <c r="A1083" s="6">
        <v>46008</v>
      </c>
      <c r="B1083" t="s">
        <v>64</v>
      </c>
      <c r="C1083">
        <v>2</v>
      </c>
      <c r="D1083">
        <v>12</v>
      </c>
      <c r="E1083">
        <v>351</v>
      </c>
      <c r="F1083">
        <v>0</v>
      </c>
      <c r="G1083">
        <v>0</v>
      </c>
      <c r="I1083">
        <v>1</v>
      </c>
      <c r="J1083">
        <v>0</v>
      </c>
      <c r="K1083">
        <v>0</v>
      </c>
      <c r="L1083">
        <v>0</v>
      </c>
      <c r="M1083" s="7">
        <v>2.2000000000000002</v>
      </c>
      <c r="N1083" s="7">
        <v>28.9</v>
      </c>
    </row>
    <row r="1084" spans="1:14" ht="19.95" customHeight="1">
      <c r="A1084" s="6">
        <v>46009</v>
      </c>
      <c r="B1084" t="s">
        <v>65</v>
      </c>
      <c r="C1084">
        <v>3</v>
      </c>
      <c r="D1084">
        <v>12</v>
      </c>
      <c r="E1084">
        <v>352</v>
      </c>
      <c r="F1084">
        <v>0</v>
      </c>
      <c r="G1084">
        <v>0</v>
      </c>
      <c r="I1084">
        <v>1</v>
      </c>
      <c r="J1084">
        <v>0</v>
      </c>
      <c r="K1084">
        <v>0</v>
      </c>
      <c r="L1084">
        <v>0</v>
      </c>
      <c r="M1084" s="7">
        <v>1.6</v>
      </c>
      <c r="N1084" s="7">
        <v>27.2</v>
      </c>
    </row>
    <row r="1085" spans="1:14" ht="19.95" customHeight="1">
      <c r="A1085" s="6">
        <v>46010</v>
      </c>
      <c r="B1085" t="s">
        <v>66</v>
      </c>
      <c r="C1085">
        <v>4</v>
      </c>
      <c r="D1085">
        <v>12</v>
      </c>
      <c r="E1085">
        <v>353</v>
      </c>
      <c r="F1085">
        <v>0</v>
      </c>
      <c r="G1085">
        <v>0</v>
      </c>
      <c r="I1085">
        <v>1</v>
      </c>
      <c r="J1085">
        <v>0</v>
      </c>
      <c r="K1085">
        <v>0</v>
      </c>
      <c r="L1085">
        <v>0</v>
      </c>
      <c r="M1085" s="7">
        <v>0</v>
      </c>
      <c r="N1085" s="7">
        <v>29.3</v>
      </c>
    </row>
    <row r="1086" spans="1:14" ht="19.95" customHeight="1">
      <c r="A1086" s="6">
        <v>46011</v>
      </c>
      <c r="B1086" t="s">
        <v>67</v>
      </c>
      <c r="C1086">
        <v>5</v>
      </c>
      <c r="D1086">
        <v>12</v>
      </c>
      <c r="E1086">
        <v>354</v>
      </c>
      <c r="F1086">
        <v>1</v>
      </c>
      <c r="G1086">
        <v>0</v>
      </c>
      <c r="I1086">
        <v>1</v>
      </c>
      <c r="J1086">
        <v>0</v>
      </c>
      <c r="K1086">
        <v>0</v>
      </c>
      <c r="L1086">
        <v>0</v>
      </c>
      <c r="M1086" s="7">
        <v>2.1</v>
      </c>
      <c r="N1086" s="7">
        <v>28.5</v>
      </c>
    </row>
    <row r="1087" spans="1:14" ht="19.95" customHeight="1">
      <c r="A1087" s="6">
        <v>46012</v>
      </c>
      <c r="B1087" t="s">
        <v>60</v>
      </c>
      <c r="C1087">
        <v>6</v>
      </c>
      <c r="D1087">
        <v>12</v>
      </c>
      <c r="E1087">
        <v>355</v>
      </c>
      <c r="F1087">
        <v>1</v>
      </c>
      <c r="G1087">
        <v>0</v>
      </c>
      <c r="I1087">
        <v>1</v>
      </c>
      <c r="J1087">
        <v>0</v>
      </c>
      <c r="K1087">
        <v>0</v>
      </c>
      <c r="L1087">
        <v>0</v>
      </c>
      <c r="M1087" s="7">
        <v>2.4</v>
      </c>
      <c r="N1087" s="7">
        <v>28.9</v>
      </c>
    </row>
    <row r="1088" spans="1:14" ht="19.95" customHeight="1">
      <c r="A1088" s="6">
        <v>46013</v>
      </c>
      <c r="B1088" t="s">
        <v>62</v>
      </c>
      <c r="C1088">
        <v>0</v>
      </c>
      <c r="D1088">
        <v>12</v>
      </c>
      <c r="E1088">
        <v>356</v>
      </c>
      <c r="F1088">
        <v>0</v>
      </c>
      <c r="G1088">
        <v>0</v>
      </c>
      <c r="I1088">
        <v>1</v>
      </c>
      <c r="J1088">
        <v>0</v>
      </c>
      <c r="K1088">
        <v>0</v>
      </c>
      <c r="L1088">
        <v>0</v>
      </c>
      <c r="M1088" s="7">
        <v>1.4</v>
      </c>
      <c r="N1088" s="7">
        <v>27.8</v>
      </c>
    </row>
    <row r="1089" spans="1:14" ht="19.95" customHeight="1">
      <c r="A1089" s="6">
        <v>46014</v>
      </c>
      <c r="B1089" t="s">
        <v>63</v>
      </c>
      <c r="C1089">
        <v>1</v>
      </c>
      <c r="D1089">
        <v>12</v>
      </c>
      <c r="E1089">
        <v>357</v>
      </c>
      <c r="F1089">
        <v>0</v>
      </c>
      <c r="G1089">
        <v>0</v>
      </c>
      <c r="I1089">
        <v>1</v>
      </c>
      <c r="J1089">
        <v>0</v>
      </c>
      <c r="K1089">
        <v>0</v>
      </c>
      <c r="L1089">
        <v>0</v>
      </c>
      <c r="M1089" s="7">
        <v>2.5</v>
      </c>
      <c r="N1089" s="7">
        <v>28.6</v>
      </c>
    </row>
    <row r="1090" spans="1:14" ht="19.95" customHeight="1">
      <c r="A1090" s="6">
        <v>46015</v>
      </c>
      <c r="B1090" t="s">
        <v>64</v>
      </c>
      <c r="C1090">
        <v>2</v>
      </c>
      <c r="D1090">
        <v>12</v>
      </c>
      <c r="E1090">
        <v>358</v>
      </c>
      <c r="F1090">
        <v>0</v>
      </c>
      <c r="G1090">
        <v>0</v>
      </c>
      <c r="I1090">
        <v>1</v>
      </c>
      <c r="J1090">
        <v>0</v>
      </c>
      <c r="K1090">
        <v>0</v>
      </c>
      <c r="L1090">
        <v>0</v>
      </c>
      <c r="M1090" s="7">
        <v>2.8</v>
      </c>
      <c r="N1090" s="7">
        <v>28.5</v>
      </c>
    </row>
    <row r="1091" spans="1:14" ht="19.95" customHeight="1">
      <c r="A1091" s="6">
        <v>46016</v>
      </c>
      <c r="B1091" t="s">
        <v>65</v>
      </c>
      <c r="C1091">
        <v>3</v>
      </c>
      <c r="D1091">
        <v>12</v>
      </c>
      <c r="E1091">
        <v>359</v>
      </c>
      <c r="F1091">
        <v>0</v>
      </c>
      <c r="G1091">
        <v>1</v>
      </c>
      <c r="H1091" t="s">
        <v>76</v>
      </c>
      <c r="I1091">
        <v>1</v>
      </c>
      <c r="J1091">
        <v>0</v>
      </c>
      <c r="K1091">
        <v>0</v>
      </c>
      <c r="L1091">
        <v>0</v>
      </c>
      <c r="M1091" s="7">
        <v>1.9</v>
      </c>
      <c r="N1091" s="7">
        <v>29.3</v>
      </c>
    </row>
    <row r="1092" spans="1:14" ht="19.95" customHeight="1">
      <c r="A1092" s="6">
        <v>46017</v>
      </c>
      <c r="B1092" t="s">
        <v>66</v>
      </c>
      <c r="C1092">
        <v>4</v>
      </c>
      <c r="D1092">
        <v>12</v>
      </c>
      <c r="E1092">
        <v>360</v>
      </c>
      <c r="F1092">
        <v>0</v>
      </c>
      <c r="G1092">
        <v>0</v>
      </c>
      <c r="I1092">
        <v>1</v>
      </c>
      <c r="J1092">
        <v>0</v>
      </c>
      <c r="K1092">
        <v>0</v>
      </c>
      <c r="L1092">
        <v>0</v>
      </c>
      <c r="M1092" s="7">
        <v>1.2</v>
      </c>
      <c r="N1092" s="7">
        <v>29.3</v>
      </c>
    </row>
    <row r="1093" spans="1:14" ht="19.95" customHeight="1">
      <c r="A1093" s="6">
        <v>46018</v>
      </c>
      <c r="B1093" t="s">
        <v>67</v>
      </c>
      <c r="C1093">
        <v>5</v>
      </c>
      <c r="D1093">
        <v>12</v>
      </c>
      <c r="E1093">
        <v>361</v>
      </c>
      <c r="F1093">
        <v>1</v>
      </c>
      <c r="G1093">
        <v>0</v>
      </c>
      <c r="I1093">
        <v>1</v>
      </c>
      <c r="J1093">
        <v>0</v>
      </c>
      <c r="K1093">
        <v>0</v>
      </c>
      <c r="L1093">
        <v>0</v>
      </c>
      <c r="M1093" s="7">
        <v>2.1</v>
      </c>
      <c r="N1093" s="7">
        <v>28.6</v>
      </c>
    </row>
    <row r="1094" spans="1:14" ht="19.95" customHeight="1">
      <c r="A1094" s="6">
        <v>46019</v>
      </c>
      <c r="B1094" t="s">
        <v>60</v>
      </c>
      <c r="C1094">
        <v>6</v>
      </c>
      <c r="D1094">
        <v>12</v>
      </c>
      <c r="E1094">
        <v>362</v>
      </c>
      <c r="F1094">
        <v>1</v>
      </c>
      <c r="G1094">
        <v>0</v>
      </c>
      <c r="I1094">
        <v>1</v>
      </c>
      <c r="J1094">
        <v>0</v>
      </c>
      <c r="K1094">
        <v>1</v>
      </c>
      <c r="L1094">
        <v>0</v>
      </c>
      <c r="M1094" s="7">
        <v>0</v>
      </c>
      <c r="N1094" s="7">
        <v>29.6</v>
      </c>
    </row>
    <row r="1095" spans="1:14" ht="19.95" customHeight="1">
      <c r="A1095" s="6">
        <v>46020</v>
      </c>
      <c r="B1095" t="s">
        <v>62</v>
      </c>
      <c r="C1095">
        <v>0</v>
      </c>
      <c r="D1095">
        <v>12</v>
      </c>
      <c r="E1095">
        <v>363</v>
      </c>
      <c r="F1095">
        <v>0</v>
      </c>
      <c r="G1095">
        <v>0</v>
      </c>
      <c r="I1095">
        <v>1</v>
      </c>
      <c r="J1095">
        <v>0</v>
      </c>
      <c r="K1095">
        <v>1</v>
      </c>
      <c r="L1095">
        <v>0</v>
      </c>
      <c r="M1095" s="7">
        <v>2.5</v>
      </c>
      <c r="N1095" s="7">
        <v>28.6</v>
      </c>
    </row>
    <row r="1096" spans="1:14" ht="19.95" customHeight="1">
      <c r="A1096" s="6">
        <v>46021</v>
      </c>
      <c r="B1096" t="s">
        <v>63</v>
      </c>
      <c r="C1096">
        <v>1</v>
      </c>
      <c r="D1096">
        <v>12</v>
      </c>
      <c r="E1096">
        <v>364</v>
      </c>
      <c r="F1096">
        <v>0</v>
      </c>
      <c r="G1096">
        <v>0</v>
      </c>
      <c r="I1096">
        <v>1</v>
      </c>
      <c r="J1096">
        <v>0</v>
      </c>
      <c r="K1096">
        <v>1</v>
      </c>
      <c r="L1096">
        <v>0</v>
      </c>
      <c r="M1096" s="7">
        <v>0.1</v>
      </c>
      <c r="N1096" s="7">
        <v>29</v>
      </c>
    </row>
    <row r="1097" spans="1:14" ht="19.95" customHeight="1">
      <c r="A1097" s="6">
        <v>46022</v>
      </c>
      <c r="B1097" t="s">
        <v>64</v>
      </c>
      <c r="C1097">
        <v>2</v>
      </c>
      <c r="D1097">
        <v>12</v>
      </c>
      <c r="E1097">
        <v>365</v>
      </c>
      <c r="F1097">
        <v>0</v>
      </c>
      <c r="G1097">
        <v>0</v>
      </c>
      <c r="I1097">
        <v>1</v>
      </c>
      <c r="J1097">
        <v>0</v>
      </c>
      <c r="K1097">
        <v>1</v>
      </c>
      <c r="L1097">
        <v>0</v>
      </c>
      <c r="M1097" s="7">
        <v>0</v>
      </c>
      <c r="N1097" s="7">
        <v>28.2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9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3" customWidth="1"/>
    <col min="2" max="2" width="18" customWidth="1"/>
    <col min="3" max="6" width="15" customWidth="1"/>
    <col min="7" max="7" width="33" customWidth="1"/>
    <col min="8" max="11" width="15" customWidth="1"/>
    <col min="12" max="13" width="17" customWidth="1"/>
    <col min="14" max="15" width="19" customWidth="1"/>
    <col min="17" max="18" width="19" customWidth="1"/>
    <col min="20" max="21" width="19" customWidth="1"/>
    <col min="23" max="23" width="19" customWidth="1"/>
  </cols>
  <sheetData>
    <row r="1" spans="1:23" ht="41.4">
      <c r="A1" s="5" t="s">
        <v>46</v>
      </c>
      <c r="B1" s="5" t="s">
        <v>47</v>
      </c>
      <c r="C1" s="5" t="s">
        <v>48</v>
      </c>
      <c r="D1" s="5" t="s">
        <v>49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77</v>
      </c>
      <c r="O1" s="5" t="s">
        <v>78</v>
      </c>
      <c r="P1" s="5" t="s">
        <v>79</v>
      </c>
      <c r="Q1" s="5" t="s">
        <v>80</v>
      </c>
      <c r="R1" s="5" t="s">
        <v>81</v>
      </c>
      <c r="S1" s="5" t="s">
        <v>82</v>
      </c>
      <c r="T1" s="5" t="s">
        <v>83</v>
      </c>
      <c r="U1" s="5" t="s">
        <v>84</v>
      </c>
      <c r="V1" s="5" t="s">
        <v>85</v>
      </c>
      <c r="W1" s="5" t="s">
        <v>86</v>
      </c>
    </row>
    <row r="2" spans="1:23">
      <c r="A2" s="6">
        <v>44927</v>
      </c>
      <c r="B2" t="s">
        <v>60</v>
      </c>
      <c r="C2">
        <v>6</v>
      </c>
      <c r="D2">
        <v>1</v>
      </c>
      <c r="E2">
        <v>1</v>
      </c>
      <c r="F2">
        <v>1</v>
      </c>
      <c r="G2" t="s">
        <v>61</v>
      </c>
      <c r="H2">
        <v>1</v>
      </c>
      <c r="I2">
        <v>0</v>
      </c>
      <c r="J2">
        <v>1</v>
      </c>
      <c r="K2">
        <v>0</v>
      </c>
      <c r="L2" s="7">
        <v>1.2</v>
      </c>
      <c r="M2" s="7">
        <v>28</v>
      </c>
      <c r="N2">
        <v>284</v>
      </c>
      <c r="O2" s="15">
        <v>255</v>
      </c>
      <c r="P2" s="8">
        <v>0.86428571428571432</v>
      </c>
      <c r="Q2">
        <v>284</v>
      </c>
      <c r="R2" s="15">
        <v>259</v>
      </c>
      <c r="S2" s="8">
        <v>0.96799999999999997</v>
      </c>
      <c r="T2">
        <v>188</v>
      </c>
      <c r="U2" s="15">
        <v>158</v>
      </c>
      <c r="V2" s="8">
        <v>0.96470588235294119</v>
      </c>
      <c r="W2">
        <f t="shared" ref="W2:W65" si="0">N2+Q2+T2</f>
        <v>756</v>
      </c>
    </row>
    <row r="3" spans="1:23">
      <c r="A3" s="6">
        <v>44928</v>
      </c>
      <c r="B3" t="s">
        <v>62</v>
      </c>
      <c r="C3">
        <v>0</v>
      </c>
      <c r="D3">
        <v>1</v>
      </c>
      <c r="E3">
        <v>0</v>
      </c>
      <c r="F3">
        <v>0</v>
      </c>
      <c r="H3">
        <v>1</v>
      </c>
      <c r="I3">
        <v>0</v>
      </c>
      <c r="J3">
        <v>1</v>
      </c>
      <c r="K3">
        <v>0</v>
      </c>
      <c r="L3" s="7">
        <v>1.4</v>
      </c>
      <c r="M3" s="7">
        <v>28</v>
      </c>
      <c r="N3">
        <v>260</v>
      </c>
      <c r="O3" s="15">
        <v>244</v>
      </c>
      <c r="P3" s="8">
        <v>0.8</v>
      </c>
      <c r="Q3">
        <v>269</v>
      </c>
      <c r="R3" s="15">
        <v>237</v>
      </c>
      <c r="S3" s="8">
        <v>0.89600000000000002</v>
      </c>
      <c r="T3">
        <v>186</v>
      </c>
      <c r="U3" s="15">
        <v>168</v>
      </c>
      <c r="V3" s="8">
        <v>0.96470588235294119</v>
      </c>
      <c r="W3">
        <f t="shared" si="0"/>
        <v>715</v>
      </c>
    </row>
    <row r="4" spans="1:23">
      <c r="A4" s="6">
        <v>44929</v>
      </c>
      <c r="B4" t="s">
        <v>63</v>
      </c>
      <c r="C4">
        <v>1</v>
      </c>
      <c r="D4">
        <v>1</v>
      </c>
      <c r="E4">
        <v>0</v>
      </c>
      <c r="F4">
        <v>0</v>
      </c>
      <c r="H4">
        <v>1</v>
      </c>
      <c r="I4">
        <v>0</v>
      </c>
      <c r="J4">
        <v>0</v>
      </c>
      <c r="K4">
        <v>0</v>
      </c>
      <c r="L4" s="7">
        <v>0</v>
      </c>
      <c r="M4" s="7">
        <v>29.9</v>
      </c>
      <c r="N4">
        <v>219</v>
      </c>
      <c r="O4" s="15">
        <v>193</v>
      </c>
      <c r="P4" s="8">
        <v>0.66428571428571426</v>
      </c>
      <c r="Q4">
        <v>211</v>
      </c>
      <c r="R4" s="15">
        <v>195</v>
      </c>
      <c r="S4" s="8">
        <v>0.70399999999999996</v>
      </c>
      <c r="T4">
        <v>140</v>
      </c>
      <c r="U4" s="15">
        <v>121</v>
      </c>
      <c r="V4" s="8">
        <v>0.74117647058823533</v>
      </c>
      <c r="W4">
        <f t="shared" si="0"/>
        <v>570</v>
      </c>
    </row>
    <row r="5" spans="1:23">
      <c r="A5" s="6">
        <v>44930</v>
      </c>
      <c r="B5" t="s">
        <v>64</v>
      </c>
      <c r="C5">
        <v>2</v>
      </c>
      <c r="D5">
        <v>1</v>
      </c>
      <c r="E5">
        <v>0</v>
      </c>
      <c r="F5">
        <v>0</v>
      </c>
      <c r="H5">
        <v>1</v>
      </c>
      <c r="I5">
        <v>0</v>
      </c>
      <c r="J5">
        <v>0</v>
      </c>
      <c r="K5">
        <v>0</v>
      </c>
      <c r="L5" s="7">
        <v>0</v>
      </c>
      <c r="M5" s="7">
        <v>29</v>
      </c>
      <c r="N5">
        <v>205</v>
      </c>
      <c r="O5" s="15">
        <v>187</v>
      </c>
      <c r="P5" s="8">
        <v>0.6428571428571429</v>
      </c>
      <c r="Q5">
        <v>243</v>
      </c>
      <c r="R5" s="15">
        <v>197</v>
      </c>
      <c r="S5" s="8">
        <v>0.79200000000000004</v>
      </c>
      <c r="T5">
        <v>152</v>
      </c>
      <c r="U5" s="15">
        <v>130</v>
      </c>
      <c r="V5" s="8">
        <v>0.78823529411764703</v>
      </c>
      <c r="W5">
        <f t="shared" si="0"/>
        <v>600</v>
      </c>
    </row>
    <row r="6" spans="1:23">
      <c r="A6" s="6">
        <v>44931</v>
      </c>
      <c r="B6" t="s">
        <v>65</v>
      </c>
      <c r="C6">
        <v>3</v>
      </c>
      <c r="D6">
        <v>1</v>
      </c>
      <c r="E6">
        <v>0</v>
      </c>
      <c r="F6">
        <v>0</v>
      </c>
      <c r="H6">
        <v>1</v>
      </c>
      <c r="I6">
        <v>0</v>
      </c>
      <c r="J6">
        <v>0</v>
      </c>
      <c r="K6">
        <v>0</v>
      </c>
      <c r="L6" s="7">
        <v>0</v>
      </c>
      <c r="M6" s="7">
        <v>29.3</v>
      </c>
      <c r="N6">
        <v>221</v>
      </c>
      <c r="O6" s="15">
        <v>206</v>
      </c>
      <c r="P6" s="8">
        <v>0.65</v>
      </c>
      <c r="Q6">
        <v>226</v>
      </c>
      <c r="R6" s="15">
        <v>201</v>
      </c>
      <c r="S6" s="8">
        <v>0.76800000000000002</v>
      </c>
      <c r="T6">
        <v>150</v>
      </c>
      <c r="U6" s="15">
        <v>134</v>
      </c>
      <c r="V6" s="8">
        <v>0.8</v>
      </c>
      <c r="W6">
        <f t="shared" si="0"/>
        <v>597</v>
      </c>
    </row>
    <row r="7" spans="1:23">
      <c r="A7" s="6">
        <v>44932</v>
      </c>
      <c r="B7" t="s">
        <v>66</v>
      </c>
      <c r="C7">
        <v>4</v>
      </c>
      <c r="D7">
        <v>1</v>
      </c>
      <c r="E7">
        <v>0</v>
      </c>
      <c r="F7">
        <v>0</v>
      </c>
      <c r="H7">
        <v>1</v>
      </c>
      <c r="I7">
        <v>0</v>
      </c>
      <c r="J7">
        <v>0</v>
      </c>
      <c r="K7">
        <v>0</v>
      </c>
      <c r="L7" s="7">
        <v>1.1000000000000001</v>
      </c>
      <c r="M7" s="7">
        <v>28.2</v>
      </c>
      <c r="N7">
        <v>230</v>
      </c>
      <c r="O7" s="15">
        <v>206</v>
      </c>
      <c r="P7" s="8">
        <v>0.7</v>
      </c>
      <c r="Q7">
        <v>211</v>
      </c>
      <c r="R7" s="15">
        <v>178</v>
      </c>
      <c r="S7" s="8">
        <v>0.71199999999999997</v>
      </c>
      <c r="T7">
        <v>151</v>
      </c>
      <c r="U7" s="15">
        <v>136</v>
      </c>
      <c r="V7" s="8">
        <v>0.75294117647058822</v>
      </c>
      <c r="W7">
        <f t="shared" si="0"/>
        <v>592</v>
      </c>
    </row>
    <row r="8" spans="1:23">
      <c r="A8" s="6">
        <v>44933</v>
      </c>
      <c r="B8" t="s">
        <v>67</v>
      </c>
      <c r="C8">
        <v>5</v>
      </c>
      <c r="D8">
        <v>1</v>
      </c>
      <c r="E8">
        <v>1</v>
      </c>
      <c r="F8">
        <v>0</v>
      </c>
      <c r="H8">
        <v>1</v>
      </c>
      <c r="I8">
        <v>0</v>
      </c>
      <c r="J8">
        <v>0</v>
      </c>
      <c r="K8">
        <v>0</v>
      </c>
      <c r="L8" s="7">
        <v>0</v>
      </c>
      <c r="M8" s="7">
        <v>28.6</v>
      </c>
      <c r="N8">
        <v>248</v>
      </c>
      <c r="O8" s="15">
        <v>231</v>
      </c>
      <c r="P8" s="8">
        <v>0.74285714285714288</v>
      </c>
      <c r="Q8">
        <v>253</v>
      </c>
      <c r="R8" s="15">
        <v>227</v>
      </c>
      <c r="S8" s="8">
        <v>0.84799999999999998</v>
      </c>
      <c r="T8">
        <v>182</v>
      </c>
      <c r="U8" s="15">
        <v>155</v>
      </c>
      <c r="V8" s="8">
        <v>0.95294117647058818</v>
      </c>
      <c r="W8">
        <f t="shared" si="0"/>
        <v>683</v>
      </c>
    </row>
    <row r="9" spans="1:23">
      <c r="A9" s="6">
        <v>44934</v>
      </c>
      <c r="B9" t="s">
        <v>60</v>
      </c>
      <c r="C9">
        <v>6</v>
      </c>
      <c r="D9">
        <v>1</v>
      </c>
      <c r="E9">
        <v>1</v>
      </c>
      <c r="F9">
        <v>0</v>
      </c>
      <c r="H9">
        <v>1</v>
      </c>
      <c r="I9">
        <v>0</v>
      </c>
      <c r="J9">
        <v>0</v>
      </c>
      <c r="K9">
        <v>0</v>
      </c>
      <c r="L9" s="7">
        <v>18.7</v>
      </c>
      <c r="M9" s="7">
        <v>27.4</v>
      </c>
      <c r="N9">
        <v>246</v>
      </c>
      <c r="O9" s="15">
        <v>220</v>
      </c>
      <c r="P9" s="8">
        <v>0.74285714285714288</v>
      </c>
      <c r="Q9">
        <v>259</v>
      </c>
      <c r="R9" s="15">
        <v>239</v>
      </c>
      <c r="S9" s="8">
        <v>0.872</v>
      </c>
      <c r="T9">
        <v>181</v>
      </c>
      <c r="U9" s="15">
        <v>165</v>
      </c>
      <c r="V9" s="8">
        <v>0.92941176470588238</v>
      </c>
      <c r="W9">
        <f t="shared" si="0"/>
        <v>686</v>
      </c>
    </row>
    <row r="10" spans="1:23">
      <c r="A10" s="6">
        <v>44935</v>
      </c>
      <c r="B10" t="s">
        <v>62</v>
      </c>
      <c r="C10">
        <v>0</v>
      </c>
      <c r="D10">
        <v>1</v>
      </c>
      <c r="E10">
        <v>0</v>
      </c>
      <c r="F10">
        <v>0</v>
      </c>
      <c r="H10">
        <v>1</v>
      </c>
      <c r="I10">
        <v>0</v>
      </c>
      <c r="J10">
        <v>0</v>
      </c>
      <c r="K10">
        <v>0</v>
      </c>
      <c r="L10" s="7">
        <v>3.8</v>
      </c>
      <c r="M10" s="7">
        <v>28.4</v>
      </c>
      <c r="N10">
        <v>211</v>
      </c>
      <c r="O10" s="15">
        <v>178</v>
      </c>
      <c r="P10" s="8">
        <v>0.62857142857142856</v>
      </c>
      <c r="Q10">
        <v>217</v>
      </c>
      <c r="R10" s="15">
        <v>192</v>
      </c>
      <c r="S10" s="8">
        <v>0.74399999999999999</v>
      </c>
      <c r="T10">
        <v>155</v>
      </c>
      <c r="U10" s="15">
        <v>130</v>
      </c>
      <c r="V10" s="8">
        <v>0.82352941176470584</v>
      </c>
      <c r="W10">
        <f t="shared" si="0"/>
        <v>583</v>
      </c>
    </row>
    <row r="11" spans="1:23">
      <c r="A11" s="6">
        <v>44936</v>
      </c>
      <c r="B11" t="s">
        <v>63</v>
      </c>
      <c r="C11">
        <v>1</v>
      </c>
      <c r="D11">
        <v>1</v>
      </c>
      <c r="E11">
        <v>0</v>
      </c>
      <c r="F11">
        <v>0</v>
      </c>
      <c r="H11">
        <v>1</v>
      </c>
      <c r="I11">
        <v>0</v>
      </c>
      <c r="J11">
        <v>0</v>
      </c>
      <c r="K11">
        <v>0</v>
      </c>
      <c r="L11" s="7">
        <v>1</v>
      </c>
      <c r="M11" s="7">
        <v>28.5</v>
      </c>
      <c r="N11">
        <v>213</v>
      </c>
      <c r="O11" s="15">
        <v>174</v>
      </c>
      <c r="P11" s="8">
        <v>0.65714285714285714</v>
      </c>
      <c r="Q11">
        <v>228</v>
      </c>
      <c r="R11" s="15">
        <v>204</v>
      </c>
      <c r="S11" s="8">
        <v>0.76800000000000002</v>
      </c>
      <c r="T11">
        <v>169</v>
      </c>
      <c r="U11" s="15">
        <v>152</v>
      </c>
      <c r="V11" s="8">
        <v>0.87058823529411766</v>
      </c>
      <c r="W11">
        <f t="shared" si="0"/>
        <v>610</v>
      </c>
    </row>
    <row r="12" spans="1:23">
      <c r="A12" s="6">
        <v>44937</v>
      </c>
      <c r="B12" t="s">
        <v>64</v>
      </c>
      <c r="C12">
        <v>2</v>
      </c>
      <c r="D12">
        <v>1</v>
      </c>
      <c r="E12">
        <v>0</v>
      </c>
      <c r="F12">
        <v>0</v>
      </c>
      <c r="H12">
        <v>1</v>
      </c>
      <c r="I12">
        <v>0</v>
      </c>
      <c r="J12">
        <v>0</v>
      </c>
      <c r="K12">
        <v>0</v>
      </c>
      <c r="L12" s="7">
        <v>0</v>
      </c>
      <c r="M12" s="7">
        <v>28.8</v>
      </c>
      <c r="N12">
        <v>201</v>
      </c>
      <c r="O12" s="15">
        <v>176</v>
      </c>
      <c r="P12" s="8">
        <v>0.6071428571428571</v>
      </c>
      <c r="Q12">
        <v>221</v>
      </c>
      <c r="R12" s="15">
        <v>206</v>
      </c>
      <c r="S12" s="8">
        <v>0.72</v>
      </c>
      <c r="T12">
        <v>156</v>
      </c>
      <c r="U12" s="15">
        <v>143</v>
      </c>
      <c r="V12" s="8">
        <v>0.83529411764705885</v>
      </c>
      <c r="W12">
        <f t="shared" si="0"/>
        <v>578</v>
      </c>
    </row>
    <row r="13" spans="1:23">
      <c r="A13" s="6">
        <v>44938</v>
      </c>
      <c r="B13" t="s">
        <v>65</v>
      </c>
      <c r="C13">
        <v>3</v>
      </c>
      <c r="D13">
        <v>1</v>
      </c>
      <c r="E13">
        <v>0</v>
      </c>
      <c r="F13">
        <v>0</v>
      </c>
      <c r="H13">
        <v>1</v>
      </c>
      <c r="I13">
        <v>0</v>
      </c>
      <c r="J13">
        <v>0</v>
      </c>
      <c r="K13">
        <v>0</v>
      </c>
      <c r="L13" s="7">
        <v>0</v>
      </c>
      <c r="M13" s="7">
        <v>28.1</v>
      </c>
      <c r="N13">
        <v>244</v>
      </c>
      <c r="O13" s="15">
        <v>207</v>
      </c>
      <c r="P13" s="8">
        <v>0.74285714285714288</v>
      </c>
      <c r="Q13">
        <v>233</v>
      </c>
      <c r="R13" s="15">
        <v>216</v>
      </c>
      <c r="S13" s="8">
        <v>0.78400000000000003</v>
      </c>
      <c r="T13">
        <v>157</v>
      </c>
      <c r="U13" s="15">
        <v>131</v>
      </c>
      <c r="V13" s="8">
        <v>0.82352941176470584</v>
      </c>
      <c r="W13">
        <f t="shared" si="0"/>
        <v>634</v>
      </c>
    </row>
    <row r="14" spans="1:23">
      <c r="A14" s="6">
        <v>44939</v>
      </c>
      <c r="B14" t="s">
        <v>66</v>
      </c>
      <c r="C14">
        <v>4</v>
      </c>
      <c r="D14">
        <v>1</v>
      </c>
      <c r="E14">
        <v>0</v>
      </c>
      <c r="F14">
        <v>0</v>
      </c>
      <c r="H14">
        <v>1</v>
      </c>
      <c r="I14">
        <v>0</v>
      </c>
      <c r="J14">
        <v>0</v>
      </c>
      <c r="K14">
        <v>0</v>
      </c>
      <c r="L14" s="7">
        <v>0</v>
      </c>
      <c r="M14" s="7">
        <v>29.8</v>
      </c>
      <c r="N14">
        <v>242</v>
      </c>
      <c r="O14" s="15">
        <v>198</v>
      </c>
      <c r="P14" s="8">
        <v>0.73571428571428577</v>
      </c>
      <c r="Q14">
        <v>218</v>
      </c>
      <c r="R14" s="15">
        <v>196</v>
      </c>
      <c r="S14" s="8">
        <v>0.73599999999999999</v>
      </c>
      <c r="T14">
        <v>160</v>
      </c>
      <c r="U14" s="15">
        <v>147</v>
      </c>
      <c r="V14" s="8">
        <v>0.83529411764705885</v>
      </c>
      <c r="W14">
        <f t="shared" si="0"/>
        <v>620</v>
      </c>
    </row>
    <row r="15" spans="1:23">
      <c r="A15" s="6">
        <v>44940</v>
      </c>
      <c r="B15" t="s">
        <v>67</v>
      </c>
      <c r="C15">
        <v>5</v>
      </c>
      <c r="D15">
        <v>1</v>
      </c>
      <c r="E15">
        <v>1</v>
      </c>
      <c r="F15">
        <v>0</v>
      </c>
      <c r="H15">
        <v>1</v>
      </c>
      <c r="I15">
        <v>0</v>
      </c>
      <c r="J15">
        <v>0</v>
      </c>
      <c r="K15">
        <v>0</v>
      </c>
      <c r="L15" s="7">
        <v>2.5</v>
      </c>
      <c r="M15" s="7">
        <v>27.5</v>
      </c>
      <c r="N15">
        <v>259</v>
      </c>
      <c r="O15" s="15">
        <v>239</v>
      </c>
      <c r="P15" s="8">
        <v>0.77142857142857146</v>
      </c>
      <c r="Q15">
        <v>260</v>
      </c>
      <c r="R15" s="15">
        <v>242</v>
      </c>
      <c r="S15" s="8">
        <v>0.86399999999999999</v>
      </c>
      <c r="T15">
        <v>184</v>
      </c>
      <c r="U15" s="15">
        <v>153</v>
      </c>
      <c r="V15" s="8">
        <v>0.94117647058823528</v>
      </c>
      <c r="W15">
        <f t="shared" si="0"/>
        <v>703</v>
      </c>
    </row>
    <row r="16" spans="1:23">
      <c r="A16" s="6">
        <v>44941</v>
      </c>
      <c r="B16" t="s">
        <v>60</v>
      </c>
      <c r="C16">
        <v>6</v>
      </c>
      <c r="D16">
        <v>1</v>
      </c>
      <c r="E16">
        <v>1</v>
      </c>
      <c r="F16">
        <v>0</v>
      </c>
      <c r="H16">
        <v>1</v>
      </c>
      <c r="I16">
        <v>0</v>
      </c>
      <c r="J16">
        <v>0</v>
      </c>
      <c r="K16">
        <v>0</v>
      </c>
      <c r="L16" s="7">
        <v>1.9</v>
      </c>
      <c r="M16" s="7">
        <v>29.5</v>
      </c>
      <c r="N16">
        <v>267</v>
      </c>
      <c r="O16" s="15">
        <v>220</v>
      </c>
      <c r="P16" s="8">
        <v>0.80714285714285716</v>
      </c>
      <c r="Q16">
        <v>246</v>
      </c>
      <c r="R16" s="15">
        <v>212</v>
      </c>
      <c r="S16" s="8">
        <v>0.82399999999999995</v>
      </c>
      <c r="T16">
        <v>163</v>
      </c>
      <c r="U16" s="15">
        <v>133</v>
      </c>
      <c r="V16" s="8">
        <v>0.89411764705882357</v>
      </c>
      <c r="W16">
        <f t="shared" si="0"/>
        <v>676</v>
      </c>
    </row>
    <row r="17" spans="1:23">
      <c r="A17" s="6">
        <v>44942</v>
      </c>
      <c r="B17" t="s">
        <v>62</v>
      </c>
      <c r="C17">
        <v>0</v>
      </c>
      <c r="D17">
        <v>1</v>
      </c>
      <c r="E17">
        <v>0</v>
      </c>
      <c r="F17">
        <v>0</v>
      </c>
      <c r="H17">
        <v>1</v>
      </c>
      <c r="I17">
        <v>0</v>
      </c>
      <c r="J17">
        <v>0</v>
      </c>
      <c r="K17">
        <v>0</v>
      </c>
      <c r="L17" s="7">
        <v>0</v>
      </c>
      <c r="M17" s="7">
        <v>28.4</v>
      </c>
      <c r="N17">
        <v>225</v>
      </c>
      <c r="O17" s="15">
        <v>199</v>
      </c>
      <c r="P17" s="8">
        <v>0.69285714285714284</v>
      </c>
      <c r="Q17">
        <v>219</v>
      </c>
      <c r="R17" s="15">
        <v>187</v>
      </c>
      <c r="S17" s="8">
        <v>0.74399999999999999</v>
      </c>
      <c r="T17">
        <v>175</v>
      </c>
      <c r="U17" s="15">
        <v>164</v>
      </c>
      <c r="V17" s="8">
        <v>0.87058823529411766</v>
      </c>
      <c r="W17">
        <f t="shared" si="0"/>
        <v>619</v>
      </c>
    </row>
    <row r="18" spans="1:23">
      <c r="A18" s="6">
        <v>44943</v>
      </c>
      <c r="B18" t="s">
        <v>63</v>
      </c>
      <c r="C18">
        <v>1</v>
      </c>
      <c r="D18">
        <v>1</v>
      </c>
      <c r="E18">
        <v>0</v>
      </c>
      <c r="F18">
        <v>0</v>
      </c>
      <c r="H18">
        <v>1</v>
      </c>
      <c r="I18">
        <v>0</v>
      </c>
      <c r="J18">
        <v>0</v>
      </c>
      <c r="K18">
        <v>0</v>
      </c>
      <c r="L18" s="7">
        <v>3.3</v>
      </c>
      <c r="M18" s="7">
        <v>27.8</v>
      </c>
      <c r="N18">
        <v>232</v>
      </c>
      <c r="O18" s="15">
        <v>186</v>
      </c>
      <c r="P18" s="8">
        <v>0.70714285714285718</v>
      </c>
      <c r="Q18">
        <v>215</v>
      </c>
      <c r="R18" s="15">
        <v>197</v>
      </c>
      <c r="S18" s="8">
        <v>0.752</v>
      </c>
      <c r="T18">
        <v>163</v>
      </c>
      <c r="U18" s="15">
        <v>139</v>
      </c>
      <c r="V18" s="8">
        <v>0.83529411764705885</v>
      </c>
      <c r="W18">
        <f t="shared" si="0"/>
        <v>610</v>
      </c>
    </row>
    <row r="19" spans="1:23">
      <c r="A19" s="6">
        <v>44944</v>
      </c>
      <c r="B19" t="s">
        <v>64</v>
      </c>
      <c r="C19">
        <v>2</v>
      </c>
      <c r="D19">
        <v>1</v>
      </c>
      <c r="E19">
        <v>0</v>
      </c>
      <c r="F19">
        <v>0</v>
      </c>
      <c r="H19">
        <v>1</v>
      </c>
      <c r="I19">
        <v>0</v>
      </c>
      <c r="J19">
        <v>0</v>
      </c>
      <c r="K19">
        <v>0</v>
      </c>
      <c r="L19" s="7">
        <v>15.8</v>
      </c>
      <c r="M19" s="7">
        <v>29.4</v>
      </c>
      <c r="N19">
        <v>222</v>
      </c>
      <c r="O19" s="15">
        <v>193</v>
      </c>
      <c r="P19" s="8">
        <v>0.67142857142857137</v>
      </c>
      <c r="Q19">
        <v>224</v>
      </c>
      <c r="R19" s="15">
        <v>180</v>
      </c>
      <c r="S19" s="8">
        <v>0.74399999999999999</v>
      </c>
      <c r="T19">
        <v>159</v>
      </c>
      <c r="U19" s="15">
        <v>134</v>
      </c>
      <c r="V19" s="8">
        <v>0.8</v>
      </c>
      <c r="W19">
        <f t="shared" si="0"/>
        <v>605</v>
      </c>
    </row>
    <row r="20" spans="1:23">
      <c r="A20" s="6">
        <v>44945</v>
      </c>
      <c r="B20" t="s">
        <v>65</v>
      </c>
      <c r="C20">
        <v>3</v>
      </c>
      <c r="D20">
        <v>1</v>
      </c>
      <c r="E20">
        <v>0</v>
      </c>
      <c r="F20">
        <v>0</v>
      </c>
      <c r="H20">
        <v>1</v>
      </c>
      <c r="I20">
        <v>0</v>
      </c>
      <c r="J20">
        <v>0</v>
      </c>
      <c r="K20">
        <v>0</v>
      </c>
      <c r="L20" s="7">
        <v>0.8</v>
      </c>
      <c r="M20" s="7">
        <v>27.4</v>
      </c>
      <c r="N20">
        <v>245</v>
      </c>
      <c r="O20" s="15">
        <v>227</v>
      </c>
      <c r="P20" s="8">
        <v>0.73571428571428577</v>
      </c>
      <c r="Q20">
        <v>198</v>
      </c>
      <c r="R20" s="15">
        <v>160</v>
      </c>
      <c r="S20" s="8">
        <v>0.68</v>
      </c>
      <c r="T20">
        <v>157</v>
      </c>
      <c r="U20" s="15">
        <v>143</v>
      </c>
      <c r="V20" s="8">
        <v>0.82352941176470584</v>
      </c>
      <c r="W20">
        <f t="shared" si="0"/>
        <v>600</v>
      </c>
    </row>
    <row r="21" spans="1:23">
      <c r="A21" s="6">
        <v>44946</v>
      </c>
      <c r="B21" t="s">
        <v>66</v>
      </c>
      <c r="C21">
        <v>4</v>
      </c>
      <c r="D21">
        <v>1</v>
      </c>
      <c r="E21">
        <v>0</v>
      </c>
      <c r="F21">
        <v>0</v>
      </c>
      <c r="H21">
        <v>1</v>
      </c>
      <c r="I21">
        <v>0</v>
      </c>
      <c r="J21">
        <v>0</v>
      </c>
      <c r="K21">
        <v>0</v>
      </c>
      <c r="L21" s="7">
        <v>2.8</v>
      </c>
      <c r="M21" s="7">
        <v>29</v>
      </c>
      <c r="N21">
        <v>221</v>
      </c>
      <c r="O21" s="15">
        <v>189</v>
      </c>
      <c r="P21" s="8">
        <v>0.66428571428571426</v>
      </c>
      <c r="Q21">
        <v>219</v>
      </c>
      <c r="R21" s="15">
        <v>191</v>
      </c>
      <c r="S21" s="8">
        <v>0.74399999999999999</v>
      </c>
      <c r="T21">
        <v>158</v>
      </c>
      <c r="U21" s="15">
        <v>133</v>
      </c>
      <c r="V21" s="8">
        <v>0.81176470588235294</v>
      </c>
      <c r="W21">
        <f t="shared" si="0"/>
        <v>598</v>
      </c>
    </row>
    <row r="22" spans="1:23">
      <c r="A22" s="6">
        <v>44947</v>
      </c>
      <c r="B22" t="s">
        <v>67</v>
      </c>
      <c r="C22">
        <v>5</v>
      </c>
      <c r="D22">
        <v>1</v>
      </c>
      <c r="E22">
        <v>1</v>
      </c>
      <c r="F22">
        <v>0</v>
      </c>
      <c r="H22">
        <v>1</v>
      </c>
      <c r="I22">
        <v>0</v>
      </c>
      <c r="J22">
        <v>0</v>
      </c>
      <c r="K22">
        <v>0</v>
      </c>
      <c r="L22" s="7">
        <v>11.9</v>
      </c>
      <c r="M22" s="7">
        <v>27.7</v>
      </c>
      <c r="N22">
        <v>226</v>
      </c>
      <c r="O22" s="15">
        <v>198</v>
      </c>
      <c r="P22" s="8">
        <v>0.69285714285714284</v>
      </c>
      <c r="Q22">
        <v>255</v>
      </c>
      <c r="R22" s="15">
        <v>221</v>
      </c>
      <c r="S22" s="8">
        <v>0.85599999999999998</v>
      </c>
      <c r="T22">
        <v>174</v>
      </c>
      <c r="U22" s="15">
        <v>154</v>
      </c>
      <c r="V22" s="8">
        <v>0.90588235294117647</v>
      </c>
      <c r="W22">
        <f t="shared" si="0"/>
        <v>655</v>
      </c>
    </row>
    <row r="23" spans="1:23">
      <c r="A23" s="6">
        <v>44948</v>
      </c>
      <c r="B23" t="s">
        <v>60</v>
      </c>
      <c r="C23">
        <v>6</v>
      </c>
      <c r="D23">
        <v>1</v>
      </c>
      <c r="E23">
        <v>1</v>
      </c>
      <c r="F23">
        <v>0</v>
      </c>
      <c r="H23">
        <v>1</v>
      </c>
      <c r="I23">
        <v>0</v>
      </c>
      <c r="J23">
        <v>0</v>
      </c>
      <c r="K23">
        <v>0</v>
      </c>
      <c r="L23" s="7">
        <v>0</v>
      </c>
      <c r="M23" s="7">
        <v>29.2</v>
      </c>
      <c r="N23">
        <v>228</v>
      </c>
      <c r="O23" s="15">
        <v>185</v>
      </c>
      <c r="P23" s="8">
        <v>0.70714285714285718</v>
      </c>
      <c r="Q23">
        <v>259</v>
      </c>
      <c r="R23" s="15">
        <v>235</v>
      </c>
      <c r="S23" s="8">
        <v>0.85599999999999998</v>
      </c>
      <c r="T23">
        <v>175</v>
      </c>
      <c r="U23" s="15">
        <v>152</v>
      </c>
      <c r="V23" s="8">
        <v>0.96470588235294119</v>
      </c>
      <c r="W23">
        <f t="shared" si="0"/>
        <v>662</v>
      </c>
    </row>
    <row r="24" spans="1:23">
      <c r="A24" s="6">
        <v>44949</v>
      </c>
      <c r="B24" t="s">
        <v>62</v>
      </c>
      <c r="C24">
        <v>0</v>
      </c>
      <c r="D24">
        <v>1</v>
      </c>
      <c r="E24">
        <v>0</v>
      </c>
      <c r="F24">
        <v>0</v>
      </c>
      <c r="H24">
        <v>1</v>
      </c>
      <c r="I24">
        <v>0</v>
      </c>
      <c r="J24">
        <v>0</v>
      </c>
      <c r="K24">
        <v>0</v>
      </c>
      <c r="L24" s="7">
        <v>0</v>
      </c>
      <c r="M24" s="7">
        <v>28.4</v>
      </c>
      <c r="N24">
        <v>238</v>
      </c>
      <c r="O24" s="15">
        <v>191</v>
      </c>
      <c r="P24" s="8">
        <v>0.7142857142857143</v>
      </c>
      <c r="Q24">
        <v>216</v>
      </c>
      <c r="R24" s="15">
        <v>196</v>
      </c>
      <c r="S24" s="8">
        <v>0.74399999999999999</v>
      </c>
      <c r="T24">
        <v>157</v>
      </c>
      <c r="U24" s="15">
        <v>126</v>
      </c>
      <c r="V24" s="8">
        <v>0.82352941176470584</v>
      </c>
      <c r="W24">
        <f t="shared" si="0"/>
        <v>611</v>
      </c>
    </row>
    <row r="25" spans="1:23">
      <c r="A25" s="6">
        <v>44950</v>
      </c>
      <c r="B25" t="s">
        <v>63</v>
      </c>
      <c r="C25">
        <v>1</v>
      </c>
      <c r="D25">
        <v>1</v>
      </c>
      <c r="E25">
        <v>0</v>
      </c>
      <c r="F25">
        <v>0</v>
      </c>
      <c r="H25">
        <v>1</v>
      </c>
      <c r="I25">
        <v>0</v>
      </c>
      <c r="J25">
        <v>0</v>
      </c>
      <c r="K25">
        <v>0</v>
      </c>
      <c r="L25" s="7">
        <v>12.3</v>
      </c>
      <c r="M25" s="7">
        <v>29</v>
      </c>
      <c r="N25">
        <v>231</v>
      </c>
      <c r="O25" s="15">
        <v>214</v>
      </c>
      <c r="P25" s="8">
        <v>0.69285714285714284</v>
      </c>
      <c r="Q25">
        <v>213</v>
      </c>
      <c r="R25" s="15">
        <v>194</v>
      </c>
      <c r="S25" s="8">
        <v>0.69599999999999995</v>
      </c>
      <c r="T25">
        <v>151</v>
      </c>
      <c r="U25" s="15">
        <v>133</v>
      </c>
      <c r="V25" s="8">
        <v>0.78823529411764703</v>
      </c>
      <c r="W25">
        <f t="shared" si="0"/>
        <v>595</v>
      </c>
    </row>
    <row r="26" spans="1:23">
      <c r="A26" s="6">
        <v>44951</v>
      </c>
      <c r="B26" t="s">
        <v>64</v>
      </c>
      <c r="C26">
        <v>2</v>
      </c>
      <c r="D26">
        <v>1</v>
      </c>
      <c r="E26">
        <v>0</v>
      </c>
      <c r="F26">
        <v>0</v>
      </c>
      <c r="H26">
        <v>1</v>
      </c>
      <c r="I26">
        <v>0</v>
      </c>
      <c r="J26">
        <v>0</v>
      </c>
      <c r="K26">
        <v>0</v>
      </c>
      <c r="L26" s="7">
        <v>9</v>
      </c>
      <c r="M26" s="7">
        <v>29.3</v>
      </c>
      <c r="N26">
        <v>214</v>
      </c>
      <c r="O26" s="15">
        <v>190</v>
      </c>
      <c r="P26" s="8">
        <v>0.63571428571428568</v>
      </c>
      <c r="Q26">
        <v>230</v>
      </c>
      <c r="R26" s="15">
        <v>208</v>
      </c>
      <c r="S26" s="8">
        <v>0.752</v>
      </c>
      <c r="T26">
        <v>155</v>
      </c>
      <c r="U26" s="15">
        <v>142</v>
      </c>
      <c r="V26" s="8">
        <v>0.82352941176470584</v>
      </c>
      <c r="W26">
        <f t="shared" si="0"/>
        <v>599</v>
      </c>
    </row>
    <row r="27" spans="1:23">
      <c r="A27" s="6">
        <v>44952</v>
      </c>
      <c r="B27" t="s">
        <v>65</v>
      </c>
      <c r="C27">
        <v>3</v>
      </c>
      <c r="D27">
        <v>1</v>
      </c>
      <c r="E27">
        <v>0</v>
      </c>
      <c r="F27">
        <v>0</v>
      </c>
      <c r="H27">
        <v>1</v>
      </c>
      <c r="I27">
        <v>0</v>
      </c>
      <c r="J27">
        <v>0</v>
      </c>
      <c r="K27">
        <v>0</v>
      </c>
      <c r="L27" s="7">
        <v>1.9</v>
      </c>
      <c r="M27" s="7">
        <v>29.1</v>
      </c>
      <c r="N27">
        <v>216</v>
      </c>
      <c r="O27" s="15">
        <v>194</v>
      </c>
      <c r="P27" s="8">
        <v>0.67142857142857137</v>
      </c>
      <c r="Q27">
        <v>188</v>
      </c>
      <c r="R27" s="15">
        <v>170</v>
      </c>
      <c r="S27" s="8">
        <v>0.64800000000000002</v>
      </c>
      <c r="T27">
        <v>163</v>
      </c>
      <c r="U27" s="15">
        <v>137</v>
      </c>
      <c r="V27" s="8">
        <v>0.83529411764705885</v>
      </c>
      <c r="W27">
        <f t="shared" si="0"/>
        <v>567</v>
      </c>
    </row>
    <row r="28" spans="1:23">
      <c r="A28" s="6">
        <v>44953</v>
      </c>
      <c r="B28" t="s">
        <v>66</v>
      </c>
      <c r="C28">
        <v>4</v>
      </c>
      <c r="D28">
        <v>1</v>
      </c>
      <c r="E28">
        <v>0</v>
      </c>
      <c r="F28">
        <v>0</v>
      </c>
      <c r="H28">
        <v>1</v>
      </c>
      <c r="I28">
        <v>0</v>
      </c>
      <c r="J28">
        <v>0</v>
      </c>
      <c r="K28">
        <v>0</v>
      </c>
      <c r="L28" s="7">
        <v>3.2</v>
      </c>
      <c r="M28" s="7">
        <v>27.6</v>
      </c>
      <c r="N28">
        <v>214</v>
      </c>
      <c r="O28" s="15">
        <v>190</v>
      </c>
      <c r="P28" s="8">
        <v>0.63571428571428568</v>
      </c>
      <c r="Q28">
        <v>224</v>
      </c>
      <c r="R28" s="15">
        <v>187</v>
      </c>
      <c r="S28" s="8">
        <v>0.74399999999999999</v>
      </c>
      <c r="T28">
        <v>145</v>
      </c>
      <c r="U28" s="15">
        <v>131</v>
      </c>
      <c r="V28" s="8">
        <v>0.77647058823529413</v>
      </c>
      <c r="W28">
        <f t="shared" si="0"/>
        <v>583</v>
      </c>
    </row>
    <row r="29" spans="1:23">
      <c r="A29" s="6">
        <v>44954</v>
      </c>
      <c r="B29" t="s">
        <v>67</v>
      </c>
      <c r="C29">
        <v>5</v>
      </c>
      <c r="D29">
        <v>1</v>
      </c>
      <c r="E29">
        <v>1</v>
      </c>
      <c r="F29">
        <v>0</v>
      </c>
      <c r="H29">
        <v>1</v>
      </c>
      <c r="I29">
        <v>0</v>
      </c>
      <c r="J29">
        <v>0</v>
      </c>
      <c r="K29">
        <v>0</v>
      </c>
      <c r="L29" s="7">
        <v>5.8</v>
      </c>
      <c r="M29" s="7">
        <v>27.6</v>
      </c>
      <c r="N29">
        <v>244</v>
      </c>
      <c r="O29" s="15">
        <v>229</v>
      </c>
      <c r="P29" s="8">
        <v>0.73571428571428577</v>
      </c>
      <c r="Q29">
        <v>238</v>
      </c>
      <c r="R29" s="15">
        <v>194</v>
      </c>
      <c r="S29" s="8">
        <v>0.78400000000000003</v>
      </c>
      <c r="T29">
        <v>178</v>
      </c>
      <c r="U29" s="15">
        <v>162</v>
      </c>
      <c r="V29" s="8">
        <v>0.90588235294117647</v>
      </c>
      <c r="W29">
        <f t="shared" si="0"/>
        <v>660</v>
      </c>
    </row>
    <row r="30" spans="1:23">
      <c r="A30" s="6">
        <v>44955</v>
      </c>
      <c r="B30" t="s">
        <v>60</v>
      </c>
      <c r="C30">
        <v>6</v>
      </c>
      <c r="D30">
        <v>1</v>
      </c>
      <c r="E30">
        <v>1</v>
      </c>
      <c r="F30">
        <v>0</v>
      </c>
      <c r="H30">
        <v>1</v>
      </c>
      <c r="I30">
        <v>0</v>
      </c>
      <c r="J30">
        <v>0</v>
      </c>
      <c r="K30">
        <v>0</v>
      </c>
      <c r="L30" s="7">
        <v>15.5</v>
      </c>
      <c r="M30" s="7">
        <v>28.3</v>
      </c>
      <c r="N30">
        <v>237</v>
      </c>
      <c r="O30" s="15">
        <v>221</v>
      </c>
      <c r="P30" s="8">
        <v>0.69285714285714284</v>
      </c>
      <c r="Q30">
        <v>249</v>
      </c>
      <c r="R30" s="15">
        <v>210</v>
      </c>
      <c r="S30" s="8">
        <v>0.81599999999999995</v>
      </c>
      <c r="T30">
        <v>174</v>
      </c>
      <c r="U30" s="15">
        <v>148</v>
      </c>
      <c r="V30" s="8">
        <v>0.90588235294117647</v>
      </c>
      <c r="W30">
        <f t="shared" si="0"/>
        <v>660</v>
      </c>
    </row>
    <row r="31" spans="1:23">
      <c r="A31" s="6">
        <v>44956</v>
      </c>
      <c r="B31" t="s">
        <v>62</v>
      </c>
      <c r="C31">
        <v>0</v>
      </c>
      <c r="D31">
        <v>1</v>
      </c>
      <c r="E31">
        <v>0</v>
      </c>
      <c r="F31">
        <v>0</v>
      </c>
      <c r="H31">
        <v>1</v>
      </c>
      <c r="I31">
        <v>0</v>
      </c>
      <c r="J31">
        <v>0</v>
      </c>
      <c r="K31">
        <v>0</v>
      </c>
      <c r="L31" s="7">
        <v>8.5</v>
      </c>
      <c r="M31" s="7">
        <v>28.5</v>
      </c>
      <c r="N31">
        <v>231</v>
      </c>
      <c r="O31" s="15">
        <v>208</v>
      </c>
      <c r="P31" s="8">
        <v>0.7</v>
      </c>
      <c r="Q31">
        <v>205</v>
      </c>
      <c r="R31" s="15">
        <v>164</v>
      </c>
      <c r="S31" s="8">
        <v>0.70399999999999996</v>
      </c>
      <c r="T31">
        <v>148</v>
      </c>
      <c r="U31" s="15">
        <v>122</v>
      </c>
      <c r="V31" s="8">
        <v>0.77647058823529413</v>
      </c>
      <c r="W31">
        <f t="shared" si="0"/>
        <v>584</v>
      </c>
    </row>
    <row r="32" spans="1:23">
      <c r="A32" s="6">
        <v>44957</v>
      </c>
      <c r="B32" t="s">
        <v>63</v>
      </c>
      <c r="C32">
        <v>1</v>
      </c>
      <c r="D32">
        <v>1</v>
      </c>
      <c r="E32">
        <v>0</v>
      </c>
      <c r="F32">
        <v>0</v>
      </c>
      <c r="H32">
        <v>1</v>
      </c>
      <c r="I32">
        <v>0</v>
      </c>
      <c r="J32">
        <v>0</v>
      </c>
      <c r="K32">
        <v>0</v>
      </c>
      <c r="L32" s="7">
        <v>11.1</v>
      </c>
      <c r="M32" s="7">
        <v>29.3</v>
      </c>
      <c r="N32">
        <v>211</v>
      </c>
      <c r="O32" s="15">
        <v>190</v>
      </c>
      <c r="P32" s="8">
        <v>0.65714285714285714</v>
      </c>
      <c r="Q32">
        <v>231</v>
      </c>
      <c r="R32" s="15">
        <v>216</v>
      </c>
      <c r="S32" s="8">
        <v>0.752</v>
      </c>
      <c r="T32">
        <v>166</v>
      </c>
      <c r="U32" s="15">
        <v>135</v>
      </c>
      <c r="V32" s="8">
        <v>0.87058823529411766</v>
      </c>
      <c r="W32">
        <f t="shared" si="0"/>
        <v>608</v>
      </c>
    </row>
    <row r="33" spans="1:23">
      <c r="A33" s="6">
        <v>44958</v>
      </c>
      <c r="B33" t="s">
        <v>64</v>
      </c>
      <c r="C33">
        <v>2</v>
      </c>
      <c r="D33">
        <v>2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L33" s="7">
        <v>0</v>
      </c>
      <c r="M33" s="7">
        <v>28.5</v>
      </c>
      <c r="N33">
        <v>218</v>
      </c>
      <c r="O33" s="15">
        <v>195</v>
      </c>
      <c r="P33" s="8">
        <v>0.65714285714285714</v>
      </c>
      <c r="Q33">
        <v>179</v>
      </c>
      <c r="R33" s="15">
        <v>148</v>
      </c>
      <c r="S33" s="8">
        <v>0.61599999999999999</v>
      </c>
      <c r="T33">
        <v>124</v>
      </c>
      <c r="U33" s="15">
        <v>110</v>
      </c>
      <c r="V33" s="8">
        <v>0.6705882352941176</v>
      </c>
      <c r="W33">
        <f t="shared" si="0"/>
        <v>521</v>
      </c>
    </row>
    <row r="34" spans="1:23">
      <c r="A34" s="6">
        <v>44959</v>
      </c>
      <c r="B34" t="s">
        <v>65</v>
      </c>
      <c r="C34">
        <v>3</v>
      </c>
      <c r="D34">
        <v>2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L34" s="7">
        <v>0</v>
      </c>
      <c r="M34" s="7">
        <v>28.3</v>
      </c>
      <c r="N34">
        <v>197</v>
      </c>
      <c r="O34" s="15">
        <v>179</v>
      </c>
      <c r="P34" s="8">
        <v>0.6</v>
      </c>
      <c r="Q34">
        <v>187</v>
      </c>
      <c r="R34" s="15">
        <v>170</v>
      </c>
      <c r="S34" s="8">
        <v>0.64</v>
      </c>
      <c r="T34">
        <v>117</v>
      </c>
      <c r="U34" s="15">
        <v>104</v>
      </c>
      <c r="V34" s="8">
        <v>0.6588235294117647</v>
      </c>
      <c r="W34">
        <f t="shared" si="0"/>
        <v>501</v>
      </c>
    </row>
    <row r="35" spans="1:23">
      <c r="A35" s="6">
        <v>44960</v>
      </c>
      <c r="B35" t="s">
        <v>66</v>
      </c>
      <c r="C35">
        <v>4</v>
      </c>
      <c r="D35">
        <v>2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L35" s="7">
        <v>17.8</v>
      </c>
      <c r="M35" s="7">
        <v>27.6</v>
      </c>
      <c r="N35">
        <v>210</v>
      </c>
      <c r="O35" s="15">
        <v>190</v>
      </c>
      <c r="P35" s="8">
        <v>0.62142857142857144</v>
      </c>
      <c r="Q35">
        <v>177</v>
      </c>
      <c r="R35" s="15">
        <v>143</v>
      </c>
      <c r="S35" s="8">
        <v>0.60799999999999998</v>
      </c>
      <c r="T35">
        <v>130</v>
      </c>
      <c r="U35" s="15">
        <v>119</v>
      </c>
      <c r="V35" s="8">
        <v>0.6705882352941176</v>
      </c>
      <c r="W35">
        <f t="shared" si="0"/>
        <v>517</v>
      </c>
    </row>
    <row r="36" spans="1:23">
      <c r="A36" s="6">
        <v>44961</v>
      </c>
      <c r="B36" t="s">
        <v>67</v>
      </c>
      <c r="C36">
        <v>5</v>
      </c>
      <c r="D36">
        <v>2</v>
      </c>
      <c r="E36">
        <v>1</v>
      </c>
      <c r="F36">
        <v>0</v>
      </c>
      <c r="H36">
        <v>0</v>
      </c>
      <c r="I36">
        <v>0</v>
      </c>
      <c r="J36">
        <v>0</v>
      </c>
      <c r="K36">
        <v>0</v>
      </c>
      <c r="L36" s="7">
        <v>10.1</v>
      </c>
      <c r="M36" s="7">
        <v>28.7</v>
      </c>
      <c r="N36">
        <v>201</v>
      </c>
      <c r="O36" s="15">
        <v>173</v>
      </c>
      <c r="P36" s="8">
        <v>0.62857142857142856</v>
      </c>
      <c r="Q36">
        <v>193</v>
      </c>
      <c r="R36" s="15">
        <v>163</v>
      </c>
      <c r="S36" s="8">
        <v>0.67200000000000004</v>
      </c>
      <c r="T36">
        <v>148</v>
      </c>
      <c r="U36" s="15">
        <v>133</v>
      </c>
      <c r="V36" s="8">
        <v>0.77647058823529413</v>
      </c>
      <c r="W36">
        <f t="shared" si="0"/>
        <v>542</v>
      </c>
    </row>
    <row r="37" spans="1:23">
      <c r="A37" s="6">
        <v>44962</v>
      </c>
      <c r="B37" t="s">
        <v>60</v>
      </c>
      <c r="C37">
        <v>6</v>
      </c>
      <c r="D37">
        <v>2</v>
      </c>
      <c r="E37">
        <v>1</v>
      </c>
      <c r="F37">
        <v>0</v>
      </c>
      <c r="H37">
        <v>0</v>
      </c>
      <c r="I37">
        <v>0</v>
      </c>
      <c r="J37">
        <v>0</v>
      </c>
      <c r="K37">
        <v>0</v>
      </c>
      <c r="L37" s="7">
        <v>11.4</v>
      </c>
      <c r="M37" s="7">
        <v>29.5</v>
      </c>
      <c r="N37">
        <v>247</v>
      </c>
      <c r="O37" s="15">
        <v>205</v>
      </c>
      <c r="P37" s="8">
        <v>0.75714285714285712</v>
      </c>
      <c r="Q37">
        <v>206</v>
      </c>
      <c r="R37" s="15">
        <v>190</v>
      </c>
      <c r="S37" s="8">
        <v>0.68</v>
      </c>
      <c r="T37">
        <v>140</v>
      </c>
      <c r="U37" s="15">
        <v>130</v>
      </c>
      <c r="V37" s="8">
        <v>0.71764705882352942</v>
      </c>
      <c r="W37">
        <f t="shared" si="0"/>
        <v>593</v>
      </c>
    </row>
    <row r="38" spans="1:23">
      <c r="A38" s="6">
        <v>44963</v>
      </c>
      <c r="B38" t="s">
        <v>62</v>
      </c>
      <c r="C38">
        <v>0</v>
      </c>
      <c r="D38">
        <v>2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 s="7">
        <v>0</v>
      </c>
      <c r="M38" s="7">
        <v>29.1</v>
      </c>
      <c r="N38">
        <v>201</v>
      </c>
      <c r="O38" s="15">
        <v>182</v>
      </c>
      <c r="P38" s="8">
        <v>0.59285714285714286</v>
      </c>
      <c r="Q38">
        <v>165</v>
      </c>
      <c r="R38" s="15">
        <v>149</v>
      </c>
      <c r="S38" s="8">
        <v>0.56799999999999995</v>
      </c>
      <c r="T38">
        <v>121</v>
      </c>
      <c r="U38" s="15">
        <v>109</v>
      </c>
      <c r="V38" s="8">
        <v>0.62352941176470589</v>
      </c>
      <c r="W38">
        <f t="shared" si="0"/>
        <v>487</v>
      </c>
    </row>
    <row r="39" spans="1:23">
      <c r="A39" s="6">
        <v>44964</v>
      </c>
      <c r="B39" t="s">
        <v>63</v>
      </c>
      <c r="C39">
        <v>1</v>
      </c>
      <c r="D39">
        <v>2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 s="7">
        <v>1.6</v>
      </c>
      <c r="M39" s="7">
        <v>28.5</v>
      </c>
      <c r="N39">
        <v>203</v>
      </c>
      <c r="O39" s="15">
        <v>180</v>
      </c>
      <c r="P39" s="8">
        <v>0.62142857142857144</v>
      </c>
      <c r="Q39">
        <v>171</v>
      </c>
      <c r="R39" s="15">
        <v>152</v>
      </c>
      <c r="S39" s="8">
        <v>0.56799999999999995</v>
      </c>
      <c r="T39">
        <v>134</v>
      </c>
      <c r="U39" s="15">
        <v>116</v>
      </c>
      <c r="V39" s="8">
        <v>0.70588235294117652</v>
      </c>
      <c r="W39">
        <f t="shared" si="0"/>
        <v>508</v>
      </c>
    </row>
    <row r="40" spans="1:23">
      <c r="A40" s="6">
        <v>44965</v>
      </c>
      <c r="B40" t="s">
        <v>64</v>
      </c>
      <c r="C40">
        <v>2</v>
      </c>
      <c r="D40">
        <v>2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L40" s="7">
        <v>0</v>
      </c>
      <c r="M40" s="7">
        <v>27.6</v>
      </c>
      <c r="N40">
        <v>193</v>
      </c>
      <c r="O40" s="15">
        <v>160</v>
      </c>
      <c r="P40" s="8">
        <v>0.6</v>
      </c>
      <c r="Q40">
        <v>163</v>
      </c>
      <c r="R40" s="15">
        <v>143</v>
      </c>
      <c r="S40" s="8">
        <v>0.56799999999999995</v>
      </c>
      <c r="T40">
        <v>124</v>
      </c>
      <c r="U40" s="15">
        <v>108</v>
      </c>
      <c r="V40" s="8">
        <v>0.68235294117647061</v>
      </c>
      <c r="W40">
        <f t="shared" si="0"/>
        <v>480</v>
      </c>
    </row>
    <row r="41" spans="1:23">
      <c r="A41" s="6">
        <v>44966</v>
      </c>
      <c r="B41" t="s">
        <v>65</v>
      </c>
      <c r="C41">
        <v>3</v>
      </c>
      <c r="D41">
        <v>2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L41" s="7">
        <v>7.1</v>
      </c>
      <c r="M41" s="7">
        <v>27.8</v>
      </c>
      <c r="N41">
        <v>194</v>
      </c>
      <c r="O41" s="15">
        <v>175</v>
      </c>
      <c r="P41" s="8">
        <v>0.6</v>
      </c>
      <c r="Q41">
        <v>173</v>
      </c>
      <c r="R41" s="15">
        <v>157</v>
      </c>
      <c r="S41" s="8">
        <v>0.58399999999999996</v>
      </c>
      <c r="T41">
        <v>134</v>
      </c>
      <c r="U41" s="15">
        <v>109</v>
      </c>
      <c r="V41" s="8">
        <v>0.6705882352941176</v>
      </c>
      <c r="W41">
        <f t="shared" si="0"/>
        <v>501</v>
      </c>
    </row>
    <row r="42" spans="1:23">
      <c r="A42" s="6">
        <v>44967</v>
      </c>
      <c r="B42" t="s">
        <v>66</v>
      </c>
      <c r="C42">
        <v>4</v>
      </c>
      <c r="D42">
        <v>2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L42" s="7">
        <v>3.5</v>
      </c>
      <c r="M42" s="7">
        <v>28.3</v>
      </c>
      <c r="N42">
        <v>182</v>
      </c>
      <c r="O42" s="15">
        <v>151</v>
      </c>
      <c r="P42" s="8">
        <v>0.5714285714285714</v>
      </c>
      <c r="Q42">
        <v>159</v>
      </c>
      <c r="R42" s="15">
        <v>148</v>
      </c>
      <c r="S42" s="8">
        <v>0.53600000000000003</v>
      </c>
      <c r="T42">
        <v>130</v>
      </c>
      <c r="U42" s="15">
        <v>108</v>
      </c>
      <c r="V42" s="8">
        <v>0.68235294117647061</v>
      </c>
      <c r="W42">
        <f t="shared" si="0"/>
        <v>471</v>
      </c>
    </row>
    <row r="43" spans="1:23">
      <c r="A43" s="6">
        <v>44968</v>
      </c>
      <c r="B43" t="s">
        <v>67</v>
      </c>
      <c r="C43">
        <v>5</v>
      </c>
      <c r="D43">
        <v>2</v>
      </c>
      <c r="E43">
        <v>1</v>
      </c>
      <c r="F43">
        <v>0</v>
      </c>
      <c r="H43">
        <v>0</v>
      </c>
      <c r="I43">
        <v>0</v>
      </c>
      <c r="J43">
        <v>0</v>
      </c>
      <c r="K43">
        <v>0</v>
      </c>
      <c r="L43" s="7">
        <v>7.3</v>
      </c>
      <c r="M43" s="7">
        <v>27.6</v>
      </c>
      <c r="N43">
        <v>238</v>
      </c>
      <c r="O43" s="15">
        <v>223</v>
      </c>
      <c r="P43" s="8">
        <v>0.73571428571428577</v>
      </c>
      <c r="Q43">
        <v>219</v>
      </c>
      <c r="R43" s="15">
        <v>180</v>
      </c>
      <c r="S43" s="8">
        <v>0.72</v>
      </c>
      <c r="T43">
        <v>137</v>
      </c>
      <c r="U43" s="15">
        <v>120</v>
      </c>
      <c r="V43" s="8">
        <v>0.72941176470588232</v>
      </c>
      <c r="W43">
        <f t="shared" si="0"/>
        <v>594</v>
      </c>
    </row>
    <row r="44" spans="1:23">
      <c r="A44" s="6">
        <v>44969</v>
      </c>
      <c r="B44" t="s">
        <v>60</v>
      </c>
      <c r="C44">
        <v>6</v>
      </c>
      <c r="D44">
        <v>2</v>
      </c>
      <c r="E44">
        <v>1</v>
      </c>
      <c r="F44">
        <v>0</v>
      </c>
      <c r="H44">
        <v>0</v>
      </c>
      <c r="I44">
        <v>0</v>
      </c>
      <c r="J44">
        <v>0</v>
      </c>
      <c r="K44">
        <v>0</v>
      </c>
      <c r="L44" s="7">
        <v>9.1</v>
      </c>
      <c r="M44" s="7">
        <v>27</v>
      </c>
      <c r="N44">
        <v>212</v>
      </c>
      <c r="O44" s="15">
        <v>179</v>
      </c>
      <c r="P44" s="8">
        <v>0.65</v>
      </c>
      <c r="Q44">
        <v>224</v>
      </c>
      <c r="R44" s="15">
        <v>195</v>
      </c>
      <c r="S44" s="8">
        <v>0.72</v>
      </c>
      <c r="T44">
        <v>142</v>
      </c>
      <c r="U44" s="15">
        <v>128</v>
      </c>
      <c r="V44" s="8">
        <v>0.76470588235294112</v>
      </c>
      <c r="W44">
        <f t="shared" si="0"/>
        <v>578</v>
      </c>
    </row>
    <row r="45" spans="1:23">
      <c r="A45" s="6">
        <v>44970</v>
      </c>
      <c r="B45" t="s">
        <v>62</v>
      </c>
      <c r="C45">
        <v>0</v>
      </c>
      <c r="D45">
        <v>2</v>
      </c>
      <c r="E45">
        <v>0</v>
      </c>
      <c r="F45">
        <v>0</v>
      </c>
      <c r="H45">
        <v>0</v>
      </c>
      <c r="I45">
        <v>0</v>
      </c>
      <c r="J45">
        <v>0</v>
      </c>
      <c r="K45">
        <v>0</v>
      </c>
      <c r="L45" s="7">
        <v>0</v>
      </c>
      <c r="M45" s="7">
        <v>29.4</v>
      </c>
      <c r="N45">
        <v>207</v>
      </c>
      <c r="O45" s="15">
        <v>168</v>
      </c>
      <c r="P45" s="8">
        <v>0.65</v>
      </c>
      <c r="Q45">
        <v>151</v>
      </c>
      <c r="R45" s="15">
        <v>136</v>
      </c>
      <c r="S45" s="8">
        <v>0.52</v>
      </c>
      <c r="T45">
        <v>106</v>
      </c>
      <c r="U45" s="15">
        <v>95</v>
      </c>
      <c r="V45" s="8">
        <v>0.58823529411764708</v>
      </c>
      <c r="W45">
        <f t="shared" si="0"/>
        <v>464</v>
      </c>
    </row>
    <row r="46" spans="1:23">
      <c r="A46" s="6">
        <v>44971</v>
      </c>
      <c r="B46" t="s">
        <v>63</v>
      </c>
      <c r="C46">
        <v>1</v>
      </c>
      <c r="D46">
        <v>2</v>
      </c>
      <c r="E46">
        <v>0</v>
      </c>
      <c r="F46">
        <v>0</v>
      </c>
      <c r="H46">
        <v>0</v>
      </c>
      <c r="I46">
        <v>0</v>
      </c>
      <c r="J46">
        <v>0</v>
      </c>
      <c r="K46">
        <v>0</v>
      </c>
      <c r="L46" s="7">
        <v>16.3</v>
      </c>
      <c r="M46" s="7">
        <v>28.3</v>
      </c>
      <c r="N46">
        <v>209</v>
      </c>
      <c r="O46" s="15">
        <v>181</v>
      </c>
      <c r="P46" s="8">
        <v>0.63571428571428568</v>
      </c>
      <c r="Q46">
        <v>173</v>
      </c>
      <c r="R46" s="15">
        <v>155</v>
      </c>
      <c r="S46" s="8">
        <v>0.55200000000000005</v>
      </c>
      <c r="T46">
        <v>117</v>
      </c>
      <c r="U46" s="15">
        <v>105</v>
      </c>
      <c r="V46" s="8">
        <v>0.6</v>
      </c>
      <c r="W46">
        <f t="shared" si="0"/>
        <v>499</v>
      </c>
    </row>
    <row r="47" spans="1:23">
      <c r="A47" s="6">
        <v>44972</v>
      </c>
      <c r="B47" t="s">
        <v>64</v>
      </c>
      <c r="C47">
        <v>2</v>
      </c>
      <c r="D47">
        <v>2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 s="7">
        <v>0</v>
      </c>
      <c r="M47" s="7">
        <v>27.4</v>
      </c>
      <c r="N47">
        <v>179</v>
      </c>
      <c r="O47" s="15">
        <v>155</v>
      </c>
      <c r="P47" s="8">
        <v>0.5357142857142857</v>
      </c>
      <c r="Q47">
        <v>189</v>
      </c>
      <c r="R47" s="15">
        <v>158</v>
      </c>
      <c r="S47" s="8">
        <v>0.624</v>
      </c>
      <c r="T47">
        <v>112</v>
      </c>
      <c r="U47" s="15">
        <v>97</v>
      </c>
      <c r="V47" s="8">
        <v>0.6</v>
      </c>
      <c r="W47">
        <f t="shared" si="0"/>
        <v>480</v>
      </c>
    </row>
    <row r="48" spans="1:23">
      <c r="A48" s="6">
        <v>44973</v>
      </c>
      <c r="B48" t="s">
        <v>65</v>
      </c>
      <c r="C48">
        <v>3</v>
      </c>
      <c r="D48">
        <v>2</v>
      </c>
      <c r="E48">
        <v>0</v>
      </c>
      <c r="F48">
        <v>0</v>
      </c>
      <c r="H48">
        <v>0</v>
      </c>
      <c r="I48">
        <v>0</v>
      </c>
      <c r="J48">
        <v>0</v>
      </c>
      <c r="K48">
        <v>0</v>
      </c>
      <c r="L48" s="7">
        <v>6.6</v>
      </c>
      <c r="M48" s="7">
        <v>27.9</v>
      </c>
      <c r="N48">
        <v>196</v>
      </c>
      <c r="O48" s="15">
        <v>174</v>
      </c>
      <c r="P48" s="8">
        <v>0.6071428571428571</v>
      </c>
      <c r="Q48">
        <v>144</v>
      </c>
      <c r="R48" s="15">
        <v>121</v>
      </c>
      <c r="S48" s="8">
        <v>0.48</v>
      </c>
      <c r="T48">
        <v>116</v>
      </c>
      <c r="U48" s="15">
        <v>98</v>
      </c>
      <c r="V48" s="8">
        <v>0.61176470588235299</v>
      </c>
      <c r="W48">
        <f t="shared" si="0"/>
        <v>456</v>
      </c>
    </row>
    <row r="49" spans="1:23">
      <c r="A49" s="6">
        <v>44974</v>
      </c>
      <c r="B49" t="s">
        <v>66</v>
      </c>
      <c r="C49">
        <v>4</v>
      </c>
      <c r="D49">
        <v>2</v>
      </c>
      <c r="E49">
        <v>0</v>
      </c>
      <c r="F49">
        <v>0</v>
      </c>
      <c r="H49">
        <v>0</v>
      </c>
      <c r="I49">
        <v>1</v>
      </c>
      <c r="J49">
        <v>0</v>
      </c>
      <c r="K49">
        <v>0</v>
      </c>
      <c r="L49" s="7">
        <v>0</v>
      </c>
      <c r="M49" s="7">
        <v>28.5</v>
      </c>
      <c r="N49">
        <v>202</v>
      </c>
      <c r="O49" s="15">
        <v>174</v>
      </c>
      <c r="P49" s="8">
        <v>0.6071428571428571</v>
      </c>
      <c r="Q49">
        <v>188</v>
      </c>
      <c r="R49" s="15">
        <v>157</v>
      </c>
      <c r="S49" s="8">
        <v>0.624</v>
      </c>
      <c r="T49">
        <v>134</v>
      </c>
      <c r="U49" s="15">
        <v>117</v>
      </c>
      <c r="V49" s="8">
        <v>0.68235294117647061</v>
      </c>
      <c r="W49">
        <f t="shared" si="0"/>
        <v>524</v>
      </c>
    </row>
    <row r="50" spans="1:23">
      <c r="A50" s="6">
        <v>44975</v>
      </c>
      <c r="B50" t="s">
        <v>67</v>
      </c>
      <c r="C50">
        <v>5</v>
      </c>
      <c r="D50">
        <v>2</v>
      </c>
      <c r="E50">
        <v>1</v>
      </c>
      <c r="F50">
        <v>0</v>
      </c>
      <c r="H50">
        <v>0</v>
      </c>
      <c r="I50">
        <v>1</v>
      </c>
      <c r="J50">
        <v>0</v>
      </c>
      <c r="K50">
        <v>0</v>
      </c>
      <c r="L50" s="7">
        <v>11</v>
      </c>
      <c r="M50" s="7">
        <v>27.2</v>
      </c>
      <c r="N50">
        <v>233</v>
      </c>
      <c r="O50" s="15">
        <v>201</v>
      </c>
      <c r="P50" s="8">
        <v>0.72857142857142854</v>
      </c>
      <c r="Q50">
        <v>240</v>
      </c>
      <c r="R50" s="15">
        <v>205</v>
      </c>
      <c r="S50" s="8">
        <v>0.78400000000000003</v>
      </c>
      <c r="T50">
        <v>157</v>
      </c>
      <c r="U50" s="15">
        <v>135</v>
      </c>
      <c r="V50" s="8">
        <v>0.81176470588235294</v>
      </c>
      <c r="W50">
        <f t="shared" si="0"/>
        <v>630</v>
      </c>
    </row>
    <row r="51" spans="1:23">
      <c r="A51" s="6">
        <v>44976</v>
      </c>
      <c r="B51" t="s">
        <v>60</v>
      </c>
      <c r="C51">
        <v>6</v>
      </c>
      <c r="D51">
        <v>2</v>
      </c>
      <c r="E51">
        <v>1</v>
      </c>
      <c r="F51">
        <v>0</v>
      </c>
      <c r="H51">
        <v>0</v>
      </c>
      <c r="I51">
        <v>1</v>
      </c>
      <c r="J51">
        <v>0</v>
      </c>
      <c r="K51">
        <v>0</v>
      </c>
      <c r="L51" s="7">
        <v>2</v>
      </c>
      <c r="M51" s="7">
        <v>27</v>
      </c>
      <c r="N51">
        <v>241</v>
      </c>
      <c r="O51" s="15">
        <v>223</v>
      </c>
      <c r="P51" s="8">
        <v>0.74285714285714288</v>
      </c>
      <c r="Q51">
        <v>243</v>
      </c>
      <c r="R51" s="15">
        <v>203</v>
      </c>
      <c r="S51" s="8">
        <v>0.81599999999999995</v>
      </c>
      <c r="T51">
        <v>163</v>
      </c>
      <c r="U51" s="15">
        <v>135</v>
      </c>
      <c r="V51" s="8">
        <v>0.83529411764705885</v>
      </c>
      <c r="W51">
        <f t="shared" si="0"/>
        <v>647</v>
      </c>
    </row>
    <row r="52" spans="1:23">
      <c r="A52" s="6">
        <v>44977</v>
      </c>
      <c r="B52" t="s">
        <v>62</v>
      </c>
      <c r="C52">
        <v>0</v>
      </c>
      <c r="D52">
        <v>2</v>
      </c>
      <c r="E52">
        <v>0</v>
      </c>
      <c r="F52">
        <v>0</v>
      </c>
      <c r="H52">
        <v>0</v>
      </c>
      <c r="I52">
        <v>1</v>
      </c>
      <c r="J52">
        <v>0</v>
      </c>
      <c r="K52">
        <v>0</v>
      </c>
      <c r="L52" s="7">
        <v>10.1</v>
      </c>
      <c r="M52" s="7">
        <v>27.7</v>
      </c>
      <c r="N52">
        <v>205</v>
      </c>
      <c r="O52" s="15">
        <v>184</v>
      </c>
      <c r="P52" s="8">
        <v>0.63571428571428568</v>
      </c>
      <c r="Q52">
        <v>201</v>
      </c>
      <c r="R52" s="15">
        <v>178</v>
      </c>
      <c r="S52" s="8">
        <v>0.66400000000000003</v>
      </c>
      <c r="T52">
        <v>138</v>
      </c>
      <c r="U52" s="15">
        <v>116</v>
      </c>
      <c r="V52" s="8">
        <v>0.70588235294117652</v>
      </c>
      <c r="W52">
        <f t="shared" si="0"/>
        <v>544</v>
      </c>
    </row>
    <row r="53" spans="1:23">
      <c r="A53" s="6">
        <v>44978</v>
      </c>
      <c r="B53" t="s">
        <v>63</v>
      </c>
      <c r="C53">
        <v>1</v>
      </c>
      <c r="D53">
        <v>2</v>
      </c>
      <c r="E53">
        <v>0</v>
      </c>
      <c r="F53">
        <v>0</v>
      </c>
      <c r="H53">
        <v>0</v>
      </c>
      <c r="I53">
        <v>1</v>
      </c>
      <c r="J53">
        <v>0</v>
      </c>
      <c r="K53">
        <v>0</v>
      </c>
      <c r="L53" s="7">
        <v>0</v>
      </c>
      <c r="M53" s="7">
        <v>27.9</v>
      </c>
      <c r="N53">
        <v>219</v>
      </c>
      <c r="O53" s="15">
        <v>187</v>
      </c>
      <c r="P53" s="8">
        <v>0.65714285714285714</v>
      </c>
      <c r="Q53">
        <v>188</v>
      </c>
      <c r="R53" s="15">
        <v>166</v>
      </c>
      <c r="S53" s="8">
        <v>0.63200000000000001</v>
      </c>
      <c r="T53">
        <v>138</v>
      </c>
      <c r="U53" s="15">
        <v>125</v>
      </c>
      <c r="V53" s="8">
        <v>0.74117647058823533</v>
      </c>
      <c r="W53">
        <f t="shared" si="0"/>
        <v>545</v>
      </c>
    </row>
    <row r="54" spans="1:23">
      <c r="A54" s="6">
        <v>44979</v>
      </c>
      <c r="B54" t="s">
        <v>64</v>
      </c>
      <c r="C54">
        <v>2</v>
      </c>
      <c r="D54">
        <v>2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L54" s="7">
        <v>1.9</v>
      </c>
      <c r="M54" s="7">
        <v>28.2</v>
      </c>
      <c r="N54">
        <v>201</v>
      </c>
      <c r="O54" s="15">
        <v>179</v>
      </c>
      <c r="P54" s="8">
        <v>0.6071428571428571</v>
      </c>
      <c r="Q54">
        <v>155</v>
      </c>
      <c r="R54" s="15">
        <v>129</v>
      </c>
      <c r="S54" s="8">
        <v>0.51200000000000001</v>
      </c>
      <c r="T54">
        <v>115</v>
      </c>
      <c r="U54" s="15">
        <v>95</v>
      </c>
      <c r="V54" s="8">
        <v>0.61176470588235299</v>
      </c>
      <c r="W54">
        <f t="shared" si="0"/>
        <v>471</v>
      </c>
    </row>
    <row r="55" spans="1:23">
      <c r="A55" s="6">
        <v>44980</v>
      </c>
      <c r="B55" t="s">
        <v>65</v>
      </c>
      <c r="C55">
        <v>3</v>
      </c>
      <c r="D55">
        <v>2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 s="7">
        <v>0</v>
      </c>
      <c r="M55" s="7">
        <v>27.9</v>
      </c>
      <c r="N55">
        <v>199</v>
      </c>
      <c r="O55" s="15">
        <v>182</v>
      </c>
      <c r="P55" s="8">
        <v>0.58571428571428574</v>
      </c>
      <c r="Q55">
        <v>167</v>
      </c>
      <c r="R55" s="15">
        <v>147</v>
      </c>
      <c r="S55" s="8">
        <v>0.55200000000000005</v>
      </c>
      <c r="T55">
        <v>123</v>
      </c>
      <c r="U55" s="15">
        <v>102</v>
      </c>
      <c r="V55" s="8">
        <v>0.63529411764705879</v>
      </c>
      <c r="W55">
        <f t="shared" si="0"/>
        <v>489</v>
      </c>
    </row>
    <row r="56" spans="1:23">
      <c r="A56" s="6">
        <v>44981</v>
      </c>
      <c r="B56" t="s">
        <v>66</v>
      </c>
      <c r="C56">
        <v>4</v>
      </c>
      <c r="D56">
        <v>2</v>
      </c>
      <c r="E56">
        <v>0</v>
      </c>
      <c r="F56">
        <v>0</v>
      </c>
      <c r="H56">
        <v>0</v>
      </c>
      <c r="I56">
        <v>0</v>
      </c>
      <c r="J56">
        <v>0</v>
      </c>
      <c r="K56">
        <v>0</v>
      </c>
      <c r="L56" s="7">
        <v>18.2</v>
      </c>
      <c r="M56" s="7">
        <v>27.6</v>
      </c>
      <c r="N56">
        <v>192</v>
      </c>
      <c r="O56" s="15">
        <v>171</v>
      </c>
      <c r="P56" s="8">
        <v>0.56428571428571428</v>
      </c>
      <c r="Q56">
        <v>167</v>
      </c>
      <c r="R56" s="15">
        <v>141</v>
      </c>
      <c r="S56" s="8">
        <v>0.54400000000000004</v>
      </c>
      <c r="T56">
        <v>133</v>
      </c>
      <c r="U56" s="15">
        <v>124</v>
      </c>
      <c r="V56" s="8">
        <v>0.68235294117647061</v>
      </c>
      <c r="W56">
        <f t="shared" si="0"/>
        <v>492</v>
      </c>
    </row>
    <row r="57" spans="1:23">
      <c r="A57" s="6">
        <v>44982</v>
      </c>
      <c r="B57" t="s">
        <v>67</v>
      </c>
      <c r="C57">
        <v>5</v>
      </c>
      <c r="D57">
        <v>2</v>
      </c>
      <c r="E57">
        <v>1</v>
      </c>
      <c r="F57">
        <v>0</v>
      </c>
      <c r="H57">
        <v>0</v>
      </c>
      <c r="I57">
        <v>0</v>
      </c>
      <c r="J57">
        <v>0</v>
      </c>
      <c r="K57">
        <v>0</v>
      </c>
      <c r="L57" s="7">
        <v>6</v>
      </c>
      <c r="M57" s="7">
        <v>27.5</v>
      </c>
      <c r="N57">
        <v>199</v>
      </c>
      <c r="O57" s="15">
        <v>161</v>
      </c>
      <c r="P57" s="8">
        <v>0.6</v>
      </c>
      <c r="Q57">
        <v>179</v>
      </c>
      <c r="R57" s="15">
        <v>151</v>
      </c>
      <c r="S57" s="8">
        <v>0.58399999999999996</v>
      </c>
      <c r="T57">
        <v>140</v>
      </c>
      <c r="U57" s="15">
        <v>117</v>
      </c>
      <c r="V57" s="8">
        <v>0.72941176470588232</v>
      </c>
      <c r="W57">
        <f t="shared" si="0"/>
        <v>518</v>
      </c>
    </row>
    <row r="58" spans="1:23">
      <c r="A58" s="6">
        <v>44983</v>
      </c>
      <c r="B58" t="s">
        <v>60</v>
      </c>
      <c r="C58">
        <v>6</v>
      </c>
      <c r="D58">
        <v>2</v>
      </c>
      <c r="E58">
        <v>1</v>
      </c>
      <c r="F58">
        <v>0</v>
      </c>
      <c r="H58">
        <v>0</v>
      </c>
      <c r="I58">
        <v>0</v>
      </c>
      <c r="J58">
        <v>0</v>
      </c>
      <c r="K58">
        <v>0</v>
      </c>
      <c r="L58" s="7">
        <v>0</v>
      </c>
      <c r="M58" s="7">
        <v>29.3</v>
      </c>
      <c r="N58">
        <v>209</v>
      </c>
      <c r="O58" s="15">
        <v>182</v>
      </c>
      <c r="P58" s="8">
        <v>0.62857142857142856</v>
      </c>
      <c r="Q58">
        <v>182</v>
      </c>
      <c r="R58" s="15">
        <v>151</v>
      </c>
      <c r="S58" s="8">
        <v>0.6</v>
      </c>
      <c r="T58">
        <v>146</v>
      </c>
      <c r="U58" s="15">
        <v>123</v>
      </c>
      <c r="V58" s="8">
        <v>0.77647058823529413</v>
      </c>
      <c r="W58">
        <f t="shared" si="0"/>
        <v>537</v>
      </c>
    </row>
    <row r="59" spans="1:23">
      <c r="A59" s="6">
        <v>44984</v>
      </c>
      <c r="B59" t="s">
        <v>62</v>
      </c>
      <c r="C59">
        <v>0</v>
      </c>
      <c r="D59">
        <v>2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 s="7">
        <v>0</v>
      </c>
      <c r="M59" s="7">
        <v>28.4</v>
      </c>
      <c r="N59">
        <v>159</v>
      </c>
      <c r="O59" s="15">
        <v>132</v>
      </c>
      <c r="P59" s="8">
        <v>0.49285714285714288</v>
      </c>
      <c r="Q59">
        <v>171</v>
      </c>
      <c r="R59" s="15">
        <v>145</v>
      </c>
      <c r="S59" s="8">
        <v>0.56799999999999995</v>
      </c>
      <c r="T59">
        <v>116</v>
      </c>
      <c r="U59" s="15">
        <v>104</v>
      </c>
      <c r="V59" s="8">
        <v>0.62352941176470589</v>
      </c>
      <c r="W59">
        <f t="shared" si="0"/>
        <v>446</v>
      </c>
    </row>
    <row r="60" spans="1:23">
      <c r="A60" s="6">
        <v>44985</v>
      </c>
      <c r="B60" t="s">
        <v>63</v>
      </c>
      <c r="C60">
        <v>1</v>
      </c>
      <c r="D60">
        <v>2</v>
      </c>
      <c r="E60">
        <v>0</v>
      </c>
      <c r="F60">
        <v>0</v>
      </c>
      <c r="H60">
        <v>0</v>
      </c>
      <c r="I60">
        <v>0</v>
      </c>
      <c r="J60">
        <v>0</v>
      </c>
      <c r="K60">
        <v>0</v>
      </c>
      <c r="L60" s="7">
        <v>15.9</v>
      </c>
      <c r="M60" s="7">
        <v>28</v>
      </c>
      <c r="N60">
        <v>185</v>
      </c>
      <c r="O60" s="15">
        <v>149</v>
      </c>
      <c r="P60" s="8">
        <v>0.54285714285714282</v>
      </c>
      <c r="Q60">
        <v>165</v>
      </c>
      <c r="R60" s="15">
        <v>133</v>
      </c>
      <c r="S60" s="8">
        <v>0.55200000000000005</v>
      </c>
      <c r="T60">
        <v>123</v>
      </c>
      <c r="U60" s="15">
        <v>108</v>
      </c>
      <c r="V60" s="8">
        <v>0.6</v>
      </c>
      <c r="W60">
        <f t="shared" si="0"/>
        <v>473</v>
      </c>
    </row>
    <row r="61" spans="1:23">
      <c r="A61" s="6">
        <v>44986</v>
      </c>
      <c r="B61" t="s">
        <v>64</v>
      </c>
      <c r="C61">
        <v>2</v>
      </c>
      <c r="D61">
        <v>3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 s="7">
        <v>0</v>
      </c>
      <c r="M61" s="7">
        <v>27.9</v>
      </c>
      <c r="N61">
        <v>182</v>
      </c>
      <c r="O61" s="15">
        <v>160</v>
      </c>
      <c r="P61" s="8">
        <v>0.5357142857142857</v>
      </c>
      <c r="Q61">
        <v>148</v>
      </c>
      <c r="R61" s="15">
        <v>138</v>
      </c>
      <c r="S61" s="8">
        <v>0.496</v>
      </c>
      <c r="T61">
        <v>113</v>
      </c>
      <c r="U61" s="15">
        <v>104</v>
      </c>
      <c r="V61" s="8">
        <v>0.6</v>
      </c>
      <c r="W61">
        <f t="shared" si="0"/>
        <v>443</v>
      </c>
    </row>
    <row r="62" spans="1:23">
      <c r="A62" s="6">
        <v>44987</v>
      </c>
      <c r="B62" t="s">
        <v>65</v>
      </c>
      <c r="C62">
        <v>3</v>
      </c>
      <c r="D62">
        <v>3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L62" s="7">
        <v>3.8</v>
      </c>
      <c r="M62" s="7">
        <v>28.2</v>
      </c>
      <c r="N62">
        <v>191</v>
      </c>
      <c r="O62" s="15">
        <v>171</v>
      </c>
      <c r="P62" s="8">
        <v>0.57857142857142863</v>
      </c>
      <c r="Q62">
        <v>164</v>
      </c>
      <c r="R62" s="15">
        <v>148</v>
      </c>
      <c r="S62" s="8">
        <v>0.55200000000000005</v>
      </c>
      <c r="T62">
        <v>111</v>
      </c>
      <c r="U62" s="15">
        <v>94</v>
      </c>
      <c r="V62" s="8">
        <v>0.56470588235294117</v>
      </c>
      <c r="W62">
        <f t="shared" si="0"/>
        <v>466</v>
      </c>
    </row>
    <row r="63" spans="1:23">
      <c r="A63" s="6">
        <v>44988</v>
      </c>
      <c r="B63" t="s">
        <v>66</v>
      </c>
      <c r="C63">
        <v>4</v>
      </c>
      <c r="D63">
        <v>3</v>
      </c>
      <c r="E63">
        <v>0</v>
      </c>
      <c r="F63">
        <v>0</v>
      </c>
      <c r="H63">
        <v>0</v>
      </c>
      <c r="I63">
        <v>0</v>
      </c>
      <c r="J63">
        <v>0</v>
      </c>
      <c r="K63">
        <v>0</v>
      </c>
      <c r="L63" s="7">
        <v>15.6</v>
      </c>
      <c r="M63" s="7">
        <v>27.8</v>
      </c>
      <c r="N63">
        <v>202</v>
      </c>
      <c r="O63" s="15">
        <v>182</v>
      </c>
      <c r="P63" s="8">
        <v>0.6</v>
      </c>
      <c r="Q63">
        <v>158</v>
      </c>
      <c r="R63" s="15">
        <v>138</v>
      </c>
      <c r="S63" s="8">
        <v>0.52</v>
      </c>
      <c r="T63">
        <v>115</v>
      </c>
      <c r="U63" s="15">
        <v>105</v>
      </c>
      <c r="V63" s="8">
        <v>0.62352941176470589</v>
      </c>
      <c r="W63">
        <f t="shared" si="0"/>
        <v>475</v>
      </c>
    </row>
    <row r="64" spans="1:23">
      <c r="A64" s="6">
        <v>44989</v>
      </c>
      <c r="B64" t="s">
        <v>67</v>
      </c>
      <c r="C64">
        <v>5</v>
      </c>
      <c r="D64">
        <v>3</v>
      </c>
      <c r="E64">
        <v>1</v>
      </c>
      <c r="F64">
        <v>0</v>
      </c>
      <c r="H64">
        <v>0</v>
      </c>
      <c r="I64">
        <v>0</v>
      </c>
      <c r="J64">
        <v>0</v>
      </c>
      <c r="K64">
        <v>0</v>
      </c>
      <c r="L64" s="7">
        <v>2.4</v>
      </c>
      <c r="M64" s="7">
        <v>28.6</v>
      </c>
      <c r="N64">
        <v>202</v>
      </c>
      <c r="O64" s="15">
        <v>175</v>
      </c>
      <c r="P64" s="8">
        <v>0.6071428571428571</v>
      </c>
      <c r="Q64">
        <v>171</v>
      </c>
      <c r="R64" s="15">
        <v>157</v>
      </c>
      <c r="S64" s="8">
        <v>0.6</v>
      </c>
      <c r="T64">
        <v>140</v>
      </c>
      <c r="U64" s="15">
        <v>118</v>
      </c>
      <c r="V64" s="8">
        <v>0.72941176470588232</v>
      </c>
      <c r="W64">
        <f t="shared" si="0"/>
        <v>513</v>
      </c>
    </row>
    <row r="65" spans="1:23">
      <c r="A65" s="6">
        <v>44990</v>
      </c>
      <c r="B65" t="s">
        <v>60</v>
      </c>
      <c r="C65">
        <v>6</v>
      </c>
      <c r="D65">
        <v>3</v>
      </c>
      <c r="E65">
        <v>1</v>
      </c>
      <c r="F65">
        <v>0</v>
      </c>
      <c r="H65">
        <v>0</v>
      </c>
      <c r="I65">
        <v>0</v>
      </c>
      <c r="J65">
        <v>0</v>
      </c>
      <c r="K65">
        <v>0</v>
      </c>
      <c r="L65" s="7">
        <v>10.7</v>
      </c>
      <c r="M65" s="7">
        <v>27.1</v>
      </c>
      <c r="N65">
        <v>187</v>
      </c>
      <c r="O65" s="15">
        <v>174</v>
      </c>
      <c r="P65" s="8">
        <v>0.6</v>
      </c>
      <c r="Q65">
        <v>166</v>
      </c>
      <c r="R65" s="15">
        <v>142</v>
      </c>
      <c r="S65" s="8">
        <v>0.54400000000000004</v>
      </c>
      <c r="T65">
        <v>131</v>
      </c>
      <c r="U65" s="15">
        <v>111</v>
      </c>
      <c r="V65" s="8">
        <v>0.6705882352941176</v>
      </c>
      <c r="W65">
        <f t="shared" si="0"/>
        <v>484</v>
      </c>
    </row>
    <row r="66" spans="1:23">
      <c r="A66" s="6">
        <v>44991</v>
      </c>
      <c r="B66" t="s">
        <v>62</v>
      </c>
      <c r="C66">
        <v>0</v>
      </c>
      <c r="D66">
        <v>3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L66" s="7">
        <v>15.5</v>
      </c>
      <c r="M66" s="7">
        <v>26.9</v>
      </c>
      <c r="N66">
        <v>172</v>
      </c>
      <c r="O66" s="15">
        <v>142</v>
      </c>
      <c r="P66" s="8">
        <v>0.54285714285714282</v>
      </c>
      <c r="Q66">
        <v>153</v>
      </c>
      <c r="R66" s="15">
        <v>142</v>
      </c>
      <c r="S66" s="8">
        <v>0.51200000000000001</v>
      </c>
      <c r="T66">
        <v>109</v>
      </c>
      <c r="U66" s="15">
        <v>98</v>
      </c>
      <c r="V66" s="8">
        <v>0.55294117647058827</v>
      </c>
      <c r="W66">
        <f t="shared" ref="W66:W129" si="1">N66+Q66+T66</f>
        <v>434</v>
      </c>
    </row>
    <row r="67" spans="1:23">
      <c r="A67" s="6">
        <v>44992</v>
      </c>
      <c r="B67" t="s">
        <v>63</v>
      </c>
      <c r="C67">
        <v>1</v>
      </c>
      <c r="D67">
        <v>3</v>
      </c>
      <c r="E67">
        <v>0</v>
      </c>
      <c r="F67">
        <v>0</v>
      </c>
      <c r="H67">
        <v>0</v>
      </c>
      <c r="I67">
        <v>0</v>
      </c>
      <c r="J67">
        <v>0</v>
      </c>
      <c r="K67">
        <v>0</v>
      </c>
      <c r="L67" s="7">
        <v>5.2</v>
      </c>
      <c r="M67" s="7">
        <v>26.9</v>
      </c>
      <c r="N67">
        <v>176</v>
      </c>
      <c r="O67" s="15">
        <v>162</v>
      </c>
      <c r="P67" s="8">
        <v>0.56428571428571428</v>
      </c>
      <c r="Q67">
        <v>150</v>
      </c>
      <c r="R67" s="15">
        <v>123</v>
      </c>
      <c r="S67" s="8">
        <v>0.51200000000000001</v>
      </c>
      <c r="T67">
        <v>100</v>
      </c>
      <c r="U67" s="15">
        <v>92</v>
      </c>
      <c r="V67" s="8">
        <v>0.56470588235294117</v>
      </c>
      <c r="W67">
        <f t="shared" si="1"/>
        <v>426</v>
      </c>
    </row>
    <row r="68" spans="1:23">
      <c r="A68" s="6">
        <v>44993</v>
      </c>
      <c r="B68" t="s">
        <v>64</v>
      </c>
      <c r="C68">
        <v>2</v>
      </c>
      <c r="D68">
        <v>3</v>
      </c>
      <c r="E68">
        <v>0</v>
      </c>
      <c r="F68">
        <v>0</v>
      </c>
      <c r="H68">
        <v>0</v>
      </c>
      <c r="I68">
        <v>0</v>
      </c>
      <c r="J68">
        <v>0</v>
      </c>
      <c r="K68">
        <v>0</v>
      </c>
      <c r="L68" s="7">
        <v>7.9</v>
      </c>
      <c r="M68" s="7">
        <v>28.1</v>
      </c>
      <c r="N68">
        <v>195</v>
      </c>
      <c r="O68" s="15">
        <v>167</v>
      </c>
      <c r="P68" s="8">
        <v>0.57857142857142863</v>
      </c>
      <c r="Q68">
        <v>167</v>
      </c>
      <c r="R68" s="15">
        <v>147</v>
      </c>
      <c r="S68" s="8">
        <v>0.55200000000000005</v>
      </c>
      <c r="T68">
        <v>122</v>
      </c>
      <c r="U68" s="15">
        <v>104</v>
      </c>
      <c r="V68" s="8">
        <v>0.6470588235294118</v>
      </c>
      <c r="W68">
        <f t="shared" si="1"/>
        <v>484</v>
      </c>
    </row>
    <row r="69" spans="1:23">
      <c r="A69" s="6">
        <v>44994</v>
      </c>
      <c r="B69" t="s">
        <v>65</v>
      </c>
      <c r="C69">
        <v>3</v>
      </c>
      <c r="D69">
        <v>3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 s="7">
        <v>3.4</v>
      </c>
      <c r="M69" s="7">
        <v>25.7</v>
      </c>
      <c r="N69">
        <v>175</v>
      </c>
      <c r="O69" s="15">
        <v>148</v>
      </c>
      <c r="P69" s="8">
        <v>0.5357142857142857</v>
      </c>
      <c r="Q69">
        <v>165</v>
      </c>
      <c r="R69" s="15">
        <v>148</v>
      </c>
      <c r="S69" s="8">
        <v>0.56000000000000005</v>
      </c>
      <c r="T69">
        <v>109</v>
      </c>
      <c r="U69" s="15">
        <v>100</v>
      </c>
      <c r="V69" s="8">
        <v>0.6</v>
      </c>
      <c r="W69">
        <f t="shared" si="1"/>
        <v>449</v>
      </c>
    </row>
    <row r="70" spans="1:23">
      <c r="A70" s="6">
        <v>44995</v>
      </c>
      <c r="B70" t="s">
        <v>66</v>
      </c>
      <c r="C70">
        <v>4</v>
      </c>
      <c r="D70">
        <v>3</v>
      </c>
      <c r="E70">
        <v>0</v>
      </c>
      <c r="F70">
        <v>0</v>
      </c>
      <c r="H70">
        <v>0</v>
      </c>
      <c r="I70">
        <v>0</v>
      </c>
      <c r="J70">
        <v>0</v>
      </c>
      <c r="K70">
        <v>0</v>
      </c>
      <c r="L70" s="7">
        <v>11.7</v>
      </c>
      <c r="M70" s="7">
        <v>26.6</v>
      </c>
      <c r="N70">
        <v>181</v>
      </c>
      <c r="O70" s="15">
        <v>166</v>
      </c>
      <c r="P70" s="8">
        <v>0.52857142857142858</v>
      </c>
      <c r="Q70">
        <v>161</v>
      </c>
      <c r="R70" s="15">
        <v>149</v>
      </c>
      <c r="S70" s="8">
        <v>0.54400000000000004</v>
      </c>
      <c r="T70">
        <v>108</v>
      </c>
      <c r="U70" s="15">
        <v>91</v>
      </c>
      <c r="V70" s="8">
        <v>0.56470588235294117</v>
      </c>
      <c r="W70">
        <f t="shared" si="1"/>
        <v>450</v>
      </c>
    </row>
    <row r="71" spans="1:23">
      <c r="A71" s="6">
        <v>44996</v>
      </c>
      <c r="B71" t="s">
        <v>67</v>
      </c>
      <c r="C71">
        <v>5</v>
      </c>
      <c r="D71">
        <v>3</v>
      </c>
      <c r="E71">
        <v>1</v>
      </c>
      <c r="F71">
        <v>0</v>
      </c>
      <c r="H71">
        <v>0</v>
      </c>
      <c r="I71">
        <v>0</v>
      </c>
      <c r="J71">
        <v>0</v>
      </c>
      <c r="K71">
        <v>0</v>
      </c>
      <c r="L71" s="7">
        <v>7.9</v>
      </c>
      <c r="M71" s="7">
        <v>26.6</v>
      </c>
      <c r="N71">
        <v>206</v>
      </c>
      <c r="O71" s="15">
        <v>177</v>
      </c>
      <c r="P71" s="8">
        <v>0.62142857142857144</v>
      </c>
      <c r="Q71">
        <v>179</v>
      </c>
      <c r="R71" s="15">
        <v>162</v>
      </c>
      <c r="S71" s="8">
        <v>0.57599999999999996</v>
      </c>
      <c r="T71">
        <v>136</v>
      </c>
      <c r="U71" s="15">
        <v>121</v>
      </c>
      <c r="V71" s="8">
        <v>0.6705882352941176</v>
      </c>
      <c r="W71">
        <f t="shared" si="1"/>
        <v>521</v>
      </c>
    </row>
    <row r="72" spans="1:23">
      <c r="A72" s="6">
        <v>44997</v>
      </c>
      <c r="B72" t="s">
        <v>60</v>
      </c>
      <c r="C72">
        <v>6</v>
      </c>
      <c r="D72">
        <v>3</v>
      </c>
      <c r="E72">
        <v>1</v>
      </c>
      <c r="F72">
        <v>0</v>
      </c>
      <c r="H72">
        <v>0</v>
      </c>
      <c r="I72">
        <v>0</v>
      </c>
      <c r="J72">
        <v>0</v>
      </c>
      <c r="K72">
        <v>0</v>
      </c>
      <c r="L72" s="7">
        <v>3.1</v>
      </c>
      <c r="M72" s="7">
        <v>26.4</v>
      </c>
      <c r="N72">
        <v>208</v>
      </c>
      <c r="O72" s="15">
        <v>195</v>
      </c>
      <c r="P72" s="8">
        <v>0.61428571428571432</v>
      </c>
      <c r="Q72">
        <v>166</v>
      </c>
      <c r="R72" s="15">
        <v>146</v>
      </c>
      <c r="S72" s="8">
        <v>0.56799999999999995</v>
      </c>
      <c r="T72">
        <v>141</v>
      </c>
      <c r="U72" s="15">
        <v>132</v>
      </c>
      <c r="V72" s="8">
        <v>0.72941176470588232</v>
      </c>
      <c r="W72">
        <f t="shared" si="1"/>
        <v>515</v>
      </c>
    </row>
    <row r="73" spans="1:23">
      <c r="A73" s="6">
        <v>44998</v>
      </c>
      <c r="B73" t="s">
        <v>62</v>
      </c>
      <c r="C73">
        <v>0</v>
      </c>
      <c r="D73">
        <v>3</v>
      </c>
      <c r="E73">
        <v>0</v>
      </c>
      <c r="F73">
        <v>0</v>
      </c>
      <c r="H73">
        <v>0</v>
      </c>
      <c r="I73">
        <v>0</v>
      </c>
      <c r="J73">
        <v>0</v>
      </c>
      <c r="K73">
        <v>0</v>
      </c>
      <c r="L73" s="7">
        <v>11</v>
      </c>
      <c r="M73" s="7">
        <v>27.5</v>
      </c>
      <c r="N73">
        <v>176</v>
      </c>
      <c r="O73" s="15">
        <v>158</v>
      </c>
      <c r="P73" s="8">
        <v>0.52857142857142858</v>
      </c>
      <c r="Q73">
        <v>142</v>
      </c>
      <c r="R73" s="15">
        <v>119</v>
      </c>
      <c r="S73" s="8">
        <v>0.48</v>
      </c>
      <c r="T73">
        <v>105</v>
      </c>
      <c r="U73" s="15">
        <v>86</v>
      </c>
      <c r="V73" s="8">
        <v>0.56470588235294117</v>
      </c>
      <c r="W73">
        <f t="shared" si="1"/>
        <v>423</v>
      </c>
    </row>
    <row r="74" spans="1:23">
      <c r="A74" s="6">
        <v>44999</v>
      </c>
      <c r="B74" t="s">
        <v>63</v>
      </c>
      <c r="C74">
        <v>1</v>
      </c>
      <c r="D74">
        <v>3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L74" s="7">
        <v>15.5</v>
      </c>
      <c r="M74" s="7">
        <v>27.8</v>
      </c>
      <c r="N74">
        <v>167</v>
      </c>
      <c r="O74" s="15">
        <v>135</v>
      </c>
      <c r="P74" s="8">
        <v>0.52142857142857146</v>
      </c>
      <c r="Q74">
        <v>161</v>
      </c>
      <c r="R74" s="15">
        <v>150</v>
      </c>
      <c r="S74" s="8">
        <v>0.52800000000000002</v>
      </c>
      <c r="T74">
        <v>111</v>
      </c>
      <c r="U74" s="15">
        <v>100</v>
      </c>
      <c r="V74" s="8">
        <v>0.56470588235294117</v>
      </c>
      <c r="W74">
        <f t="shared" si="1"/>
        <v>439</v>
      </c>
    </row>
    <row r="75" spans="1:23">
      <c r="A75" s="6">
        <v>45000</v>
      </c>
      <c r="B75" t="s">
        <v>64</v>
      </c>
      <c r="C75">
        <v>2</v>
      </c>
      <c r="D75">
        <v>3</v>
      </c>
      <c r="E75">
        <v>0</v>
      </c>
      <c r="F75">
        <v>0</v>
      </c>
      <c r="H75">
        <v>0</v>
      </c>
      <c r="I75">
        <v>0</v>
      </c>
      <c r="J75">
        <v>0</v>
      </c>
      <c r="K75">
        <v>0</v>
      </c>
      <c r="L75" s="7">
        <v>10</v>
      </c>
      <c r="M75" s="7">
        <v>25.7</v>
      </c>
      <c r="N75">
        <v>186</v>
      </c>
      <c r="O75" s="15">
        <v>172</v>
      </c>
      <c r="P75" s="8">
        <v>0.54285714285714282</v>
      </c>
      <c r="Q75">
        <v>147</v>
      </c>
      <c r="R75" s="15">
        <v>134</v>
      </c>
      <c r="S75" s="8">
        <v>0.496</v>
      </c>
      <c r="T75">
        <v>107</v>
      </c>
      <c r="U75" s="15">
        <v>98</v>
      </c>
      <c r="V75" s="8">
        <v>0.55294117647058827</v>
      </c>
      <c r="W75">
        <f t="shared" si="1"/>
        <v>440</v>
      </c>
    </row>
    <row r="76" spans="1:23">
      <c r="A76" s="6">
        <v>45001</v>
      </c>
      <c r="B76" t="s">
        <v>65</v>
      </c>
      <c r="C76">
        <v>3</v>
      </c>
      <c r="D76">
        <v>3</v>
      </c>
      <c r="E76">
        <v>0</v>
      </c>
      <c r="F76">
        <v>0</v>
      </c>
      <c r="H76">
        <v>0</v>
      </c>
      <c r="I76">
        <v>0</v>
      </c>
      <c r="J76">
        <v>0</v>
      </c>
      <c r="K76">
        <v>0</v>
      </c>
      <c r="L76" s="7">
        <v>24.2</v>
      </c>
      <c r="M76" s="7">
        <v>27</v>
      </c>
      <c r="N76">
        <v>164</v>
      </c>
      <c r="O76" s="15">
        <v>146</v>
      </c>
      <c r="P76" s="8">
        <v>0.47142857142857142</v>
      </c>
      <c r="Q76">
        <v>154</v>
      </c>
      <c r="R76" s="15">
        <v>136</v>
      </c>
      <c r="S76" s="8">
        <v>0.52</v>
      </c>
      <c r="T76">
        <v>102</v>
      </c>
      <c r="U76" s="15">
        <v>89</v>
      </c>
      <c r="V76" s="8">
        <v>0.56470588235294117</v>
      </c>
      <c r="W76">
        <f t="shared" si="1"/>
        <v>420</v>
      </c>
    </row>
    <row r="77" spans="1:23">
      <c r="A77" s="6">
        <v>45002</v>
      </c>
      <c r="B77" t="s">
        <v>66</v>
      </c>
      <c r="C77">
        <v>4</v>
      </c>
      <c r="D77">
        <v>3</v>
      </c>
      <c r="E77">
        <v>0</v>
      </c>
      <c r="F77">
        <v>0</v>
      </c>
      <c r="H77">
        <v>0</v>
      </c>
      <c r="I77">
        <v>0</v>
      </c>
      <c r="J77">
        <v>0</v>
      </c>
      <c r="K77">
        <v>0</v>
      </c>
      <c r="L77" s="7">
        <v>0.6</v>
      </c>
      <c r="M77" s="7">
        <v>28</v>
      </c>
      <c r="N77">
        <v>185</v>
      </c>
      <c r="O77" s="15">
        <v>149</v>
      </c>
      <c r="P77" s="8">
        <v>0.55000000000000004</v>
      </c>
      <c r="Q77">
        <v>164</v>
      </c>
      <c r="R77" s="15">
        <v>148</v>
      </c>
      <c r="S77" s="8">
        <v>0.54400000000000004</v>
      </c>
      <c r="T77">
        <v>106</v>
      </c>
      <c r="U77" s="15">
        <v>90</v>
      </c>
      <c r="V77" s="8">
        <v>0.57647058823529407</v>
      </c>
      <c r="W77">
        <f t="shared" si="1"/>
        <v>455</v>
      </c>
    </row>
    <row r="78" spans="1:23">
      <c r="A78" s="6">
        <v>45003</v>
      </c>
      <c r="B78" t="s">
        <v>67</v>
      </c>
      <c r="C78">
        <v>5</v>
      </c>
      <c r="D78">
        <v>3</v>
      </c>
      <c r="E78">
        <v>1</v>
      </c>
      <c r="F78">
        <v>0</v>
      </c>
      <c r="H78">
        <v>0</v>
      </c>
      <c r="I78">
        <v>0</v>
      </c>
      <c r="J78">
        <v>0</v>
      </c>
      <c r="K78">
        <v>0</v>
      </c>
      <c r="L78" s="7">
        <v>10.1</v>
      </c>
      <c r="M78" s="7">
        <v>27.7</v>
      </c>
      <c r="N78">
        <v>201</v>
      </c>
      <c r="O78" s="15">
        <v>176</v>
      </c>
      <c r="P78" s="8">
        <v>0.6</v>
      </c>
      <c r="Q78">
        <v>188</v>
      </c>
      <c r="R78" s="15">
        <v>174</v>
      </c>
      <c r="S78" s="8">
        <v>0.64</v>
      </c>
      <c r="T78">
        <v>133</v>
      </c>
      <c r="U78" s="15">
        <v>113</v>
      </c>
      <c r="V78" s="8">
        <v>0.69411764705882351</v>
      </c>
      <c r="W78">
        <f t="shared" si="1"/>
        <v>522</v>
      </c>
    </row>
    <row r="79" spans="1:23">
      <c r="A79" s="6">
        <v>45004</v>
      </c>
      <c r="B79" t="s">
        <v>60</v>
      </c>
      <c r="C79">
        <v>6</v>
      </c>
      <c r="D79">
        <v>3</v>
      </c>
      <c r="E79">
        <v>1</v>
      </c>
      <c r="F79">
        <v>1</v>
      </c>
      <c r="G79" t="s">
        <v>68</v>
      </c>
      <c r="H79">
        <v>0</v>
      </c>
      <c r="I79">
        <v>0</v>
      </c>
      <c r="J79">
        <v>0</v>
      </c>
      <c r="K79">
        <v>0</v>
      </c>
      <c r="L79" s="7">
        <v>10.6</v>
      </c>
      <c r="M79" s="7">
        <v>25.4</v>
      </c>
      <c r="N79">
        <v>210</v>
      </c>
      <c r="O79" s="15">
        <v>173</v>
      </c>
      <c r="P79" s="8">
        <v>0.63571428571428568</v>
      </c>
      <c r="Q79">
        <v>199</v>
      </c>
      <c r="R79" s="15">
        <v>167</v>
      </c>
      <c r="S79" s="8">
        <v>0.67200000000000004</v>
      </c>
      <c r="T79">
        <v>147</v>
      </c>
      <c r="U79" s="15">
        <v>135</v>
      </c>
      <c r="V79" s="8">
        <v>0.77647058823529413</v>
      </c>
      <c r="W79">
        <f t="shared" si="1"/>
        <v>556</v>
      </c>
    </row>
    <row r="80" spans="1:23">
      <c r="A80" s="6">
        <v>45005</v>
      </c>
      <c r="B80" t="s">
        <v>62</v>
      </c>
      <c r="C80">
        <v>0</v>
      </c>
      <c r="D80">
        <v>3</v>
      </c>
      <c r="E80">
        <v>0</v>
      </c>
      <c r="F80">
        <v>0</v>
      </c>
      <c r="H80">
        <v>0</v>
      </c>
      <c r="I80">
        <v>0</v>
      </c>
      <c r="J80">
        <v>0</v>
      </c>
      <c r="K80">
        <v>0</v>
      </c>
      <c r="L80" s="7">
        <v>32.4</v>
      </c>
      <c r="M80" s="7">
        <v>28.4</v>
      </c>
      <c r="N80">
        <v>182</v>
      </c>
      <c r="O80" s="15">
        <v>153</v>
      </c>
      <c r="P80" s="8">
        <v>0.55714285714285716</v>
      </c>
      <c r="Q80">
        <v>143</v>
      </c>
      <c r="R80" s="15">
        <v>118</v>
      </c>
      <c r="S80" s="8">
        <v>0.46400000000000002</v>
      </c>
      <c r="T80">
        <v>113</v>
      </c>
      <c r="U80" s="15">
        <v>105</v>
      </c>
      <c r="V80" s="8">
        <v>0.56470588235294117</v>
      </c>
      <c r="W80">
        <f t="shared" si="1"/>
        <v>438</v>
      </c>
    </row>
    <row r="81" spans="1:23">
      <c r="A81" s="6">
        <v>45006</v>
      </c>
      <c r="B81" t="s">
        <v>63</v>
      </c>
      <c r="C81">
        <v>1</v>
      </c>
      <c r="D81">
        <v>3</v>
      </c>
      <c r="E81">
        <v>0</v>
      </c>
      <c r="F81">
        <v>0</v>
      </c>
      <c r="H81">
        <v>0</v>
      </c>
      <c r="I81">
        <v>0</v>
      </c>
      <c r="J81">
        <v>0</v>
      </c>
      <c r="K81">
        <v>0</v>
      </c>
      <c r="L81" s="7">
        <v>4.8</v>
      </c>
      <c r="M81" s="7">
        <v>28.1</v>
      </c>
      <c r="N81">
        <v>176</v>
      </c>
      <c r="O81" s="15">
        <v>152</v>
      </c>
      <c r="P81" s="8">
        <v>0.5357142857142857</v>
      </c>
      <c r="Q81">
        <v>140</v>
      </c>
      <c r="R81" s="15">
        <v>114</v>
      </c>
      <c r="S81" s="8">
        <v>0.44800000000000001</v>
      </c>
      <c r="T81">
        <v>108</v>
      </c>
      <c r="U81" s="15">
        <v>92</v>
      </c>
      <c r="V81" s="8">
        <v>0.57647058823529407</v>
      </c>
      <c r="W81">
        <f t="shared" si="1"/>
        <v>424</v>
      </c>
    </row>
    <row r="82" spans="1:23">
      <c r="A82" s="6">
        <v>45007</v>
      </c>
      <c r="B82" t="s">
        <v>64</v>
      </c>
      <c r="C82">
        <v>2</v>
      </c>
      <c r="D82">
        <v>3</v>
      </c>
      <c r="E82">
        <v>0</v>
      </c>
      <c r="F82">
        <v>0</v>
      </c>
      <c r="H82">
        <v>0</v>
      </c>
      <c r="I82">
        <v>0</v>
      </c>
      <c r="J82">
        <v>0</v>
      </c>
      <c r="K82">
        <v>0</v>
      </c>
      <c r="L82" s="7">
        <v>21</v>
      </c>
      <c r="M82" s="7">
        <v>28.6</v>
      </c>
      <c r="N82">
        <v>176</v>
      </c>
      <c r="O82" s="15">
        <v>147</v>
      </c>
      <c r="P82" s="8">
        <v>0.52857142857142858</v>
      </c>
      <c r="Q82">
        <v>148</v>
      </c>
      <c r="R82" s="15">
        <v>137</v>
      </c>
      <c r="S82" s="8">
        <v>0.504</v>
      </c>
      <c r="T82">
        <v>111</v>
      </c>
      <c r="U82" s="15">
        <v>97</v>
      </c>
      <c r="V82" s="8">
        <v>0.56470588235294117</v>
      </c>
      <c r="W82">
        <f t="shared" si="1"/>
        <v>435</v>
      </c>
    </row>
    <row r="83" spans="1:23">
      <c r="A83" s="6">
        <v>45008</v>
      </c>
      <c r="B83" t="s">
        <v>65</v>
      </c>
      <c r="C83">
        <v>3</v>
      </c>
      <c r="D83">
        <v>3</v>
      </c>
      <c r="E83">
        <v>0</v>
      </c>
      <c r="F83">
        <v>0</v>
      </c>
      <c r="H83">
        <v>0</v>
      </c>
      <c r="I83">
        <v>0</v>
      </c>
      <c r="J83">
        <v>0</v>
      </c>
      <c r="K83">
        <v>0</v>
      </c>
      <c r="L83" s="7">
        <v>14.3</v>
      </c>
      <c r="M83" s="7">
        <v>26.1</v>
      </c>
      <c r="N83">
        <v>160</v>
      </c>
      <c r="O83" s="15">
        <v>142</v>
      </c>
      <c r="P83" s="8">
        <v>0.5</v>
      </c>
      <c r="Q83">
        <v>125</v>
      </c>
      <c r="R83" s="15">
        <v>101</v>
      </c>
      <c r="S83" s="8">
        <v>0.44</v>
      </c>
      <c r="T83">
        <v>100</v>
      </c>
      <c r="U83" s="15">
        <v>85</v>
      </c>
      <c r="V83" s="8">
        <v>0.51764705882352946</v>
      </c>
      <c r="W83">
        <f t="shared" si="1"/>
        <v>385</v>
      </c>
    </row>
    <row r="84" spans="1:23">
      <c r="A84" s="6">
        <v>45009</v>
      </c>
      <c r="B84" t="s">
        <v>66</v>
      </c>
      <c r="C84">
        <v>4</v>
      </c>
      <c r="D84">
        <v>3</v>
      </c>
      <c r="E84">
        <v>0</v>
      </c>
      <c r="F84">
        <v>0</v>
      </c>
      <c r="H84">
        <v>0</v>
      </c>
      <c r="I84">
        <v>0</v>
      </c>
      <c r="J84">
        <v>0</v>
      </c>
      <c r="K84">
        <v>0</v>
      </c>
      <c r="L84" s="7">
        <v>15.6</v>
      </c>
      <c r="M84" s="7">
        <v>28</v>
      </c>
      <c r="N84">
        <v>190</v>
      </c>
      <c r="O84" s="15">
        <v>175</v>
      </c>
      <c r="P84" s="8">
        <v>0.57857142857142863</v>
      </c>
      <c r="Q84">
        <v>158</v>
      </c>
      <c r="R84" s="15">
        <v>137</v>
      </c>
      <c r="S84" s="8">
        <v>0.52</v>
      </c>
      <c r="T84">
        <v>109</v>
      </c>
      <c r="U84" s="15">
        <v>99</v>
      </c>
      <c r="V84" s="8">
        <v>0.6</v>
      </c>
      <c r="W84">
        <f t="shared" si="1"/>
        <v>457</v>
      </c>
    </row>
    <row r="85" spans="1:23">
      <c r="A85" s="6">
        <v>45010</v>
      </c>
      <c r="B85" t="s">
        <v>67</v>
      </c>
      <c r="C85">
        <v>5</v>
      </c>
      <c r="D85">
        <v>3</v>
      </c>
      <c r="E85">
        <v>1</v>
      </c>
      <c r="F85">
        <v>1</v>
      </c>
      <c r="G85" t="s">
        <v>69</v>
      </c>
      <c r="H85">
        <v>0</v>
      </c>
      <c r="I85">
        <v>0</v>
      </c>
      <c r="J85">
        <v>0</v>
      </c>
      <c r="K85">
        <v>0</v>
      </c>
      <c r="L85" s="7">
        <v>2.1</v>
      </c>
      <c r="M85" s="7">
        <v>27.3</v>
      </c>
      <c r="N85">
        <v>226</v>
      </c>
      <c r="O85" s="15">
        <v>209</v>
      </c>
      <c r="P85" s="8">
        <v>0.68571428571428572</v>
      </c>
      <c r="Q85">
        <v>196</v>
      </c>
      <c r="R85" s="15">
        <v>179</v>
      </c>
      <c r="S85" s="8">
        <v>0.65600000000000003</v>
      </c>
      <c r="T85">
        <v>148</v>
      </c>
      <c r="U85" s="15">
        <v>135</v>
      </c>
      <c r="V85" s="8">
        <v>0.81176470588235294</v>
      </c>
      <c r="W85">
        <f t="shared" si="1"/>
        <v>570</v>
      </c>
    </row>
    <row r="86" spans="1:23">
      <c r="A86" s="6">
        <v>45011</v>
      </c>
      <c r="B86" t="s">
        <v>60</v>
      </c>
      <c r="C86">
        <v>6</v>
      </c>
      <c r="D86">
        <v>3</v>
      </c>
      <c r="E86">
        <v>1</v>
      </c>
      <c r="F86">
        <v>0</v>
      </c>
      <c r="H86">
        <v>0</v>
      </c>
      <c r="I86">
        <v>0</v>
      </c>
      <c r="J86">
        <v>0</v>
      </c>
      <c r="K86">
        <v>0</v>
      </c>
      <c r="L86" s="7">
        <v>6.9</v>
      </c>
      <c r="M86" s="7">
        <v>27.9</v>
      </c>
      <c r="N86">
        <v>203</v>
      </c>
      <c r="O86" s="15">
        <v>167</v>
      </c>
      <c r="P86" s="8">
        <v>0.62142857142857144</v>
      </c>
      <c r="Q86">
        <v>180</v>
      </c>
      <c r="R86" s="15">
        <v>147</v>
      </c>
      <c r="S86" s="8">
        <v>0.58399999999999996</v>
      </c>
      <c r="T86">
        <v>138</v>
      </c>
      <c r="U86" s="15">
        <v>120</v>
      </c>
      <c r="V86" s="8">
        <v>0.71764705882352942</v>
      </c>
      <c r="W86">
        <f t="shared" si="1"/>
        <v>521</v>
      </c>
    </row>
    <row r="87" spans="1:23">
      <c r="A87" s="6">
        <v>45012</v>
      </c>
      <c r="B87" t="s">
        <v>62</v>
      </c>
      <c r="C87">
        <v>0</v>
      </c>
      <c r="D87">
        <v>3</v>
      </c>
      <c r="E87">
        <v>0</v>
      </c>
      <c r="F87">
        <v>0</v>
      </c>
      <c r="H87">
        <v>0</v>
      </c>
      <c r="I87">
        <v>0</v>
      </c>
      <c r="J87">
        <v>0</v>
      </c>
      <c r="K87">
        <v>0</v>
      </c>
      <c r="L87" s="7">
        <v>12.1</v>
      </c>
      <c r="M87" s="7">
        <v>26.6</v>
      </c>
      <c r="N87">
        <v>192</v>
      </c>
      <c r="O87" s="15">
        <v>177</v>
      </c>
      <c r="P87" s="8">
        <v>0.58571428571428574</v>
      </c>
      <c r="Q87">
        <v>171</v>
      </c>
      <c r="R87" s="15">
        <v>151</v>
      </c>
      <c r="S87" s="8">
        <v>0.56000000000000005</v>
      </c>
      <c r="T87">
        <v>103</v>
      </c>
      <c r="U87" s="15">
        <v>92</v>
      </c>
      <c r="V87" s="8">
        <v>0.55294117647058827</v>
      </c>
      <c r="W87">
        <f t="shared" si="1"/>
        <v>466</v>
      </c>
    </row>
    <row r="88" spans="1:23">
      <c r="A88" s="6">
        <v>45013</v>
      </c>
      <c r="B88" t="s">
        <v>63</v>
      </c>
      <c r="C88">
        <v>1</v>
      </c>
      <c r="D88">
        <v>3</v>
      </c>
      <c r="E88">
        <v>0</v>
      </c>
      <c r="F88">
        <v>0</v>
      </c>
      <c r="H88">
        <v>0</v>
      </c>
      <c r="I88">
        <v>0</v>
      </c>
      <c r="J88">
        <v>0</v>
      </c>
      <c r="K88">
        <v>0</v>
      </c>
      <c r="L88" s="7">
        <v>5.4</v>
      </c>
      <c r="M88" s="7">
        <v>26.5</v>
      </c>
      <c r="N88">
        <v>176</v>
      </c>
      <c r="O88" s="15">
        <v>165</v>
      </c>
      <c r="P88" s="8">
        <v>0.52142857142857146</v>
      </c>
      <c r="Q88">
        <v>171</v>
      </c>
      <c r="R88" s="15">
        <v>152</v>
      </c>
      <c r="S88" s="8">
        <v>0.56000000000000005</v>
      </c>
      <c r="T88">
        <v>114</v>
      </c>
      <c r="U88" s="15">
        <v>105</v>
      </c>
      <c r="V88" s="8">
        <v>0.61176470588235299</v>
      </c>
      <c r="W88">
        <f t="shared" si="1"/>
        <v>461</v>
      </c>
    </row>
    <row r="89" spans="1:23">
      <c r="A89" s="6">
        <v>45014</v>
      </c>
      <c r="B89" t="s">
        <v>64</v>
      </c>
      <c r="C89">
        <v>2</v>
      </c>
      <c r="D89">
        <v>3</v>
      </c>
      <c r="E89">
        <v>0</v>
      </c>
      <c r="F89">
        <v>0</v>
      </c>
      <c r="H89">
        <v>0</v>
      </c>
      <c r="I89">
        <v>0</v>
      </c>
      <c r="J89">
        <v>0</v>
      </c>
      <c r="K89">
        <v>0</v>
      </c>
      <c r="L89" s="7">
        <v>10.6</v>
      </c>
      <c r="M89" s="7">
        <v>28.8</v>
      </c>
      <c r="N89">
        <v>172</v>
      </c>
      <c r="O89" s="15">
        <v>138</v>
      </c>
      <c r="P89" s="8">
        <v>0.52857142857142858</v>
      </c>
      <c r="Q89">
        <v>144</v>
      </c>
      <c r="R89" s="15">
        <v>116</v>
      </c>
      <c r="S89" s="8">
        <v>0.48799999999999999</v>
      </c>
      <c r="T89">
        <v>122</v>
      </c>
      <c r="U89" s="15">
        <v>106</v>
      </c>
      <c r="V89" s="8">
        <v>0.58823529411764708</v>
      </c>
      <c r="W89">
        <f t="shared" si="1"/>
        <v>438</v>
      </c>
    </row>
    <row r="90" spans="1:23">
      <c r="A90" s="6">
        <v>45015</v>
      </c>
      <c r="B90" t="s">
        <v>65</v>
      </c>
      <c r="C90">
        <v>3</v>
      </c>
      <c r="D90">
        <v>3</v>
      </c>
      <c r="E90">
        <v>0</v>
      </c>
      <c r="F90">
        <v>0</v>
      </c>
      <c r="H90">
        <v>0</v>
      </c>
      <c r="I90">
        <v>0</v>
      </c>
      <c r="J90">
        <v>0</v>
      </c>
      <c r="K90">
        <v>0</v>
      </c>
      <c r="L90" s="7">
        <v>12.2</v>
      </c>
      <c r="M90" s="7">
        <v>27.8</v>
      </c>
      <c r="N90">
        <v>151</v>
      </c>
      <c r="O90" s="15">
        <v>132</v>
      </c>
      <c r="P90" s="8">
        <v>0.48571428571428571</v>
      </c>
      <c r="Q90">
        <v>169</v>
      </c>
      <c r="R90" s="15">
        <v>140</v>
      </c>
      <c r="S90" s="8">
        <v>0.56000000000000005</v>
      </c>
      <c r="T90">
        <v>125</v>
      </c>
      <c r="U90" s="15">
        <v>116</v>
      </c>
      <c r="V90" s="8">
        <v>0.63529411764705879</v>
      </c>
      <c r="W90">
        <f t="shared" si="1"/>
        <v>445</v>
      </c>
    </row>
    <row r="91" spans="1:23">
      <c r="A91" s="6">
        <v>45016</v>
      </c>
      <c r="B91" t="s">
        <v>66</v>
      </c>
      <c r="C91">
        <v>4</v>
      </c>
      <c r="D91">
        <v>3</v>
      </c>
      <c r="E91">
        <v>0</v>
      </c>
      <c r="F91">
        <v>0</v>
      </c>
      <c r="H91">
        <v>0</v>
      </c>
      <c r="I91">
        <v>0</v>
      </c>
      <c r="J91">
        <v>0</v>
      </c>
      <c r="K91">
        <v>0</v>
      </c>
      <c r="L91" s="7">
        <v>18.899999999999999</v>
      </c>
      <c r="M91" s="7">
        <v>27.5</v>
      </c>
      <c r="N91">
        <v>157</v>
      </c>
      <c r="O91" s="15">
        <v>141</v>
      </c>
      <c r="P91" s="8">
        <v>0.5</v>
      </c>
      <c r="Q91">
        <v>132</v>
      </c>
      <c r="R91" s="15">
        <v>109</v>
      </c>
      <c r="S91" s="8">
        <v>0.45600000000000002</v>
      </c>
      <c r="T91">
        <v>114</v>
      </c>
      <c r="U91" s="15">
        <v>95</v>
      </c>
      <c r="V91" s="8">
        <v>0.6</v>
      </c>
      <c r="W91">
        <f t="shared" si="1"/>
        <v>403</v>
      </c>
    </row>
    <row r="92" spans="1:23">
      <c r="A92" s="6">
        <v>45017</v>
      </c>
      <c r="B92" t="s">
        <v>67</v>
      </c>
      <c r="C92">
        <v>5</v>
      </c>
      <c r="D92">
        <v>4</v>
      </c>
      <c r="E92">
        <v>1</v>
      </c>
      <c r="F92">
        <v>0</v>
      </c>
      <c r="H92">
        <v>0</v>
      </c>
      <c r="I92">
        <v>0</v>
      </c>
      <c r="J92">
        <v>0</v>
      </c>
      <c r="K92">
        <v>0</v>
      </c>
      <c r="L92" s="7">
        <v>7.5</v>
      </c>
      <c r="M92" s="7">
        <v>26.6</v>
      </c>
      <c r="N92">
        <v>207</v>
      </c>
      <c r="O92" s="15">
        <v>179</v>
      </c>
      <c r="P92" s="8">
        <v>0.63571428571428568</v>
      </c>
      <c r="Q92">
        <v>180</v>
      </c>
      <c r="R92" s="15">
        <v>155</v>
      </c>
      <c r="S92" s="8">
        <v>0.60799999999999998</v>
      </c>
      <c r="T92">
        <v>123</v>
      </c>
      <c r="U92" s="15">
        <v>111</v>
      </c>
      <c r="V92" s="8">
        <v>0.63529411764705879</v>
      </c>
      <c r="W92">
        <f t="shared" si="1"/>
        <v>510</v>
      </c>
    </row>
    <row r="93" spans="1:23">
      <c r="A93" s="6">
        <v>45018</v>
      </c>
      <c r="B93" t="s">
        <v>60</v>
      </c>
      <c r="C93">
        <v>6</v>
      </c>
      <c r="D93">
        <v>4</v>
      </c>
      <c r="E93">
        <v>1</v>
      </c>
      <c r="F93">
        <v>0</v>
      </c>
      <c r="H93">
        <v>0</v>
      </c>
      <c r="I93">
        <v>0</v>
      </c>
      <c r="J93">
        <v>0</v>
      </c>
      <c r="K93">
        <v>0</v>
      </c>
      <c r="L93" s="7">
        <v>6.9</v>
      </c>
      <c r="M93" s="7">
        <v>27</v>
      </c>
      <c r="N93">
        <v>211</v>
      </c>
      <c r="O93" s="15">
        <v>194</v>
      </c>
      <c r="P93" s="8">
        <v>0.65714285714285714</v>
      </c>
      <c r="Q93">
        <v>185</v>
      </c>
      <c r="R93" s="15">
        <v>163</v>
      </c>
      <c r="S93" s="8">
        <v>0.624</v>
      </c>
      <c r="T93">
        <v>143</v>
      </c>
      <c r="U93" s="15">
        <v>131</v>
      </c>
      <c r="V93" s="8">
        <v>0.74117647058823533</v>
      </c>
      <c r="W93">
        <f t="shared" si="1"/>
        <v>539</v>
      </c>
    </row>
    <row r="94" spans="1:23">
      <c r="A94" s="6">
        <v>45019</v>
      </c>
      <c r="B94" t="s">
        <v>62</v>
      </c>
      <c r="C94">
        <v>0</v>
      </c>
      <c r="D94">
        <v>4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L94" s="7">
        <v>12.1</v>
      </c>
      <c r="M94" s="7">
        <v>27.3</v>
      </c>
      <c r="N94">
        <v>185</v>
      </c>
      <c r="O94" s="15">
        <v>155</v>
      </c>
      <c r="P94" s="8">
        <v>0.54285714285714282</v>
      </c>
      <c r="Q94">
        <v>148</v>
      </c>
      <c r="R94" s="15">
        <v>127</v>
      </c>
      <c r="S94" s="8">
        <v>0.496</v>
      </c>
      <c r="T94">
        <v>99</v>
      </c>
      <c r="U94" s="15">
        <v>80</v>
      </c>
      <c r="V94" s="8">
        <v>0.50588235294117645</v>
      </c>
      <c r="W94">
        <f t="shared" si="1"/>
        <v>432</v>
      </c>
    </row>
    <row r="95" spans="1:23">
      <c r="A95" s="6">
        <v>45020</v>
      </c>
      <c r="B95" t="s">
        <v>63</v>
      </c>
      <c r="C95">
        <v>1</v>
      </c>
      <c r="D95">
        <v>4</v>
      </c>
      <c r="E95">
        <v>0</v>
      </c>
      <c r="F95">
        <v>0</v>
      </c>
      <c r="H95">
        <v>0</v>
      </c>
      <c r="I95">
        <v>0</v>
      </c>
      <c r="J95">
        <v>0</v>
      </c>
      <c r="K95">
        <v>0</v>
      </c>
      <c r="L95" s="7">
        <v>2.4</v>
      </c>
      <c r="M95" s="7">
        <v>27</v>
      </c>
      <c r="N95">
        <v>158</v>
      </c>
      <c r="O95" s="15">
        <v>129</v>
      </c>
      <c r="P95" s="8">
        <v>0.50714285714285712</v>
      </c>
      <c r="Q95">
        <v>141</v>
      </c>
      <c r="R95" s="15">
        <v>132</v>
      </c>
      <c r="S95" s="8">
        <v>0.48</v>
      </c>
      <c r="T95">
        <v>123</v>
      </c>
      <c r="U95" s="15">
        <v>115</v>
      </c>
      <c r="V95" s="8">
        <v>0.61176470588235299</v>
      </c>
      <c r="W95">
        <f t="shared" si="1"/>
        <v>422</v>
      </c>
    </row>
    <row r="96" spans="1:23">
      <c r="A96" s="6">
        <v>45021</v>
      </c>
      <c r="B96" t="s">
        <v>64</v>
      </c>
      <c r="C96">
        <v>2</v>
      </c>
      <c r="D96">
        <v>4</v>
      </c>
      <c r="E96">
        <v>0</v>
      </c>
      <c r="F96">
        <v>0</v>
      </c>
      <c r="H96">
        <v>0</v>
      </c>
      <c r="I96">
        <v>0</v>
      </c>
      <c r="J96">
        <v>0</v>
      </c>
      <c r="K96">
        <v>0</v>
      </c>
      <c r="L96" s="7">
        <v>0</v>
      </c>
      <c r="M96" s="7">
        <v>27.3</v>
      </c>
      <c r="N96">
        <v>175</v>
      </c>
      <c r="O96" s="15">
        <v>156</v>
      </c>
      <c r="P96" s="8">
        <v>0.51428571428571423</v>
      </c>
      <c r="Q96">
        <v>152</v>
      </c>
      <c r="R96" s="15">
        <v>141</v>
      </c>
      <c r="S96" s="8">
        <v>0.52</v>
      </c>
      <c r="T96">
        <v>94</v>
      </c>
      <c r="U96" s="15">
        <v>76</v>
      </c>
      <c r="V96" s="8">
        <v>0.52941176470588236</v>
      </c>
      <c r="W96">
        <f t="shared" si="1"/>
        <v>421</v>
      </c>
    </row>
    <row r="97" spans="1:23">
      <c r="A97" s="6">
        <v>45022</v>
      </c>
      <c r="B97" t="s">
        <v>65</v>
      </c>
      <c r="C97">
        <v>3</v>
      </c>
      <c r="D97">
        <v>4</v>
      </c>
      <c r="E97">
        <v>0</v>
      </c>
      <c r="F97">
        <v>0</v>
      </c>
      <c r="H97">
        <v>0</v>
      </c>
      <c r="I97">
        <v>0</v>
      </c>
      <c r="J97">
        <v>0</v>
      </c>
      <c r="K97">
        <v>0</v>
      </c>
      <c r="L97" s="7">
        <v>8.1</v>
      </c>
      <c r="M97" s="7">
        <v>27</v>
      </c>
      <c r="N97">
        <v>191</v>
      </c>
      <c r="O97" s="15">
        <v>164</v>
      </c>
      <c r="P97" s="8">
        <v>0.57857142857142863</v>
      </c>
      <c r="Q97">
        <v>156</v>
      </c>
      <c r="R97" s="15">
        <v>131</v>
      </c>
      <c r="S97" s="8">
        <v>0.504</v>
      </c>
      <c r="T97">
        <v>102</v>
      </c>
      <c r="U97" s="15">
        <v>94</v>
      </c>
      <c r="V97" s="8">
        <v>0.50588235294117645</v>
      </c>
      <c r="W97">
        <f t="shared" si="1"/>
        <v>449</v>
      </c>
    </row>
    <row r="98" spans="1:23">
      <c r="A98" s="6">
        <v>45023</v>
      </c>
      <c r="B98" t="s">
        <v>66</v>
      </c>
      <c r="C98">
        <v>4</v>
      </c>
      <c r="D98">
        <v>4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L98" s="7">
        <v>9.9</v>
      </c>
      <c r="M98" s="7">
        <v>28.3</v>
      </c>
      <c r="N98">
        <v>170</v>
      </c>
      <c r="O98" s="15">
        <v>142</v>
      </c>
      <c r="P98" s="8">
        <v>0.52857142857142858</v>
      </c>
      <c r="Q98">
        <v>147</v>
      </c>
      <c r="R98" s="15">
        <v>125</v>
      </c>
      <c r="S98" s="8">
        <v>0.51200000000000001</v>
      </c>
      <c r="T98">
        <v>111</v>
      </c>
      <c r="U98" s="15">
        <v>90</v>
      </c>
      <c r="V98" s="8">
        <v>0.57647058823529407</v>
      </c>
      <c r="W98">
        <f t="shared" si="1"/>
        <v>428</v>
      </c>
    </row>
    <row r="99" spans="1:23">
      <c r="A99" s="6">
        <v>45024</v>
      </c>
      <c r="B99" t="s">
        <v>67</v>
      </c>
      <c r="C99">
        <v>5</v>
      </c>
      <c r="D99">
        <v>4</v>
      </c>
      <c r="E99">
        <v>1</v>
      </c>
      <c r="F99">
        <v>0</v>
      </c>
      <c r="H99">
        <v>0</v>
      </c>
      <c r="I99">
        <v>0</v>
      </c>
      <c r="J99">
        <v>0</v>
      </c>
      <c r="K99">
        <v>0</v>
      </c>
      <c r="L99" s="7">
        <v>7.3</v>
      </c>
      <c r="M99" s="7">
        <v>27.2</v>
      </c>
      <c r="N99">
        <v>197</v>
      </c>
      <c r="O99" s="15">
        <v>171</v>
      </c>
      <c r="P99" s="8">
        <v>0.6</v>
      </c>
      <c r="Q99">
        <v>170</v>
      </c>
      <c r="R99" s="15">
        <v>151</v>
      </c>
      <c r="S99" s="8">
        <v>0.58399999999999996</v>
      </c>
      <c r="T99">
        <v>144</v>
      </c>
      <c r="U99" s="15">
        <v>134</v>
      </c>
      <c r="V99" s="8">
        <v>0.76470588235294112</v>
      </c>
      <c r="W99">
        <f t="shared" si="1"/>
        <v>511</v>
      </c>
    </row>
    <row r="100" spans="1:23">
      <c r="A100" s="6">
        <v>45025</v>
      </c>
      <c r="B100" t="s">
        <v>60</v>
      </c>
      <c r="C100">
        <v>6</v>
      </c>
      <c r="D100">
        <v>4</v>
      </c>
      <c r="E100">
        <v>1</v>
      </c>
      <c r="F100">
        <v>0</v>
      </c>
      <c r="H100">
        <v>0</v>
      </c>
      <c r="I100">
        <v>0</v>
      </c>
      <c r="J100">
        <v>0</v>
      </c>
      <c r="K100">
        <v>0</v>
      </c>
      <c r="L100" s="7">
        <v>8.6</v>
      </c>
      <c r="M100" s="7">
        <v>28.3</v>
      </c>
      <c r="N100">
        <v>208</v>
      </c>
      <c r="O100" s="15">
        <v>170</v>
      </c>
      <c r="P100" s="8">
        <v>0.6428571428571429</v>
      </c>
      <c r="Q100">
        <v>199</v>
      </c>
      <c r="R100" s="15">
        <v>165</v>
      </c>
      <c r="S100" s="8">
        <v>0.64</v>
      </c>
      <c r="T100">
        <v>133</v>
      </c>
      <c r="U100" s="15">
        <v>122</v>
      </c>
      <c r="V100" s="8">
        <v>0.68235294117647061</v>
      </c>
      <c r="W100">
        <f t="shared" si="1"/>
        <v>540</v>
      </c>
    </row>
    <row r="101" spans="1:23">
      <c r="A101" s="6">
        <v>45026</v>
      </c>
      <c r="B101" t="s">
        <v>62</v>
      </c>
      <c r="C101">
        <v>0</v>
      </c>
      <c r="D101">
        <v>4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 s="7">
        <v>2.7</v>
      </c>
      <c r="M101" s="7">
        <v>27.2</v>
      </c>
      <c r="N101">
        <v>171</v>
      </c>
      <c r="O101" s="15">
        <v>159</v>
      </c>
      <c r="P101" s="8">
        <v>0.52142857142857146</v>
      </c>
      <c r="Q101">
        <v>133</v>
      </c>
      <c r="R101" s="15">
        <v>115</v>
      </c>
      <c r="S101" s="8">
        <v>0.45600000000000002</v>
      </c>
      <c r="T101">
        <v>110</v>
      </c>
      <c r="U101" s="15">
        <v>99</v>
      </c>
      <c r="V101" s="8">
        <v>0.55294117647058827</v>
      </c>
      <c r="W101">
        <f t="shared" si="1"/>
        <v>414</v>
      </c>
    </row>
    <row r="102" spans="1:23">
      <c r="A102" s="6">
        <v>45027</v>
      </c>
      <c r="B102" t="s">
        <v>63</v>
      </c>
      <c r="C102">
        <v>1</v>
      </c>
      <c r="D102">
        <v>4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 s="7">
        <v>7.1</v>
      </c>
      <c r="M102" s="7">
        <v>27.4</v>
      </c>
      <c r="N102">
        <v>179</v>
      </c>
      <c r="O102" s="15">
        <v>144</v>
      </c>
      <c r="P102" s="8">
        <v>0.54285714285714282</v>
      </c>
      <c r="Q102">
        <v>172</v>
      </c>
      <c r="R102" s="15">
        <v>146</v>
      </c>
      <c r="S102" s="8">
        <v>0.56000000000000005</v>
      </c>
      <c r="T102">
        <v>124</v>
      </c>
      <c r="U102" s="15">
        <v>108</v>
      </c>
      <c r="V102" s="8">
        <v>0.6470588235294118</v>
      </c>
      <c r="W102">
        <f t="shared" si="1"/>
        <v>475</v>
      </c>
    </row>
    <row r="103" spans="1:23">
      <c r="A103" s="6">
        <v>45028</v>
      </c>
      <c r="B103" t="s">
        <v>64</v>
      </c>
      <c r="C103">
        <v>2</v>
      </c>
      <c r="D103">
        <v>4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0</v>
      </c>
      <c r="L103" s="7">
        <v>1.4</v>
      </c>
      <c r="M103" s="7">
        <v>28.4</v>
      </c>
      <c r="N103">
        <v>168</v>
      </c>
      <c r="O103" s="15">
        <v>135</v>
      </c>
      <c r="P103" s="8">
        <v>0.50714285714285712</v>
      </c>
      <c r="Q103">
        <v>159</v>
      </c>
      <c r="R103" s="15">
        <v>149</v>
      </c>
      <c r="S103" s="8">
        <v>0.53600000000000003</v>
      </c>
      <c r="T103">
        <v>116</v>
      </c>
      <c r="U103" s="15">
        <v>104</v>
      </c>
      <c r="V103" s="8">
        <v>0.6</v>
      </c>
      <c r="W103">
        <f t="shared" si="1"/>
        <v>443</v>
      </c>
    </row>
    <row r="104" spans="1:23">
      <c r="A104" s="6">
        <v>45029</v>
      </c>
      <c r="B104" t="s">
        <v>65</v>
      </c>
      <c r="C104">
        <v>3</v>
      </c>
      <c r="D104">
        <v>4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 s="7">
        <v>9.4</v>
      </c>
      <c r="M104" s="7">
        <v>27.3</v>
      </c>
      <c r="N104">
        <v>166</v>
      </c>
      <c r="O104" s="15">
        <v>148</v>
      </c>
      <c r="P104" s="8">
        <v>0.50714285714285712</v>
      </c>
      <c r="Q104">
        <v>154</v>
      </c>
      <c r="R104" s="15">
        <v>136</v>
      </c>
      <c r="S104" s="8">
        <v>0.51200000000000001</v>
      </c>
      <c r="T104">
        <v>118</v>
      </c>
      <c r="U104" s="15">
        <v>102</v>
      </c>
      <c r="V104" s="8">
        <v>0.58823529411764708</v>
      </c>
      <c r="W104">
        <f t="shared" si="1"/>
        <v>438</v>
      </c>
    </row>
    <row r="105" spans="1:23">
      <c r="A105" s="6">
        <v>45030</v>
      </c>
      <c r="B105" t="s">
        <v>66</v>
      </c>
      <c r="C105">
        <v>4</v>
      </c>
      <c r="D105">
        <v>4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0</v>
      </c>
      <c r="L105" s="7">
        <v>12.2</v>
      </c>
      <c r="M105" s="7">
        <v>27.3</v>
      </c>
      <c r="N105">
        <v>185</v>
      </c>
      <c r="O105" s="15">
        <v>168</v>
      </c>
      <c r="P105" s="8">
        <v>0.5714285714285714</v>
      </c>
      <c r="Q105">
        <v>155</v>
      </c>
      <c r="R105" s="15">
        <v>134</v>
      </c>
      <c r="S105" s="8">
        <v>0.496</v>
      </c>
      <c r="T105">
        <v>106</v>
      </c>
      <c r="U105" s="15">
        <v>86</v>
      </c>
      <c r="V105" s="8">
        <v>0.50588235294117645</v>
      </c>
      <c r="W105">
        <f t="shared" si="1"/>
        <v>446</v>
      </c>
    </row>
    <row r="106" spans="1:23">
      <c r="A106" s="6">
        <v>45031</v>
      </c>
      <c r="B106" t="s">
        <v>67</v>
      </c>
      <c r="C106">
        <v>5</v>
      </c>
      <c r="D106">
        <v>4</v>
      </c>
      <c r="E106">
        <v>1</v>
      </c>
      <c r="F106">
        <v>0</v>
      </c>
      <c r="H106">
        <v>0</v>
      </c>
      <c r="I106">
        <v>0</v>
      </c>
      <c r="J106">
        <v>0</v>
      </c>
      <c r="K106">
        <v>0</v>
      </c>
      <c r="L106" s="7">
        <v>5.7</v>
      </c>
      <c r="M106" s="7">
        <v>27.2</v>
      </c>
      <c r="N106">
        <v>193</v>
      </c>
      <c r="O106" s="15">
        <v>160</v>
      </c>
      <c r="P106" s="8">
        <v>0.58571428571428574</v>
      </c>
      <c r="Q106">
        <v>188</v>
      </c>
      <c r="R106" s="15">
        <v>162</v>
      </c>
      <c r="S106" s="8">
        <v>0.60799999999999998</v>
      </c>
      <c r="T106">
        <v>143</v>
      </c>
      <c r="U106" s="15">
        <v>129</v>
      </c>
      <c r="V106" s="8">
        <v>0.70588235294117652</v>
      </c>
      <c r="W106">
        <f t="shared" si="1"/>
        <v>524</v>
      </c>
    </row>
    <row r="107" spans="1:23">
      <c r="A107" s="6">
        <v>45032</v>
      </c>
      <c r="B107" t="s">
        <v>60</v>
      </c>
      <c r="C107">
        <v>6</v>
      </c>
      <c r="D107">
        <v>4</v>
      </c>
      <c r="E107">
        <v>1</v>
      </c>
      <c r="F107">
        <v>0</v>
      </c>
      <c r="H107">
        <v>0</v>
      </c>
      <c r="I107">
        <v>0</v>
      </c>
      <c r="J107">
        <v>0</v>
      </c>
      <c r="K107">
        <v>0</v>
      </c>
      <c r="L107" s="7">
        <v>26.3</v>
      </c>
      <c r="M107" s="7">
        <v>28.1</v>
      </c>
      <c r="N107">
        <v>184</v>
      </c>
      <c r="O107" s="15">
        <v>157</v>
      </c>
      <c r="P107" s="8">
        <v>0.56428571428571428</v>
      </c>
      <c r="Q107">
        <v>173</v>
      </c>
      <c r="R107" s="15">
        <v>150</v>
      </c>
      <c r="S107" s="8">
        <v>0.56799999999999995</v>
      </c>
      <c r="T107">
        <v>133</v>
      </c>
      <c r="U107" s="15">
        <v>109</v>
      </c>
      <c r="V107" s="8">
        <v>0.68235294117647061</v>
      </c>
      <c r="W107">
        <f t="shared" si="1"/>
        <v>490</v>
      </c>
    </row>
    <row r="108" spans="1:23">
      <c r="A108" s="6">
        <v>45033</v>
      </c>
      <c r="B108" t="s">
        <v>62</v>
      </c>
      <c r="C108">
        <v>0</v>
      </c>
      <c r="D108">
        <v>4</v>
      </c>
      <c r="E108">
        <v>0</v>
      </c>
      <c r="F108">
        <v>0</v>
      </c>
      <c r="H108">
        <v>0</v>
      </c>
      <c r="I108">
        <v>0</v>
      </c>
      <c r="J108">
        <v>0</v>
      </c>
      <c r="K108">
        <v>0</v>
      </c>
      <c r="L108" s="7">
        <v>18.100000000000001</v>
      </c>
      <c r="M108" s="7">
        <v>29.5</v>
      </c>
      <c r="N108">
        <v>191</v>
      </c>
      <c r="O108" s="15">
        <v>154</v>
      </c>
      <c r="P108" s="8">
        <v>0.5714285714285714</v>
      </c>
      <c r="Q108">
        <v>143</v>
      </c>
      <c r="R108" s="15">
        <v>119</v>
      </c>
      <c r="S108" s="8">
        <v>0.48799999999999999</v>
      </c>
      <c r="T108">
        <v>95</v>
      </c>
      <c r="U108" s="15">
        <v>82</v>
      </c>
      <c r="V108" s="8">
        <v>0.52941176470588236</v>
      </c>
      <c r="W108">
        <f t="shared" si="1"/>
        <v>429</v>
      </c>
    </row>
    <row r="109" spans="1:23">
      <c r="A109" s="6">
        <v>45034</v>
      </c>
      <c r="B109" t="s">
        <v>63</v>
      </c>
      <c r="C109">
        <v>1</v>
      </c>
      <c r="D109">
        <v>4</v>
      </c>
      <c r="E109">
        <v>0</v>
      </c>
      <c r="F109">
        <v>0</v>
      </c>
      <c r="H109">
        <v>0</v>
      </c>
      <c r="I109">
        <v>0</v>
      </c>
      <c r="J109">
        <v>0</v>
      </c>
      <c r="K109">
        <v>0</v>
      </c>
      <c r="L109" s="7">
        <v>7.2</v>
      </c>
      <c r="M109" s="7">
        <v>26.5</v>
      </c>
      <c r="N109">
        <v>180</v>
      </c>
      <c r="O109" s="15">
        <v>157</v>
      </c>
      <c r="P109" s="8">
        <v>0.55000000000000004</v>
      </c>
      <c r="Q109">
        <v>149</v>
      </c>
      <c r="R109" s="15">
        <v>128</v>
      </c>
      <c r="S109" s="8">
        <v>0.48</v>
      </c>
      <c r="T109">
        <v>83</v>
      </c>
      <c r="U109" s="15">
        <v>70</v>
      </c>
      <c r="V109" s="8">
        <v>0.4823529411764706</v>
      </c>
      <c r="W109">
        <f t="shared" si="1"/>
        <v>412</v>
      </c>
    </row>
    <row r="110" spans="1:23">
      <c r="A110" s="6">
        <v>45035</v>
      </c>
      <c r="B110" t="s">
        <v>64</v>
      </c>
      <c r="C110">
        <v>2</v>
      </c>
      <c r="D110">
        <v>4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0</v>
      </c>
      <c r="L110" s="7">
        <v>5.2</v>
      </c>
      <c r="M110" s="7">
        <v>26.8</v>
      </c>
      <c r="N110">
        <v>173</v>
      </c>
      <c r="O110" s="15">
        <v>154</v>
      </c>
      <c r="P110" s="8">
        <v>0.5357142857142857</v>
      </c>
      <c r="Q110">
        <v>141</v>
      </c>
      <c r="R110" s="15">
        <v>125</v>
      </c>
      <c r="S110" s="8">
        <v>0.46400000000000002</v>
      </c>
      <c r="T110">
        <v>120</v>
      </c>
      <c r="U110" s="15">
        <v>98</v>
      </c>
      <c r="V110" s="8">
        <v>0.62352941176470589</v>
      </c>
      <c r="W110">
        <f t="shared" si="1"/>
        <v>434</v>
      </c>
    </row>
    <row r="111" spans="1:23">
      <c r="A111" s="6">
        <v>45036</v>
      </c>
      <c r="B111" t="s">
        <v>65</v>
      </c>
      <c r="C111">
        <v>3</v>
      </c>
      <c r="D111">
        <v>4</v>
      </c>
      <c r="E111">
        <v>0</v>
      </c>
      <c r="F111">
        <v>0</v>
      </c>
      <c r="H111">
        <v>0</v>
      </c>
      <c r="I111">
        <v>0</v>
      </c>
      <c r="J111">
        <v>0</v>
      </c>
      <c r="K111">
        <v>0</v>
      </c>
      <c r="L111" s="7">
        <v>23.5</v>
      </c>
      <c r="M111" s="7">
        <v>26.6</v>
      </c>
      <c r="N111">
        <v>171</v>
      </c>
      <c r="O111" s="15">
        <v>152</v>
      </c>
      <c r="P111" s="8">
        <v>0.5</v>
      </c>
      <c r="Q111">
        <v>168</v>
      </c>
      <c r="R111" s="15">
        <v>150</v>
      </c>
      <c r="S111" s="8">
        <v>0.55200000000000005</v>
      </c>
      <c r="T111">
        <v>102</v>
      </c>
      <c r="U111" s="15">
        <v>93</v>
      </c>
      <c r="V111" s="8">
        <v>0.52941176470588236</v>
      </c>
      <c r="W111">
        <f t="shared" si="1"/>
        <v>441</v>
      </c>
    </row>
    <row r="112" spans="1:23">
      <c r="A112" s="6">
        <v>45037</v>
      </c>
      <c r="B112" t="s">
        <v>66</v>
      </c>
      <c r="C112">
        <v>4</v>
      </c>
      <c r="D112">
        <v>4</v>
      </c>
      <c r="E112">
        <v>0</v>
      </c>
      <c r="F112">
        <v>1</v>
      </c>
      <c r="G112" t="s">
        <v>70</v>
      </c>
      <c r="H112">
        <v>0</v>
      </c>
      <c r="I112">
        <v>0</v>
      </c>
      <c r="J112">
        <v>0</v>
      </c>
      <c r="K112">
        <v>0</v>
      </c>
      <c r="L112" s="7">
        <v>5</v>
      </c>
      <c r="M112" s="7">
        <v>28</v>
      </c>
      <c r="N112">
        <v>206</v>
      </c>
      <c r="O112" s="15">
        <v>183</v>
      </c>
      <c r="P112" s="8">
        <v>0.6071428571428571</v>
      </c>
      <c r="Q112">
        <v>186</v>
      </c>
      <c r="R112" s="15">
        <v>174</v>
      </c>
      <c r="S112" s="8">
        <v>0.60799999999999998</v>
      </c>
      <c r="T112">
        <v>119</v>
      </c>
      <c r="U112" s="15">
        <v>96</v>
      </c>
      <c r="V112" s="8">
        <v>0.63529411764705879</v>
      </c>
      <c r="W112">
        <f t="shared" si="1"/>
        <v>511</v>
      </c>
    </row>
    <row r="113" spans="1:23">
      <c r="A113" s="6">
        <v>45038</v>
      </c>
      <c r="B113" t="s">
        <v>67</v>
      </c>
      <c r="C113">
        <v>5</v>
      </c>
      <c r="D113">
        <v>4</v>
      </c>
      <c r="E113">
        <v>1</v>
      </c>
      <c r="F113">
        <v>0</v>
      </c>
      <c r="H113">
        <v>0</v>
      </c>
      <c r="I113">
        <v>0</v>
      </c>
      <c r="J113">
        <v>0</v>
      </c>
      <c r="K113">
        <v>0</v>
      </c>
      <c r="L113" s="7">
        <v>10.5</v>
      </c>
      <c r="M113" s="7">
        <v>27.3</v>
      </c>
      <c r="N113">
        <v>194</v>
      </c>
      <c r="O113" s="15">
        <v>160</v>
      </c>
      <c r="P113" s="8">
        <v>0.59285714285714286</v>
      </c>
      <c r="Q113">
        <v>182</v>
      </c>
      <c r="R113" s="15">
        <v>154</v>
      </c>
      <c r="S113" s="8">
        <v>0.624</v>
      </c>
      <c r="T113">
        <v>127</v>
      </c>
      <c r="U113" s="15">
        <v>111</v>
      </c>
      <c r="V113" s="8">
        <v>0.6705882352941176</v>
      </c>
      <c r="W113">
        <f t="shared" si="1"/>
        <v>503</v>
      </c>
    </row>
    <row r="114" spans="1:23">
      <c r="A114" s="6">
        <v>45039</v>
      </c>
      <c r="B114" t="s">
        <v>60</v>
      </c>
      <c r="C114">
        <v>6</v>
      </c>
      <c r="D114">
        <v>4</v>
      </c>
      <c r="E114">
        <v>1</v>
      </c>
      <c r="F114">
        <v>0</v>
      </c>
      <c r="H114">
        <v>0</v>
      </c>
      <c r="I114">
        <v>0</v>
      </c>
      <c r="J114">
        <v>0</v>
      </c>
      <c r="K114">
        <v>0</v>
      </c>
      <c r="L114" s="7">
        <v>6</v>
      </c>
      <c r="M114" s="7">
        <v>28.2</v>
      </c>
      <c r="N114">
        <v>205</v>
      </c>
      <c r="O114" s="15">
        <v>192</v>
      </c>
      <c r="P114" s="8">
        <v>0.6071428571428571</v>
      </c>
      <c r="Q114">
        <v>176</v>
      </c>
      <c r="R114" s="15">
        <v>165</v>
      </c>
      <c r="S114" s="8">
        <v>0.59199999999999997</v>
      </c>
      <c r="T114">
        <v>128</v>
      </c>
      <c r="U114" s="15">
        <v>112</v>
      </c>
      <c r="V114" s="8">
        <v>0.6470588235294118</v>
      </c>
      <c r="W114">
        <f t="shared" si="1"/>
        <v>509</v>
      </c>
    </row>
    <row r="115" spans="1:23">
      <c r="A115" s="6">
        <v>45040</v>
      </c>
      <c r="B115" t="s">
        <v>62</v>
      </c>
      <c r="C115">
        <v>0</v>
      </c>
      <c r="D115">
        <v>4</v>
      </c>
      <c r="E115">
        <v>0</v>
      </c>
      <c r="F115">
        <v>0</v>
      </c>
      <c r="H115">
        <v>0</v>
      </c>
      <c r="I115">
        <v>0</v>
      </c>
      <c r="J115">
        <v>0</v>
      </c>
      <c r="K115">
        <v>0</v>
      </c>
      <c r="L115" s="7">
        <v>15.3</v>
      </c>
      <c r="M115" s="7">
        <v>25.4</v>
      </c>
      <c r="N115">
        <v>158</v>
      </c>
      <c r="O115" s="15">
        <v>135</v>
      </c>
      <c r="P115" s="8">
        <v>0.47857142857142859</v>
      </c>
      <c r="Q115">
        <v>154</v>
      </c>
      <c r="R115" s="15">
        <v>134</v>
      </c>
      <c r="S115" s="8">
        <v>0.504</v>
      </c>
      <c r="T115">
        <v>115</v>
      </c>
      <c r="U115" s="15">
        <v>97</v>
      </c>
      <c r="V115" s="8">
        <v>0.54117647058823526</v>
      </c>
      <c r="W115">
        <f t="shared" si="1"/>
        <v>427</v>
      </c>
    </row>
    <row r="116" spans="1:23">
      <c r="A116" s="6">
        <v>45041</v>
      </c>
      <c r="B116" t="s">
        <v>63</v>
      </c>
      <c r="C116">
        <v>1</v>
      </c>
      <c r="D116">
        <v>4</v>
      </c>
      <c r="E116">
        <v>0</v>
      </c>
      <c r="F116">
        <v>0</v>
      </c>
      <c r="H116">
        <v>0</v>
      </c>
      <c r="I116">
        <v>0</v>
      </c>
      <c r="J116">
        <v>0</v>
      </c>
      <c r="K116">
        <v>0</v>
      </c>
      <c r="L116" s="7">
        <v>14.8</v>
      </c>
      <c r="M116" s="7">
        <v>25.7</v>
      </c>
      <c r="N116">
        <v>171</v>
      </c>
      <c r="O116" s="15">
        <v>155</v>
      </c>
      <c r="P116" s="8">
        <v>0.52857142857142858</v>
      </c>
      <c r="Q116">
        <v>145</v>
      </c>
      <c r="R116" s="15">
        <v>135</v>
      </c>
      <c r="S116" s="8">
        <v>0.48</v>
      </c>
      <c r="T116">
        <v>121</v>
      </c>
      <c r="U116" s="15">
        <v>107</v>
      </c>
      <c r="V116" s="8">
        <v>0.63529411764705879</v>
      </c>
      <c r="W116">
        <f t="shared" si="1"/>
        <v>437</v>
      </c>
    </row>
    <row r="117" spans="1:23">
      <c r="A117" s="6">
        <v>45042</v>
      </c>
      <c r="B117" t="s">
        <v>64</v>
      </c>
      <c r="C117">
        <v>2</v>
      </c>
      <c r="D117">
        <v>4</v>
      </c>
      <c r="E117">
        <v>0</v>
      </c>
      <c r="F117">
        <v>0</v>
      </c>
      <c r="H117">
        <v>0</v>
      </c>
      <c r="I117">
        <v>0</v>
      </c>
      <c r="J117">
        <v>0</v>
      </c>
      <c r="K117">
        <v>0</v>
      </c>
      <c r="L117" s="7">
        <v>11.8</v>
      </c>
      <c r="M117" s="7">
        <v>27.7</v>
      </c>
      <c r="N117">
        <v>165</v>
      </c>
      <c r="O117" s="15">
        <v>133</v>
      </c>
      <c r="P117" s="8">
        <v>0.5</v>
      </c>
      <c r="Q117">
        <v>129</v>
      </c>
      <c r="R117" s="15">
        <v>111</v>
      </c>
      <c r="S117" s="8">
        <v>0.432</v>
      </c>
      <c r="T117">
        <v>103</v>
      </c>
      <c r="U117" s="15">
        <v>86</v>
      </c>
      <c r="V117" s="8">
        <v>0.52941176470588236</v>
      </c>
      <c r="W117">
        <f t="shared" si="1"/>
        <v>397</v>
      </c>
    </row>
    <row r="118" spans="1:23">
      <c r="A118" s="6">
        <v>45043</v>
      </c>
      <c r="B118" t="s">
        <v>65</v>
      </c>
      <c r="C118">
        <v>3</v>
      </c>
      <c r="D118">
        <v>4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L118" s="7">
        <v>7.3</v>
      </c>
      <c r="M118" s="7">
        <v>27.7</v>
      </c>
      <c r="N118">
        <v>182</v>
      </c>
      <c r="O118" s="15">
        <v>160</v>
      </c>
      <c r="P118" s="8">
        <v>0.54285714285714282</v>
      </c>
      <c r="Q118">
        <v>151</v>
      </c>
      <c r="R118" s="15">
        <v>121</v>
      </c>
      <c r="S118" s="8">
        <v>0.496</v>
      </c>
      <c r="T118">
        <v>122</v>
      </c>
      <c r="U118" s="15">
        <v>110</v>
      </c>
      <c r="V118" s="8">
        <v>0.61176470588235299</v>
      </c>
      <c r="W118">
        <f t="shared" si="1"/>
        <v>455</v>
      </c>
    </row>
    <row r="119" spans="1:23">
      <c r="A119" s="6">
        <v>45044</v>
      </c>
      <c r="B119" t="s">
        <v>66</v>
      </c>
      <c r="C119">
        <v>4</v>
      </c>
      <c r="D119">
        <v>4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0</v>
      </c>
      <c r="L119" s="7">
        <v>13.7</v>
      </c>
      <c r="M119" s="7">
        <v>27.5</v>
      </c>
      <c r="N119">
        <v>168</v>
      </c>
      <c r="O119" s="15">
        <v>151</v>
      </c>
      <c r="P119" s="8">
        <v>0.52142857142857146</v>
      </c>
      <c r="Q119">
        <v>171</v>
      </c>
      <c r="R119" s="15">
        <v>152</v>
      </c>
      <c r="S119" s="8">
        <v>0.58399999999999996</v>
      </c>
      <c r="T119">
        <v>105</v>
      </c>
      <c r="U119" s="15">
        <v>87</v>
      </c>
      <c r="V119" s="8">
        <v>0.54117647058823526</v>
      </c>
      <c r="W119">
        <f t="shared" si="1"/>
        <v>444</v>
      </c>
    </row>
    <row r="120" spans="1:23">
      <c r="A120" s="6">
        <v>45045</v>
      </c>
      <c r="B120" t="s">
        <v>67</v>
      </c>
      <c r="C120">
        <v>5</v>
      </c>
      <c r="D120">
        <v>4</v>
      </c>
      <c r="E120">
        <v>1</v>
      </c>
      <c r="F120">
        <v>0</v>
      </c>
      <c r="H120">
        <v>0</v>
      </c>
      <c r="I120">
        <v>0</v>
      </c>
      <c r="J120">
        <v>0</v>
      </c>
      <c r="K120">
        <v>0</v>
      </c>
      <c r="L120" s="7">
        <v>12.7</v>
      </c>
      <c r="M120" s="7">
        <v>27.7</v>
      </c>
      <c r="N120">
        <v>194</v>
      </c>
      <c r="O120" s="15">
        <v>172</v>
      </c>
      <c r="P120" s="8">
        <v>0.56428571428571428</v>
      </c>
      <c r="Q120">
        <v>186</v>
      </c>
      <c r="R120" s="15">
        <v>173</v>
      </c>
      <c r="S120" s="8">
        <v>0.61599999999999999</v>
      </c>
      <c r="T120">
        <v>136</v>
      </c>
      <c r="U120" s="15">
        <v>119</v>
      </c>
      <c r="V120" s="8">
        <v>0.70588235294117652</v>
      </c>
      <c r="W120">
        <f t="shared" si="1"/>
        <v>516</v>
      </c>
    </row>
    <row r="121" spans="1:23">
      <c r="A121" s="6">
        <v>45046</v>
      </c>
      <c r="B121" t="s">
        <v>60</v>
      </c>
      <c r="C121">
        <v>6</v>
      </c>
      <c r="D121">
        <v>4</v>
      </c>
      <c r="E121">
        <v>1</v>
      </c>
      <c r="F121">
        <v>0</v>
      </c>
      <c r="H121">
        <v>0</v>
      </c>
      <c r="I121">
        <v>0</v>
      </c>
      <c r="J121">
        <v>0</v>
      </c>
      <c r="K121">
        <v>0</v>
      </c>
      <c r="L121" s="7">
        <v>14</v>
      </c>
      <c r="M121" s="7">
        <v>26.4</v>
      </c>
      <c r="N121">
        <v>181</v>
      </c>
      <c r="O121" s="15">
        <v>164</v>
      </c>
      <c r="P121" s="8">
        <v>0.5357142857142857</v>
      </c>
      <c r="Q121">
        <v>177</v>
      </c>
      <c r="R121" s="15">
        <v>153</v>
      </c>
      <c r="S121" s="8">
        <v>0.59199999999999997</v>
      </c>
      <c r="T121">
        <v>126</v>
      </c>
      <c r="U121" s="15">
        <v>115</v>
      </c>
      <c r="V121" s="8">
        <v>0.68235294117647061</v>
      </c>
      <c r="W121">
        <f t="shared" si="1"/>
        <v>484</v>
      </c>
    </row>
    <row r="122" spans="1:23">
      <c r="A122" s="6">
        <v>45047</v>
      </c>
      <c r="B122" t="s">
        <v>62</v>
      </c>
      <c r="C122">
        <v>0</v>
      </c>
      <c r="D122">
        <v>5</v>
      </c>
      <c r="E122">
        <v>0</v>
      </c>
      <c r="F122">
        <v>1</v>
      </c>
      <c r="G122" t="s">
        <v>71</v>
      </c>
      <c r="H122">
        <v>0</v>
      </c>
      <c r="I122">
        <v>0</v>
      </c>
      <c r="J122">
        <v>0</v>
      </c>
      <c r="K122">
        <v>0</v>
      </c>
      <c r="L122" s="7">
        <v>9.6</v>
      </c>
      <c r="M122" s="7">
        <v>29.3</v>
      </c>
      <c r="N122">
        <v>196</v>
      </c>
      <c r="O122" s="15">
        <v>165</v>
      </c>
      <c r="P122" s="8">
        <v>0.59285714285714286</v>
      </c>
      <c r="Q122">
        <v>152</v>
      </c>
      <c r="R122" s="15">
        <v>131</v>
      </c>
      <c r="S122" s="8">
        <v>0.52</v>
      </c>
      <c r="T122">
        <v>125</v>
      </c>
      <c r="U122" s="15">
        <v>115</v>
      </c>
      <c r="V122" s="8">
        <v>0.6705882352941176</v>
      </c>
      <c r="W122">
        <f t="shared" si="1"/>
        <v>473</v>
      </c>
    </row>
    <row r="123" spans="1:23">
      <c r="A123" s="6">
        <v>45048</v>
      </c>
      <c r="B123" t="s">
        <v>63</v>
      </c>
      <c r="C123">
        <v>1</v>
      </c>
      <c r="D123">
        <v>5</v>
      </c>
      <c r="E123">
        <v>0</v>
      </c>
      <c r="F123">
        <v>0</v>
      </c>
      <c r="H123">
        <v>0</v>
      </c>
      <c r="I123">
        <v>0</v>
      </c>
      <c r="J123">
        <v>0</v>
      </c>
      <c r="K123">
        <v>0</v>
      </c>
      <c r="L123" s="7">
        <v>3.8</v>
      </c>
      <c r="M123" s="7">
        <v>28.5</v>
      </c>
      <c r="N123">
        <v>175</v>
      </c>
      <c r="O123" s="15">
        <v>145</v>
      </c>
      <c r="P123" s="8">
        <v>0.52142857142857146</v>
      </c>
      <c r="Q123">
        <v>154</v>
      </c>
      <c r="R123" s="15">
        <v>134</v>
      </c>
      <c r="S123" s="8">
        <v>0.496</v>
      </c>
      <c r="T123">
        <v>111</v>
      </c>
      <c r="U123" s="15">
        <v>97</v>
      </c>
      <c r="V123" s="8">
        <v>0.6</v>
      </c>
      <c r="W123">
        <f t="shared" si="1"/>
        <v>440</v>
      </c>
    </row>
    <row r="124" spans="1:23">
      <c r="A124" s="6">
        <v>45049</v>
      </c>
      <c r="B124" t="s">
        <v>64</v>
      </c>
      <c r="C124">
        <v>2</v>
      </c>
      <c r="D124">
        <v>5</v>
      </c>
      <c r="E124">
        <v>0</v>
      </c>
      <c r="F124">
        <v>0</v>
      </c>
      <c r="H124">
        <v>0</v>
      </c>
      <c r="I124">
        <v>0</v>
      </c>
      <c r="J124">
        <v>0</v>
      </c>
      <c r="K124">
        <v>0</v>
      </c>
      <c r="L124" s="7">
        <v>26.9</v>
      </c>
      <c r="M124" s="7">
        <v>27.9</v>
      </c>
      <c r="N124">
        <v>155</v>
      </c>
      <c r="O124" s="15">
        <v>129</v>
      </c>
      <c r="P124" s="8">
        <v>0.47142857142857142</v>
      </c>
      <c r="Q124">
        <v>154</v>
      </c>
      <c r="R124" s="15">
        <v>137</v>
      </c>
      <c r="S124" s="8">
        <v>0.496</v>
      </c>
      <c r="T124">
        <v>112</v>
      </c>
      <c r="U124" s="15">
        <v>101</v>
      </c>
      <c r="V124" s="8">
        <v>0.55294117647058827</v>
      </c>
      <c r="W124">
        <f t="shared" si="1"/>
        <v>421</v>
      </c>
    </row>
    <row r="125" spans="1:23">
      <c r="A125" s="6">
        <v>45050</v>
      </c>
      <c r="B125" t="s">
        <v>65</v>
      </c>
      <c r="C125">
        <v>3</v>
      </c>
      <c r="D125">
        <v>5</v>
      </c>
      <c r="E125">
        <v>0</v>
      </c>
      <c r="F125">
        <v>0</v>
      </c>
      <c r="H125">
        <v>0</v>
      </c>
      <c r="I125">
        <v>0</v>
      </c>
      <c r="J125">
        <v>0</v>
      </c>
      <c r="K125">
        <v>0</v>
      </c>
      <c r="L125" s="7">
        <v>11.5</v>
      </c>
      <c r="M125" s="7">
        <v>27.5</v>
      </c>
      <c r="N125">
        <v>159</v>
      </c>
      <c r="O125" s="15">
        <v>146</v>
      </c>
      <c r="P125" s="8">
        <v>0.47857142857142859</v>
      </c>
      <c r="Q125">
        <v>148</v>
      </c>
      <c r="R125" s="15">
        <v>119</v>
      </c>
      <c r="S125" s="8">
        <v>0.48799999999999999</v>
      </c>
      <c r="T125">
        <v>121</v>
      </c>
      <c r="U125" s="15">
        <v>100</v>
      </c>
      <c r="V125" s="8">
        <v>0.61176470588235299</v>
      </c>
      <c r="W125">
        <f t="shared" si="1"/>
        <v>428</v>
      </c>
    </row>
    <row r="126" spans="1:23">
      <c r="A126" s="6">
        <v>45051</v>
      </c>
      <c r="B126" t="s">
        <v>66</v>
      </c>
      <c r="C126">
        <v>4</v>
      </c>
      <c r="D126">
        <v>5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L126" s="7">
        <v>13.1</v>
      </c>
      <c r="M126" s="7">
        <v>27.1</v>
      </c>
      <c r="N126">
        <v>189</v>
      </c>
      <c r="O126" s="15">
        <v>163</v>
      </c>
      <c r="P126" s="8">
        <v>0.59285714285714286</v>
      </c>
      <c r="Q126">
        <v>165</v>
      </c>
      <c r="R126" s="15">
        <v>148</v>
      </c>
      <c r="S126" s="8">
        <v>0.56000000000000005</v>
      </c>
      <c r="T126">
        <v>103</v>
      </c>
      <c r="U126" s="15">
        <v>97</v>
      </c>
      <c r="V126" s="8">
        <v>0.54117647058823526</v>
      </c>
      <c r="W126">
        <f t="shared" si="1"/>
        <v>457</v>
      </c>
    </row>
    <row r="127" spans="1:23">
      <c r="A127" s="6">
        <v>45052</v>
      </c>
      <c r="B127" t="s">
        <v>67</v>
      </c>
      <c r="C127">
        <v>5</v>
      </c>
      <c r="D127">
        <v>5</v>
      </c>
      <c r="E127">
        <v>1</v>
      </c>
      <c r="F127">
        <v>0</v>
      </c>
      <c r="H127">
        <v>0</v>
      </c>
      <c r="I127">
        <v>0</v>
      </c>
      <c r="J127">
        <v>0</v>
      </c>
      <c r="K127">
        <v>0</v>
      </c>
      <c r="L127" s="7">
        <v>1.9</v>
      </c>
      <c r="M127" s="7">
        <v>26.3</v>
      </c>
      <c r="N127">
        <v>201</v>
      </c>
      <c r="O127" s="15">
        <v>181</v>
      </c>
      <c r="P127" s="8">
        <v>0.59285714285714286</v>
      </c>
      <c r="Q127">
        <v>183</v>
      </c>
      <c r="R127" s="15">
        <v>159</v>
      </c>
      <c r="S127" s="8">
        <v>0.624</v>
      </c>
      <c r="T127">
        <v>136</v>
      </c>
      <c r="U127" s="15">
        <v>116</v>
      </c>
      <c r="V127" s="8">
        <v>0.71764705882352942</v>
      </c>
      <c r="W127">
        <f t="shared" si="1"/>
        <v>520</v>
      </c>
    </row>
    <row r="128" spans="1:23">
      <c r="A128" s="6">
        <v>45053</v>
      </c>
      <c r="B128" t="s">
        <v>60</v>
      </c>
      <c r="C128">
        <v>6</v>
      </c>
      <c r="D128">
        <v>5</v>
      </c>
      <c r="E128">
        <v>1</v>
      </c>
      <c r="F128">
        <v>0</v>
      </c>
      <c r="H128">
        <v>0</v>
      </c>
      <c r="I128">
        <v>0</v>
      </c>
      <c r="J128">
        <v>0</v>
      </c>
      <c r="K128">
        <v>0</v>
      </c>
      <c r="L128" s="7">
        <v>11.7</v>
      </c>
      <c r="M128" s="7">
        <v>27.2</v>
      </c>
      <c r="N128">
        <v>194</v>
      </c>
      <c r="O128" s="15">
        <v>182</v>
      </c>
      <c r="P128" s="8">
        <v>0.58571428571428574</v>
      </c>
      <c r="Q128">
        <v>169</v>
      </c>
      <c r="R128" s="15">
        <v>135</v>
      </c>
      <c r="S128" s="8">
        <v>0.57599999999999996</v>
      </c>
      <c r="T128">
        <v>153</v>
      </c>
      <c r="U128" s="15">
        <v>140</v>
      </c>
      <c r="V128" s="8">
        <v>0.75294117647058822</v>
      </c>
      <c r="W128">
        <f t="shared" si="1"/>
        <v>516</v>
      </c>
    </row>
    <row r="129" spans="1:23">
      <c r="A129" s="6">
        <v>45054</v>
      </c>
      <c r="B129" t="s">
        <v>62</v>
      </c>
      <c r="C129">
        <v>0</v>
      </c>
      <c r="D129">
        <v>5</v>
      </c>
      <c r="E129">
        <v>0</v>
      </c>
      <c r="F129">
        <v>0</v>
      </c>
      <c r="H129">
        <v>0</v>
      </c>
      <c r="I129">
        <v>0</v>
      </c>
      <c r="J129">
        <v>0</v>
      </c>
      <c r="K129">
        <v>0</v>
      </c>
      <c r="L129" s="7">
        <v>14.6</v>
      </c>
      <c r="M129" s="7">
        <v>28.1</v>
      </c>
      <c r="N129">
        <v>168</v>
      </c>
      <c r="O129" s="15">
        <v>157</v>
      </c>
      <c r="P129" s="8">
        <v>0.52142857142857146</v>
      </c>
      <c r="Q129">
        <v>156</v>
      </c>
      <c r="R129" s="15">
        <v>136</v>
      </c>
      <c r="S129" s="8">
        <v>0.52800000000000002</v>
      </c>
      <c r="T129">
        <v>111</v>
      </c>
      <c r="U129" s="15">
        <v>104</v>
      </c>
      <c r="V129" s="8">
        <v>0.6</v>
      </c>
      <c r="W129">
        <f t="shared" si="1"/>
        <v>435</v>
      </c>
    </row>
    <row r="130" spans="1:23">
      <c r="A130" s="6">
        <v>45055</v>
      </c>
      <c r="B130" t="s">
        <v>63</v>
      </c>
      <c r="C130">
        <v>1</v>
      </c>
      <c r="D130">
        <v>5</v>
      </c>
      <c r="E130">
        <v>0</v>
      </c>
      <c r="F130">
        <v>0</v>
      </c>
      <c r="H130">
        <v>0</v>
      </c>
      <c r="I130">
        <v>0</v>
      </c>
      <c r="J130">
        <v>0</v>
      </c>
      <c r="K130">
        <v>0</v>
      </c>
      <c r="L130" s="7">
        <v>28.2</v>
      </c>
      <c r="M130" s="7">
        <v>27.3</v>
      </c>
      <c r="N130">
        <v>178</v>
      </c>
      <c r="O130" s="15">
        <v>153</v>
      </c>
      <c r="P130" s="8">
        <v>0.54285714285714282</v>
      </c>
      <c r="Q130">
        <v>153</v>
      </c>
      <c r="R130" s="15">
        <v>134</v>
      </c>
      <c r="S130" s="8">
        <v>0.504</v>
      </c>
      <c r="T130">
        <v>102</v>
      </c>
      <c r="U130" s="15">
        <v>88</v>
      </c>
      <c r="V130" s="8">
        <v>0.54117647058823526</v>
      </c>
      <c r="W130">
        <f t="shared" ref="W130:W193" si="2">N130+Q130+T130</f>
        <v>433</v>
      </c>
    </row>
    <row r="131" spans="1:23">
      <c r="A131" s="6">
        <v>45056</v>
      </c>
      <c r="B131" t="s">
        <v>64</v>
      </c>
      <c r="C131">
        <v>2</v>
      </c>
      <c r="D131">
        <v>5</v>
      </c>
      <c r="E131">
        <v>0</v>
      </c>
      <c r="F131">
        <v>0</v>
      </c>
      <c r="H131">
        <v>0</v>
      </c>
      <c r="I131">
        <v>0</v>
      </c>
      <c r="J131">
        <v>0</v>
      </c>
      <c r="K131">
        <v>0</v>
      </c>
      <c r="L131" s="7">
        <v>15.5</v>
      </c>
      <c r="M131" s="7">
        <v>27.6</v>
      </c>
      <c r="N131">
        <v>158</v>
      </c>
      <c r="O131" s="15">
        <v>135</v>
      </c>
      <c r="P131" s="8">
        <v>0.47857142857142859</v>
      </c>
      <c r="Q131">
        <v>139</v>
      </c>
      <c r="R131" s="15">
        <v>130</v>
      </c>
      <c r="S131" s="8">
        <v>0.47199999999999998</v>
      </c>
      <c r="T131">
        <v>98</v>
      </c>
      <c r="U131" s="15">
        <v>85</v>
      </c>
      <c r="V131" s="8">
        <v>0.52941176470588236</v>
      </c>
      <c r="W131">
        <f t="shared" si="2"/>
        <v>395</v>
      </c>
    </row>
    <row r="132" spans="1:23">
      <c r="A132" s="6">
        <v>45057</v>
      </c>
      <c r="B132" t="s">
        <v>65</v>
      </c>
      <c r="C132">
        <v>3</v>
      </c>
      <c r="D132">
        <v>5</v>
      </c>
      <c r="E132">
        <v>0</v>
      </c>
      <c r="F132">
        <v>0</v>
      </c>
      <c r="H132">
        <v>0</v>
      </c>
      <c r="I132">
        <v>0</v>
      </c>
      <c r="J132">
        <v>0</v>
      </c>
      <c r="K132">
        <v>0</v>
      </c>
      <c r="L132" s="7">
        <v>15.5</v>
      </c>
      <c r="M132" s="7">
        <v>26.3</v>
      </c>
      <c r="N132">
        <v>188</v>
      </c>
      <c r="O132" s="15">
        <v>159</v>
      </c>
      <c r="P132" s="8">
        <v>0.56428571428571428</v>
      </c>
      <c r="Q132">
        <v>144</v>
      </c>
      <c r="R132" s="15">
        <v>133</v>
      </c>
      <c r="S132" s="8">
        <v>0.48799999999999999</v>
      </c>
      <c r="T132">
        <v>116</v>
      </c>
      <c r="U132" s="15">
        <v>102</v>
      </c>
      <c r="V132" s="8">
        <v>0.56470588235294117</v>
      </c>
      <c r="W132">
        <f t="shared" si="2"/>
        <v>448</v>
      </c>
    </row>
    <row r="133" spans="1:23">
      <c r="A133" s="6">
        <v>45058</v>
      </c>
      <c r="B133" t="s">
        <v>66</v>
      </c>
      <c r="C133">
        <v>4</v>
      </c>
      <c r="D133">
        <v>5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 s="7">
        <v>7.5</v>
      </c>
      <c r="M133" s="7">
        <v>26.1</v>
      </c>
      <c r="N133">
        <v>189</v>
      </c>
      <c r="O133" s="15">
        <v>177</v>
      </c>
      <c r="P133" s="8">
        <v>0.5714285714285714</v>
      </c>
      <c r="Q133">
        <v>145</v>
      </c>
      <c r="R133" s="15">
        <v>122</v>
      </c>
      <c r="S133" s="8">
        <v>0.496</v>
      </c>
      <c r="T133">
        <v>114</v>
      </c>
      <c r="U133" s="15">
        <v>103</v>
      </c>
      <c r="V133" s="8">
        <v>0.61176470588235299</v>
      </c>
      <c r="W133">
        <f t="shared" si="2"/>
        <v>448</v>
      </c>
    </row>
    <row r="134" spans="1:23">
      <c r="A134" s="6">
        <v>45059</v>
      </c>
      <c r="B134" t="s">
        <v>67</v>
      </c>
      <c r="C134">
        <v>5</v>
      </c>
      <c r="D134">
        <v>5</v>
      </c>
      <c r="E134">
        <v>1</v>
      </c>
      <c r="F134">
        <v>0</v>
      </c>
      <c r="H134">
        <v>0</v>
      </c>
      <c r="I134">
        <v>0</v>
      </c>
      <c r="J134">
        <v>0</v>
      </c>
      <c r="K134">
        <v>0</v>
      </c>
      <c r="L134" s="7">
        <v>15.4</v>
      </c>
      <c r="M134" s="7">
        <v>27.8</v>
      </c>
      <c r="N134">
        <v>182</v>
      </c>
      <c r="O134" s="15">
        <v>160</v>
      </c>
      <c r="P134" s="8">
        <v>0.56428571428571428</v>
      </c>
      <c r="Q134">
        <v>168</v>
      </c>
      <c r="R134" s="15">
        <v>141</v>
      </c>
      <c r="S134" s="8">
        <v>0.56799999999999995</v>
      </c>
      <c r="T134">
        <v>136</v>
      </c>
      <c r="U134" s="15">
        <v>110</v>
      </c>
      <c r="V134" s="8">
        <v>0.72941176470588232</v>
      </c>
      <c r="W134">
        <f t="shared" si="2"/>
        <v>486</v>
      </c>
    </row>
    <row r="135" spans="1:23">
      <c r="A135" s="6">
        <v>45060</v>
      </c>
      <c r="B135" t="s">
        <v>60</v>
      </c>
      <c r="C135">
        <v>6</v>
      </c>
      <c r="D135">
        <v>5</v>
      </c>
      <c r="E135">
        <v>1</v>
      </c>
      <c r="F135">
        <v>0</v>
      </c>
      <c r="H135">
        <v>0</v>
      </c>
      <c r="I135">
        <v>0</v>
      </c>
      <c r="J135">
        <v>0</v>
      </c>
      <c r="K135">
        <v>0</v>
      </c>
      <c r="L135" s="7">
        <v>18.399999999999999</v>
      </c>
      <c r="M135" s="7">
        <v>27.7</v>
      </c>
      <c r="N135">
        <v>213</v>
      </c>
      <c r="O135" s="15">
        <v>176</v>
      </c>
      <c r="P135" s="8">
        <v>0.6428571428571429</v>
      </c>
      <c r="Q135">
        <v>175</v>
      </c>
      <c r="R135" s="15">
        <v>149</v>
      </c>
      <c r="S135" s="8">
        <v>0.58399999999999996</v>
      </c>
      <c r="T135">
        <v>137</v>
      </c>
      <c r="U135" s="15">
        <v>112</v>
      </c>
      <c r="V135" s="8">
        <v>0.70588235294117652</v>
      </c>
      <c r="W135">
        <f t="shared" si="2"/>
        <v>525</v>
      </c>
    </row>
    <row r="136" spans="1:23">
      <c r="A136" s="6">
        <v>45061</v>
      </c>
      <c r="B136" t="s">
        <v>62</v>
      </c>
      <c r="C136">
        <v>0</v>
      </c>
      <c r="D136">
        <v>5</v>
      </c>
      <c r="E136">
        <v>0</v>
      </c>
      <c r="F136">
        <v>0</v>
      </c>
      <c r="H136">
        <v>0</v>
      </c>
      <c r="I136">
        <v>0</v>
      </c>
      <c r="J136">
        <v>0</v>
      </c>
      <c r="K136">
        <v>0</v>
      </c>
      <c r="L136" s="7">
        <v>9.3000000000000007</v>
      </c>
      <c r="M136" s="7">
        <v>27.8</v>
      </c>
      <c r="N136">
        <v>181</v>
      </c>
      <c r="O136" s="15">
        <v>150</v>
      </c>
      <c r="P136" s="8">
        <v>0.55714285714285716</v>
      </c>
      <c r="Q136">
        <v>160</v>
      </c>
      <c r="R136" s="15">
        <v>138</v>
      </c>
      <c r="S136" s="8">
        <v>0.54400000000000004</v>
      </c>
      <c r="T136">
        <v>119</v>
      </c>
      <c r="U136" s="15">
        <v>95</v>
      </c>
      <c r="V136" s="8">
        <v>0.63529411764705879</v>
      </c>
      <c r="W136">
        <f t="shared" si="2"/>
        <v>460</v>
      </c>
    </row>
    <row r="137" spans="1:23">
      <c r="A137" s="6">
        <v>45062</v>
      </c>
      <c r="B137" t="s">
        <v>63</v>
      </c>
      <c r="C137">
        <v>1</v>
      </c>
      <c r="D137">
        <v>5</v>
      </c>
      <c r="E137">
        <v>0</v>
      </c>
      <c r="F137">
        <v>0</v>
      </c>
      <c r="H137">
        <v>0</v>
      </c>
      <c r="I137">
        <v>0</v>
      </c>
      <c r="J137">
        <v>0</v>
      </c>
      <c r="K137">
        <v>0</v>
      </c>
      <c r="L137" s="7">
        <v>7.3</v>
      </c>
      <c r="M137" s="7">
        <v>27.2</v>
      </c>
      <c r="N137">
        <v>164</v>
      </c>
      <c r="O137" s="15">
        <v>144</v>
      </c>
      <c r="P137" s="8">
        <v>0.49285714285714288</v>
      </c>
      <c r="Q137">
        <v>163</v>
      </c>
      <c r="R137" s="15">
        <v>150</v>
      </c>
      <c r="S137" s="8">
        <v>0.53600000000000003</v>
      </c>
      <c r="T137">
        <v>113</v>
      </c>
      <c r="U137" s="15">
        <v>102</v>
      </c>
      <c r="V137" s="8">
        <v>0.58823529411764708</v>
      </c>
      <c r="W137">
        <f t="shared" si="2"/>
        <v>440</v>
      </c>
    </row>
    <row r="138" spans="1:23">
      <c r="A138" s="6">
        <v>45063</v>
      </c>
      <c r="B138" t="s">
        <v>64</v>
      </c>
      <c r="C138">
        <v>2</v>
      </c>
      <c r="D138">
        <v>5</v>
      </c>
      <c r="E138">
        <v>0</v>
      </c>
      <c r="F138">
        <v>0</v>
      </c>
      <c r="H138">
        <v>0</v>
      </c>
      <c r="I138">
        <v>0</v>
      </c>
      <c r="J138">
        <v>0</v>
      </c>
      <c r="K138">
        <v>0</v>
      </c>
      <c r="L138" s="7">
        <v>17.8</v>
      </c>
      <c r="M138" s="7">
        <v>28.3</v>
      </c>
      <c r="N138">
        <v>176</v>
      </c>
      <c r="O138" s="15">
        <v>151</v>
      </c>
      <c r="P138" s="8">
        <v>0.52857142857142858</v>
      </c>
      <c r="Q138">
        <v>162</v>
      </c>
      <c r="R138" s="15">
        <v>142</v>
      </c>
      <c r="S138" s="8">
        <v>0.52800000000000002</v>
      </c>
      <c r="T138">
        <v>103</v>
      </c>
      <c r="U138" s="15">
        <v>88</v>
      </c>
      <c r="V138" s="8">
        <v>0.52941176470588236</v>
      </c>
      <c r="W138">
        <f t="shared" si="2"/>
        <v>441</v>
      </c>
    </row>
    <row r="139" spans="1:23">
      <c r="A139" s="6">
        <v>45064</v>
      </c>
      <c r="B139" t="s">
        <v>65</v>
      </c>
      <c r="C139">
        <v>3</v>
      </c>
      <c r="D139">
        <v>5</v>
      </c>
      <c r="E139">
        <v>0</v>
      </c>
      <c r="F139">
        <v>0</v>
      </c>
      <c r="H139">
        <v>0</v>
      </c>
      <c r="I139">
        <v>0</v>
      </c>
      <c r="J139">
        <v>0</v>
      </c>
      <c r="K139">
        <v>0</v>
      </c>
      <c r="L139" s="7">
        <v>11.2</v>
      </c>
      <c r="M139" s="7">
        <v>28.4</v>
      </c>
      <c r="N139">
        <v>195</v>
      </c>
      <c r="O139" s="15">
        <v>156</v>
      </c>
      <c r="P139" s="8">
        <v>0.5714285714285714</v>
      </c>
      <c r="Q139">
        <v>152</v>
      </c>
      <c r="R139" s="15">
        <v>127</v>
      </c>
      <c r="S139" s="8">
        <v>0.48</v>
      </c>
      <c r="T139">
        <v>115</v>
      </c>
      <c r="U139" s="15">
        <v>103</v>
      </c>
      <c r="V139" s="8">
        <v>0.6</v>
      </c>
      <c r="W139">
        <f t="shared" si="2"/>
        <v>462</v>
      </c>
    </row>
    <row r="140" spans="1:23">
      <c r="A140" s="6">
        <v>45065</v>
      </c>
      <c r="B140" t="s">
        <v>66</v>
      </c>
      <c r="C140">
        <v>4</v>
      </c>
      <c r="D140">
        <v>5</v>
      </c>
      <c r="E140">
        <v>0</v>
      </c>
      <c r="F140">
        <v>0</v>
      </c>
      <c r="H140">
        <v>0</v>
      </c>
      <c r="I140">
        <v>0</v>
      </c>
      <c r="J140">
        <v>0</v>
      </c>
      <c r="K140">
        <v>0</v>
      </c>
      <c r="L140" s="7">
        <v>20.6</v>
      </c>
      <c r="M140" s="7">
        <v>28.2</v>
      </c>
      <c r="N140">
        <v>163</v>
      </c>
      <c r="O140" s="15">
        <v>138</v>
      </c>
      <c r="P140" s="8">
        <v>0.49285714285714288</v>
      </c>
      <c r="Q140">
        <v>164</v>
      </c>
      <c r="R140" s="15">
        <v>154</v>
      </c>
      <c r="S140" s="8">
        <v>0.54400000000000004</v>
      </c>
      <c r="T140">
        <v>105</v>
      </c>
      <c r="U140" s="15">
        <v>89</v>
      </c>
      <c r="V140" s="8">
        <v>0.56470588235294117</v>
      </c>
      <c r="W140">
        <f t="shared" si="2"/>
        <v>432</v>
      </c>
    </row>
    <row r="141" spans="1:23">
      <c r="A141" s="6">
        <v>45066</v>
      </c>
      <c r="B141" t="s">
        <v>67</v>
      </c>
      <c r="C141">
        <v>5</v>
      </c>
      <c r="D141">
        <v>5</v>
      </c>
      <c r="E141">
        <v>1</v>
      </c>
      <c r="F141">
        <v>0</v>
      </c>
      <c r="H141">
        <v>0</v>
      </c>
      <c r="I141">
        <v>0</v>
      </c>
      <c r="J141">
        <v>0</v>
      </c>
      <c r="K141">
        <v>0</v>
      </c>
      <c r="L141" s="7">
        <v>6</v>
      </c>
      <c r="M141" s="7">
        <v>28.1</v>
      </c>
      <c r="N141">
        <v>209</v>
      </c>
      <c r="O141" s="15">
        <v>193</v>
      </c>
      <c r="P141" s="8">
        <v>0.63571428571428568</v>
      </c>
      <c r="Q141">
        <v>184</v>
      </c>
      <c r="R141" s="15">
        <v>169</v>
      </c>
      <c r="S141" s="8">
        <v>0.624</v>
      </c>
      <c r="T141">
        <v>130</v>
      </c>
      <c r="U141" s="15">
        <v>110</v>
      </c>
      <c r="V141" s="8">
        <v>0.69411764705882351</v>
      </c>
      <c r="W141">
        <f t="shared" si="2"/>
        <v>523</v>
      </c>
    </row>
    <row r="142" spans="1:23">
      <c r="A142" s="6">
        <v>45067</v>
      </c>
      <c r="B142" t="s">
        <v>60</v>
      </c>
      <c r="C142">
        <v>6</v>
      </c>
      <c r="D142">
        <v>5</v>
      </c>
      <c r="E142">
        <v>1</v>
      </c>
      <c r="F142">
        <v>0</v>
      </c>
      <c r="H142">
        <v>0</v>
      </c>
      <c r="I142">
        <v>0</v>
      </c>
      <c r="J142">
        <v>0</v>
      </c>
      <c r="K142">
        <v>0</v>
      </c>
      <c r="L142" s="7">
        <v>7</v>
      </c>
      <c r="M142" s="7">
        <v>27.4</v>
      </c>
      <c r="N142">
        <v>213</v>
      </c>
      <c r="O142" s="15">
        <v>195</v>
      </c>
      <c r="P142" s="8">
        <v>0.6428571428571429</v>
      </c>
      <c r="Q142">
        <v>180</v>
      </c>
      <c r="R142" s="15">
        <v>157</v>
      </c>
      <c r="S142" s="8">
        <v>0.6</v>
      </c>
      <c r="T142">
        <v>134</v>
      </c>
      <c r="U142" s="15">
        <v>112</v>
      </c>
      <c r="V142" s="8">
        <v>0.71764705882352942</v>
      </c>
      <c r="W142">
        <f t="shared" si="2"/>
        <v>527</v>
      </c>
    </row>
    <row r="143" spans="1:23">
      <c r="A143" s="6">
        <v>45068</v>
      </c>
      <c r="B143" t="s">
        <v>62</v>
      </c>
      <c r="C143">
        <v>0</v>
      </c>
      <c r="D143">
        <v>5</v>
      </c>
      <c r="E143">
        <v>0</v>
      </c>
      <c r="F143">
        <v>0</v>
      </c>
      <c r="H143">
        <v>0</v>
      </c>
      <c r="I143">
        <v>0</v>
      </c>
      <c r="J143">
        <v>0</v>
      </c>
      <c r="K143">
        <v>0</v>
      </c>
      <c r="L143" s="7">
        <v>14.3</v>
      </c>
      <c r="M143" s="7">
        <v>25.8</v>
      </c>
      <c r="N143">
        <v>182</v>
      </c>
      <c r="O143" s="15">
        <v>160</v>
      </c>
      <c r="P143" s="8">
        <v>0.5714285714285714</v>
      </c>
      <c r="Q143">
        <v>145</v>
      </c>
      <c r="R143" s="15">
        <v>132</v>
      </c>
      <c r="S143" s="8">
        <v>0.48</v>
      </c>
      <c r="T143">
        <v>109</v>
      </c>
      <c r="U143" s="15">
        <v>91</v>
      </c>
      <c r="V143" s="8">
        <v>0.57647058823529407</v>
      </c>
      <c r="W143">
        <f t="shared" si="2"/>
        <v>436</v>
      </c>
    </row>
    <row r="144" spans="1:23">
      <c r="A144" s="6">
        <v>45069</v>
      </c>
      <c r="B144" t="s">
        <v>63</v>
      </c>
      <c r="C144">
        <v>1</v>
      </c>
      <c r="D144">
        <v>5</v>
      </c>
      <c r="E144">
        <v>0</v>
      </c>
      <c r="F144">
        <v>0</v>
      </c>
      <c r="H144">
        <v>0</v>
      </c>
      <c r="I144">
        <v>0</v>
      </c>
      <c r="J144">
        <v>0</v>
      </c>
      <c r="K144">
        <v>0</v>
      </c>
      <c r="L144" s="7">
        <v>15.6</v>
      </c>
      <c r="M144" s="7">
        <v>27.9</v>
      </c>
      <c r="N144">
        <v>166</v>
      </c>
      <c r="O144" s="15">
        <v>138</v>
      </c>
      <c r="P144" s="8">
        <v>0.52142857142857146</v>
      </c>
      <c r="Q144">
        <v>143</v>
      </c>
      <c r="R144" s="15">
        <v>120</v>
      </c>
      <c r="S144" s="8">
        <v>0.48799999999999999</v>
      </c>
      <c r="T144">
        <v>112</v>
      </c>
      <c r="U144" s="15">
        <v>92</v>
      </c>
      <c r="V144" s="8">
        <v>0.56470588235294117</v>
      </c>
      <c r="W144">
        <f t="shared" si="2"/>
        <v>421</v>
      </c>
    </row>
    <row r="145" spans="1:23">
      <c r="A145" s="6">
        <v>45070</v>
      </c>
      <c r="B145" t="s">
        <v>64</v>
      </c>
      <c r="C145">
        <v>2</v>
      </c>
      <c r="D145">
        <v>5</v>
      </c>
      <c r="E145">
        <v>0</v>
      </c>
      <c r="F145">
        <v>0</v>
      </c>
      <c r="H145">
        <v>0</v>
      </c>
      <c r="I145">
        <v>0</v>
      </c>
      <c r="J145">
        <v>0</v>
      </c>
      <c r="K145">
        <v>0</v>
      </c>
      <c r="L145" s="7">
        <v>9.1</v>
      </c>
      <c r="M145" s="7">
        <v>26.9</v>
      </c>
      <c r="N145">
        <v>173</v>
      </c>
      <c r="O145" s="15">
        <v>155</v>
      </c>
      <c r="P145" s="8">
        <v>0.52142857142857146</v>
      </c>
      <c r="Q145">
        <v>142</v>
      </c>
      <c r="R145" s="15">
        <v>122</v>
      </c>
      <c r="S145" s="8">
        <v>0.48</v>
      </c>
      <c r="T145">
        <v>114</v>
      </c>
      <c r="U145" s="15">
        <v>100</v>
      </c>
      <c r="V145" s="8">
        <v>0.58823529411764708</v>
      </c>
      <c r="W145">
        <f t="shared" si="2"/>
        <v>429</v>
      </c>
    </row>
    <row r="146" spans="1:23">
      <c r="A146" s="6">
        <v>45071</v>
      </c>
      <c r="B146" t="s">
        <v>65</v>
      </c>
      <c r="C146">
        <v>3</v>
      </c>
      <c r="D146">
        <v>5</v>
      </c>
      <c r="E146">
        <v>0</v>
      </c>
      <c r="F146">
        <v>0</v>
      </c>
      <c r="H146">
        <v>0</v>
      </c>
      <c r="I146">
        <v>0</v>
      </c>
      <c r="J146">
        <v>0</v>
      </c>
      <c r="K146">
        <v>0</v>
      </c>
      <c r="L146" s="7">
        <v>5.3</v>
      </c>
      <c r="M146" s="7">
        <v>27.9</v>
      </c>
      <c r="N146">
        <v>179</v>
      </c>
      <c r="O146" s="15">
        <v>148</v>
      </c>
      <c r="P146" s="8">
        <v>0.5357142857142857</v>
      </c>
      <c r="Q146">
        <v>144</v>
      </c>
      <c r="R146" s="15">
        <v>127</v>
      </c>
      <c r="S146" s="8">
        <v>0.496</v>
      </c>
      <c r="T146">
        <v>103</v>
      </c>
      <c r="U146" s="15">
        <v>84</v>
      </c>
      <c r="V146" s="8">
        <v>0.55294117647058827</v>
      </c>
      <c r="W146">
        <f t="shared" si="2"/>
        <v>426</v>
      </c>
    </row>
    <row r="147" spans="1:23">
      <c r="A147" s="6">
        <v>45072</v>
      </c>
      <c r="B147" t="s">
        <v>66</v>
      </c>
      <c r="C147">
        <v>4</v>
      </c>
      <c r="D147">
        <v>5</v>
      </c>
      <c r="E147">
        <v>0</v>
      </c>
      <c r="F147">
        <v>0</v>
      </c>
      <c r="H147">
        <v>0</v>
      </c>
      <c r="I147">
        <v>0</v>
      </c>
      <c r="J147">
        <v>0</v>
      </c>
      <c r="K147">
        <v>0</v>
      </c>
      <c r="L147" s="7">
        <v>8.1999999999999993</v>
      </c>
      <c r="M147" s="7">
        <v>26.8</v>
      </c>
      <c r="N147">
        <v>184</v>
      </c>
      <c r="O147" s="15">
        <v>151</v>
      </c>
      <c r="P147" s="8">
        <v>0.57857142857142863</v>
      </c>
      <c r="Q147">
        <v>162</v>
      </c>
      <c r="R147" s="15">
        <v>140</v>
      </c>
      <c r="S147" s="8">
        <v>0.53600000000000003</v>
      </c>
      <c r="T147">
        <v>98</v>
      </c>
      <c r="U147" s="15">
        <v>88</v>
      </c>
      <c r="V147" s="8">
        <v>0.52941176470588236</v>
      </c>
      <c r="W147">
        <f t="shared" si="2"/>
        <v>444</v>
      </c>
    </row>
    <row r="148" spans="1:23">
      <c r="A148" s="6">
        <v>45073</v>
      </c>
      <c r="B148" t="s">
        <v>67</v>
      </c>
      <c r="C148">
        <v>5</v>
      </c>
      <c r="D148">
        <v>5</v>
      </c>
      <c r="E148">
        <v>1</v>
      </c>
      <c r="F148">
        <v>0</v>
      </c>
      <c r="H148">
        <v>0</v>
      </c>
      <c r="I148">
        <v>0</v>
      </c>
      <c r="J148">
        <v>0</v>
      </c>
      <c r="K148">
        <v>0</v>
      </c>
      <c r="L148" s="7">
        <v>24.4</v>
      </c>
      <c r="M148" s="7">
        <v>25.1</v>
      </c>
      <c r="N148">
        <v>209</v>
      </c>
      <c r="O148" s="15">
        <v>177</v>
      </c>
      <c r="P148" s="8">
        <v>0.62142857142857144</v>
      </c>
      <c r="Q148">
        <v>186</v>
      </c>
      <c r="R148" s="15">
        <v>154</v>
      </c>
      <c r="S148" s="8">
        <v>0.624</v>
      </c>
      <c r="T148">
        <v>135</v>
      </c>
      <c r="U148" s="15">
        <v>119</v>
      </c>
      <c r="V148" s="8">
        <v>0.74117647058823533</v>
      </c>
      <c r="W148">
        <f t="shared" si="2"/>
        <v>530</v>
      </c>
    </row>
    <row r="149" spans="1:23">
      <c r="A149" s="6">
        <v>45074</v>
      </c>
      <c r="B149" t="s">
        <v>60</v>
      </c>
      <c r="C149">
        <v>6</v>
      </c>
      <c r="D149">
        <v>5</v>
      </c>
      <c r="E149">
        <v>1</v>
      </c>
      <c r="F149">
        <v>0</v>
      </c>
      <c r="H149">
        <v>0</v>
      </c>
      <c r="I149">
        <v>0</v>
      </c>
      <c r="J149">
        <v>0</v>
      </c>
      <c r="K149">
        <v>0</v>
      </c>
      <c r="L149" s="7">
        <v>23.4</v>
      </c>
      <c r="M149" s="7">
        <v>26.9</v>
      </c>
      <c r="N149">
        <v>192</v>
      </c>
      <c r="O149" s="15">
        <v>178</v>
      </c>
      <c r="P149" s="8">
        <v>0.58571428571428574</v>
      </c>
      <c r="Q149">
        <v>185</v>
      </c>
      <c r="R149" s="15">
        <v>149</v>
      </c>
      <c r="S149" s="8">
        <v>0.64</v>
      </c>
      <c r="T149">
        <v>145</v>
      </c>
      <c r="U149" s="15">
        <v>134</v>
      </c>
      <c r="V149" s="8">
        <v>0.77647058823529413</v>
      </c>
      <c r="W149">
        <f t="shared" si="2"/>
        <v>522</v>
      </c>
    </row>
    <row r="150" spans="1:23">
      <c r="A150" s="6">
        <v>45075</v>
      </c>
      <c r="B150" t="s">
        <v>62</v>
      </c>
      <c r="C150">
        <v>0</v>
      </c>
      <c r="D150">
        <v>5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0</v>
      </c>
      <c r="L150" s="7">
        <v>0</v>
      </c>
      <c r="M150" s="7">
        <v>27.4</v>
      </c>
      <c r="N150">
        <v>176</v>
      </c>
      <c r="O150" s="15">
        <v>147</v>
      </c>
      <c r="P150" s="8">
        <v>0.54285714285714282</v>
      </c>
      <c r="Q150">
        <v>157</v>
      </c>
      <c r="R150" s="15">
        <v>144</v>
      </c>
      <c r="S150" s="8">
        <v>0.52</v>
      </c>
      <c r="T150">
        <v>102</v>
      </c>
      <c r="U150" s="15">
        <v>86</v>
      </c>
      <c r="V150" s="8">
        <v>0.51764705882352946</v>
      </c>
      <c r="W150">
        <f t="shared" si="2"/>
        <v>435</v>
      </c>
    </row>
    <row r="151" spans="1:23">
      <c r="A151" s="6">
        <v>45076</v>
      </c>
      <c r="B151" t="s">
        <v>63</v>
      </c>
      <c r="C151">
        <v>1</v>
      </c>
      <c r="D151">
        <v>5</v>
      </c>
      <c r="E151">
        <v>0</v>
      </c>
      <c r="F151">
        <v>0</v>
      </c>
      <c r="H151">
        <v>0</v>
      </c>
      <c r="I151">
        <v>0</v>
      </c>
      <c r="J151">
        <v>0</v>
      </c>
      <c r="K151">
        <v>0</v>
      </c>
      <c r="L151" s="7">
        <v>20.9</v>
      </c>
      <c r="M151" s="7">
        <v>26.8</v>
      </c>
      <c r="N151">
        <v>169</v>
      </c>
      <c r="O151" s="15">
        <v>136</v>
      </c>
      <c r="P151" s="8">
        <v>0.50714285714285712</v>
      </c>
      <c r="Q151">
        <v>166</v>
      </c>
      <c r="R151" s="15">
        <v>136</v>
      </c>
      <c r="S151" s="8">
        <v>0.56000000000000005</v>
      </c>
      <c r="T151">
        <v>108</v>
      </c>
      <c r="U151" s="15">
        <v>95</v>
      </c>
      <c r="V151" s="8">
        <v>0.55294117647058827</v>
      </c>
      <c r="W151">
        <f t="shared" si="2"/>
        <v>443</v>
      </c>
    </row>
    <row r="152" spans="1:23">
      <c r="A152" s="6">
        <v>45077</v>
      </c>
      <c r="B152" t="s">
        <v>64</v>
      </c>
      <c r="C152">
        <v>2</v>
      </c>
      <c r="D152">
        <v>5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 s="7">
        <v>4.8</v>
      </c>
      <c r="M152" s="7">
        <v>28.5</v>
      </c>
      <c r="N152">
        <v>184</v>
      </c>
      <c r="O152" s="15">
        <v>160</v>
      </c>
      <c r="P152" s="8">
        <v>0.55000000000000004</v>
      </c>
      <c r="Q152">
        <v>157</v>
      </c>
      <c r="R152" s="15">
        <v>130</v>
      </c>
      <c r="S152" s="8">
        <v>0.52</v>
      </c>
      <c r="T152">
        <v>111</v>
      </c>
      <c r="U152" s="15">
        <v>90</v>
      </c>
      <c r="V152" s="8">
        <v>0.6</v>
      </c>
      <c r="W152">
        <f t="shared" si="2"/>
        <v>452</v>
      </c>
    </row>
    <row r="153" spans="1:23">
      <c r="A153" s="6">
        <v>45078</v>
      </c>
      <c r="B153" t="s">
        <v>65</v>
      </c>
      <c r="C153">
        <v>3</v>
      </c>
      <c r="D153">
        <v>6</v>
      </c>
      <c r="E153">
        <v>0</v>
      </c>
      <c r="F153">
        <v>0</v>
      </c>
      <c r="H153">
        <v>0</v>
      </c>
      <c r="I153">
        <v>0</v>
      </c>
      <c r="J153">
        <v>0</v>
      </c>
      <c r="K153">
        <v>0</v>
      </c>
      <c r="L153" s="7">
        <v>4.0999999999999996</v>
      </c>
      <c r="M153" s="7">
        <v>28.9</v>
      </c>
      <c r="N153">
        <v>173</v>
      </c>
      <c r="O153" s="15">
        <v>143</v>
      </c>
      <c r="P153" s="8">
        <v>0.54285714285714282</v>
      </c>
      <c r="Q153">
        <v>158</v>
      </c>
      <c r="R153" s="15">
        <v>142</v>
      </c>
      <c r="S153" s="8">
        <v>0.51200000000000001</v>
      </c>
      <c r="T153">
        <v>116</v>
      </c>
      <c r="U153" s="15">
        <v>104</v>
      </c>
      <c r="V153" s="8">
        <v>0.62352941176470589</v>
      </c>
      <c r="W153">
        <f t="shared" si="2"/>
        <v>447</v>
      </c>
    </row>
    <row r="154" spans="1:23">
      <c r="A154" s="6">
        <v>45079</v>
      </c>
      <c r="B154" t="s">
        <v>66</v>
      </c>
      <c r="C154">
        <v>4</v>
      </c>
      <c r="D154">
        <v>6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L154" s="7">
        <v>9.4</v>
      </c>
      <c r="M154" s="7">
        <v>26.5</v>
      </c>
      <c r="N154">
        <v>178</v>
      </c>
      <c r="O154" s="15">
        <v>159</v>
      </c>
      <c r="P154" s="8">
        <v>0.55714285714285716</v>
      </c>
      <c r="Q154">
        <v>164</v>
      </c>
      <c r="R154" s="15">
        <v>132</v>
      </c>
      <c r="S154" s="8">
        <v>0.52</v>
      </c>
      <c r="T154">
        <v>116</v>
      </c>
      <c r="U154" s="15">
        <v>96</v>
      </c>
      <c r="V154" s="8">
        <v>0.6470588235294118</v>
      </c>
      <c r="W154">
        <f t="shared" si="2"/>
        <v>458</v>
      </c>
    </row>
    <row r="155" spans="1:23">
      <c r="A155" s="6">
        <v>45080</v>
      </c>
      <c r="B155" t="s">
        <v>67</v>
      </c>
      <c r="C155">
        <v>5</v>
      </c>
      <c r="D155">
        <v>6</v>
      </c>
      <c r="E155">
        <v>1</v>
      </c>
      <c r="F155">
        <v>0</v>
      </c>
      <c r="H155">
        <v>0</v>
      </c>
      <c r="I155">
        <v>0</v>
      </c>
      <c r="J155">
        <v>0</v>
      </c>
      <c r="K155">
        <v>0</v>
      </c>
      <c r="L155" s="7">
        <v>1.7</v>
      </c>
      <c r="M155" s="7">
        <v>27.6</v>
      </c>
      <c r="N155">
        <v>215</v>
      </c>
      <c r="O155" s="15">
        <v>191</v>
      </c>
      <c r="P155" s="8">
        <v>0.6428571428571429</v>
      </c>
      <c r="Q155">
        <v>189</v>
      </c>
      <c r="R155" s="15">
        <v>173</v>
      </c>
      <c r="S155" s="8">
        <v>0.624</v>
      </c>
      <c r="T155">
        <v>132</v>
      </c>
      <c r="U155" s="15">
        <v>107</v>
      </c>
      <c r="V155" s="8">
        <v>0.69411764705882351</v>
      </c>
      <c r="W155">
        <f t="shared" si="2"/>
        <v>536</v>
      </c>
    </row>
    <row r="156" spans="1:23">
      <c r="A156" s="6">
        <v>45081</v>
      </c>
      <c r="B156" t="s">
        <v>60</v>
      </c>
      <c r="C156">
        <v>6</v>
      </c>
      <c r="D156">
        <v>6</v>
      </c>
      <c r="E156">
        <v>1</v>
      </c>
      <c r="F156">
        <v>0</v>
      </c>
      <c r="H156">
        <v>0</v>
      </c>
      <c r="I156">
        <v>0</v>
      </c>
      <c r="J156">
        <v>0</v>
      </c>
      <c r="K156">
        <v>0</v>
      </c>
      <c r="L156" s="7">
        <v>0</v>
      </c>
      <c r="M156" s="7">
        <v>26.6</v>
      </c>
      <c r="N156">
        <v>215</v>
      </c>
      <c r="O156" s="15">
        <v>175</v>
      </c>
      <c r="P156" s="8">
        <v>0.65714285714285714</v>
      </c>
      <c r="Q156">
        <v>191</v>
      </c>
      <c r="R156" s="15">
        <v>171</v>
      </c>
      <c r="S156" s="8">
        <v>0.624</v>
      </c>
      <c r="T156">
        <v>130</v>
      </c>
      <c r="U156" s="15">
        <v>112</v>
      </c>
      <c r="V156" s="8">
        <v>0.68235294117647061</v>
      </c>
      <c r="W156">
        <f t="shared" si="2"/>
        <v>536</v>
      </c>
    </row>
    <row r="157" spans="1:23">
      <c r="A157" s="6">
        <v>45082</v>
      </c>
      <c r="B157" t="s">
        <v>62</v>
      </c>
      <c r="C157">
        <v>0</v>
      </c>
      <c r="D157">
        <v>6</v>
      </c>
      <c r="E157">
        <v>0</v>
      </c>
      <c r="F157">
        <v>0</v>
      </c>
      <c r="H157">
        <v>0</v>
      </c>
      <c r="I157">
        <v>0</v>
      </c>
      <c r="J157">
        <v>0</v>
      </c>
      <c r="K157">
        <v>0</v>
      </c>
      <c r="L157" s="7">
        <v>12.1</v>
      </c>
      <c r="M157" s="7">
        <v>27.7</v>
      </c>
      <c r="N157">
        <v>166</v>
      </c>
      <c r="O157" s="15">
        <v>136</v>
      </c>
      <c r="P157" s="8">
        <v>0.51428571428571423</v>
      </c>
      <c r="Q157">
        <v>164</v>
      </c>
      <c r="R157" s="15">
        <v>148</v>
      </c>
      <c r="S157" s="8">
        <v>0.54400000000000004</v>
      </c>
      <c r="T157">
        <v>100</v>
      </c>
      <c r="U157" s="15">
        <v>83</v>
      </c>
      <c r="V157" s="8">
        <v>0.52941176470588236</v>
      </c>
      <c r="W157">
        <f t="shared" si="2"/>
        <v>430</v>
      </c>
    </row>
    <row r="158" spans="1:23">
      <c r="A158" s="6">
        <v>45083</v>
      </c>
      <c r="B158" t="s">
        <v>63</v>
      </c>
      <c r="C158">
        <v>1</v>
      </c>
      <c r="D158">
        <v>6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 s="7">
        <v>6.2</v>
      </c>
      <c r="M158" s="7">
        <v>26.7</v>
      </c>
      <c r="N158">
        <v>204</v>
      </c>
      <c r="O158" s="15">
        <v>174</v>
      </c>
      <c r="P158" s="8">
        <v>0.61428571428571432</v>
      </c>
      <c r="Q158">
        <v>156</v>
      </c>
      <c r="R158" s="15">
        <v>125</v>
      </c>
      <c r="S158" s="8">
        <v>0.52800000000000002</v>
      </c>
      <c r="T158">
        <v>124</v>
      </c>
      <c r="U158" s="15">
        <v>116</v>
      </c>
      <c r="V158" s="8">
        <v>0.62352941176470589</v>
      </c>
      <c r="W158">
        <f t="shared" si="2"/>
        <v>484</v>
      </c>
    </row>
    <row r="159" spans="1:23">
      <c r="A159" s="6">
        <v>45084</v>
      </c>
      <c r="B159" t="s">
        <v>64</v>
      </c>
      <c r="C159">
        <v>2</v>
      </c>
      <c r="D159">
        <v>6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 s="7">
        <v>18.399999999999999</v>
      </c>
      <c r="M159" s="7">
        <v>27.6</v>
      </c>
      <c r="N159">
        <v>180</v>
      </c>
      <c r="O159" s="15">
        <v>145</v>
      </c>
      <c r="P159" s="8">
        <v>0.5714285714285714</v>
      </c>
      <c r="Q159">
        <v>163</v>
      </c>
      <c r="R159" s="15">
        <v>143</v>
      </c>
      <c r="S159" s="8">
        <v>0.54400000000000004</v>
      </c>
      <c r="T159">
        <v>116</v>
      </c>
      <c r="U159" s="15">
        <v>103</v>
      </c>
      <c r="V159" s="8">
        <v>0.61176470588235299</v>
      </c>
      <c r="W159">
        <f t="shared" si="2"/>
        <v>459</v>
      </c>
    </row>
    <row r="160" spans="1:23">
      <c r="A160" s="6">
        <v>45085</v>
      </c>
      <c r="B160" t="s">
        <v>65</v>
      </c>
      <c r="C160">
        <v>3</v>
      </c>
      <c r="D160">
        <v>6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0</v>
      </c>
      <c r="L160" s="7">
        <v>8.6</v>
      </c>
      <c r="M160" s="7">
        <v>27.2</v>
      </c>
      <c r="N160">
        <v>166</v>
      </c>
      <c r="O160" s="15">
        <v>151</v>
      </c>
      <c r="P160" s="8">
        <v>0.51428571428571423</v>
      </c>
      <c r="Q160">
        <v>166</v>
      </c>
      <c r="R160" s="15">
        <v>148</v>
      </c>
      <c r="S160" s="8">
        <v>0.54400000000000004</v>
      </c>
      <c r="T160">
        <v>119</v>
      </c>
      <c r="U160" s="15">
        <v>104</v>
      </c>
      <c r="V160" s="8">
        <v>0.58823529411764708</v>
      </c>
      <c r="W160">
        <f t="shared" si="2"/>
        <v>451</v>
      </c>
    </row>
    <row r="161" spans="1:23">
      <c r="A161" s="6">
        <v>45086</v>
      </c>
      <c r="B161" t="s">
        <v>66</v>
      </c>
      <c r="C161">
        <v>4</v>
      </c>
      <c r="D161">
        <v>6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 s="7">
        <v>2.4</v>
      </c>
      <c r="M161" s="7">
        <v>29</v>
      </c>
      <c r="N161">
        <v>167</v>
      </c>
      <c r="O161" s="15">
        <v>143</v>
      </c>
      <c r="P161" s="8">
        <v>0.52142857142857146</v>
      </c>
      <c r="Q161">
        <v>144</v>
      </c>
      <c r="R161" s="15">
        <v>134</v>
      </c>
      <c r="S161" s="8">
        <v>0.48</v>
      </c>
      <c r="T161">
        <v>108</v>
      </c>
      <c r="U161" s="15">
        <v>95</v>
      </c>
      <c r="V161" s="8">
        <v>0.58823529411764708</v>
      </c>
      <c r="W161">
        <f t="shared" si="2"/>
        <v>419</v>
      </c>
    </row>
    <row r="162" spans="1:23">
      <c r="A162" s="6">
        <v>45087</v>
      </c>
      <c r="B162" t="s">
        <v>67</v>
      </c>
      <c r="C162">
        <v>5</v>
      </c>
      <c r="D162">
        <v>6</v>
      </c>
      <c r="E162">
        <v>1</v>
      </c>
      <c r="F162">
        <v>0</v>
      </c>
      <c r="H162">
        <v>0</v>
      </c>
      <c r="I162">
        <v>0</v>
      </c>
      <c r="J162">
        <v>0</v>
      </c>
      <c r="K162">
        <v>0</v>
      </c>
      <c r="L162" s="7">
        <v>9.6</v>
      </c>
      <c r="M162" s="7">
        <v>26.7</v>
      </c>
      <c r="N162">
        <v>208</v>
      </c>
      <c r="O162" s="15">
        <v>170</v>
      </c>
      <c r="P162" s="8">
        <v>0.62857142857142856</v>
      </c>
      <c r="Q162">
        <v>172</v>
      </c>
      <c r="R162" s="15">
        <v>142</v>
      </c>
      <c r="S162" s="8">
        <v>0.58399999999999996</v>
      </c>
      <c r="T162">
        <v>139</v>
      </c>
      <c r="U162" s="15">
        <v>129</v>
      </c>
      <c r="V162" s="8">
        <v>0.71764705882352942</v>
      </c>
      <c r="W162">
        <f t="shared" si="2"/>
        <v>519</v>
      </c>
    </row>
    <row r="163" spans="1:23">
      <c r="A163" s="6">
        <v>45088</v>
      </c>
      <c r="B163" t="s">
        <v>60</v>
      </c>
      <c r="C163">
        <v>6</v>
      </c>
      <c r="D163">
        <v>6</v>
      </c>
      <c r="E163">
        <v>1</v>
      </c>
      <c r="F163">
        <v>0</v>
      </c>
      <c r="H163">
        <v>0</v>
      </c>
      <c r="I163">
        <v>0</v>
      </c>
      <c r="J163">
        <v>0</v>
      </c>
      <c r="K163">
        <v>0</v>
      </c>
      <c r="L163" s="7">
        <v>3.7</v>
      </c>
      <c r="M163" s="7">
        <v>27.7</v>
      </c>
      <c r="N163">
        <v>210</v>
      </c>
      <c r="O163" s="15">
        <v>171</v>
      </c>
      <c r="P163" s="8">
        <v>0.62857142857142856</v>
      </c>
      <c r="Q163">
        <v>198</v>
      </c>
      <c r="R163" s="15">
        <v>172</v>
      </c>
      <c r="S163" s="8">
        <v>0.64</v>
      </c>
      <c r="T163">
        <v>133</v>
      </c>
      <c r="U163" s="15">
        <v>111</v>
      </c>
      <c r="V163" s="8">
        <v>0.70588235294117652</v>
      </c>
      <c r="W163">
        <f t="shared" si="2"/>
        <v>541</v>
      </c>
    </row>
    <row r="164" spans="1:23">
      <c r="A164" s="6">
        <v>45089</v>
      </c>
      <c r="B164" t="s">
        <v>62</v>
      </c>
      <c r="C164">
        <v>0</v>
      </c>
      <c r="D164">
        <v>6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0</v>
      </c>
      <c r="L164" s="7">
        <v>4.7</v>
      </c>
      <c r="M164" s="7">
        <v>27.1</v>
      </c>
      <c r="N164">
        <v>180</v>
      </c>
      <c r="O164" s="15">
        <v>166</v>
      </c>
      <c r="P164" s="8">
        <v>0.55000000000000004</v>
      </c>
      <c r="Q164">
        <v>170</v>
      </c>
      <c r="R164" s="15">
        <v>160</v>
      </c>
      <c r="S164" s="8">
        <v>0.55200000000000005</v>
      </c>
      <c r="T164">
        <v>109</v>
      </c>
      <c r="U164" s="15">
        <v>96</v>
      </c>
      <c r="V164" s="8">
        <v>0.57647058823529407</v>
      </c>
      <c r="W164">
        <f t="shared" si="2"/>
        <v>459</v>
      </c>
    </row>
    <row r="165" spans="1:23">
      <c r="A165" s="6">
        <v>45090</v>
      </c>
      <c r="B165" t="s">
        <v>63</v>
      </c>
      <c r="C165">
        <v>1</v>
      </c>
      <c r="D165">
        <v>6</v>
      </c>
      <c r="E165">
        <v>0</v>
      </c>
      <c r="F165">
        <v>0</v>
      </c>
      <c r="H165">
        <v>0</v>
      </c>
      <c r="I165">
        <v>0</v>
      </c>
      <c r="J165">
        <v>0</v>
      </c>
      <c r="K165">
        <v>0</v>
      </c>
      <c r="L165" s="7">
        <v>9</v>
      </c>
      <c r="M165" s="7">
        <v>28</v>
      </c>
      <c r="N165">
        <v>203</v>
      </c>
      <c r="O165" s="15">
        <v>179</v>
      </c>
      <c r="P165" s="8">
        <v>0.6071428571428571</v>
      </c>
      <c r="Q165">
        <v>156</v>
      </c>
      <c r="R165" s="15">
        <v>132</v>
      </c>
      <c r="S165" s="8">
        <v>0.54400000000000004</v>
      </c>
      <c r="T165">
        <v>124</v>
      </c>
      <c r="U165" s="15">
        <v>111</v>
      </c>
      <c r="V165" s="8">
        <v>0.6470588235294118</v>
      </c>
      <c r="W165">
        <f t="shared" si="2"/>
        <v>483</v>
      </c>
    </row>
    <row r="166" spans="1:23">
      <c r="A166" s="6">
        <v>45091</v>
      </c>
      <c r="B166" t="s">
        <v>64</v>
      </c>
      <c r="C166">
        <v>2</v>
      </c>
      <c r="D166">
        <v>6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L166" s="7">
        <v>1.6</v>
      </c>
      <c r="M166" s="7">
        <v>28.5</v>
      </c>
      <c r="N166">
        <v>182</v>
      </c>
      <c r="O166" s="15">
        <v>157</v>
      </c>
      <c r="P166" s="8">
        <v>0.55714285714285716</v>
      </c>
      <c r="Q166">
        <v>157</v>
      </c>
      <c r="R166" s="15">
        <v>145</v>
      </c>
      <c r="S166" s="8">
        <v>0.52800000000000002</v>
      </c>
      <c r="T166">
        <v>98</v>
      </c>
      <c r="U166" s="15">
        <v>80</v>
      </c>
      <c r="V166" s="8">
        <v>0.56470588235294117</v>
      </c>
      <c r="W166">
        <f t="shared" si="2"/>
        <v>437</v>
      </c>
    </row>
    <row r="167" spans="1:23">
      <c r="A167" s="6">
        <v>45092</v>
      </c>
      <c r="B167" t="s">
        <v>65</v>
      </c>
      <c r="C167">
        <v>3</v>
      </c>
      <c r="D167">
        <v>6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 s="7">
        <v>0</v>
      </c>
      <c r="M167" s="7">
        <v>25.9</v>
      </c>
      <c r="N167">
        <v>199</v>
      </c>
      <c r="O167" s="15">
        <v>173</v>
      </c>
      <c r="P167" s="8">
        <v>0.58571428571428574</v>
      </c>
      <c r="Q167">
        <v>176</v>
      </c>
      <c r="R167" s="15">
        <v>165</v>
      </c>
      <c r="S167" s="8">
        <v>0.56000000000000005</v>
      </c>
      <c r="T167">
        <v>121</v>
      </c>
      <c r="U167" s="15">
        <v>104</v>
      </c>
      <c r="V167" s="8">
        <v>0.62352941176470589</v>
      </c>
      <c r="W167">
        <f t="shared" si="2"/>
        <v>496</v>
      </c>
    </row>
    <row r="168" spans="1:23">
      <c r="A168" s="6">
        <v>45093</v>
      </c>
      <c r="B168" t="s">
        <v>66</v>
      </c>
      <c r="C168">
        <v>4</v>
      </c>
      <c r="D168">
        <v>6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0</v>
      </c>
      <c r="L168" s="7">
        <v>17.600000000000001</v>
      </c>
      <c r="M168" s="7">
        <v>27</v>
      </c>
      <c r="N168">
        <v>200</v>
      </c>
      <c r="O168" s="15">
        <v>179</v>
      </c>
      <c r="P168" s="8">
        <v>0.59285714285714286</v>
      </c>
      <c r="Q168">
        <v>140</v>
      </c>
      <c r="R168" s="15">
        <v>115</v>
      </c>
      <c r="S168" s="8">
        <v>0.47199999999999998</v>
      </c>
      <c r="T168">
        <v>109</v>
      </c>
      <c r="U168" s="15">
        <v>93</v>
      </c>
      <c r="V168" s="8">
        <v>0.62352941176470589</v>
      </c>
      <c r="W168">
        <f t="shared" si="2"/>
        <v>449</v>
      </c>
    </row>
    <row r="169" spans="1:23">
      <c r="A169" s="6">
        <v>45094</v>
      </c>
      <c r="B169" t="s">
        <v>67</v>
      </c>
      <c r="C169">
        <v>5</v>
      </c>
      <c r="D169">
        <v>6</v>
      </c>
      <c r="E169">
        <v>1</v>
      </c>
      <c r="F169">
        <v>0</v>
      </c>
      <c r="H169">
        <v>0</v>
      </c>
      <c r="I169">
        <v>0</v>
      </c>
      <c r="J169">
        <v>0</v>
      </c>
      <c r="K169">
        <v>0</v>
      </c>
      <c r="L169" s="7">
        <v>9.8000000000000007</v>
      </c>
      <c r="M169" s="7">
        <v>27.8</v>
      </c>
      <c r="N169">
        <v>223</v>
      </c>
      <c r="O169" s="15">
        <v>207</v>
      </c>
      <c r="P169" s="8">
        <v>0.67142857142857137</v>
      </c>
      <c r="Q169">
        <v>183</v>
      </c>
      <c r="R169" s="15">
        <v>169</v>
      </c>
      <c r="S169" s="8">
        <v>0.624</v>
      </c>
      <c r="T169">
        <v>142</v>
      </c>
      <c r="U169" s="15">
        <v>118</v>
      </c>
      <c r="V169" s="8">
        <v>0.75294117647058822</v>
      </c>
      <c r="W169">
        <f t="shared" si="2"/>
        <v>548</v>
      </c>
    </row>
    <row r="170" spans="1:23">
      <c r="A170" s="6">
        <v>45095</v>
      </c>
      <c r="B170" t="s">
        <v>60</v>
      </c>
      <c r="C170">
        <v>6</v>
      </c>
      <c r="D170">
        <v>6</v>
      </c>
      <c r="E170">
        <v>1</v>
      </c>
      <c r="F170">
        <v>0</v>
      </c>
      <c r="H170">
        <v>0</v>
      </c>
      <c r="I170">
        <v>0</v>
      </c>
      <c r="J170">
        <v>0</v>
      </c>
      <c r="K170">
        <v>0</v>
      </c>
      <c r="L170" s="7">
        <v>15</v>
      </c>
      <c r="M170" s="7">
        <v>27.5</v>
      </c>
      <c r="N170">
        <v>219</v>
      </c>
      <c r="O170" s="15">
        <v>178</v>
      </c>
      <c r="P170" s="8">
        <v>0.67142857142857137</v>
      </c>
      <c r="Q170">
        <v>200</v>
      </c>
      <c r="R170" s="15">
        <v>183</v>
      </c>
      <c r="S170" s="8">
        <v>0.65600000000000003</v>
      </c>
      <c r="T170">
        <v>134</v>
      </c>
      <c r="U170" s="15">
        <v>123</v>
      </c>
      <c r="V170" s="8">
        <v>0.69411764705882351</v>
      </c>
      <c r="W170">
        <f t="shared" si="2"/>
        <v>553</v>
      </c>
    </row>
    <row r="171" spans="1:23">
      <c r="A171" s="6">
        <v>45096</v>
      </c>
      <c r="B171" t="s">
        <v>62</v>
      </c>
      <c r="C171">
        <v>0</v>
      </c>
      <c r="D171">
        <v>6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0</v>
      </c>
      <c r="L171" s="7">
        <v>29.5</v>
      </c>
      <c r="M171" s="7">
        <v>26.7</v>
      </c>
      <c r="N171">
        <v>169</v>
      </c>
      <c r="O171" s="15">
        <v>137</v>
      </c>
      <c r="P171" s="8">
        <v>0.5357142857142857</v>
      </c>
      <c r="Q171">
        <v>164</v>
      </c>
      <c r="R171" s="15">
        <v>146</v>
      </c>
      <c r="S171" s="8">
        <v>0.54400000000000004</v>
      </c>
      <c r="T171">
        <v>109</v>
      </c>
      <c r="U171" s="15">
        <v>92</v>
      </c>
      <c r="V171" s="8">
        <v>0.56470588235294117</v>
      </c>
      <c r="W171">
        <f t="shared" si="2"/>
        <v>442</v>
      </c>
    </row>
    <row r="172" spans="1:23">
      <c r="A172" s="6">
        <v>45097</v>
      </c>
      <c r="B172" t="s">
        <v>63</v>
      </c>
      <c r="C172">
        <v>1</v>
      </c>
      <c r="D172">
        <v>6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0</v>
      </c>
      <c r="L172" s="7">
        <v>13.8</v>
      </c>
      <c r="M172" s="7">
        <v>28.8</v>
      </c>
      <c r="N172">
        <v>213</v>
      </c>
      <c r="O172" s="15">
        <v>193</v>
      </c>
      <c r="P172" s="8">
        <v>0.6428571428571429</v>
      </c>
      <c r="Q172">
        <v>165</v>
      </c>
      <c r="R172" s="15">
        <v>151</v>
      </c>
      <c r="S172" s="8">
        <v>0.54400000000000004</v>
      </c>
      <c r="T172">
        <v>130</v>
      </c>
      <c r="U172" s="15">
        <v>106</v>
      </c>
      <c r="V172" s="8">
        <v>0.63529411764705879</v>
      </c>
      <c r="W172">
        <f t="shared" si="2"/>
        <v>508</v>
      </c>
    </row>
    <row r="173" spans="1:23">
      <c r="A173" s="6">
        <v>45098</v>
      </c>
      <c r="B173" t="s">
        <v>64</v>
      </c>
      <c r="C173">
        <v>2</v>
      </c>
      <c r="D173">
        <v>6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0</v>
      </c>
      <c r="L173" s="7">
        <v>4.5999999999999996</v>
      </c>
      <c r="M173" s="7">
        <v>28.1</v>
      </c>
      <c r="N173">
        <v>182</v>
      </c>
      <c r="O173" s="15">
        <v>155</v>
      </c>
      <c r="P173" s="8">
        <v>0.5357142857142857</v>
      </c>
      <c r="Q173">
        <v>151</v>
      </c>
      <c r="R173" s="15">
        <v>126</v>
      </c>
      <c r="S173" s="8">
        <v>0.52</v>
      </c>
      <c r="T173">
        <v>102</v>
      </c>
      <c r="U173" s="15">
        <v>94</v>
      </c>
      <c r="V173" s="8">
        <v>0.57647058823529407</v>
      </c>
      <c r="W173">
        <f t="shared" si="2"/>
        <v>435</v>
      </c>
    </row>
    <row r="174" spans="1:23">
      <c r="A174" s="6">
        <v>45099</v>
      </c>
      <c r="B174" t="s">
        <v>65</v>
      </c>
      <c r="C174">
        <v>3</v>
      </c>
      <c r="D174">
        <v>6</v>
      </c>
      <c r="E174">
        <v>0</v>
      </c>
      <c r="F174">
        <v>0</v>
      </c>
      <c r="H174">
        <v>0</v>
      </c>
      <c r="I174">
        <v>0</v>
      </c>
      <c r="J174">
        <v>0</v>
      </c>
      <c r="K174">
        <v>0</v>
      </c>
      <c r="L174" s="7">
        <v>13</v>
      </c>
      <c r="M174" s="7">
        <v>27.9</v>
      </c>
      <c r="N174">
        <v>193</v>
      </c>
      <c r="O174" s="15">
        <v>161</v>
      </c>
      <c r="P174" s="8">
        <v>0.5714285714285714</v>
      </c>
      <c r="Q174">
        <v>188</v>
      </c>
      <c r="R174" s="15">
        <v>164</v>
      </c>
      <c r="S174" s="8">
        <v>0.60799999999999998</v>
      </c>
      <c r="T174">
        <v>117</v>
      </c>
      <c r="U174" s="15">
        <v>96</v>
      </c>
      <c r="V174" s="8">
        <v>0.63529411764705879</v>
      </c>
      <c r="W174">
        <f t="shared" si="2"/>
        <v>498</v>
      </c>
    </row>
    <row r="175" spans="1:23">
      <c r="A175" s="6">
        <v>45100</v>
      </c>
      <c r="B175" t="s">
        <v>66</v>
      </c>
      <c r="C175">
        <v>4</v>
      </c>
      <c r="D175">
        <v>6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 s="7">
        <v>0</v>
      </c>
      <c r="M175" s="7">
        <v>27.9</v>
      </c>
      <c r="N175">
        <v>208</v>
      </c>
      <c r="O175" s="15">
        <v>179</v>
      </c>
      <c r="P175" s="8">
        <v>0.62142857142857144</v>
      </c>
      <c r="Q175">
        <v>158</v>
      </c>
      <c r="R175" s="15">
        <v>145</v>
      </c>
      <c r="S175" s="8">
        <v>0.52</v>
      </c>
      <c r="T175">
        <v>130</v>
      </c>
      <c r="U175" s="15">
        <v>111</v>
      </c>
      <c r="V175" s="8">
        <v>0.6588235294117647</v>
      </c>
      <c r="W175">
        <f t="shared" si="2"/>
        <v>496</v>
      </c>
    </row>
    <row r="176" spans="1:23">
      <c r="A176" s="6">
        <v>45101</v>
      </c>
      <c r="B176" t="s">
        <v>67</v>
      </c>
      <c r="C176">
        <v>5</v>
      </c>
      <c r="D176">
        <v>6</v>
      </c>
      <c r="E176">
        <v>1</v>
      </c>
      <c r="F176">
        <v>0</v>
      </c>
      <c r="H176">
        <v>0</v>
      </c>
      <c r="I176">
        <v>0</v>
      </c>
      <c r="J176">
        <v>0</v>
      </c>
      <c r="K176">
        <v>0</v>
      </c>
      <c r="L176" s="7">
        <v>0.2</v>
      </c>
      <c r="M176" s="7">
        <v>29.9</v>
      </c>
      <c r="N176">
        <v>212</v>
      </c>
      <c r="O176" s="15">
        <v>182</v>
      </c>
      <c r="P176" s="8">
        <v>0.65714285714285714</v>
      </c>
      <c r="Q176">
        <v>203</v>
      </c>
      <c r="R176" s="15">
        <v>181</v>
      </c>
      <c r="S176" s="8">
        <v>0.67200000000000004</v>
      </c>
      <c r="T176">
        <v>153</v>
      </c>
      <c r="U176" s="15">
        <v>123</v>
      </c>
      <c r="V176" s="8">
        <v>0.81176470588235294</v>
      </c>
      <c r="W176">
        <f t="shared" si="2"/>
        <v>568</v>
      </c>
    </row>
    <row r="177" spans="1:23">
      <c r="A177" s="6">
        <v>45102</v>
      </c>
      <c r="B177" t="s">
        <v>60</v>
      </c>
      <c r="C177">
        <v>6</v>
      </c>
      <c r="D177">
        <v>6</v>
      </c>
      <c r="E177">
        <v>1</v>
      </c>
      <c r="F177">
        <v>0</v>
      </c>
      <c r="H177">
        <v>0</v>
      </c>
      <c r="I177">
        <v>0</v>
      </c>
      <c r="J177">
        <v>0</v>
      </c>
      <c r="K177">
        <v>0</v>
      </c>
      <c r="L177" s="7">
        <v>5.4</v>
      </c>
      <c r="M177" s="7">
        <v>28.7</v>
      </c>
      <c r="N177">
        <v>231</v>
      </c>
      <c r="O177" s="15">
        <v>215</v>
      </c>
      <c r="P177" s="8">
        <v>0.7</v>
      </c>
      <c r="Q177">
        <v>213</v>
      </c>
      <c r="R177" s="15">
        <v>187</v>
      </c>
      <c r="S177" s="8">
        <v>0.68799999999999994</v>
      </c>
      <c r="T177">
        <v>141</v>
      </c>
      <c r="U177" s="15">
        <v>126</v>
      </c>
      <c r="V177" s="8">
        <v>0.70588235294117652</v>
      </c>
      <c r="W177">
        <f t="shared" si="2"/>
        <v>585</v>
      </c>
    </row>
    <row r="178" spans="1:23">
      <c r="A178" s="6">
        <v>45103</v>
      </c>
      <c r="B178" t="s">
        <v>62</v>
      </c>
      <c r="C178">
        <v>0</v>
      </c>
      <c r="D178">
        <v>6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 s="7">
        <v>0</v>
      </c>
      <c r="M178" s="7">
        <v>27.7</v>
      </c>
      <c r="N178">
        <v>183</v>
      </c>
      <c r="O178" s="15">
        <v>157</v>
      </c>
      <c r="P178" s="8">
        <v>0.56428571428571428</v>
      </c>
      <c r="Q178">
        <v>166</v>
      </c>
      <c r="R178" s="15">
        <v>148</v>
      </c>
      <c r="S178" s="8">
        <v>0.54400000000000004</v>
      </c>
      <c r="T178">
        <v>120</v>
      </c>
      <c r="U178" s="15">
        <v>111</v>
      </c>
      <c r="V178" s="8">
        <v>0.6470588235294118</v>
      </c>
      <c r="W178">
        <f t="shared" si="2"/>
        <v>469</v>
      </c>
    </row>
    <row r="179" spans="1:23">
      <c r="A179" s="6">
        <v>45104</v>
      </c>
      <c r="B179" t="s">
        <v>63</v>
      </c>
      <c r="C179">
        <v>1</v>
      </c>
      <c r="D179">
        <v>6</v>
      </c>
      <c r="E179">
        <v>0</v>
      </c>
      <c r="F179">
        <v>0</v>
      </c>
      <c r="H179">
        <v>0</v>
      </c>
      <c r="I179">
        <v>0</v>
      </c>
      <c r="J179">
        <v>0</v>
      </c>
      <c r="K179">
        <v>0</v>
      </c>
      <c r="L179" s="7">
        <v>9.6</v>
      </c>
      <c r="M179" s="7">
        <v>27.8</v>
      </c>
      <c r="N179">
        <v>203</v>
      </c>
      <c r="O179" s="15">
        <v>184</v>
      </c>
      <c r="P179" s="8">
        <v>0.59285714285714286</v>
      </c>
      <c r="Q179">
        <v>153</v>
      </c>
      <c r="R179" s="15">
        <v>125</v>
      </c>
      <c r="S179" s="8">
        <v>0.52</v>
      </c>
      <c r="T179">
        <v>129</v>
      </c>
      <c r="U179" s="15">
        <v>120</v>
      </c>
      <c r="V179" s="8">
        <v>0.68235294117647061</v>
      </c>
      <c r="W179">
        <f t="shared" si="2"/>
        <v>485</v>
      </c>
    </row>
    <row r="180" spans="1:23">
      <c r="A180" s="6">
        <v>45105</v>
      </c>
      <c r="B180" t="s">
        <v>64</v>
      </c>
      <c r="C180">
        <v>2</v>
      </c>
      <c r="D180">
        <v>6</v>
      </c>
      <c r="E180">
        <v>0</v>
      </c>
      <c r="F180">
        <v>0</v>
      </c>
      <c r="H180">
        <v>0</v>
      </c>
      <c r="I180">
        <v>0</v>
      </c>
      <c r="J180">
        <v>0</v>
      </c>
      <c r="K180">
        <v>0</v>
      </c>
      <c r="L180" s="7">
        <v>12.6</v>
      </c>
      <c r="M180" s="7">
        <v>26.6</v>
      </c>
      <c r="N180">
        <v>195</v>
      </c>
      <c r="O180" s="15">
        <v>167</v>
      </c>
      <c r="P180" s="8">
        <v>0.61428571428571432</v>
      </c>
      <c r="Q180">
        <v>166</v>
      </c>
      <c r="R180" s="15">
        <v>140</v>
      </c>
      <c r="S180" s="8">
        <v>0.55200000000000005</v>
      </c>
      <c r="T180">
        <v>124</v>
      </c>
      <c r="U180" s="15">
        <v>99</v>
      </c>
      <c r="V180" s="8">
        <v>0.6705882352941176</v>
      </c>
      <c r="W180">
        <f t="shared" si="2"/>
        <v>485</v>
      </c>
    </row>
    <row r="181" spans="1:23">
      <c r="A181" s="6">
        <v>45106</v>
      </c>
      <c r="B181" t="s">
        <v>65</v>
      </c>
      <c r="C181">
        <v>3</v>
      </c>
      <c r="D181">
        <v>6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 s="7">
        <v>12.2</v>
      </c>
      <c r="M181" s="7">
        <v>28.5</v>
      </c>
      <c r="N181">
        <v>190</v>
      </c>
      <c r="O181" s="15">
        <v>176</v>
      </c>
      <c r="P181" s="8">
        <v>0.59285714285714286</v>
      </c>
      <c r="Q181">
        <v>179</v>
      </c>
      <c r="R181" s="15">
        <v>165</v>
      </c>
      <c r="S181" s="8">
        <v>0.59199999999999997</v>
      </c>
      <c r="T181">
        <v>130</v>
      </c>
      <c r="U181" s="15">
        <v>118</v>
      </c>
      <c r="V181" s="8">
        <v>0.68235294117647061</v>
      </c>
      <c r="W181">
        <f t="shared" si="2"/>
        <v>499</v>
      </c>
    </row>
    <row r="182" spans="1:23">
      <c r="A182" s="6">
        <v>45107</v>
      </c>
      <c r="B182" t="s">
        <v>66</v>
      </c>
      <c r="C182">
        <v>4</v>
      </c>
      <c r="D182">
        <v>6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 s="7">
        <v>16.399999999999999</v>
      </c>
      <c r="M182" s="7">
        <v>27.4</v>
      </c>
      <c r="N182">
        <v>183</v>
      </c>
      <c r="O182" s="15">
        <v>160</v>
      </c>
      <c r="P182" s="8">
        <v>0.52857142857142858</v>
      </c>
      <c r="Q182">
        <v>173</v>
      </c>
      <c r="R182" s="15">
        <v>141</v>
      </c>
      <c r="S182" s="8">
        <v>0.56799999999999995</v>
      </c>
      <c r="T182">
        <v>132</v>
      </c>
      <c r="U182" s="15">
        <v>116</v>
      </c>
      <c r="V182" s="8">
        <v>0.68235294117647061</v>
      </c>
      <c r="W182">
        <f t="shared" si="2"/>
        <v>488</v>
      </c>
    </row>
    <row r="183" spans="1:23">
      <c r="A183" s="6">
        <v>45108</v>
      </c>
      <c r="B183" t="s">
        <v>67</v>
      </c>
      <c r="C183">
        <v>5</v>
      </c>
      <c r="D183">
        <v>7</v>
      </c>
      <c r="E183">
        <v>1</v>
      </c>
      <c r="F183">
        <v>0</v>
      </c>
      <c r="H183">
        <v>1</v>
      </c>
      <c r="I183">
        <v>0</v>
      </c>
      <c r="J183">
        <v>0</v>
      </c>
      <c r="K183">
        <v>0</v>
      </c>
      <c r="L183" s="7">
        <v>0</v>
      </c>
      <c r="M183" s="7">
        <v>28.6</v>
      </c>
      <c r="N183">
        <v>230</v>
      </c>
      <c r="O183" s="15">
        <v>213</v>
      </c>
      <c r="P183" s="8">
        <v>0.7142857142857143</v>
      </c>
      <c r="Q183">
        <v>251</v>
      </c>
      <c r="R183" s="15">
        <v>228</v>
      </c>
      <c r="S183" s="8">
        <v>0.81599999999999995</v>
      </c>
      <c r="T183">
        <v>174</v>
      </c>
      <c r="U183" s="15">
        <v>151</v>
      </c>
      <c r="V183" s="8">
        <v>0.90588235294117647</v>
      </c>
      <c r="W183">
        <f t="shared" si="2"/>
        <v>655</v>
      </c>
    </row>
    <row r="184" spans="1:23">
      <c r="A184" s="6">
        <v>45109</v>
      </c>
      <c r="B184" t="s">
        <v>60</v>
      </c>
      <c r="C184">
        <v>6</v>
      </c>
      <c r="D184">
        <v>7</v>
      </c>
      <c r="E184">
        <v>1</v>
      </c>
      <c r="F184">
        <v>0</v>
      </c>
      <c r="H184">
        <v>1</v>
      </c>
      <c r="I184">
        <v>0</v>
      </c>
      <c r="J184">
        <v>0</v>
      </c>
      <c r="K184">
        <v>0</v>
      </c>
      <c r="L184" s="7">
        <v>7.1</v>
      </c>
      <c r="M184" s="7">
        <v>28</v>
      </c>
      <c r="N184">
        <v>225</v>
      </c>
      <c r="O184" s="15">
        <v>204</v>
      </c>
      <c r="P184" s="8">
        <v>0.6785714285714286</v>
      </c>
      <c r="Q184">
        <v>266</v>
      </c>
      <c r="R184" s="15">
        <v>225</v>
      </c>
      <c r="S184" s="8">
        <v>0.86399999999999999</v>
      </c>
      <c r="T184">
        <v>173</v>
      </c>
      <c r="U184" s="15">
        <v>150</v>
      </c>
      <c r="V184" s="8">
        <v>0.92941176470588238</v>
      </c>
      <c r="W184">
        <f t="shared" si="2"/>
        <v>664</v>
      </c>
    </row>
    <row r="185" spans="1:23">
      <c r="A185" s="6">
        <v>45110</v>
      </c>
      <c r="B185" t="s">
        <v>62</v>
      </c>
      <c r="C185">
        <v>0</v>
      </c>
      <c r="D185">
        <v>7</v>
      </c>
      <c r="E185">
        <v>0</v>
      </c>
      <c r="F185">
        <v>0</v>
      </c>
      <c r="H185">
        <v>1</v>
      </c>
      <c r="I185">
        <v>0</v>
      </c>
      <c r="J185">
        <v>0</v>
      </c>
      <c r="K185">
        <v>0</v>
      </c>
      <c r="L185" s="7">
        <v>5.9</v>
      </c>
      <c r="M185" s="7">
        <v>28.6</v>
      </c>
      <c r="N185">
        <v>218</v>
      </c>
      <c r="O185" s="15">
        <v>193</v>
      </c>
      <c r="P185" s="8">
        <v>0.6785714285714286</v>
      </c>
      <c r="Q185">
        <v>217</v>
      </c>
      <c r="R185" s="15">
        <v>180</v>
      </c>
      <c r="S185" s="8">
        <v>0.72799999999999998</v>
      </c>
      <c r="T185">
        <v>145</v>
      </c>
      <c r="U185" s="15">
        <v>136</v>
      </c>
      <c r="V185" s="8">
        <v>0.74117647058823533</v>
      </c>
      <c r="W185">
        <f t="shared" si="2"/>
        <v>580</v>
      </c>
    </row>
    <row r="186" spans="1:23">
      <c r="A186" s="6">
        <v>45111</v>
      </c>
      <c r="B186" t="s">
        <v>63</v>
      </c>
      <c r="C186">
        <v>1</v>
      </c>
      <c r="D186">
        <v>7</v>
      </c>
      <c r="E186">
        <v>0</v>
      </c>
      <c r="F186">
        <v>0</v>
      </c>
      <c r="H186">
        <v>1</v>
      </c>
      <c r="I186">
        <v>0</v>
      </c>
      <c r="J186">
        <v>0</v>
      </c>
      <c r="K186">
        <v>0</v>
      </c>
      <c r="L186" s="7">
        <v>8.9</v>
      </c>
      <c r="M186" s="7">
        <v>28.5</v>
      </c>
      <c r="N186">
        <v>220</v>
      </c>
      <c r="O186" s="15">
        <v>200</v>
      </c>
      <c r="P186" s="8">
        <v>0.65714285714285714</v>
      </c>
      <c r="Q186">
        <v>220</v>
      </c>
      <c r="R186" s="15">
        <v>195</v>
      </c>
      <c r="S186" s="8">
        <v>0.73599999999999999</v>
      </c>
      <c r="T186">
        <v>149</v>
      </c>
      <c r="U186" s="15">
        <v>127</v>
      </c>
      <c r="V186" s="8">
        <v>0.78823529411764703</v>
      </c>
      <c r="W186">
        <f t="shared" si="2"/>
        <v>589</v>
      </c>
    </row>
    <row r="187" spans="1:23">
      <c r="A187" s="6">
        <v>45112</v>
      </c>
      <c r="B187" t="s">
        <v>64</v>
      </c>
      <c r="C187">
        <v>2</v>
      </c>
      <c r="D187">
        <v>7</v>
      </c>
      <c r="E187">
        <v>0</v>
      </c>
      <c r="F187">
        <v>0</v>
      </c>
      <c r="H187">
        <v>1</v>
      </c>
      <c r="I187">
        <v>0</v>
      </c>
      <c r="J187">
        <v>0</v>
      </c>
      <c r="K187">
        <v>0</v>
      </c>
      <c r="L187" s="7">
        <v>13.2</v>
      </c>
      <c r="M187" s="7">
        <v>28.9</v>
      </c>
      <c r="N187">
        <v>206</v>
      </c>
      <c r="O187" s="15">
        <v>169</v>
      </c>
      <c r="P187" s="8">
        <v>0.62857142857142856</v>
      </c>
      <c r="Q187">
        <v>226</v>
      </c>
      <c r="R187" s="15">
        <v>211</v>
      </c>
      <c r="S187" s="8">
        <v>0.76</v>
      </c>
      <c r="T187">
        <v>144</v>
      </c>
      <c r="U187" s="15">
        <v>122</v>
      </c>
      <c r="V187" s="8">
        <v>0.75294117647058822</v>
      </c>
      <c r="W187">
        <f t="shared" si="2"/>
        <v>576</v>
      </c>
    </row>
    <row r="188" spans="1:23">
      <c r="A188" s="6">
        <v>45113</v>
      </c>
      <c r="B188" t="s">
        <v>65</v>
      </c>
      <c r="C188">
        <v>3</v>
      </c>
      <c r="D188">
        <v>7</v>
      </c>
      <c r="E188">
        <v>0</v>
      </c>
      <c r="F188">
        <v>0</v>
      </c>
      <c r="H188">
        <v>1</v>
      </c>
      <c r="I188">
        <v>0</v>
      </c>
      <c r="J188">
        <v>0</v>
      </c>
      <c r="K188">
        <v>0</v>
      </c>
      <c r="L188" s="7">
        <v>6.7</v>
      </c>
      <c r="M188" s="7">
        <v>29.1</v>
      </c>
      <c r="N188">
        <v>213</v>
      </c>
      <c r="O188" s="15">
        <v>175</v>
      </c>
      <c r="P188" s="8">
        <v>0.65714285714285714</v>
      </c>
      <c r="Q188">
        <v>217</v>
      </c>
      <c r="R188" s="15">
        <v>186</v>
      </c>
      <c r="S188" s="8">
        <v>0.71199999999999997</v>
      </c>
      <c r="T188">
        <v>153</v>
      </c>
      <c r="U188" s="15">
        <v>138</v>
      </c>
      <c r="V188" s="8">
        <v>0.82352941176470584</v>
      </c>
      <c r="W188">
        <f t="shared" si="2"/>
        <v>583</v>
      </c>
    </row>
    <row r="189" spans="1:23">
      <c r="A189" s="6">
        <v>45114</v>
      </c>
      <c r="B189" t="s">
        <v>66</v>
      </c>
      <c r="C189">
        <v>4</v>
      </c>
      <c r="D189">
        <v>7</v>
      </c>
      <c r="E189">
        <v>0</v>
      </c>
      <c r="F189">
        <v>0</v>
      </c>
      <c r="H189">
        <v>1</v>
      </c>
      <c r="I189">
        <v>0</v>
      </c>
      <c r="J189">
        <v>0</v>
      </c>
      <c r="K189">
        <v>0</v>
      </c>
      <c r="L189" s="7">
        <v>3.1</v>
      </c>
      <c r="M189" s="7">
        <v>29.2</v>
      </c>
      <c r="N189">
        <v>221</v>
      </c>
      <c r="O189" s="15">
        <v>200</v>
      </c>
      <c r="P189" s="8">
        <v>0.6785714285714286</v>
      </c>
      <c r="Q189">
        <v>217</v>
      </c>
      <c r="R189" s="15">
        <v>180</v>
      </c>
      <c r="S189" s="8">
        <v>0.72799999999999998</v>
      </c>
      <c r="T189">
        <v>151</v>
      </c>
      <c r="U189" s="15">
        <v>135</v>
      </c>
      <c r="V189" s="8">
        <v>0.75294117647058822</v>
      </c>
      <c r="W189">
        <f t="shared" si="2"/>
        <v>589</v>
      </c>
    </row>
    <row r="190" spans="1:23">
      <c r="A190" s="6">
        <v>45115</v>
      </c>
      <c r="B190" t="s">
        <v>67</v>
      </c>
      <c r="C190">
        <v>5</v>
      </c>
      <c r="D190">
        <v>7</v>
      </c>
      <c r="E190">
        <v>1</v>
      </c>
      <c r="F190">
        <v>0</v>
      </c>
      <c r="H190">
        <v>1</v>
      </c>
      <c r="I190">
        <v>0</v>
      </c>
      <c r="J190">
        <v>0</v>
      </c>
      <c r="K190">
        <v>0</v>
      </c>
      <c r="L190" s="7">
        <v>8.6</v>
      </c>
      <c r="M190" s="7">
        <v>28.5</v>
      </c>
      <c r="N190">
        <v>268</v>
      </c>
      <c r="O190" s="15">
        <v>237</v>
      </c>
      <c r="P190" s="8">
        <v>0.79285714285714282</v>
      </c>
      <c r="Q190">
        <v>254</v>
      </c>
      <c r="R190" s="15">
        <v>236</v>
      </c>
      <c r="S190" s="8">
        <v>0.84</v>
      </c>
      <c r="T190">
        <v>176</v>
      </c>
      <c r="U190" s="15">
        <v>161</v>
      </c>
      <c r="V190" s="8">
        <v>0.92941176470588238</v>
      </c>
      <c r="W190">
        <f t="shared" si="2"/>
        <v>698</v>
      </c>
    </row>
    <row r="191" spans="1:23">
      <c r="A191" s="6">
        <v>45116</v>
      </c>
      <c r="B191" t="s">
        <v>60</v>
      </c>
      <c r="C191">
        <v>6</v>
      </c>
      <c r="D191">
        <v>7</v>
      </c>
      <c r="E191">
        <v>1</v>
      </c>
      <c r="F191">
        <v>0</v>
      </c>
      <c r="H191">
        <v>1</v>
      </c>
      <c r="I191">
        <v>0</v>
      </c>
      <c r="J191">
        <v>0</v>
      </c>
      <c r="K191">
        <v>0</v>
      </c>
      <c r="L191" s="7">
        <v>0</v>
      </c>
      <c r="M191" s="7">
        <v>28.5</v>
      </c>
      <c r="N191">
        <v>253</v>
      </c>
      <c r="O191" s="15">
        <v>237</v>
      </c>
      <c r="P191" s="8">
        <v>0.75</v>
      </c>
      <c r="Q191">
        <v>251</v>
      </c>
      <c r="R191" s="15">
        <v>209</v>
      </c>
      <c r="S191" s="8">
        <v>0.84</v>
      </c>
      <c r="T191">
        <v>180</v>
      </c>
      <c r="U191" s="15">
        <v>163</v>
      </c>
      <c r="V191" s="8">
        <v>0.96470588235294119</v>
      </c>
      <c r="W191">
        <f t="shared" si="2"/>
        <v>684</v>
      </c>
    </row>
    <row r="192" spans="1:23">
      <c r="A192" s="6">
        <v>45117</v>
      </c>
      <c r="B192" t="s">
        <v>62</v>
      </c>
      <c r="C192">
        <v>0</v>
      </c>
      <c r="D192">
        <v>7</v>
      </c>
      <c r="E192">
        <v>0</v>
      </c>
      <c r="F192">
        <v>0</v>
      </c>
      <c r="H192">
        <v>1</v>
      </c>
      <c r="I192">
        <v>0</v>
      </c>
      <c r="J192">
        <v>0</v>
      </c>
      <c r="K192">
        <v>0</v>
      </c>
      <c r="L192" s="7">
        <v>10.8</v>
      </c>
      <c r="M192" s="7">
        <v>29</v>
      </c>
      <c r="N192">
        <v>231</v>
      </c>
      <c r="O192" s="15">
        <v>210</v>
      </c>
      <c r="P192" s="8">
        <v>0.69285714285714284</v>
      </c>
      <c r="Q192">
        <v>205</v>
      </c>
      <c r="R192" s="15">
        <v>190</v>
      </c>
      <c r="S192" s="8">
        <v>0.67200000000000004</v>
      </c>
      <c r="T192">
        <v>145</v>
      </c>
      <c r="U192" s="15">
        <v>116</v>
      </c>
      <c r="V192" s="8">
        <v>0.75294117647058822</v>
      </c>
      <c r="W192">
        <f t="shared" si="2"/>
        <v>581</v>
      </c>
    </row>
    <row r="193" spans="1:23">
      <c r="A193" s="6">
        <v>45118</v>
      </c>
      <c r="B193" t="s">
        <v>63</v>
      </c>
      <c r="C193">
        <v>1</v>
      </c>
      <c r="D193">
        <v>7</v>
      </c>
      <c r="E193">
        <v>0</v>
      </c>
      <c r="F193">
        <v>0</v>
      </c>
      <c r="H193">
        <v>1</v>
      </c>
      <c r="I193">
        <v>0</v>
      </c>
      <c r="J193">
        <v>0</v>
      </c>
      <c r="K193">
        <v>0</v>
      </c>
      <c r="L193" s="7">
        <v>5.2</v>
      </c>
      <c r="M193" s="7">
        <v>28.9</v>
      </c>
      <c r="N193">
        <v>215</v>
      </c>
      <c r="O193" s="15">
        <v>188</v>
      </c>
      <c r="P193" s="8">
        <v>0.65</v>
      </c>
      <c r="Q193">
        <v>212</v>
      </c>
      <c r="R193" s="15">
        <v>173</v>
      </c>
      <c r="S193" s="8">
        <v>0.72799999999999998</v>
      </c>
      <c r="T193">
        <v>151</v>
      </c>
      <c r="U193" s="15">
        <v>131</v>
      </c>
      <c r="V193" s="8">
        <v>0.77647058823529413</v>
      </c>
      <c r="W193">
        <f t="shared" si="2"/>
        <v>578</v>
      </c>
    </row>
    <row r="194" spans="1:23">
      <c r="A194" s="6">
        <v>45119</v>
      </c>
      <c r="B194" t="s">
        <v>64</v>
      </c>
      <c r="C194">
        <v>2</v>
      </c>
      <c r="D194">
        <v>7</v>
      </c>
      <c r="E194">
        <v>0</v>
      </c>
      <c r="F194">
        <v>0</v>
      </c>
      <c r="H194">
        <v>1</v>
      </c>
      <c r="I194">
        <v>0</v>
      </c>
      <c r="J194">
        <v>0</v>
      </c>
      <c r="K194">
        <v>0</v>
      </c>
      <c r="L194" s="7">
        <v>6.1</v>
      </c>
      <c r="M194" s="7">
        <v>29.2</v>
      </c>
      <c r="N194">
        <v>231</v>
      </c>
      <c r="O194" s="15">
        <v>188</v>
      </c>
      <c r="P194" s="8">
        <v>0.69285714285714284</v>
      </c>
      <c r="Q194">
        <v>220</v>
      </c>
      <c r="R194" s="15">
        <v>184</v>
      </c>
      <c r="S194" s="8">
        <v>0.752</v>
      </c>
      <c r="T194">
        <v>138</v>
      </c>
      <c r="U194" s="15">
        <v>120</v>
      </c>
      <c r="V194" s="8">
        <v>0.76470588235294112</v>
      </c>
      <c r="W194">
        <f t="shared" ref="W194:W257" si="3">N194+Q194+T194</f>
        <v>589</v>
      </c>
    </row>
    <row r="195" spans="1:23">
      <c r="A195" s="6">
        <v>45120</v>
      </c>
      <c r="B195" t="s">
        <v>65</v>
      </c>
      <c r="C195">
        <v>3</v>
      </c>
      <c r="D195">
        <v>7</v>
      </c>
      <c r="E195">
        <v>0</v>
      </c>
      <c r="F195">
        <v>0</v>
      </c>
      <c r="H195">
        <v>1</v>
      </c>
      <c r="I195">
        <v>0</v>
      </c>
      <c r="J195">
        <v>0</v>
      </c>
      <c r="K195">
        <v>0</v>
      </c>
      <c r="L195" s="7">
        <v>12.4</v>
      </c>
      <c r="M195" s="7">
        <v>28.7</v>
      </c>
      <c r="N195">
        <v>213</v>
      </c>
      <c r="O195" s="15">
        <v>185</v>
      </c>
      <c r="P195" s="8">
        <v>0.65</v>
      </c>
      <c r="Q195">
        <v>229</v>
      </c>
      <c r="R195" s="15">
        <v>211</v>
      </c>
      <c r="S195" s="8">
        <v>0.752</v>
      </c>
      <c r="T195">
        <v>139</v>
      </c>
      <c r="U195" s="15">
        <v>114</v>
      </c>
      <c r="V195" s="8">
        <v>0.75294117647058822</v>
      </c>
      <c r="W195">
        <f t="shared" si="3"/>
        <v>581</v>
      </c>
    </row>
    <row r="196" spans="1:23">
      <c r="A196" s="6">
        <v>45121</v>
      </c>
      <c r="B196" t="s">
        <v>66</v>
      </c>
      <c r="C196">
        <v>4</v>
      </c>
      <c r="D196">
        <v>7</v>
      </c>
      <c r="E196">
        <v>0</v>
      </c>
      <c r="F196">
        <v>0</v>
      </c>
      <c r="H196">
        <v>1</v>
      </c>
      <c r="I196">
        <v>0</v>
      </c>
      <c r="J196">
        <v>0</v>
      </c>
      <c r="K196">
        <v>0</v>
      </c>
      <c r="L196" s="7">
        <v>4.7</v>
      </c>
      <c r="M196" s="7">
        <v>26.2</v>
      </c>
      <c r="N196">
        <v>225</v>
      </c>
      <c r="O196" s="15">
        <v>192</v>
      </c>
      <c r="P196" s="8">
        <v>0.67142857142857137</v>
      </c>
      <c r="Q196">
        <v>212</v>
      </c>
      <c r="R196" s="15">
        <v>185</v>
      </c>
      <c r="S196" s="8">
        <v>0.70399999999999996</v>
      </c>
      <c r="T196">
        <v>143</v>
      </c>
      <c r="U196" s="15">
        <v>125</v>
      </c>
      <c r="V196" s="8">
        <v>0.76470588235294112</v>
      </c>
      <c r="W196">
        <f t="shared" si="3"/>
        <v>580</v>
      </c>
    </row>
    <row r="197" spans="1:23">
      <c r="A197" s="6">
        <v>45122</v>
      </c>
      <c r="B197" t="s">
        <v>67</v>
      </c>
      <c r="C197">
        <v>5</v>
      </c>
      <c r="D197">
        <v>7</v>
      </c>
      <c r="E197">
        <v>1</v>
      </c>
      <c r="F197">
        <v>0</v>
      </c>
      <c r="H197">
        <v>1</v>
      </c>
      <c r="I197">
        <v>0</v>
      </c>
      <c r="J197">
        <v>0</v>
      </c>
      <c r="K197">
        <v>1</v>
      </c>
      <c r="L197" s="7">
        <v>4.2</v>
      </c>
      <c r="M197" s="7">
        <v>29</v>
      </c>
      <c r="N197">
        <v>276</v>
      </c>
      <c r="O197" s="15">
        <v>238</v>
      </c>
      <c r="P197" s="8">
        <v>0.84285714285714286</v>
      </c>
      <c r="Q197">
        <v>277</v>
      </c>
      <c r="R197" s="15">
        <v>226</v>
      </c>
      <c r="S197" s="8">
        <v>0.92800000000000005</v>
      </c>
      <c r="T197">
        <v>180</v>
      </c>
      <c r="U197" s="15">
        <v>162</v>
      </c>
      <c r="V197" s="8">
        <v>0.96470588235294119</v>
      </c>
      <c r="W197">
        <f t="shared" si="3"/>
        <v>733</v>
      </c>
    </row>
    <row r="198" spans="1:23">
      <c r="A198" s="6">
        <v>45123</v>
      </c>
      <c r="B198" t="s">
        <v>60</v>
      </c>
      <c r="C198">
        <v>6</v>
      </c>
      <c r="D198">
        <v>7</v>
      </c>
      <c r="E198">
        <v>1</v>
      </c>
      <c r="F198">
        <v>0</v>
      </c>
      <c r="H198">
        <v>1</v>
      </c>
      <c r="I198">
        <v>0</v>
      </c>
      <c r="J198">
        <v>0</v>
      </c>
      <c r="K198">
        <v>1</v>
      </c>
      <c r="L198" s="7">
        <v>0.3</v>
      </c>
      <c r="M198" s="7">
        <v>28.9</v>
      </c>
      <c r="N198">
        <v>289</v>
      </c>
      <c r="O198" s="15">
        <v>256</v>
      </c>
      <c r="P198" s="8">
        <v>0.87857142857142856</v>
      </c>
      <c r="Q198">
        <v>268</v>
      </c>
      <c r="R198" s="15">
        <v>227</v>
      </c>
      <c r="S198" s="8">
        <v>0.90400000000000003</v>
      </c>
      <c r="T198">
        <v>182</v>
      </c>
      <c r="U198" s="15">
        <v>163</v>
      </c>
      <c r="V198" s="8">
        <v>0.96470588235294119</v>
      </c>
      <c r="W198">
        <f t="shared" si="3"/>
        <v>739</v>
      </c>
    </row>
    <row r="199" spans="1:23">
      <c r="A199" s="6">
        <v>45124</v>
      </c>
      <c r="B199" t="s">
        <v>62</v>
      </c>
      <c r="C199">
        <v>0</v>
      </c>
      <c r="D199">
        <v>7</v>
      </c>
      <c r="E199">
        <v>0</v>
      </c>
      <c r="F199">
        <v>0</v>
      </c>
      <c r="H199">
        <v>1</v>
      </c>
      <c r="I199">
        <v>0</v>
      </c>
      <c r="J199">
        <v>0</v>
      </c>
      <c r="K199">
        <v>0</v>
      </c>
      <c r="L199" s="7">
        <v>4.5999999999999996</v>
      </c>
      <c r="M199" s="7">
        <v>28.8</v>
      </c>
      <c r="N199">
        <v>236</v>
      </c>
      <c r="O199" s="15">
        <v>216</v>
      </c>
      <c r="P199" s="8">
        <v>0.73571428571428577</v>
      </c>
      <c r="Q199">
        <v>227</v>
      </c>
      <c r="R199" s="15">
        <v>210</v>
      </c>
      <c r="S199" s="8">
        <v>0.76</v>
      </c>
      <c r="T199">
        <v>163</v>
      </c>
      <c r="U199" s="15">
        <v>147</v>
      </c>
      <c r="V199" s="8">
        <v>0.87058823529411766</v>
      </c>
      <c r="W199">
        <f t="shared" si="3"/>
        <v>626</v>
      </c>
    </row>
    <row r="200" spans="1:23">
      <c r="A200" s="6">
        <v>45125</v>
      </c>
      <c r="B200" t="s">
        <v>63</v>
      </c>
      <c r="C200">
        <v>1</v>
      </c>
      <c r="D200">
        <v>7</v>
      </c>
      <c r="E200">
        <v>0</v>
      </c>
      <c r="F200">
        <v>0</v>
      </c>
      <c r="H200">
        <v>1</v>
      </c>
      <c r="I200">
        <v>0</v>
      </c>
      <c r="J200">
        <v>0</v>
      </c>
      <c r="K200">
        <v>0</v>
      </c>
      <c r="L200" s="7">
        <v>25.7</v>
      </c>
      <c r="M200" s="7">
        <v>29.7</v>
      </c>
      <c r="N200">
        <v>224</v>
      </c>
      <c r="O200" s="15">
        <v>180</v>
      </c>
      <c r="P200" s="8">
        <v>0.67142857142857137</v>
      </c>
      <c r="Q200">
        <v>212</v>
      </c>
      <c r="R200" s="15">
        <v>176</v>
      </c>
      <c r="S200" s="8">
        <v>0.72799999999999998</v>
      </c>
      <c r="T200">
        <v>142</v>
      </c>
      <c r="U200" s="15">
        <v>124</v>
      </c>
      <c r="V200" s="8">
        <v>0.76470588235294112</v>
      </c>
      <c r="W200">
        <f t="shared" si="3"/>
        <v>578</v>
      </c>
    </row>
    <row r="201" spans="1:23">
      <c r="A201" s="6">
        <v>45126</v>
      </c>
      <c r="B201" t="s">
        <v>64</v>
      </c>
      <c r="C201">
        <v>2</v>
      </c>
      <c r="D201">
        <v>7</v>
      </c>
      <c r="E201">
        <v>0</v>
      </c>
      <c r="F201">
        <v>0</v>
      </c>
      <c r="H201">
        <v>1</v>
      </c>
      <c r="I201">
        <v>0</v>
      </c>
      <c r="J201">
        <v>0</v>
      </c>
      <c r="K201">
        <v>0</v>
      </c>
      <c r="L201" s="7">
        <v>0</v>
      </c>
      <c r="M201" s="7">
        <v>27.9</v>
      </c>
      <c r="N201">
        <v>202</v>
      </c>
      <c r="O201" s="15">
        <v>171</v>
      </c>
      <c r="P201" s="8">
        <v>0.61428571428571432</v>
      </c>
      <c r="Q201">
        <v>218</v>
      </c>
      <c r="R201" s="15">
        <v>183</v>
      </c>
      <c r="S201" s="8">
        <v>0.72</v>
      </c>
      <c r="T201">
        <v>158</v>
      </c>
      <c r="U201" s="15">
        <v>144</v>
      </c>
      <c r="V201" s="8">
        <v>0.83529411764705885</v>
      </c>
      <c r="W201">
        <f t="shared" si="3"/>
        <v>578</v>
      </c>
    </row>
    <row r="202" spans="1:23">
      <c r="A202" s="6">
        <v>45127</v>
      </c>
      <c r="B202" t="s">
        <v>65</v>
      </c>
      <c r="C202">
        <v>3</v>
      </c>
      <c r="D202">
        <v>7</v>
      </c>
      <c r="E202">
        <v>0</v>
      </c>
      <c r="F202">
        <v>0</v>
      </c>
      <c r="H202">
        <v>1</v>
      </c>
      <c r="I202">
        <v>0</v>
      </c>
      <c r="J202">
        <v>0</v>
      </c>
      <c r="K202">
        <v>0</v>
      </c>
      <c r="L202" s="7">
        <v>4.3</v>
      </c>
      <c r="M202" s="7">
        <v>28.6</v>
      </c>
      <c r="N202">
        <v>215</v>
      </c>
      <c r="O202" s="15">
        <v>181</v>
      </c>
      <c r="P202" s="8">
        <v>0.65714285714285714</v>
      </c>
      <c r="Q202">
        <v>216</v>
      </c>
      <c r="R202" s="15">
        <v>193</v>
      </c>
      <c r="S202" s="8">
        <v>0.72799999999999998</v>
      </c>
      <c r="T202">
        <v>152</v>
      </c>
      <c r="U202" s="15">
        <v>128</v>
      </c>
      <c r="V202" s="8">
        <v>0.81176470588235294</v>
      </c>
      <c r="W202">
        <f t="shared" si="3"/>
        <v>583</v>
      </c>
    </row>
    <row r="203" spans="1:23">
      <c r="A203" s="6">
        <v>45128</v>
      </c>
      <c r="B203" t="s">
        <v>66</v>
      </c>
      <c r="C203">
        <v>4</v>
      </c>
      <c r="D203">
        <v>7</v>
      </c>
      <c r="E203">
        <v>0</v>
      </c>
      <c r="F203">
        <v>0</v>
      </c>
      <c r="H203">
        <v>1</v>
      </c>
      <c r="I203">
        <v>0</v>
      </c>
      <c r="J203">
        <v>0</v>
      </c>
      <c r="K203">
        <v>0</v>
      </c>
      <c r="L203" s="7">
        <v>4.3</v>
      </c>
      <c r="M203" s="7">
        <v>27.4</v>
      </c>
      <c r="N203">
        <v>247</v>
      </c>
      <c r="O203" s="15">
        <v>219</v>
      </c>
      <c r="P203" s="8">
        <v>0.72857142857142854</v>
      </c>
      <c r="Q203">
        <v>200</v>
      </c>
      <c r="R203" s="15">
        <v>175</v>
      </c>
      <c r="S203" s="8">
        <v>0.68</v>
      </c>
      <c r="T203">
        <v>155</v>
      </c>
      <c r="U203" s="15">
        <v>142</v>
      </c>
      <c r="V203" s="8">
        <v>0.81176470588235294</v>
      </c>
      <c r="W203">
        <f t="shared" si="3"/>
        <v>602</v>
      </c>
    </row>
    <row r="204" spans="1:23">
      <c r="A204" s="6">
        <v>45129</v>
      </c>
      <c r="B204" t="s">
        <v>67</v>
      </c>
      <c r="C204">
        <v>5</v>
      </c>
      <c r="D204">
        <v>7</v>
      </c>
      <c r="E204">
        <v>1</v>
      </c>
      <c r="F204">
        <v>0</v>
      </c>
      <c r="H204">
        <v>1</v>
      </c>
      <c r="I204">
        <v>0</v>
      </c>
      <c r="J204">
        <v>0</v>
      </c>
      <c r="K204">
        <v>1</v>
      </c>
      <c r="L204" s="7">
        <v>5.3</v>
      </c>
      <c r="M204" s="7">
        <v>28.4</v>
      </c>
      <c r="N204">
        <v>271</v>
      </c>
      <c r="O204" s="15">
        <v>250</v>
      </c>
      <c r="P204" s="8">
        <v>0.83571428571428574</v>
      </c>
      <c r="Q204">
        <v>254</v>
      </c>
      <c r="R204" s="15">
        <v>228</v>
      </c>
      <c r="S204" s="8">
        <v>0.86399999999999999</v>
      </c>
      <c r="T204">
        <v>182</v>
      </c>
      <c r="U204" s="15">
        <v>166</v>
      </c>
      <c r="V204" s="8">
        <v>0.96470588235294119</v>
      </c>
      <c r="W204">
        <f t="shared" si="3"/>
        <v>707</v>
      </c>
    </row>
    <row r="205" spans="1:23">
      <c r="A205" s="6">
        <v>45130</v>
      </c>
      <c r="B205" t="s">
        <v>60</v>
      </c>
      <c r="C205">
        <v>6</v>
      </c>
      <c r="D205">
        <v>7</v>
      </c>
      <c r="E205">
        <v>1</v>
      </c>
      <c r="F205">
        <v>0</v>
      </c>
      <c r="H205">
        <v>1</v>
      </c>
      <c r="I205">
        <v>0</v>
      </c>
      <c r="J205">
        <v>0</v>
      </c>
      <c r="K205">
        <v>1</v>
      </c>
      <c r="L205" s="7">
        <v>9.1999999999999993</v>
      </c>
      <c r="M205" s="7">
        <v>28.5</v>
      </c>
      <c r="N205">
        <v>273</v>
      </c>
      <c r="O205" s="15">
        <v>256</v>
      </c>
      <c r="P205" s="8">
        <v>0.80714285714285716</v>
      </c>
      <c r="Q205">
        <v>278</v>
      </c>
      <c r="R205" s="15">
        <v>259</v>
      </c>
      <c r="S205" s="8">
        <v>0.92</v>
      </c>
      <c r="T205">
        <v>187</v>
      </c>
      <c r="U205" s="15">
        <v>173</v>
      </c>
      <c r="V205" s="8">
        <v>0.96470588235294119</v>
      </c>
      <c r="W205">
        <f t="shared" si="3"/>
        <v>738</v>
      </c>
    </row>
    <row r="206" spans="1:23">
      <c r="A206" s="6">
        <v>45131</v>
      </c>
      <c r="B206" t="s">
        <v>62</v>
      </c>
      <c r="C206">
        <v>0</v>
      </c>
      <c r="D206">
        <v>7</v>
      </c>
      <c r="E206">
        <v>0</v>
      </c>
      <c r="F206">
        <v>0</v>
      </c>
      <c r="H206">
        <v>1</v>
      </c>
      <c r="I206">
        <v>0</v>
      </c>
      <c r="J206">
        <v>0</v>
      </c>
      <c r="K206">
        <v>0</v>
      </c>
      <c r="L206" s="7">
        <v>0.6</v>
      </c>
      <c r="M206" s="7">
        <v>29.3</v>
      </c>
      <c r="N206">
        <v>226</v>
      </c>
      <c r="O206" s="15">
        <v>206</v>
      </c>
      <c r="P206" s="8">
        <v>0.69285714285714284</v>
      </c>
      <c r="Q206">
        <v>219</v>
      </c>
      <c r="R206" s="15">
        <v>206</v>
      </c>
      <c r="S206" s="8">
        <v>0.73599999999999999</v>
      </c>
      <c r="T206">
        <v>147</v>
      </c>
      <c r="U206" s="15">
        <v>123</v>
      </c>
      <c r="V206" s="8">
        <v>0.82352941176470584</v>
      </c>
      <c r="W206">
        <f t="shared" si="3"/>
        <v>592</v>
      </c>
    </row>
    <row r="207" spans="1:23">
      <c r="A207" s="6">
        <v>45132</v>
      </c>
      <c r="B207" t="s">
        <v>63</v>
      </c>
      <c r="C207">
        <v>1</v>
      </c>
      <c r="D207">
        <v>7</v>
      </c>
      <c r="E207">
        <v>0</v>
      </c>
      <c r="F207">
        <v>0</v>
      </c>
      <c r="H207">
        <v>1</v>
      </c>
      <c r="I207">
        <v>0</v>
      </c>
      <c r="J207">
        <v>0</v>
      </c>
      <c r="K207">
        <v>0</v>
      </c>
      <c r="L207" s="7">
        <v>0</v>
      </c>
      <c r="M207" s="7">
        <v>28</v>
      </c>
      <c r="N207">
        <v>239</v>
      </c>
      <c r="O207" s="15">
        <v>212</v>
      </c>
      <c r="P207" s="8">
        <v>0.73571428571428577</v>
      </c>
      <c r="Q207">
        <v>218</v>
      </c>
      <c r="R207" s="15">
        <v>182</v>
      </c>
      <c r="S207" s="8">
        <v>0.71199999999999997</v>
      </c>
      <c r="T207">
        <v>164</v>
      </c>
      <c r="U207" s="15">
        <v>132</v>
      </c>
      <c r="V207" s="8">
        <v>0.85882352941176465</v>
      </c>
      <c r="W207">
        <f t="shared" si="3"/>
        <v>621</v>
      </c>
    </row>
    <row r="208" spans="1:23">
      <c r="A208" s="6">
        <v>45133</v>
      </c>
      <c r="B208" t="s">
        <v>64</v>
      </c>
      <c r="C208">
        <v>2</v>
      </c>
      <c r="D208">
        <v>7</v>
      </c>
      <c r="E208">
        <v>0</v>
      </c>
      <c r="F208">
        <v>0</v>
      </c>
      <c r="H208">
        <v>1</v>
      </c>
      <c r="I208">
        <v>0</v>
      </c>
      <c r="J208">
        <v>0</v>
      </c>
      <c r="K208">
        <v>0</v>
      </c>
      <c r="L208" s="7">
        <v>1.1000000000000001</v>
      </c>
      <c r="M208" s="7">
        <v>28.9</v>
      </c>
      <c r="N208">
        <v>217</v>
      </c>
      <c r="O208" s="15">
        <v>178</v>
      </c>
      <c r="P208" s="8">
        <v>0.6428571428571429</v>
      </c>
      <c r="Q208">
        <v>204</v>
      </c>
      <c r="R208" s="15">
        <v>175</v>
      </c>
      <c r="S208" s="8">
        <v>0.68</v>
      </c>
      <c r="T208">
        <v>158</v>
      </c>
      <c r="U208" s="15">
        <v>134</v>
      </c>
      <c r="V208" s="8">
        <v>0.84705882352941175</v>
      </c>
      <c r="W208">
        <f t="shared" si="3"/>
        <v>579</v>
      </c>
    </row>
    <row r="209" spans="1:23">
      <c r="A209" s="6">
        <v>45134</v>
      </c>
      <c r="B209" t="s">
        <v>65</v>
      </c>
      <c r="C209">
        <v>3</v>
      </c>
      <c r="D209">
        <v>7</v>
      </c>
      <c r="E209">
        <v>0</v>
      </c>
      <c r="F209">
        <v>0</v>
      </c>
      <c r="H209">
        <v>1</v>
      </c>
      <c r="I209">
        <v>0</v>
      </c>
      <c r="J209">
        <v>0</v>
      </c>
      <c r="K209">
        <v>0</v>
      </c>
      <c r="L209" s="7">
        <v>0</v>
      </c>
      <c r="M209" s="7">
        <v>29</v>
      </c>
      <c r="N209">
        <v>215</v>
      </c>
      <c r="O209" s="15">
        <v>181</v>
      </c>
      <c r="P209" s="8">
        <v>0.65</v>
      </c>
      <c r="Q209">
        <v>224</v>
      </c>
      <c r="R209" s="15">
        <v>208</v>
      </c>
      <c r="S209" s="8">
        <v>0.752</v>
      </c>
      <c r="T209">
        <v>149</v>
      </c>
      <c r="U209" s="15">
        <v>139</v>
      </c>
      <c r="V209" s="8">
        <v>0.8</v>
      </c>
      <c r="W209">
        <f t="shared" si="3"/>
        <v>588</v>
      </c>
    </row>
    <row r="210" spans="1:23">
      <c r="A210" s="6">
        <v>45135</v>
      </c>
      <c r="B210" t="s">
        <v>66</v>
      </c>
      <c r="C210">
        <v>4</v>
      </c>
      <c r="D210">
        <v>7</v>
      </c>
      <c r="E210">
        <v>0</v>
      </c>
      <c r="F210">
        <v>0</v>
      </c>
      <c r="H210">
        <v>1</v>
      </c>
      <c r="I210">
        <v>0</v>
      </c>
      <c r="J210">
        <v>0</v>
      </c>
      <c r="K210">
        <v>0</v>
      </c>
      <c r="L210" s="7">
        <v>0</v>
      </c>
      <c r="M210" s="7">
        <v>28.7</v>
      </c>
      <c r="N210">
        <v>244</v>
      </c>
      <c r="O210" s="15">
        <v>216</v>
      </c>
      <c r="P210" s="8">
        <v>0.75714285714285712</v>
      </c>
      <c r="Q210">
        <v>236</v>
      </c>
      <c r="R210" s="15">
        <v>197</v>
      </c>
      <c r="S210" s="8">
        <v>0.79200000000000004</v>
      </c>
      <c r="T210">
        <v>159</v>
      </c>
      <c r="U210" s="15">
        <v>149</v>
      </c>
      <c r="V210" s="8">
        <v>0.82352941176470584</v>
      </c>
      <c r="W210">
        <f t="shared" si="3"/>
        <v>639</v>
      </c>
    </row>
    <row r="211" spans="1:23">
      <c r="A211" s="6">
        <v>45136</v>
      </c>
      <c r="B211" t="s">
        <v>67</v>
      </c>
      <c r="C211">
        <v>5</v>
      </c>
      <c r="D211">
        <v>7</v>
      </c>
      <c r="E211">
        <v>1</v>
      </c>
      <c r="F211">
        <v>0</v>
      </c>
      <c r="H211">
        <v>1</v>
      </c>
      <c r="I211">
        <v>0</v>
      </c>
      <c r="J211">
        <v>0</v>
      </c>
      <c r="K211">
        <v>0</v>
      </c>
      <c r="L211" s="7">
        <v>5.3</v>
      </c>
      <c r="M211" s="7">
        <v>29.7</v>
      </c>
      <c r="N211">
        <v>253</v>
      </c>
      <c r="O211" s="15">
        <v>211</v>
      </c>
      <c r="P211" s="8">
        <v>0.76428571428571423</v>
      </c>
      <c r="Q211">
        <v>262</v>
      </c>
      <c r="R211" s="15">
        <v>226</v>
      </c>
      <c r="S211" s="8">
        <v>0.88</v>
      </c>
      <c r="T211">
        <v>167</v>
      </c>
      <c r="U211" s="15">
        <v>143</v>
      </c>
      <c r="V211" s="8">
        <v>0.88235294117647056</v>
      </c>
      <c r="W211">
        <f t="shared" si="3"/>
        <v>682</v>
      </c>
    </row>
    <row r="212" spans="1:23">
      <c r="A212" s="6">
        <v>45137</v>
      </c>
      <c r="B212" t="s">
        <v>60</v>
      </c>
      <c r="C212">
        <v>6</v>
      </c>
      <c r="D212">
        <v>7</v>
      </c>
      <c r="E212">
        <v>1</v>
      </c>
      <c r="F212">
        <v>0</v>
      </c>
      <c r="H212">
        <v>1</v>
      </c>
      <c r="I212">
        <v>0</v>
      </c>
      <c r="J212">
        <v>0</v>
      </c>
      <c r="K212">
        <v>0</v>
      </c>
      <c r="L212" s="7">
        <v>0.3</v>
      </c>
      <c r="M212" s="7">
        <v>30.1</v>
      </c>
      <c r="N212">
        <v>237</v>
      </c>
      <c r="O212" s="15">
        <v>212</v>
      </c>
      <c r="P212" s="8">
        <v>0.72142857142857142</v>
      </c>
      <c r="Q212">
        <v>259</v>
      </c>
      <c r="R212" s="15">
        <v>237</v>
      </c>
      <c r="S212" s="8">
        <v>0.86399999999999999</v>
      </c>
      <c r="T212">
        <v>190</v>
      </c>
      <c r="U212" s="15">
        <v>163</v>
      </c>
      <c r="V212" s="8">
        <v>0.96470588235294119</v>
      </c>
      <c r="W212">
        <f t="shared" si="3"/>
        <v>686</v>
      </c>
    </row>
    <row r="213" spans="1:23">
      <c r="A213" s="6">
        <v>45138</v>
      </c>
      <c r="B213" t="s">
        <v>62</v>
      </c>
      <c r="C213">
        <v>0</v>
      </c>
      <c r="D213">
        <v>7</v>
      </c>
      <c r="E213">
        <v>0</v>
      </c>
      <c r="F213">
        <v>0</v>
      </c>
      <c r="H213">
        <v>1</v>
      </c>
      <c r="I213">
        <v>0</v>
      </c>
      <c r="J213">
        <v>0</v>
      </c>
      <c r="K213">
        <v>0</v>
      </c>
      <c r="L213" s="7">
        <v>3.4</v>
      </c>
      <c r="M213" s="7">
        <v>29.1</v>
      </c>
      <c r="N213">
        <v>228</v>
      </c>
      <c r="O213" s="15">
        <v>193</v>
      </c>
      <c r="P213" s="8">
        <v>0.6785714285714286</v>
      </c>
      <c r="Q213">
        <v>237</v>
      </c>
      <c r="R213" s="15">
        <v>203</v>
      </c>
      <c r="S213" s="8">
        <v>0.76</v>
      </c>
      <c r="T213">
        <v>150</v>
      </c>
      <c r="U213" s="15">
        <v>130</v>
      </c>
      <c r="V213" s="8">
        <v>0.77647058823529413</v>
      </c>
      <c r="W213">
        <f t="shared" si="3"/>
        <v>615</v>
      </c>
    </row>
    <row r="214" spans="1:23">
      <c r="A214" s="6">
        <v>45139</v>
      </c>
      <c r="B214" t="s">
        <v>63</v>
      </c>
      <c r="C214">
        <v>1</v>
      </c>
      <c r="D214">
        <v>8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0</v>
      </c>
      <c r="L214" s="7">
        <v>1.4</v>
      </c>
      <c r="M214" s="7">
        <v>29.9</v>
      </c>
      <c r="N214">
        <v>199</v>
      </c>
      <c r="O214" s="15">
        <v>168</v>
      </c>
      <c r="P214" s="8">
        <v>0.61428571428571432</v>
      </c>
      <c r="Q214">
        <v>162</v>
      </c>
      <c r="R214" s="15">
        <v>143</v>
      </c>
      <c r="S214" s="8">
        <v>0.52</v>
      </c>
      <c r="T214">
        <v>133</v>
      </c>
      <c r="U214" s="15">
        <v>116</v>
      </c>
      <c r="V214" s="8">
        <v>0.69411764705882351</v>
      </c>
      <c r="W214">
        <f t="shared" si="3"/>
        <v>494</v>
      </c>
    </row>
    <row r="215" spans="1:23">
      <c r="A215" s="6">
        <v>45140</v>
      </c>
      <c r="B215" t="s">
        <v>64</v>
      </c>
      <c r="C215">
        <v>2</v>
      </c>
      <c r="D215">
        <v>8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 s="7">
        <v>1</v>
      </c>
      <c r="M215" s="7">
        <v>30</v>
      </c>
      <c r="N215">
        <v>209</v>
      </c>
      <c r="O215" s="15">
        <v>189</v>
      </c>
      <c r="P215" s="8">
        <v>0.65</v>
      </c>
      <c r="Q215">
        <v>180</v>
      </c>
      <c r="R215" s="15">
        <v>163</v>
      </c>
      <c r="S215" s="8">
        <v>0.59199999999999997</v>
      </c>
      <c r="T215">
        <v>124</v>
      </c>
      <c r="U215" s="15">
        <v>106</v>
      </c>
      <c r="V215" s="8">
        <v>0.62352941176470589</v>
      </c>
      <c r="W215">
        <f t="shared" si="3"/>
        <v>513</v>
      </c>
    </row>
    <row r="216" spans="1:23">
      <c r="A216" s="6">
        <v>45141</v>
      </c>
      <c r="B216" t="s">
        <v>65</v>
      </c>
      <c r="C216">
        <v>3</v>
      </c>
      <c r="D216">
        <v>8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 s="7">
        <v>0</v>
      </c>
      <c r="M216" s="7">
        <v>28.9</v>
      </c>
      <c r="N216">
        <v>206</v>
      </c>
      <c r="O216" s="15">
        <v>165</v>
      </c>
      <c r="P216" s="8">
        <v>0.62142857142857144</v>
      </c>
      <c r="Q216">
        <v>173</v>
      </c>
      <c r="R216" s="15">
        <v>145</v>
      </c>
      <c r="S216" s="8">
        <v>0.55200000000000005</v>
      </c>
      <c r="T216">
        <v>119</v>
      </c>
      <c r="U216" s="15">
        <v>98</v>
      </c>
      <c r="V216" s="8">
        <v>0.6470588235294118</v>
      </c>
      <c r="W216">
        <f t="shared" si="3"/>
        <v>498</v>
      </c>
    </row>
    <row r="217" spans="1:23">
      <c r="A217" s="6">
        <v>45142</v>
      </c>
      <c r="B217" t="s">
        <v>66</v>
      </c>
      <c r="C217">
        <v>4</v>
      </c>
      <c r="D217">
        <v>8</v>
      </c>
      <c r="E217">
        <v>0</v>
      </c>
      <c r="F217">
        <v>0</v>
      </c>
      <c r="H217">
        <v>0</v>
      </c>
      <c r="I217">
        <v>0</v>
      </c>
      <c r="J217">
        <v>0</v>
      </c>
      <c r="K217">
        <v>0</v>
      </c>
      <c r="L217" s="7">
        <v>1.8</v>
      </c>
      <c r="M217" s="7">
        <v>29.5</v>
      </c>
      <c r="N217">
        <v>197</v>
      </c>
      <c r="O217" s="15">
        <v>165</v>
      </c>
      <c r="P217" s="8">
        <v>0.63571428571428568</v>
      </c>
      <c r="Q217">
        <v>173</v>
      </c>
      <c r="R217" s="15">
        <v>154</v>
      </c>
      <c r="S217" s="8">
        <v>0.55200000000000005</v>
      </c>
      <c r="T217">
        <v>124</v>
      </c>
      <c r="U217" s="15">
        <v>108</v>
      </c>
      <c r="V217" s="8">
        <v>0.61176470588235299</v>
      </c>
      <c r="W217">
        <f t="shared" si="3"/>
        <v>494</v>
      </c>
    </row>
    <row r="218" spans="1:23">
      <c r="A218" s="6">
        <v>45143</v>
      </c>
      <c r="B218" t="s">
        <v>67</v>
      </c>
      <c r="C218">
        <v>5</v>
      </c>
      <c r="D218">
        <v>8</v>
      </c>
      <c r="E218">
        <v>1</v>
      </c>
      <c r="F218">
        <v>0</v>
      </c>
      <c r="H218">
        <v>0</v>
      </c>
      <c r="I218">
        <v>0</v>
      </c>
      <c r="J218">
        <v>0</v>
      </c>
      <c r="K218">
        <v>1</v>
      </c>
      <c r="L218" s="7">
        <v>1.8</v>
      </c>
      <c r="M218" s="7">
        <v>29.1</v>
      </c>
      <c r="N218">
        <v>269</v>
      </c>
      <c r="O218" s="15">
        <v>237</v>
      </c>
      <c r="P218" s="8">
        <v>0.80714285714285716</v>
      </c>
      <c r="Q218">
        <v>227</v>
      </c>
      <c r="R218" s="15">
        <v>211</v>
      </c>
      <c r="S218" s="8">
        <v>0.76</v>
      </c>
      <c r="T218">
        <v>150</v>
      </c>
      <c r="U218" s="15">
        <v>135</v>
      </c>
      <c r="V218" s="8">
        <v>0.78823529411764703</v>
      </c>
      <c r="W218">
        <f t="shared" si="3"/>
        <v>646</v>
      </c>
    </row>
    <row r="219" spans="1:23">
      <c r="A219" s="6">
        <v>45144</v>
      </c>
      <c r="B219" t="s">
        <v>60</v>
      </c>
      <c r="C219">
        <v>6</v>
      </c>
      <c r="D219">
        <v>8</v>
      </c>
      <c r="E219">
        <v>1</v>
      </c>
      <c r="F219">
        <v>0</v>
      </c>
      <c r="H219">
        <v>0</v>
      </c>
      <c r="I219">
        <v>0</v>
      </c>
      <c r="J219">
        <v>0</v>
      </c>
      <c r="K219">
        <v>1</v>
      </c>
      <c r="L219" s="7">
        <v>0</v>
      </c>
      <c r="M219" s="7">
        <v>28.2</v>
      </c>
      <c r="N219">
        <v>242</v>
      </c>
      <c r="O219" s="15">
        <v>205</v>
      </c>
      <c r="P219" s="8">
        <v>0.75</v>
      </c>
      <c r="Q219">
        <v>236</v>
      </c>
      <c r="R219" s="15">
        <v>195</v>
      </c>
      <c r="S219" s="8">
        <v>0.78400000000000003</v>
      </c>
      <c r="T219">
        <v>174</v>
      </c>
      <c r="U219" s="15">
        <v>156</v>
      </c>
      <c r="V219" s="8">
        <v>0.92941176470588238</v>
      </c>
      <c r="W219">
        <f t="shared" si="3"/>
        <v>652</v>
      </c>
    </row>
    <row r="220" spans="1:23">
      <c r="A220" s="6">
        <v>45145</v>
      </c>
      <c r="B220" t="s">
        <v>62</v>
      </c>
      <c r="C220">
        <v>0</v>
      </c>
      <c r="D220">
        <v>8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0</v>
      </c>
      <c r="L220" s="7">
        <v>0.7</v>
      </c>
      <c r="M220" s="7">
        <v>28.7</v>
      </c>
      <c r="N220">
        <v>197</v>
      </c>
      <c r="O220" s="15">
        <v>165</v>
      </c>
      <c r="P220" s="8">
        <v>0.57857142857142863</v>
      </c>
      <c r="Q220">
        <v>172</v>
      </c>
      <c r="R220" s="15">
        <v>156</v>
      </c>
      <c r="S220" s="8">
        <v>0.59199999999999997</v>
      </c>
      <c r="T220">
        <v>129</v>
      </c>
      <c r="U220" s="15">
        <v>104</v>
      </c>
      <c r="V220" s="8">
        <v>0.68235294117647061</v>
      </c>
      <c r="W220">
        <f t="shared" si="3"/>
        <v>498</v>
      </c>
    </row>
    <row r="221" spans="1:23">
      <c r="A221" s="6">
        <v>45146</v>
      </c>
      <c r="B221" t="s">
        <v>63</v>
      </c>
      <c r="C221">
        <v>1</v>
      </c>
      <c r="D221">
        <v>8</v>
      </c>
      <c r="E221">
        <v>0</v>
      </c>
      <c r="F221">
        <v>0</v>
      </c>
      <c r="H221">
        <v>0</v>
      </c>
      <c r="I221">
        <v>0</v>
      </c>
      <c r="J221">
        <v>0</v>
      </c>
      <c r="K221">
        <v>0</v>
      </c>
      <c r="L221" s="7">
        <v>0.2</v>
      </c>
      <c r="M221" s="7">
        <v>28.1</v>
      </c>
      <c r="N221">
        <v>189</v>
      </c>
      <c r="O221" s="15">
        <v>168</v>
      </c>
      <c r="P221" s="8">
        <v>0.58571428571428574</v>
      </c>
      <c r="Q221">
        <v>178</v>
      </c>
      <c r="R221" s="15">
        <v>159</v>
      </c>
      <c r="S221" s="8">
        <v>0.58399999999999996</v>
      </c>
      <c r="T221">
        <v>132</v>
      </c>
      <c r="U221" s="15">
        <v>111</v>
      </c>
      <c r="V221" s="8">
        <v>0.68235294117647061</v>
      </c>
      <c r="W221">
        <f t="shared" si="3"/>
        <v>499</v>
      </c>
    </row>
    <row r="222" spans="1:23">
      <c r="A222" s="6">
        <v>45147</v>
      </c>
      <c r="B222" t="s">
        <v>64</v>
      </c>
      <c r="C222">
        <v>2</v>
      </c>
      <c r="D222">
        <v>8</v>
      </c>
      <c r="E222">
        <v>0</v>
      </c>
      <c r="F222">
        <v>0</v>
      </c>
      <c r="H222">
        <v>0</v>
      </c>
      <c r="I222">
        <v>0</v>
      </c>
      <c r="J222">
        <v>0</v>
      </c>
      <c r="K222">
        <v>0</v>
      </c>
      <c r="L222" s="7">
        <v>2.2000000000000002</v>
      </c>
      <c r="M222" s="7">
        <v>29.1</v>
      </c>
      <c r="N222">
        <v>217</v>
      </c>
      <c r="O222" s="15">
        <v>200</v>
      </c>
      <c r="P222" s="8">
        <v>0.6785714285714286</v>
      </c>
      <c r="Q222">
        <v>175</v>
      </c>
      <c r="R222" s="15">
        <v>146</v>
      </c>
      <c r="S222" s="8">
        <v>0.58399999999999996</v>
      </c>
      <c r="T222">
        <v>113</v>
      </c>
      <c r="U222" s="15">
        <v>93</v>
      </c>
      <c r="V222" s="8">
        <v>0.58823529411764708</v>
      </c>
      <c r="W222">
        <f t="shared" si="3"/>
        <v>505</v>
      </c>
    </row>
    <row r="223" spans="1:23">
      <c r="A223" s="6">
        <v>45148</v>
      </c>
      <c r="B223" t="s">
        <v>65</v>
      </c>
      <c r="C223">
        <v>3</v>
      </c>
      <c r="D223">
        <v>8</v>
      </c>
      <c r="E223">
        <v>0</v>
      </c>
      <c r="F223">
        <v>0</v>
      </c>
      <c r="H223">
        <v>0</v>
      </c>
      <c r="I223">
        <v>0</v>
      </c>
      <c r="J223">
        <v>0</v>
      </c>
      <c r="K223">
        <v>0</v>
      </c>
      <c r="L223" s="7">
        <v>0</v>
      </c>
      <c r="M223" s="7">
        <v>28.3</v>
      </c>
      <c r="N223">
        <v>207</v>
      </c>
      <c r="O223" s="15">
        <v>171</v>
      </c>
      <c r="P223" s="8">
        <v>0.63571428571428568</v>
      </c>
      <c r="Q223">
        <v>189</v>
      </c>
      <c r="R223" s="15">
        <v>157</v>
      </c>
      <c r="S223" s="8">
        <v>0.624</v>
      </c>
      <c r="T223">
        <v>119</v>
      </c>
      <c r="U223" s="15">
        <v>109</v>
      </c>
      <c r="V223" s="8">
        <v>0.6</v>
      </c>
      <c r="W223">
        <f t="shared" si="3"/>
        <v>515</v>
      </c>
    </row>
    <row r="224" spans="1:23">
      <c r="A224" s="6">
        <v>45149</v>
      </c>
      <c r="B224" t="s">
        <v>66</v>
      </c>
      <c r="C224">
        <v>4</v>
      </c>
      <c r="D224">
        <v>8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0</v>
      </c>
      <c r="L224" s="7">
        <v>0</v>
      </c>
      <c r="M224" s="7">
        <v>28.1</v>
      </c>
      <c r="N224">
        <v>200</v>
      </c>
      <c r="O224" s="15">
        <v>180</v>
      </c>
      <c r="P224" s="8">
        <v>0.59285714285714286</v>
      </c>
      <c r="Q224">
        <v>168</v>
      </c>
      <c r="R224" s="15">
        <v>157</v>
      </c>
      <c r="S224" s="8">
        <v>0.56000000000000005</v>
      </c>
      <c r="T224">
        <v>129</v>
      </c>
      <c r="U224" s="15">
        <v>113</v>
      </c>
      <c r="V224" s="8">
        <v>0.6470588235294118</v>
      </c>
      <c r="W224">
        <f t="shared" si="3"/>
        <v>497</v>
      </c>
    </row>
    <row r="225" spans="1:23">
      <c r="A225" s="6">
        <v>45150</v>
      </c>
      <c r="B225" t="s">
        <v>67</v>
      </c>
      <c r="C225">
        <v>5</v>
      </c>
      <c r="D225">
        <v>8</v>
      </c>
      <c r="E225">
        <v>1</v>
      </c>
      <c r="F225">
        <v>0</v>
      </c>
      <c r="H225">
        <v>0</v>
      </c>
      <c r="I225">
        <v>0</v>
      </c>
      <c r="J225">
        <v>0</v>
      </c>
      <c r="K225">
        <v>1</v>
      </c>
      <c r="L225" s="7">
        <v>1</v>
      </c>
      <c r="M225" s="7">
        <v>29.4</v>
      </c>
      <c r="N225">
        <v>253</v>
      </c>
      <c r="O225" s="15">
        <v>214</v>
      </c>
      <c r="P225" s="8">
        <v>0.75</v>
      </c>
      <c r="Q225">
        <v>201</v>
      </c>
      <c r="R225" s="15">
        <v>174</v>
      </c>
      <c r="S225" s="8">
        <v>0.68</v>
      </c>
      <c r="T225">
        <v>173</v>
      </c>
      <c r="U225" s="15">
        <v>140</v>
      </c>
      <c r="V225" s="8">
        <v>0.88235294117647056</v>
      </c>
      <c r="W225">
        <f t="shared" si="3"/>
        <v>627</v>
      </c>
    </row>
    <row r="226" spans="1:23">
      <c r="A226" s="6">
        <v>45151</v>
      </c>
      <c r="B226" t="s">
        <v>60</v>
      </c>
      <c r="C226">
        <v>6</v>
      </c>
      <c r="D226">
        <v>8</v>
      </c>
      <c r="E226">
        <v>1</v>
      </c>
      <c r="F226">
        <v>0</v>
      </c>
      <c r="H226">
        <v>0</v>
      </c>
      <c r="I226">
        <v>0</v>
      </c>
      <c r="J226">
        <v>0</v>
      </c>
      <c r="K226">
        <v>1</v>
      </c>
      <c r="L226" s="7">
        <v>0</v>
      </c>
      <c r="M226" s="7">
        <v>28.9</v>
      </c>
      <c r="N226">
        <v>268</v>
      </c>
      <c r="O226" s="15">
        <v>216</v>
      </c>
      <c r="P226" s="8">
        <v>0.7857142857142857</v>
      </c>
      <c r="Q226">
        <v>217</v>
      </c>
      <c r="R226" s="15">
        <v>201</v>
      </c>
      <c r="S226" s="8">
        <v>0.71199999999999997</v>
      </c>
      <c r="T226">
        <v>162</v>
      </c>
      <c r="U226" s="15">
        <v>132</v>
      </c>
      <c r="V226" s="8">
        <v>0.84705882352941175</v>
      </c>
      <c r="W226">
        <f t="shared" si="3"/>
        <v>647</v>
      </c>
    </row>
    <row r="227" spans="1:23">
      <c r="A227" s="6">
        <v>45152</v>
      </c>
      <c r="B227" t="s">
        <v>62</v>
      </c>
      <c r="C227">
        <v>0</v>
      </c>
      <c r="D227">
        <v>8</v>
      </c>
      <c r="E227">
        <v>0</v>
      </c>
      <c r="F227">
        <v>0</v>
      </c>
      <c r="H227">
        <v>0</v>
      </c>
      <c r="I227">
        <v>0</v>
      </c>
      <c r="J227">
        <v>0</v>
      </c>
      <c r="K227">
        <v>0</v>
      </c>
      <c r="L227" s="7">
        <v>2.5</v>
      </c>
      <c r="M227" s="7">
        <v>29.8</v>
      </c>
      <c r="N227">
        <v>197</v>
      </c>
      <c r="O227" s="15">
        <v>182</v>
      </c>
      <c r="P227" s="8">
        <v>0.6</v>
      </c>
      <c r="Q227">
        <v>158</v>
      </c>
      <c r="R227" s="15">
        <v>132</v>
      </c>
      <c r="S227" s="8">
        <v>0.53600000000000003</v>
      </c>
      <c r="T227">
        <v>109</v>
      </c>
      <c r="U227" s="15">
        <v>88</v>
      </c>
      <c r="V227" s="8">
        <v>0.58823529411764708</v>
      </c>
      <c r="W227">
        <f t="shared" si="3"/>
        <v>464</v>
      </c>
    </row>
    <row r="228" spans="1:23">
      <c r="A228" s="6">
        <v>45153</v>
      </c>
      <c r="B228" t="s">
        <v>63</v>
      </c>
      <c r="C228">
        <v>1</v>
      </c>
      <c r="D228">
        <v>8</v>
      </c>
      <c r="E228">
        <v>0</v>
      </c>
      <c r="F228">
        <v>0</v>
      </c>
      <c r="H228">
        <v>0</v>
      </c>
      <c r="I228">
        <v>0</v>
      </c>
      <c r="J228">
        <v>0</v>
      </c>
      <c r="K228">
        <v>0</v>
      </c>
      <c r="L228" s="7">
        <v>0</v>
      </c>
      <c r="M228" s="7">
        <v>29.2</v>
      </c>
      <c r="N228">
        <v>214</v>
      </c>
      <c r="O228" s="15">
        <v>186</v>
      </c>
      <c r="P228" s="8">
        <v>0.62142857142857144</v>
      </c>
      <c r="Q228">
        <v>188</v>
      </c>
      <c r="R228" s="15">
        <v>170</v>
      </c>
      <c r="S228" s="8">
        <v>0.64</v>
      </c>
      <c r="T228">
        <v>128</v>
      </c>
      <c r="U228" s="15">
        <v>114</v>
      </c>
      <c r="V228" s="8">
        <v>0.68235294117647061</v>
      </c>
      <c r="W228">
        <f t="shared" si="3"/>
        <v>530</v>
      </c>
    </row>
    <row r="229" spans="1:23">
      <c r="A229" s="6">
        <v>45154</v>
      </c>
      <c r="B229" t="s">
        <v>64</v>
      </c>
      <c r="C229">
        <v>2</v>
      </c>
      <c r="D229">
        <v>8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 s="7">
        <v>0</v>
      </c>
      <c r="M229" s="7">
        <v>28.5</v>
      </c>
      <c r="N229">
        <v>189</v>
      </c>
      <c r="O229" s="15">
        <v>170</v>
      </c>
      <c r="P229" s="8">
        <v>0.56428571428571428</v>
      </c>
      <c r="Q229">
        <v>156</v>
      </c>
      <c r="R229" s="15">
        <v>147</v>
      </c>
      <c r="S229" s="8">
        <v>0.51200000000000001</v>
      </c>
      <c r="T229">
        <v>113</v>
      </c>
      <c r="U229" s="15">
        <v>92</v>
      </c>
      <c r="V229" s="8">
        <v>0.62352941176470589</v>
      </c>
      <c r="W229">
        <f t="shared" si="3"/>
        <v>458</v>
      </c>
    </row>
    <row r="230" spans="1:23">
      <c r="A230" s="6">
        <v>45155</v>
      </c>
      <c r="B230" t="s">
        <v>65</v>
      </c>
      <c r="C230">
        <v>3</v>
      </c>
      <c r="D230">
        <v>8</v>
      </c>
      <c r="E230">
        <v>0</v>
      </c>
      <c r="F230">
        <v>0</v>
      </c>
      <c r="H230">
        <v>0</v>
      </c>
      <c r="I230">
        <v>0</v>
      </c>
      <c r="J230">
        <v>0</v>
      </c>
      <c r="K230">
        <v>0</v>
      </c>
      <c r="L230" s="7">
        <v>0</v>
      </c>
      <c r="M230" s="7">
        <v>29.5</v>
      </c>
      <c r="N230">
        <v>192</v>
      </c>
      <c r="O230" s="15">
        <v>163</v>
      </c>
      <c r="P230" s="8">
        <v>0.6</v>
      </c>
      <c r="Q230">
        <v>172</v>
      </c>
      <c r="R230" s="15">
        <v>140</v>
      </c>
      <c r="S230" s="8">
        <v>0.57599999999999996</v>
      </c>
      <c r="T230">
        <v>117</v>
      </c>
      <c r="U230" s="15">
        <v>101</v>
      </c>
      <c r="V230" s="8">
        <v>0.62352941176470589</v>
      </c>
      <c r="W230">
        <f t="shared" si="3"/>
        <v>481</v>
      </c>
    </row>
    <row r="231" spans="1:23">
      <c r="A231" s="6">
        <v>45156</v>
      </c>
      <c r="B231" t="s">
        <v>66</v>
      </c>
      <c r="C231">
        <v>4</v>
      </c>
      <c r="D231">
        <v>8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 s="7">
        <v>0</v>
      </c>
      <c r="M231" s="7">
        <v>27.7</v>
      </c>
      <c r="N231">
        <v>196</v>
      </c>
      <c r="O231" s="15">
        <v>173</v>
      </c>
      <c r="P231" s="8">
        <v>0.59285714285714286</v>
      </c>
      <c r="Q231">
        <v>154</v>
      </c>
      <c r="R231" s="15">
        <v>123</v>
      </c>
      <c r="S231" s="8">
        <v>0.51200000000000001</v>
      </c>
      <c r="T231">
        <v>124</v>
      </c>
      <c r="U231" s="15">
        <v>112</v>
      </c>
      <c r="V231" s="8">
        <v>0.62352941176470589</v>
      </c>
      <c r="W231">
        <f t="shared" si="3"/>
        <v>474</v>
      </c>
    </row>
    <row r="232" spans="1:23">
      <c r="A232" s="6">
        <v>45157</v>
      </c>
      <c r="B232" t="s">
        <v>67</v>
      </c>
      <c r="C232">
        <v>5</v>
      </c>
      <c r="D232">
        <v>8</v>
      </c>
      <c r="E232">
        <v>1</v>
      </c>
      <c r="F232">
        <v>0</v>
      </c>
      <c r="H232">
        <v>0</v>
      </c>
      <c r="I232">
        <v>0</v>
      </c>
      <c r="J232">
        <v>0</v>
      </c>
      <c r="K232">
        <v>0</v>
      </c>
      <c r="L232" s="7">
        <v>5.2</v>
      </c>
      <c r="M232" s="7">
        <v>29.5</v>
      </c>
      <c r="N232">
        <v>222</v>
      </c>
      <c r="O232" s="15">
        <v>192</v>
      </c>
      <c r="P232" s="8">
        <v>0.6785714285714286</v>
      </c>
      <c r="Q232">
        <v>198</v>
      </c>
      <c r="R232" s="15">
        <v>185</v>
      </c>
      <c r="S232" s="8">
        <v>0.64800000000000002</v>
      </c>
      <c r="T232">
        <v>144</v>
      </c>
      <c r="U232" s="15">
        <v>127</v>
      </c>
      <c r="V232" s="8">
        <v>0.75294117647058822</v>
      </c>
      <c r="W232">
        <f t="shared" si="3"/>
        <v>564</v>
      </c>
    </row>
    <row r="233" spans="1:23">
      <c r="A233" s="6">
        <v>45158</v>
      </c>
      <c r="B233" t="s">
        <v>60</v>
      </c>
      <c r="C233">
        <v>6</v>
      </c>
      <c r="D233">
        <v>8</v>
      </c>
      <c r="E233">
        <v>1</v>
      </c>
      <c r="F233">
        <v>0</v>
      </c>
      <c r="H233">
        <v>0</v>
      </c>
      <c r="I233">
        <v>0</v>
      </c>
      <c r="J233">
        <v>0</v>
      </c>
      <c r="K233">
        <v>0</v>
      </c>
      <c r="L233" s="7">
        <v>2.5</v>
      </c>
      <c r="M233" s="7">
        <v>29.5</v>
      </c>
      <c r="N233">
        <v>212</v>
      </c>
      <c r="O233" s="15">
        <v>174</v>
      </c>
      <c r="P233" s="8">
        <v>0.6428571428571429</v>
      </c>
      <c r="Q233">
        <v>190</v>
      </c>
      <c r="R233" s="15">
        <v>157</v>
      </c>
      <c r="S233" s="8">
        <v>0.64800000000000002</v>
      </c>
      <c r="T233">
        <v>136</v>
      </c>
      <c r="U233" s="15">
        <v>111</v>
      </c>
      <c r="V233" s="8">
        <v>0.70588235294117652</v>
      </c>
      <c r="W233">
        <f t="shared" si="3"/>
        <v>538</v>
      </c>
    </row>
    <row r="234" spans="1:23">
      <c r="A234" s="6">
        <v>45159</v>
      </c>
      <c r="B234" t="s">
        <v>62</v>
      </c>
      <c r="C234">
        <v>0</v>
      </c>
      <c r="D234">
        <v>8</v>
      </c>
      <c r="E234">
        <v>0</v>
      </c>
      <c r="F234">
        <v>0</v>
      </c>
      <c r="H234">
        <v>0</v>
      </c>
      <c r="I234">
        <v>0</v>
      </c>
      <c r="J234">
        <v>0</v>
      </c>
      <c r="K234">
        <v>0</v>
      </c>
      <c r="L234" s="7">
        <v>0</v>
      </c>
      <c r="M234" s="7">
        <v>27.8</v>
      </c>
      <c r="N234">
        <v>182</v>
      </c>
      <c r="O234" s="15">
        <v>150</v>
      </c>
      <c r="P234" s="8">
        <v>0.55714285714285716</v>
      </c>
      <c r="Q234">
        <v>160</v>
      </c>
      <c r="R234" s="15">
        <v>136</v>
      </c>
      <c r="S234" s="8">
        <v>0.53600000000000003</v>
      </c>
      <c r="T234">
        <v>111</v>
      </c>
      <c r="U234" s="15">
        <v>102</v>
      </c>
      <c r="V234" s="8">
        <v>0.6</v>
      </c>
      <c r="W234">
        <f t="shared" si="3"/>
        <v>453</v>
      </c>
    </row>
    <row r="235" spans="1:23">
      <c r="A235" s="6">
        <v>45160</v>
      </c>
      <c r="B235" t="s">
        <v>63</v>
      </c>
      <c r="C235">
        <v>1</v>
      </c>
      <c r="D235">
        <v>8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 s="7">
        <v>3.5</v>
      </c>
      <c r="M235" s="7">
        <v>27.7</v>
      </c>
      <c r="N235">
        <v>198</v>
      </c>
      <c r="O235" s="15">
        <v>173</v>
      </c>
      <c r="P235" s="8">
        <v>0.57857142857142863</v>
      </c>
      <c r="Q235">
        <v>147</v>
      </c>
      <c r="R235" s="15">
        <v>119</v>
      </c>
      <c r="S235" s="8">
        <v>0.504</v>
      </c>
      <c r="T235">
        <v>127</v>
      </c>
      <c r="U235" s="15">
        <v>115</v>
      </c>
      <c r="V235" s="8">
        <v>0.63529411764705879</v>
      </c>
      <c r="W235">
        <f t="shared" si="3"/>
        <v>472</v>
      </c>
    </row>
    <row r="236" spans="1:23">
      <c r="A236" s="6">
        <v>45161</v>
      </c>
      <c r="B236" t="s">
        <v>64</v>
      </c>
      <c r="C236">
        <v>2</v>
      </c>
      <c r="D236">
        <v>8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0</v>
      </c>
      <c r="L236" s="7">
        <v>0</v>
      </c>
      <c r="M236" s="7">
        <v>30</v>
      </c>
      <c r="N236">
        <v>212</v>
      </c>
      <c r="O236" s="15">
        <v>183</v>
      </c>
      <c r="P236" s="8">
        <v>0.63571428571428568</v>
      </c>
      <c r="Q236">
        <v>162</v>
      </c>
      <c r="R236" s="15">
        <v>151</v>
      </c>
      <c r="S236" s="8">
        <v>0.52800000000000002</v>
      </c>
      <c r="T236">
        <v>118</v>
      </c>
      <c r="U236" s="15">
        <v>103</v>
      </c>
      <c r="V236" s="8">
        <v>0.62352941176470589</v>
      </c>
      <c r="W236">
        <f t="shared" si="3"/>
        <v>492</v>
      </c>
    </row>
    <row r="237" spans="1:23">
      <c r="A237" s="6">
        <v>45162</v>
      </c>
      <c r="B237" t="s">
        <v>65</v>
      </c>
      <c r="C237">
        <v>3</v>
      </c>
      <c r="D237">
        <v>8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 s="7">
        <v>5.2</v>
      </c>
      <c r="M237" s="7">
        <v>29.5</v>
      </c>
      <c r="N237">
        <v>182</v>
      </c>
      <c r="O237" s="15">
        <v>162</v>
      </c>
      <c r="P237" s="8">
        <v>0.55000000000000004</v>
      </c>
      <c r="Q237">
        <v>163</v>
      </c>
      <c r="R237" s="15">
        <v>147</v>
      </c>
      <c r="S237" s="8">
        <v>0.55200000000000005</v>
      </c>
      <c r="T237">
        <v>111</v>
      </c>
      <c r="U237" s="15">
        <v>95</v>
      </c>
      <c r="V237" s="8">
        <v>0.6</v>
      </c>
      <c r="W237">
        <f t="shared" si="3"/>
        <v>456</v>
      </c>
    </row>
    <row r="238" spans="1:23">
      <c r="A238" s="6">
        <v>45163</v>
      </c>
      <c r="B238" t="s">
        <v>66</v>
      </c>
      <c r="C238">
        <v>4</v>
      </c>
      <c r="D238">
        <v>8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 s="7">
        <v>2.1</v>
      </c>
      <c r="M238" s="7">
        <v>28.4</v>
      </c>
      <c r="N238">
        <v>176</v>
      </c>
      <c r="O238" s="15">
        <v>152</v>
      </c>
      <c r="P238" s="8">
        <v>0.55714285714285716</v>
      </c>
      <c r="Q238">
        <v>171</v>
      </c>
      <c r="R238" s="15">
        <v>147</v>
      </c>
      <c r="S238" s="8">
        <v>0.56000000000000005</v>
      </c>
      <c r="T238">
        <v>107</v>
      </c>
      <c r="U238" s="15">
        <v>100</v>
      </c>
      <c r="V238" s="8">
        <v>0.58823529411764708</v>
      </c>
      <c r="W238">
        <f t="shared" si="3"/>
        <v>454</v>
      </c>
    </row>
    <row r="239" spans="1:23">
      <c r="A239" s="6">
        <v>45164</v>
      </c>
      <c r="B239" t="s">
        <v>67</v>
      </c>
      <c r="C239">
        <v>5</v>
      </c>
      <c r="D239">
        <v>8</v>
      </c>
      <c r="E239">
        <v>1</v>
      </c>
      <c r="F239">
        <v>0</v>
      </c>
      <c r="H239">
        <v>0</v>
      </c>
      <c r="I239">
        <v>0</v>
      </c>
      <c r="J239">
        <v>0</v>
      </c>
      <c r="K239">
        <v>0</v>
      </c>
      <c r="L239" s="7">
        <v>0</v>
      </c>
      <c r="M239" s="7">
        <v>28.4</v>
      </c>
      <c r="N239">
        <v>202</v>
      </c>
      <c r="O239" s="15">
        <v>185</v>
      </c>
      <c r="P239" s="8">
        <v>0.61428571428571432</v>
      </c>
      <c r="Q239">
        <v>193</v>
      </c>
      <c r="R239" s="15">
        <v>158</v>
      </c>
      <c r="S239" s="8">
        <v>0.64</v>
      </c>
      <c r="T239">
        <v>131</v>
      </c>
      <c r="U239" s="15">
        <v>121</v>
      </c>
      <c r="V239" s="8">
        <v>0.68235294117647061</v>
      </c>
      <c r="W239">
        <f t="shared" si="3"/>
        <v>526</v>
      </c>
    </row>
    <row r="240" spans="1:23">
      <c r="A240" s="6">
        <v>45165</v>
      </c>
      <c r="B240" t="s">
        <v>60</v>
      </c>
      <c r="C240">
        <v>6</v>
      </c>
      <c r="D240">
        <v>8</v>
      </c>
      <c r="E240">
        <v>1</v>
      </c>
      <c r="F240">
        <v>0</v>
      </c>
      <c r="H240">
        <v>0</v>
      </c>
      <c r="I240">
        <v>0</v>
      </c>
      <c r="J240">
        <v>0</v>
      </c>
      <c r="K240">
        <v>0</v>
      </c>
      <c r="L240" s="7">
        <v>3.6</v>
      </c>
      <c r="M240" s="7">
        <v>29.6</v>
      </c>
      <c r="N240">
        <v>220</v>
      </c>
      <c r="O240" s="15">
        <v>180</v>
      </c>
      <c r="P240" s="8">
        <v>0.65714285714285714</v>
      </c>
      <c r="Q240">
        <v>170</v>
      </c>
      <c r="R240" s="15">
        <v>138</v>
      </c>
      <c r="S240" s="8">
        <v>0.59199999999999997</v>
      </c>
      <c r="T240">
        <v>130</v>
      </c>
      <c r="U240" s="15">
        <v>110</v>
      </c>
      <c r="V240" s="8">
        <v>0.68235294117647061</v>
      </c>
      <c r="W240">
        <f t="shared" si="3"/>
        <v>520</v>
      </c>
    </row>
    <row r="241" spans="1:23">
      <c r="A241" s="6">
        <v>45166</v>
      </c>
      <c r="B241" t="s">
        <v>62</v>
      </c>
      <c r="C241">
        <v>0</v>
      </c>
      <c r="D241">
        <v>8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 s="7">
        <v>0</v>
      </c>
      <c r="M241" s="7">
        <v>29.4</v>
      </c>
      <c r="N241">
        <v>196</v>
      </c>
      <c r="O241" s="15">
        <v>165</v>
      </c>
      <c r="P241" s="8">
        <v>0.57857142857142863</v>
      </c>
      <c r="Q241">
        <v>156</v>
      </c>
      <c r="R241" s="15">
        <v>131</v>
      </c>
      <c r="S241" s="8">
        <v>0.51200000000000001</v>
      </c>
      <c r="T241">
        <v>118</v>
      </c>
      <c r="U241" s="15">
        <v>100</v>
      </c>
      <c r="V241" s="8">
        <v>0.6</v>
      </c>
      <c r="W241">
        <f t="shared" si="3"/>
        <v>470</v>
      </c>
    </row>
    <row r="242" spans="1:23">
      <c r="A242" s="6">
        <v>45167</v>
      </c>
      <c r="B242" t="s">
        <v>63</v>
      </c>
      <c r="C242">
        <v>1</v>
      </c>
      <c r="D242">
        <v>8</v>
      </c>
      <c r="E242">
        <v>0</v>
      </c>
      <c r="F242">
        <v>0</v>
      </c>
      <c r="H242">
        <v>0</v>
      </c>
      <c r="I242">
        <v>0</v>
      </c>
      <c r="J242">
        <v>0</v>
      </c>
      <c r="K242">
        <v>0</v>
      </c>
      <c r="L242" s="7">
        <v>0</v>
      </c>
      <c r="M242" s="7">
        <v>28.3</v>
      </c>
      <c r="N242">
        <v>181</v>
      </c>
      <c r="O242" s="15">
        <v>157</v>
      </c>
      <c r="P242" s="8">
        <v>0.55714285714285716</v>
      </c>
      <c r="Q242">
        <v>157</v>
      </c>
      <c r="R242" s="15">
        <v>139</v>
      </c>
      <c r="S242" s="8">
        <v>0.496</v>
      </c>
      <c r="T242">
        <v>121</v>
      </c>
      <c r="U242" s="15">
        <v>109</v>
      </c>
      <c r="V242" s="8">
        <v>0.6470588235294118</v>
      </c>
      <c r="W242">
        <f t="shared" si="3"/>
        <v>459</v>
      </c>
    </row>
    <row r="243" spans="1:23">
      <c r="A243" s="6">
        <v>45168</v>
      </c>
      <c r="B243" t="s">
        <v>64</v>
      </c>
      <c r="C243">
        <v>2</v>
      </c>
      <c r="D243">
        <v>8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L243" s="7">
        <v>0.4</v>
      </c>
      <c r="M243" s="7">
        <v>28.3</v>
      </c>
      <c r="N243">
        <v>170</v>
      </c>
      <c r="O243" s="15">
        <v>152</v>
      </c>
      <c r="P243" s="8">
        <v>0.51428571428571423</v>
      </c>
      <c r="Q243">
        <v>169</v>
      </c>
      <c r="R243" s="15">
        <v>138</v>
      </c>
      <c r="S243" s="8">
        <v>0.55200000000000005</v>
      </c>
      <c r="T243">
        <v>118</v>
      </c>
      <c r="U243" s="15">
        <v>111</v>
      </c>
      <c r="V243" s="8">
        <v>0.63529411764705879</v>
      </c>
      <c r="W243">
        <f t="shared" si="3"/>
        <v>457</v>
      </c>
    </row>
    <row r="244" spans="1:23">
      <c r="A244" s="6">
        <v>45169</v>
      </c>
      <c r="B244" t="s">
        <v>65</v>
      </c>
      <c r="C244">
        <v>3</v>
      </c>
      <c r="D244">
        <v>8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 s="7">
        <v>1.1000000000000001</v>
      </c>
      <c r="M244" s="7">
        <v>29.4</v>
      </c>
      <c r="N244">
        <v>183</v>
      </c>
      <c r="O244" s="15">
        <v>149</v>
      </c>
      <c r="P244" s="8">
        <v>0.52857142857142858</v>
      </c>
      <c r="Q244">
        <v>160</v>
      </c>
      <c r="R244" s="15">
        <v>143</v>
      </c>
      <c r="S244" s="8">
        <v>0.52800000000000002</v>
      </c>
      <c r="T244">
        <v>101</v>
      </c>
      <c r="U244" s="15">
        <v>86</v>
      </c>
      <c r="V244" s="8">
        <v>0.52941176470588236</v>
      </c>
      <c r="W244">
        <f t="shared" si="3"/>
        <v>444</v>
      </c>
    </row>
    <row r="245" spans="1:23">
      <c r="A245" s="6">
        <v>45170</v>
      </c>
      <c r="B245" t="s">
        <v>66</v>
      </c>
      <c r="C245">
        <v>4</v>
      </c>
      <c r="D245">
        <v>9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0</v>
      </c>
      <c r="L245" s="7">
        <v>2.4</v>
      </c>
      <c r="M245" s="7">
        <v>29.8</v>
      </c>
      <c r="N245">
        <v>180</v>
      </c>
      <c r="O245" s="15">
        <v>148</v>
      </c>
      <c r="P245" s="8">
        <v>0.54285714285714282</v>
      </c>
      <c r="Q245">
        <v>187</v>
      </c>
      <c r="R245" s="15">
        <v>153</v>
      </c>
      <c r="S245" s="8">
        <v>0.60799999999999998</v>
      </c>
      <c r="T245">
        <v>116</v>
      </c>
      <c r="U245" s="15">
        <v>97</v>
      </c>
      <c r="V245" s="8">
        <v>0.56470588235294117</v>
      </c>
      <c r="W245">
        <f t="shared" si="3"/>
        <v>483</v>
      </c>
    </row>
    <row r="246" spans="1:23">
      <c r="A246" s="6">
        <v>45171</v>
      </c>
      <c r="B246" t="s">
        <v>67</v>
      </c>
      <c r="C246">
        <v>5</v>
      </c>
      <c r="D246">
        <v>9</v>
      </c>
      <c r="E246">
        <v>1</v>
      </c>
      <c r="F246">
        <v>0</v>
      </c>
      <c r="H246">
        <v>0</v>
      </c>
      <c r="I246">
        <v>0</v>
      </c>
      <c r="J246">
        <v>0</v>
      </c>
      <c r="K246">
        <v>0</v>
      </c>
      <c r="L246" s="7">
        <v>3.8</v>
      </c>
      <c r="M246" s="7">
        <v>31.6</v>
      </c>
      <c r="N246">
        <v>185</v>
      </c>
      <c r="O246" s="15">
        <v>171</v>
      </c>
      <c r="P246" s="8">
        <v>0.55714285714285716</v>
      </c>
      <c r="Q246">
        <v>201</v>
      </c>
      <c r="R246" s="15">
        <v>171</v>
      </c>
      <c r="S246" s="8">
        <v>0.68</v>
      </c>
      <c r="T246">
        <v>132</v>
      </c>
      <c r="U246" s="15">
        <v>113</v>
      </c>
      <c r="V246" s="8">
        <v>0.74117647058823533</v>
      </c>
      <c r="W246">
        <f t="shared" si="3"/>
        <v>518</v>
      </c>
    </row>
    <row r="247" spans="1:23">
      <c r="A247" s="6">
        <v>45172</v>
      </c>
      <c r="B247" t="s">
        <v>60</v>
      </c>
      <c r="C247">
        <v>6</v>
      </c>
      <c r="D247">
        <v>9</v>
      </c>
      <c r="E247">
        <v>1</v>
      </c>
      <c r="F247">
        <v>0</v>
      </c>
      <c r="H247">
        <v>0</v>
      </c>
      <c r="I247">
        <v>0</v>
      </c>
      <c r="J247">
        <v>0</v>
      </c>
      <c r="K247">
        <v>0</v>
      </c>
      <c r="L247" s="7">
        <v>0.8</v>
      </c>
      <c r="M247" s="7">
        <v>29.8</v>
      </c>
      <c r="N247">
        <v>209</v>
      </c>
      <c r="O247" s="15">
        <v>182</v>
      </c>
      <c r="P247" s="8">
        <v>0.6428571428571429</v>
      </c>
      <c r="Q247">
        <v>175</v>
      </c>
      <c r="R247" s="15">
        <v>156</v>
      </c>
      <c r="S247" s="8">
        <v>0.58399999999999996</v>
      </c>
      <c r="T247">
        <v>153</v>
      </c>
      <c r="U247" s="15">
        <v>133</v>
      </c>
      <c r="V247" s="8">
        <v>0.8</v>
      </c>
      <c r="W247">
        <f t="shared" si="3"/>
        <v>537</v>
      </c>
    </row>
    <row r="248" spans="1:23">
      <c r="A248" s="6">
        <v>45173</v>
      </c>
      <c r="B248" t="s">
        <v>62</v>
      </c>
      <c r="C248">
        <v>0</v>
      </c>
      <c r="D248">
        <v>9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 s="7">
        <v>0</v>
      </c>
      <c r="M248" s="7">
        <v>30</v>
      </c>
      <c r="N248">
        <v>181</v>
      </c>
      <c r="O248" s="15">
        <v>150</v>
      </c>
      <c r="P248" s="8">
        <v>0.54285714285714282</v>
      </c>
      <c r="Q248">
        <v>162</v>
      </c>
      <c r="R248" s="15">
        <v>143</v>
      </c>
      <c r="S248" s="8">
        <v>0.52</v>
      </c>
      <c r="T248">
        <v>118</v>
      </c>
      <c r="U248" s="15">
        <v>99</v>
      </c>
      <c r="V248" s="8">
        <v>0.61176470588235299</v>
      </c>
      <c r="W248">
        <f t="shared" si="3"/>
        <v>461</v>
      </c>
    </row>
    <row r="249" spans="1:23">
      <c r="A249" s="6">
        <v>45174</v>
      </c>
      <c r="B249" t="s">
        <v>63</v>
      </c>
      <c r="C249">
        <v>1</v>
      </c>
      <c r="D249">
        <v>9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 s="7">
        <v>3.4</v>
      </c>
      <c r="M249" s="7">
        <v>27.8</v>
      </c>
      <c r="N249">
        <v>184</v>
      </c>
      <c r="O249" s="15">
        <v>161</v>
      </c>
      <c r="P249" s="8">
        <v>0.55000000000000004</v>
      </c>
      <c r="Q249">
        <v>142</v>
      </c>
      <c r="R249" s="15">
        <v>124</v>
      </c>
      <c r="S249" s="8">
        <v>0.48799999999999999</v>
      </c>
      <c r="T249">
        <v>122</v>
      </c>
      <c r="U249" s="15">
        <v>106</v>
      </c>
      <c r="V249" s="8">
        <v>0.61176470588235299</v>
      </c>
      <c r="W249">
        <f t="shared" si="3"/>
        <v>448</v>
      </c>
    </row>
    <row r="250" spans="1:23">
      <c r="A250" s="6">
        <v>45175</v>
      </c>
      <c r="B250" t="s">
        <v>64</v>
      </c>
      <c r="C250">
        <v>2</v>
      </c>
      <c r="D250">
        <v>9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 s="7">
        <v>0</v>
      </c>
      <c r="M250" s="7">
        <v>28.3</v>
      </c>
      <c r="N250">
        <v>159</v>
      </c>
      <c r="O250" s="15">
        <v>139</v>
      </c>
      <c r="P250" s="8">
        <v>0.47857142857142859</v>
      </c>
      <c r="Q250">
        <v>163</v>
      </c>
      <c r="R250" s="15">
        <v>151</v>
      </c>
      <c r="S250" s="8">
        <v>0.52</v>
      </c>
      <c r="T250">
        <v>109</v>
      </c>
      <c r="U250" s="15">
        <v>88</v>
      </c>
      <c r="V250" s="8">
        <v>0.57647058823529407</v>
      </c>
      <c r="W250">
        <f t="shared" si="3"/>
        <v>431</v>
      </c>
    </row>
    <row r="251" spans="1:23">
      <c r="A251" s="6">
        <v>45176</v>
      </c>
      <c r="B251" t="s">
        <v>65</v>
      </c>
      <c r="C251">
        <v>3</v>
      </c>
      <c r="D251">
        <v>9</v>
      </c>
      <c r="E251">
        <v>0</v>
      </c>
      <c r="F251">
        <v>1</v>
      </c>
      <c r="G251" t="s">
        <v>72</v>
      </c>
      <c r="H251">
        <v>0</v>
      </c>
      <c r="I251">
        <v>0</v>
      </c>
      <c r="J251">
        <v>0</v>
      </c>
      <c r="K251">
        <v>0</v>
      </c>
      <c r="L251" s="7">
        <v>0</v>
      </c>
      <c r="M251" s="7">
        <v>28.8</v>
      </c>
      <c r="N251">
        <v>208</v>
      </c>
      <c r="O251" s="15">
        <v>195</v>
      </c>
      <c r="P251" s="8">
        <v>0.62857142857142856</v>
      </c>
      <c r="Q251">
        <v>180</v>
      </c>
      <c r="R251" s="15">
        <v>166</v>
      </c>
      <c r="S251" s="8">
        <v>0.60799999999999998</v>
      </c>
      <c r="T251">
        <v>120</v>
      </c>
      <c r="U251" s="15">
        <v>106</v>
      </c>
      <c r="V251" s="8">
        <v>0.63529411764705879</v>
      </c>
      <c r="W251">
        <f t="shared" si="3"/>
        <v>508</v>
      </c>
    </row>
    <row r="252" spans="1:23">
      <c r="A252" s="6">
        <v>45177</v>
      </c>
      <c r="B252" t="s">
        <v>66</v>
      </c>
      <c r="C252">
        <v>4</v>
      </c>
      <c r="D252">
        <v>9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 s="7">
        <v>0</v>
      </c>
      <c r="M252" s="7">
        <v>29.4</v>
      </c>
      <c r="N252">
        <v>175</v>
      </c>
      <c r="O252" s="15">
        <v>158</v>
      </c>
      <c r="P252" s="8">
        <v>0.5357142857142857</v>
      </c>
      <c r="Q252">
        <v>154</v>
      </c>
      <c r="R252" s="15">
        <v>134</v>
      </c>
      <c r="S252" s="8">
        <v>0.51200000000000001</v>
      </c>
      <c r="T252">
        <v>95</v>
      </c>
      <c r="U252" s="15">
        <v>82</v>
      </c>
      <c r="V252" s="8">
        <v>0.52941176470588236</v>
      </c>
      <c r="W252">
        <f t="shared" si="3"/>
        <v>424</v>
      </c>
    </row>
    <row r="253" spans="1:23">
      <c r="A253" s="6">
        <v>45178</v>
      </c>
      <c r="B253" t="s">
        <v>67</v>
      </c>
      <c r="C253">
        <v>5</v>
      </c>
      <c r="D253">
        <v>9</v>
      </c>
      <c r="E253">
        <v>1</v>
      </c>
      <c r="F253">
        <v>0</v>
      </c>
      <c r="H253">
        <v>0</v>
      </c>
      <c r="I253">
        <v>0</v>
      </c>
      <c r="J253">
        <v>0</v>
      </c>
      <c r="K253">
        <v>0</v>
      </c>
      <c r="L253" s="7">
        <v>1.8</v>
      </c>
      <c r="M253" s="7">
        <v>28.5</v>
      </c>
      <c r="N253">
        <v>207</v>
      </c>
      <c r="O253" s="15">
        <v>179</v>
      </c>
      <c r="P253" s="8">
        <v>0.63571428571428568</v>
      </c>
      <c r="Q253">
        <v>175</v>
      </c>
      <c r="R253" s="15">
        <v>146</v>
      </c>
      <c r="S253" s="8">
        <v>0.58399999999999996</v>
      </c>
      <c r="T253">
        <v>145</v>
      </c>
      <c r="U253" s="15">
        <v>128</v>
      </c>
      <c r="V253" s="8">
        <v>0.76470588235294112</v>
      </c>
      <c r="W253">
        <f t="shared" si="3"/>
        <v>527</v>
      </c>
    </row>
    <row r="254" spans="1:23">
      <c r="A254" s="6">
        <v>45179</v>
      </c>
      <c r="B254" t="s">
        <v>60</v>
      </c>
      <c r="C254">
        <v>6</v>
      </c>
      <c r="D254">
        <v>9</v>
      </c>
      <c r="E254">
        <v>1</v>
      </c>
      <c r="F254">
        <v>0</v>
      </c>
      <c r="H254">
        <v>0</v>
      </c>
      <c r="I254">
        <v>0</v>
      </c>
      <c r="J254">
        <v>0</v>
      </c>
      <c r="K254">
        <v>0</v>
      </c>
      <c r="L254" s="7">
        <v>0</v>
      </c>
      <c r="M254" s="7">
        <v>29.1</v>
      </c>
      <c r="N254">
        <v>194</v>
      </c>
      <c r="O254" s="15">
        <v>174</v>
      </c>
      <c r="P254" s="8">
        <v>0.59285714285714286</v>
      </c>
      <c r="Q254">
        <v>161</v>
      </c>
      <c r="R254" s="15">
        <v>134</v>
      </c>
      <c r="S254" s="8">
        <v>0.55200000000000005</v>
      </c>
      <c r="T254">
        <v>135</v>
      </c>
      <c r="U254" s="15">
        <v>110</v>
      </c>
      <c r="V254" s="8">
        <v>0.69411764705882351</v>
      </c>
      <c r="W254">
        <f t="shared" si="3"/>
        <v>490</v>
      </c>
    </row>
    <row r="255" spans="1:23">
      <c r="A255" s="6">
        <v>45180</v>
      </c>
      <c r="B255" t="s">
        <v>62</v>
      </c>
      <c r="C255">
        <v>0</v>
      </c>
      <c r="D255">
        <v>9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 s="7">
        <v>2.1</v>
      </c>
      <c r="M255" s="7">
        <v>28.5</v>
      </c>
      <c r="N255">
        <v>157</v>
      </c>
      <c r="O255" s="15">
        <v>145</v>
      </c>
      <c r="P255" s="8">
        <v>0.47857142857142859</v>
      </c>
      <c r="Q255">
        <v>160</v>
      </c>
      <c r="R255" s="15">
        <v>138</v>
      </c>
      <c r="S255" s="8">
        <v>0.51200000000000001</v>
      </c>
      <c r="T255">
        <v>112</v>
      </c>
      <c r="U255" s="15">
        <v>95</v>
      </c>
      <c r="V255" s="8">
        <v>0.56470588235294117</v>
      </c>
      <c r="W255">
        <f t="shared" si="3"/>
        <v>429</v>
      </c>
    </row>
    <row r="256" spans="1:23">
      <c r="A256" s="6">
        <v>45181</v>
      </c>
      <c r="B256" t="s">
        <v>63</v>
      </c>
      <c r="C256">
        <v>1</v>
      </c>
      <c r="D256">
        <v>9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 s="7">
        <v>1.7</v>
      </c>
      <c r="M256" s="7">
        <v>29.3</v>
      </c>
      <c r="N256">
        <v>186</v>
      </c>
      <c r="O256" s="15">
        <v>166</v>
      </c>
      <c r="P256" s="8">
        <v>0.56428571428571428</v>
      </c>
      <c r="Q256">
        <v>164</v>
      </c>
      <c r="R256" s="15">
        <v>151</v>
      </c>
      <c r="S256" s="8">
        <v>0.52800000000000002</v>
      </c>
      <c r="T256">
        <v>112</v>
      </c>
      <c r="U256" s="15">
        <v>105</v>
      </c>
      <c r="V256" s="8">
        <v>0.54117647058823526</v>
      </c>
      <c r="W256">
        <f t="shared" si="3"/>
        <v>462</v>
      </c>
    </row>
    <row r="257" spans="1:23">
      <c r="A257" s="6">
        <v>45182</v>
      </c>
      <c r="B257" t="s">
        <v>64</v>
      </c>
      <c r="C257">
        <v>2</v>
      </c>
      <c r="D257">
        <v>9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 s="7">
        <v>0</v>
      </c>
      <c r="M257" s="7">
        <v>28.7</v>
      </c>
      <c r="N257">
        <v>203</v>
      </c>
      <c r="O257" s="15">
        <v>190</v>
      </c>
      <c r="P257" s="8">
        <v>0.62142857142857144</v>
      </c>
      <c r="Q257">
        <v>152</v>
      </c>
      <c r="R257" s="15">
        <v>138</v>
      </c>
      <c r="S257" s="8">
        <v>0.51200000000000001</v>
      </c>
      <c r="T257">
        <v>104</v>
      </c>
      <c r="U257" s="15">
        <v>92</v>
      </c>
      <c r="V257" s="8">
        <v>0.57647058823529407</v>
      </c>
      <c r="W257">
        <f t="shared" si="3"/>
        <v>459</v>
      </c>
    </row>
    <row r="258" spans="1:23">
      <c r="A258" s="6">
        <v>45183</v>
      </c>
      <c r="B258" t="s">
        <v>65</v>
      </c>
      <c r="C258">
        <v>3</v>
      </c>
      <c r="D258">
        <v>9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 s="7">
        <v>4.7</v>
      </c>
      <c r="M258" s="7">
        <v>29.9</v>
      </c>
      <c r="N258">
        <v>164</v>
      </c>
      <c r="O258" s="15">
        <v>150</v>
      </c>
      <c r="P258" s="8">
        <v>0.50714285714285712</v>
      </c>
      <c r="Q258">
        <v>136</v>
      </c>
      <c r="R258" s="15">
        <v>113</v>
      </c>
      <c r="S258" s="8">
        <v>0.44</v>
      </c>
      <c r="T258">
        <v>111</v>
      </c>
      <c r="U258" s="15">
        <v>92</v>
      </c>
      <c r="V258" s="8">
        <v>0.57647058823529407</v>
      </c>
      <c r="W258">
        <f t="shared" ref="W258:W321" si="4">N258+Q258+T258</f>
        <v>411</v>
      </c>
    </row>
    <row r="259" spans="1:23">
      <c r="A259" s="6">
        <v>45184</v>
      </c>
      <c r="B259" t="s">
        <v>66</v>
      </c>
      <c r="C259">
        <v>4</v>
      </c>
      <c r="D259">
        <v>9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 s="7">
        <v>0</v>
      </c>
      <c r="M259" s="7">
        <v>28.7</v>
      </c>
      <c r="N259">
        <v>178</v>
      </c>
      <c r="O259" s="15">
        <v>146</v>
      </c>
      <c r="P259" s="8">
        <v>0.55000000000000004</v>
      </c>
      <c r="Q259">
        <v>144</v>
      </c>
      <c r="R259" s="15">
        <v>120</v>
      </c>
      <c r="S259" s="8">
        <v>0.47199999999999998</v>
      </c>
      <c r="T259">
        <v>111</v>
      </c>
      <c r="U259" s="15">
        <v>97</v>
      </c>
      <c r="V259" s="8">
        <v>0.6</v>
      </c>
      <c r="W259">
        <f t="shared" si="4"/>
        <v>433</v>
      </c>
    </row>
    <row r="260" spans="1:23">
      <c r="A260" s="6">
        <v>45185</v>
      </c>
      <c r="B260" t="s">
        <v>67</v>
      </c>
      <c r="C260">
        <v>5</v>
      </c>
      <c r="D260">
        <v>9</v>
      </c>
      <c r="E260">
        <v>1</v>
      </c>
      <c r="F260">
        <v>0</v>
      </c>
      <c r="H260">
        <v>0</v>
      </c>
      <c r="I260">
        <v>0</v>
      </c>
      <c r="J260">
        <v>0</v>
      </c>
      <c r="K260">
        <v>0</v>
      </c>
      <c r="L260" s="7">
        <v>0</v>
      </c>
      <c r="M260" s="7">
        <v>30</v>
      </c>
      <c r="N260">
        <v>195</v>
      </c>
      <c r="O260" s="15">
        <v>169</v>
      </c>
      <c r="P260" s="8">
        <v>0.58571428571428574</v>
      </c>
      <c r="Q260">
        <v>190</v>
      </c>
      <c r="R260" s="15">
        <v>177</v>
      </c>
      <c r="S260" s="8">
        <v>0.61599999999999999</v>
      </c>
      <c r="T260">
        <v>131</v>
      </c>
      <c r="U260" s="15">
        <v>105</v>
      </c>
      <c r="V260" s="8">
        <v>0.6705882352941176</v>
      </c>
      <c r="W260">
        <f t="shared" si="4"/>
        <v>516</v>
      </c>
    </row>
    <row r="261" spans="1:23">
      <c r="A261" s="6">
        <v>45186</v>
      </c>
      <c r="B261" t="s">
        <v>60</v>
      </c>
      <c r="C261">
        <v>6</v>
      </c>
      <c r="D261">
        <v>9</v>
      </c>
      <c r="E261">
        <v>1</v>
      </c>
      <c r="F261">
        <v>0</v>
      </c>
      <c r="H261">
        <v>0</v>
      </c>
      <c r="I261">
        <v>0</v>
      </c>
      <c r="J261">
        <v>0</v>
      </c>
      <c r="K261">
        <v>0</v>
      </c>
      <c r="L261" s="7">
        <v>0.7</v>
      </c>
      <c r="M261" s="7">
        <v>28.9</v>
      </c>
      <c r="N261">
        <v>217</v>
      </c>
      <c r="O261" s="15">
        <v>189</v>
      </c>
      <c r="P261" s="8">
        <v>0.65714285714285714</v>
      </c>
      <c r="Q261">
        <v>193</v>
      </c>
      <c r="R261" s="15">
        <v>173</v>
      </c>
      <c r="S261" s="8">
        <v>0.64</v>
      </c>
      <c r="T261">
        <v>128</v>
      </c>
      <c r="U261" s="15">
        <v>103</v>
      </c>
      <c r="V261" s="8">
        <v>0.68235294117647061</v>
      </c>
      <c r="W261">
        <f t="shared" si="4"/>
        <v>538</v>
      </c>
    </row>
    <row r="262" spans="1:23">
      <c r="A262" s="6">
        <v>45187</v>
      </c>
      <c r="B262" t="s">
        <v>62</v>
      </c>
      <c r="C262">
        <v>0</v>
      </c>
      <c r="D262">
        <v>9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 s="7">
        <v>2.7</v>
      </c>
      <c r="M262" s="7">
        <v>29</v>
      </c>
      <c r="N262">
        <v>161</v>
      </c>
      <c r="O262" s="15">
        <v>136</v>
      </c>
      <c r="P262" s="8">
        <v>0.5</v>
      </c>
      <c r="Q262">
        <v>169</v>
      </c>
      <c r="R262" s="15">
        <v>147</v>
      </c>
      <c r="S262" s="8">
        <v>0.55200000000000005</v>
      </c>
      <c r="T262">
        <v>110</v>
      </c>
      <c r="U262" s="15">
        <v>90</v>
      </c>
      <c r="V262" s="8">
        <v>0.58823529411764708</v>
      </c>
      <c r="W262">
        <f t="shared" si="4"/>
        <v>440</v>
      </c>
    </row>
    <row r="263" spans="1:23">
      <c r="A263" s="6">
        <v>45188</v>
      </c>
      <c r="B263" t="s">
        <v>63</v>
      </c>
      <c r="C263">
        <v>1</v>
      </c>
      <c r="D263">
        <v>9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 s="7">
        <v>1.1000000000000001</v>
      </c>
      <c r="M263" s="7">
        <v>29.7</v>
      </c>
      <c r="N263">
        <v>147</v>
      </c>
      <c r="O263" s="15">
        <v>127</v>
      </c>
      <c r="P263" s="8">
        <v>0.47142857142857142</v>
      </c>
      <c r="Q263">
        <v>162</v>
      </c>
      <c r="R263" s="15">
        <v>130</v>
      </c>
      <c r="S263" s="8">
        <v>0.52800000000000002</v>
      </c>
      <c r="T263">
        <v>119</v>
      </c>
      <c r="U263" s="15">
        <v>97</v>
      </c>
      <c r="V263" s="8">
        <v>0.57647058823529407</v>
      </c>
      <c r="W263">
        <f t="shared" si="4"/>
        <v>428</v>
      </c>
    </row>
    <row r="264" spans="1:23">
      <c r="A264" s="6">
        <v>45189</v>
      </c>
      <c r="B264" t="s">
        <v>64</v>
      </c>
      <c r="C264">
        <v>2</v>
      </c>
      <c r="D264">
        <v>9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 s="7">
        <v>0.3</v>
      </c>
      <c r="M264" s="7">
        <v>30.6</v>
      </c>
      <c r="N264">
        <v>181</v>
      </c>
      <c r="O264" s="15">
        <v>154</v>
      </c>
      <c r="P264" s="8">
        <v>0.54285714285714282</v>
      </c>
      <c r="Q264">
        <v>131</v>
      </c>
      <c r="R264" s="15">
        <v>119</v>
      </c>
      <c r="S264" s="8">
        <v>0.44</v>
      </c>
      <c r="T264">
        <v>116</v>
      </c>
      <c r="U264" s="15">
        <v>97</v>
      </c>
      <c r="V264" s="8">
        <v>0.6</v>
      </c>
      <c r="W264">
        <f t="shared" si="4"/>
        <v>428</v>
      </c>
    </row>
    <row r="265" spans="1:23">
      <c r="A265" s="6">
        <v>45190</v>
      </c>
      <c r="B265" t="s">
        <v>65</v>
      </c>
      <c r="C265">
        <v>3</v>
      </c>
      <c r="D265">
        <v>9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 s="7">
        <v>0</v>
      </c>
      <c r="M265" s="7">
        <v>29</v>
      </c>
      <c r="N265">
        <v>190</v>
      </c>
      <c r="O265" s="15">
        <v>172</v>
      </c>
      <c r="P265" s="8">
        <v>0.55714285714285716</v>
      </c>
      <c r="Q265">
        <v>148</v>
      </c>
      <c r="R265" s="15">
        <v>133</v>
      </c>
      <c r="S265" s="8">
        <v>0.47199999999999998</v>
      </c>
      <c r="T265">
        <v>118</v>
      </c>
      <c r="U265" s="15">
        <v>99</v>
      </c>
      <c r="V265" s="8">
        <v>0.6</v>
      </c>
      <c r="W265">
        <f t="shared" si="4"/>
        <v>456</v>
      </c>
    </row>
    <row r="266" spans="1:23">
      <c r="A266" s="6">
        <v>45191</v>
      </c>
      <c r="B266" t="s">
        <v>66</v>
      </c>
      <c r="C266">
        <v>4</v>
      </c>
      <c r="D266">
        <v>9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 s="7">
        <v>1.3</v>
      </c>
      <c r="M266" s="7">
        <v>29.3</v>
      </c>
      <c r="N266">
        <v>163</v>
      </c>
      <c r="O266" s="15">
        <v>143</v>
      </c>
      <c r="P266" s="8">
        <v>0.51428571428571423</v>
      </c>
      <c r="Q266">
        <v>168</v>
      </c>
      <c r="R266" s="15">
        <v>156</v>
      </c>
      <c r="S266" s="8">
        <v>0.54400000000000004</v>
      </c>
      <c r="T266">
        <v>104</v>
      </c>
      <c r="U266" s="15">
        <v>95</v>
      </c>
      <c r="V266" s="8">
        <v>0.55294117647058827</v>
      </c>
      <c r="W266">
        <f t="shared" si="4"/>
        <v>435</v>
      </c>
    </row>
    <row r="267" spans="1:23">
      <c r="A267" s="6">
        <v>45192</v>
      </c>
      <c r="B267" t="s">
        <v>67</v>
      </c>
      <c r="C267">
        <v>5</v>
      </c>
      <c r="D267">
        <v>9</v>
      </c>
      <c r="E267">
        <v>1</v>
      </c>
      <c r="F267">
        <v>0</v>
      </c>
      <c r="H267">
        <v>0</v>
      </c>
      <c r="I267">
        <v>0</v>
      </c>
      <c r="J267">
        <v>0</v>
      </c>
      <c r="K267">
        <v>0</v>
      </c>
      <c r="L267" s="7">
        <v>4</v>
      </c>
      <c r="M267" s="7">
        <v>29.4</v>
      </c>
      <c r="N267">
        <v>198</v>
      </c>
      <c r="O267" s="15">
        <v>184</v>
      </c>
      <c r="P267" s="8">
        <v>0.5714285714285714</v>
      </c>
      <c r="Q267">
        <v>180</v>
      </c>
      <c r="R267" s="15">
        <v>162</v>
      </c>
      <c r="S267" s="8">
        <v>0.61599999999999999</v>
      </c>
      <c r="T267">
        <v>144</v>
      </c>
      <c r="U267" s="15">
        <v>129</v>
      </c>
      <c r="V267" s="8">
        <v>0.74117647058823533</v>
      </c>
      <c r="W267">
        <f t="shared" si="4"/>
        <v>522</v>
      </c>
    </row>
    <row r="268" spans="1:23">
      <c r="A268" s="6">
        <v>45193</v>
      </c>
      <c r="B268" t="s">
        <v>60</v>
      </c>
      <c r="C268">
        <v>6</v>
      </c>
      <c r="D268">
        <v>9</v>
      </c>
      <c r="E268">
        <v>1</v>
      </c>
      <c r="F268">
        <v>0</v>
      </c>
      <c r="H268">
        <v>0</v>
      </c>
      <c r="I268">
        <v>0</v>
      </c>
      <c r="J268">
        <v>0</v>
      </c>
      <c r="K268">
        <v>0</v>
      </c>
      <c r="L268" s="7">
        <v>1</v>
      </c>
      <c r="M268" s="7">
        <v>28.5</v>
      </c>
      <c r="N268">
        <v>211</v>
      </c>
      <c r="O268" s="15">
        <v>175</v>
      </c>
      <c r="P268" s="8">
        <v>0.65714285714285714</v>
      </c>
      <c r="Q268">
        <v>191</v>
      </c>
      <c r="R268" s="15">
        <v>179</v>
      </c>
      <c r="S268" s="8">
        <v>0.63200000000000001</v>
      </c>
      <c r="T268">
        <v>126</v>
      </c>
      <c r="U268" s="15">
        <v>106</v>
      </c>
      <c r="V268" s="8">
        <v>0.6588235294117647</v>
      </c>
      <c r="W268">
        <f t="shared" si="4"/>
        <v>528</v>
      </c>
    </row>
    <row r="269" spans="1:23">
      <c r="A269" s="6">
        <v>45194</v>
      </c>
      <c r="B269" t="s">
        <v>62</v>
      </c>
      <c r="C269">
        <v>0</v>
      </c>
      <c r="D269">
        <v>9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 s="7">
        <v>0.8</v>
      </c>
      <c r="M269" s="7">
        <v>30.6</v>
      </c>
      <c r="N269">
        <v>189</v>
      </c>
      <c r="O269" s="15">
        <v>174</v>
      </c>
      <c r="P269" s="8">
        <v>0.57857142857142863</v>
      </c>
      <c r="Q269">
        <v>143</v>
      </c>
      <c r="R269" s="15">
        <v>119</v>
      </c>
      <c r="S269" s="8">
        <v>0.47199999999999998</v>
      </c>
      <c r="T269">
        <v>123</v>
      </c>
      <c r="U269" s="15">
        <v>115</v>
      </c>
      <c r="V269" s="8">
        <v>0.63529411764705879</v>
      </c>
      <c r="W269">
        <f t="shared" si="4"/>
        <v>455</v>
      </c>
    </row>
    <row r="270" spans="1:23">
      <c r="A270" s="6">
        <v>45195</v>
      </c>
      <c r="B270" t="s">
        <v>63</v>
      </c>
      <c r="C270">
        <v>1</v>
      </c>
      <c r="D270">
        <v>9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 s="7">
        <v>0.1</v>
      </c>
      <c r="M270" s="7">
        <v>29.4</v>
      </c>
      <c r="N270">
        <v>184</v>
      </c>
      <c r="O270" s="15">
        <v>170</v>
      </c>
      <c r="P270" s="8">
        <v>0.56428571428571428</v>
      </c>
      <c r="Q270">
        <v>159</v>
      </c>
      <c r="R270" s="15">
        <v>127</v>
      </c>
      <c r="S270" s="8">
        <v>0.52800000000000002</v>
      </c>
      <c r="T270">
        <v>110</v>
      </c>
      <c r="U270" s="15">
        <v>93</v>
      </c>
      <c r="V270" s="8">
        <v>0.58823529411764708</v>
      </c>
      <c r="W270">
        <f t="shared" si="4"/>
        <v>453</v>
      </c>
    </row>
    <row r="271" spans="1:23">
      <c r="A271" s="6">
        <v>45196</v>
      </c>
      <c r="B271" t="s">
        <v>64</v>
      </c>
      <c r="C271">
        <v>2</v>
      </c>
      <c r="D271">
        <v>9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 s="7">
        <v>1.2</v>
      </c>
      <c r="M271" s="7">
        <v>30.1</v>
      </c>
      <c r="N271">
        <v>160</v>
      </c>
      <c r="O271" s="15">
        <v>134</v>
      </c>
      <c r="P271" s="8">
        <v>0.49285714285714288</v>
      </c>
      <c r="Q271">
        <v>133</v>
      </c>
      <c r="R271" s="15">
        <v>112</v>
      </c>
      <c r="S271" s="8">
        <v>0.44800000000000001</v>
      </c>
      <c r="T271">
        <v>103</v>
      </c>
      <c r="U271" s="15">
        <v>83</v>
      </c>
      <c r="V271" s="8">
        <v>0.54117647058823526</v>
      </c>
      <c r="W271">
        <f t="shared" si="4"/>
        <v>396</v>
      </c>
    </row>
    <row r="272" spans="1:23">
      <c r="A272" s="6">
        <v>45197</v>
      </c>
      <c r="B272" t="s">
        <v>65</v>
      </c>
      <c r="C272">
        <v>3</v>
      </c>
      <c r="D272">
        <v>9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 s="7">
        <v>0.9</v>
      </c>
      <c r="M272" s="7">
        <v>28.6</v>
      </c>
      <c r="N272">
        <v>177</v>
      </c>
      <c r="O272" s="15">
        <v>155</v>
      </c>
      <c r="P272" s="8">
        <v>0.52857142857142858</v>
      </c>
      <c r="Q272">
        <v>148</v>
      </c>
      <c r="R272" s="15">
        <v>120</v>
      </c>
      <c r="S272" s="8">
        <v>0.48</v>
      </c>
      <c r="T272">
        <v>114</v>
      </c>
      <c r="U272" s="15">
        <v>101</v>
      </c>
      <c r="V272" s="8">
        <v>0.58823529411764708</v>
      </c>
      <c r="W272">
        <f t="shared" si="4"/>
        <v>439</v>
      </c>
    </row>
    <row r="273" spans="1:23">
      <c r="A273" s="6">
        <v>45198</v>
      </c>
      <c r="B273" t="s">
        <v>66</v>
      </c>
      <c r="C273">
        <v>4</v>
      </c>
      <c r="D273">
        <v>9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 s="7">
        <v>5.4</v>
      </c>
      <c r="M273" s="7">
        <v>29.4</v>
      </c>
      <c r="N273">
        <v>201</v>
      </c>
      <c r="O273" s="15">
        <v>168</v>
      </c>
      <c r="P273" s="8">
        <v>0.6071428571428571</v>
      </c>
      <c r="Q273">
        <v>164</v>
      </c>
      <c r="R273" s="15">
        <v>148</v>
      </c>
      <c r="S273" s="8">
        <v>0.53600000000000003</v>
      </c>
      <c r="T273">
        <v>107</v>
      </c>
      <c r="U273" s="15">
        <v>88</v>
      </c>
      <c r="V273" s="8">
        <v>0.58823529411764708</v>
      </c>
      <c r="W273">
        <f t="shared" si="4"/>
        <v>472</v>
      </c>
    </row>
    <row r="274" spans="1:23">
      <c r="A274" s="6">
        <v>45199</v>
      </c>
      <c r="B274" t="s">
        <v>67</v>
      </c>
      <c r="C274">
        <v>5</v>
      </c>
      <c r="D274">
        <v>9</v>
      </c>
      <c r="E274">
        <v>1</v>
      </c>
      <c r="F274">
        <v>0</v>
      </c>
      <c r="H274">
        <v>0</v>
      </c>
      <c r="I274">
        <v>0</v>
      </c>
      <c r="J274">
        <v>0</v>
      </c>
      <c r="K274">
        <v>0</v>
      </c>
      <c r="L274" s="7">
        <v>2.5</v>
      </c>
      <c r="M274" s="7">
        <v>28.7</v>
      </c>
      <c r="N274">
        <v>203</v>
      </c>
      <c r="O274" s="15">
        <v>163</v>
      </c>
      <c r="P274" s="8">
        <v>0.62142857142857144</v>
      </c>
      <c r="Q274">
        <v>175</v>
      </c>
      <c r="R274" s="15">
        <v>151</v>
      </c>
      <c r="S274" s="8">
        <v>0.57599999999999996</v>
      </c>
      <c r="T274">
        <v>135</v>
      </c>
      <c r="U274" s="15">
        <v>120</v>
      </c>
      <c r="V274" s="8">
        <v>0.71764705882352942</v>
      </c>
      <c r="W274">
        <f t="shared" si="4"/>
        <v>513</v>
      </c>
    </row>
    <row r="275" spans="1:23">
      <c r="A275" s="6">
        <v>45200</v>
      </c>
      <c r="B275" t="s">
        <v>60</v>
      </c>
      <c r="C275">
        <v>6</v>
      </c>
      <c r="D275">
        <v>10</v>
      </c>
      <c r="E275">
        <v>1</v>
      </c>
      <c r="F275">
        <v>0</v>
      </c>
      <c r="H275">
        <v>0</v>
      </c>
      <c r="I275">
        <v>0</v>
      </c>
      <c r="J275">
        <v>0</v>
      </c>
      <c r="K275">
        <v>0</v>
      </c>
      <c r="L275" s="7">
        <v>0</v>
      </c>
      <c r="M275" s="7">
        <v>29.4</v>
      </c>
      <c r="N275">
        <v>201</v>
      </c>
      <c r="O275" s="15">
        <v>173</v>
      </c>
      <c r="P275" s="8">
        <v>0.61428571428571432</v>
      </c>
      <c r="Q275">
        <v>197</v>
      </c>
      <c r="R275" s="15">
        <v>173</v>
      </c>
      <c r="S275" s="8">
        <v>0.64800000000000002</v>
      </c>
      <c r="T275">
        <v>144</v>
      </c>
      <c r="U275" s="15">
        <v>118</v>
      </c>
      <c r="V275" s="8">
        <v>0.75294117647058822</v>
      </c>
      <c r="W275">
        <f t="shared" si="4"/>
        <v>542</v>
      </c>
    </row>
    <row r="276" spans="1:23">
      <c r="A276" s="6">
        <v>45201</v>
      </c>
      <c r="B276" t="s">
        <v>62</v>
      </c>
      <c r="C276">
        <v>0</v>
      </c>
      <c r="D276">
        <v>10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 s="7">
        <v>1.8</v>
      </c>
      <c r="M276" s="7">
        <v>28.7</v>
      </c>
      <c r="N276">
        <v>189</v>
      </c>
      <c r="O276" s="15">
        <v>169</v>
      </c>
      <c r="P276" s="8">
        <v>0.57857142857142863</v>
      </c>
      <c r="Q276">
        <v>141</v>
      </c>
      <c r="R276" s="15">
        <v>127</v>
      </c>
      <c r="S276" s="8">
        <v>0.46400000000000002</v>
      </c>
      <c r="T276">
        <v>107</v>
      </c>
      <c r="U276" s="15">
        <v>96</v>
      </c>
      <c r="V276" s="8">
        <v>0.54117647058823526</v>
      </c>
      <c r="W276">
        <f t="shared" si="4"/>
        <v>437</v>
      </c>
    </row>
    <row r="277" spans="1:23">
      <c r="A277" s="6">
        <v>45202</v>
      </c>
      <c r="B277" t="s">
        <v>63</v>
      </c>
      <c r="C277">
        <v>1</v>
      </c>
      <c r="D277">
        <v>10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 s="7">
        <v>2.2000000000000002</v>
      </c>
      <c r="M277" s="7">
        <v>29.4</v>
      </c>
      <c r="N277">
        <v>182</v>
      </c>
      <c r="O277" s="15">
        <v>167</v>
      </c>
      <c r="P277" s="8">
        <v>0.56428571428571428</v>
      </c>
      <c r="Q277">
        <v>138</v>
      </c>
      <c r="R277" s="15">
        <v>120</v>
      </c>
      <c r="S277" s="8">
        <v>0.45600000000000002</v>
      </c>
      <c r="T277">
        <v>103</v>
      </c>
      <c r="U277" s="15">
        <v>94</v>
      </c>
      <c r="V277" s="8">
        <v>0.56470588235294117</v>
      </c>
      <c r="W277">
        <f t="shared" si="4"/>
        <v>423</v>
      </c>
    </row>
    <row r="278" spans="1:23">
      <c r="A278" s="6">
        <v>45203</v>
      </c>
      <c r="B278" t="s">
        <v>64</v>
      </c>
      <c r="C278">
        <v>2</v>
      </c>
      <c r="D278">
        <v>10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 s="7">
        <v>1.7</v>
      </c>
      <c r="M278" s="7">
        <v>29.7</v>
      </c>
      <c r="N278">
        <v>160</v>
      </c>
      <c r="O278" s="15">
        <v>139</v>
      </c>
      <c r="P278" s="8">
        <v>0.47857142857142859</v>
      </c>
      <c r="Q278">
        <v>137</v>
      </c>
      <c r="R278" s="15">
        <v>113</v>
      </c>
      <c r="S278" s="8">
        <v>0.48799999999999999</v>
      </c>
      <c r="T278">
        <v>108</v>
      </c>
      <c r="U278" s="15">
        <v>90</v>
      </c>
      <c r="V278" s="8">
        <v>0.55294117647058827</v>
      </c>
      <c r="W278">
        <f t="shared" si="4"/>
        <v>405</v>
      </c>
    </row>
    <row r="279" spans="1:23">
      <c r="A279" s="6">
        <v>45204</v>
      </c>
      <c r="B279" t="s">
        <v>65</v>
      </c>
      <c r="C279">
        <v>3</v>
      </c>
      <c r="D279">
        <v>10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0</v>
      </c>
      <c r="L279" s="7">
        <v>1.6</v>
      </c>
      <c r="M279" s="7">
        <v>30.1</v>
      </c>
      <c r="N279">
        <v>166</v>
      </c>
      <c r="O279" s="15">
        <v>138</v>
      </c>
      <c r="P279" s="8">
        <v>0.52142857142857146</v>
      </c>
      <c r="Q279">
        <v>164</v>
      </c>
      <c r="R279" s="15">
        <v>153</v>
      </c>
      <c r="S279" s="8">
        <v>0.54400000000000004</v>
      </c>
      <c r="T279">
        <v>94</v>
      </c>
      <c r="U279" s="15">
        <v>88</v>
      </c>
      <c r="V279" s="8">
        <v>0.49411764705882355</v>
      </c>
      <c r="W279">
        <f t="shared" si="4"/>
        <v>424</v>
      </c>
    </row>
    <row r="280" spans="1:23">
      <c r="A280" s="6">
        <v>45205</v>
      </c>
      <c r="B280" t="s">
        <v>66</v>
      </c>
      <c r="C280">
        <v>4</v>
      </c>
      <c r="D280">
        <v>10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 s="7">
        <v>4.2</v>
      </c>
      <c r="M280" s="7">
        <v>31.1</v>
      </c>
      <c r="N280">
        <v>161</v>
      </c>
      <c r="O280" s="15">
        <v>150</v>
      </c>
      <c r="P280" s="8">
        <v>0.50714285714285712</v>
      </c>
      <c r="Q280">
        <v>154</v>
      </c>
      <c r="R280" s="15">
        <v>137</v>
      </c>
      <c r="S280" s="8">
        <v>0.504</v>
      </c>
      <c r="T280">
        <v>119</v>
      </c>
      <c r="U280" s="15">
        <v>99</v>
      </c>
      <c r="V280" s="8">
        <v>0.61176470588235299</v>
      </c>
      <c r="W280">
        <f t="shared" si="4"/>
        <v>434</v>
      </c>
    </row>
    <row r="281" spans="1:23">
      <c r="A281" s="6">
        <v>45206</v>
      </c>
      <c r="B281" t="s">
        <v>67</v>
      </c>
      <c r="C281">
        <v>5</v>
      </c>
      <c r="D281">
        <v>10</v>
      </c>
      <c r="E281">
        <v>1</v>
      </c>
      <c r="F281">
        <v>0</v>
      </c>
      <c r="H281">
        <v>0</v>
      </c>
      <c r="I281">
        <v>0</v>
      </c>
      <c r="J281">
        <v>0</v>
      </c>
      <c r="K281">
        <v>0</v>
      </c>
      <c r="L281" s="7">
        <v>0</v>
      </c>
      <c r="M281" s="7">
        <v>30.1</v>
      </c>
      <c r="N281">
        <v>202</v>
      </c>
      <c r="O281" s="15">
        <v>170</v>
      </c>
      <c r="P281" s="8">
        <v>0.62857142857142856</v>
      </c>
      <c r="Q281">
        <v>189</v>
      </c>
      <c r="R281" s="15">
        <v>159</v>
      </c>
      <c r="S281" s="8">
        <v>0.61599999999999999</v>
      </c>
      <c r="T281">
        <v>133</v>
      </c>
      <c r="U281" s="15">
        <v>120</v>
      </c>
      <c r="V281" s="8">
        <v>0.70588235294117652</v>
      </c>
      <c r="W281">
        <f t="shared" si="4"/>
        <v>524</v>
      </c>
    </row>
    <row r="282" spans="1:23">
      <c r="A282" s="6">
        <v>45207</v>
      </c>
      <c r="B282" t="s">
        <v>60</v>
      </c>
      <c r="C282">
        <v>6</v>
      </c>
      <c r="D282">
        <v>10</v>
      </c>
      <c r="E282">
        <v>1</v>
      </c>
      <c r="F282">
        <v>0</v>
      </c>
      <c r="H282">
        <v>0</v>
      </c>
      <c r="I282">
        <v>0</v>
      </c>
      <c r="J282">
        <v>0</v>
      </c>
      <c r="K282">
        <v>0</v>
      </c>
      <c r="L282" s="7">
        <v>0.6</v>
      </c>
      <c r="M282" s="7">
        <v>29.4</v>
      </c>
      <c r="N282">
        <v>184</v>
      </c>
      <c r="O282" s="15">
        <v>150</v>
      </c>
      <c r="P282" s="8">
        <v>0.55000000000000004</v>
      </c>
      <c r="Q282">
        <v>182</v>
      </c>
      <c r="R282" s="15">
        <v>163</v>
      </c>
      <c r="S282" s="8">
        <v>0.58399999999999996</v>
      </c>
      <c r="T282">
        <v>149</v>
      </c>
      <c r="U282" s="15">
        <v>139</v>
      </c>
      <c r="V282" s="8">
        <v>0.72941176470588232</v>
      </c>
      <c r="W282">
        <f t="shared" si="4"/>
        <v>515</v>
      </c>
    </row>
    <row r="283" spans="1:23">
      <c r="A283" s="6">
        <v>45208</v>
      </c>
      <c r="B283" t="s">
        <v>62</v>
      </c>
      <c r="C283">
        <v>0</v>
      </c>
      <c r="D283">
        <v>10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 s="7">
        <v>4</v>
      </c>
      <c r="M283" s="7">
        <v>29.9</v>
      </c>
      <c r="N283">
        <v>173</v>
      </c>
      <c r="O283" s="15">
        <v>144</v>
      </c>
      <c r="P283" s="8">
        <v>0.52857142857142858</v>
      </c>
      <c r="Q283">
        <v>137</v>
      </c>
      <c r="R283" s="15">
        <v>111</v>
      </c>
      <c r="S283" s="8">
        <v>0.46400000000000002</v>
      </c>
      <c r="T283">
        <v>87</v>
      </c>
      <c r="U283" s="15">
        <v>73</v>
      </c>
      <c r="V283" s="8">
        <v>0.4823529411764706</v>
      </c>
      <c r="W283">
        <f t="shared" si="4"/>
        <v>397</v>
      </c>
    </row>
    <row r="284" spans="1:23">
      <c r="A284" s="6">
        <v>45209</v>
      </c>
      <c r="B284" t="s">
        <v>63</v>
      </c>
      <c r="C284">
        <v>1</v>
      </c>
      <c r="D284">
        <v>10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 s="7">
        <v>5.0999999999999996</v>
      </c>
      <c r="M284" s="7">
        <v>29.5</v>
      </c>
      <c r="N284">
        <v>169</v>
      </c>
      <c r="O284" s="15">
        <v>141</v>
      </c>
      <c r="P284" s="8">
        <v>0.5</v>
      </c>
      <c r="Q284">
        <v>141</v>
      </c>
      <c r="R284" s="15">
        <v>114</v>
      </c>
      <c r="S284" s="8">
        <v>0.47199999999999998</v>
      </c>
      <c r="T284">
        <v>106</v>
      </c>
      <c r="U284" s="15">
        <v>96</v>
      </c>
      <c r="V284" s="8">
        <v>0.56470588235294117</v>
      </c>
      <c r="W284">
        <f t="shared" si="4"/>
        <v>416</v>
      </c>
    </row>
    <row r="285" spans="1:23">
      <c r="A285" s="6">
        <v>45210</v>
      </c>
      <c r="B285" t="s">
        <v>64</v>
      </c>
      <c r="C285">
        <v>2</v>
      </c>
      <c r="D285">
        <v>10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 s="7">
        <v>3.5</v>
      </c>
      <c r="M285" s="7">
        <v>28.8</v>
      </c>
      <c r="N285">
        <v>165</v>
      </c>
      <c r="O285" s="15">
        <v>145</v>
      </c>
      <c r="P285" s="8">
        <v>0.49285714285714288</v>
      </c>
      <c r="Q285">
        <v>153</v>
      </c>
      <c r="R285" s="15">
        <v>138</v>
      </c>
      <c r="S285" s="8">
        <v>0.496</v>
      </c>
      <c r="T285">
        <v>117</v>
      </c>
      <c r="U285" s="15">
        <v>105</v>
      </c>
      <c r="V285" s="8">
        <v>0.61176470588235299</v>
      </c>
      <c r="W285">
        <f t="shared" si="4"/>
        <v>435</v>
      </c>
    </row>
    <row r="286" spans="1:23">
      <c r="A286" s="6">
        <v>45211</v>
      </c>
      <c r="B286" t="s">
        <v>65</v>
      </c>
      <c r="C286">
        <v>3</v>
      </c>
      <c r="D286">
        <v>10</v>
      </c>
      <c r="E286">
        <v>0</v>
      </c>
      <c r="F286">
        <v>1</v>
      </c>
      <c r="G286" t="s">
        <v>73</v>
      </c>
      <c r="H286">
        <v>0</v>
      </c>
      <c r="I286">
        <v>0</v>
      </c>
      <c r="J286">
        <v>0</v>
      </c>
      <c r="K286">
        <v>0</v>
      </c>
      <c r="L286" s="7">
        <v>0</v>
      </c>
      <c r="M286" s="7">
        <v>28.1</v>
      </c>
      <c r="N286">
        <v>211</v>
      </c>
      <c r="O286" s="15">
        <v>189</v>
      </c>
      <c r="P286" s="8">
        <v>0.65</v>
      </c>
      <c r="Q286">
        <v>182</v>
      </c>
      <c r="R286" s="15">
        <v>153</v>
      </c>
      <c r="S286" s="8">
        <v>0.60799999999999998</v>
      </c>
      <c r="T286">
        <v>107</v>
      </c>
      <c r="U286" s="15">
        <v>88</v>
      </c>
      <c r="V286" s="8">
        <v>0.6</v>
      </c>
      <c r="W286">
        <f t="shared" si="4"/>
        <v>500</v>
      </c>
    </row>
    <row r="287" spans="1:23">
      <c r="A287" s="6">
        <v>45212</v>
      </c>
      <c r="B287" t="s">
        <v>66</v>
      </c>
      <c r="C287">
        <v>4</v>
      </c>
      <c r="D287">
        <v>10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 s="7">
        <v>0</v>
      </c>
      <c r="M287" s="7">
        <v>29.7</v>
      </c>
      <c r="N287">
        <v>175</v>
      </c>
      <c r="O287" s="15">
        <v>149</v>
      </c>
      <c r="P287" s="8">
        <v>0.5357142857142857</v>
      </c>
      <c r="Q287">
        <v>160</v>
      </c>
      <c r="R287" s="15">
        <v>138</v>
      </c>
      <c r="S287" s="8">
        <v>0.52</v>
      </c>
      <c r="T287">
        <v>127</v>
      </c>
      <c r="U287" s="15">
        <v>116</v>
      </c>
      <c r="V287" s="8">
        <v>0.6470588235294118</v>
      </c>
      <c r="W287">
        <f t="shared" si="4"/>
        <v>462</v>
      </c>
    </row>
    <row r="288" spans="1:23">
      <c r="A288" s="6">
        <v>45213</v>
      </c>
      <c r="B288" t="s">
        <v>67</v>
      </c>
      <c r="C288">
        <v>5</v>
      </c>
      <c r="D288">
        <v>10</v>
      </c>
      <c r="E288">
        <v>1</v>
      </c>
      <c r="F288">
        <v>0</v>
      </c>
      <c r="H288">
        <v>0</v>
      </c>
      <c r="I288">
        <v>0</v>
      </c>
      <c r="J288">
        <v>0</v>
      </c>
      <c r="K288">
        <v>0</v>
      </c>
      <c r="L288" s="7">
        <v>0</v>
      </c>
      <c r="M288" s="7">
        <v>30.6</v>
      </c>
      <c r="N288">
        <v>196</v>
      </c>
      <c r="O288" s="15">
        <v>164</v>
      </c>
      <c r="P288" s="8">
        <v>0.6</v>
      </c>
      <c r="Q288">
        <v>182</v>
      </c>
      <c r="R288" s="15">
        <v>171</v>
      </c>
      <c r="S288" s="8">
        <v>0.59199999999999997</v>
      </c>
      <c r="T288">
        <v>133</v>
      </c>
      <c r="U288" s="15">
        <v>120</v>
      </c>
      <c r="V288" s="8">
        <v>0.69411764705882351</v>
      </c>
      <c r="W288">
        <f t="shared" si="4"/>
        <v>511</v>
      </c>
    </row>
    <row r="289" spans="1:23">
      <c r="A289" s="6">
        <v>45214</v>
      </c>
      <c r="B289" t="s">
        <v>60</v>
      </c>
      <c r="C289">
        <v>6</v>
      </c>
      <c r="D289">
        <v>10</v>
      </c>
      <c r="E289">
        <v>1</v>
      </c>
      <c r="F289">
        <v>0</v>
      </c>
      <c r="H289">
        <v>0</v>
      </c>
      <c r="I289">
        <v>0</v>
      </c>
      <c r="J289">
        <v>0</v>
      </c>
      <c r="K289">
        <v>0</v>
      </c>
      <c r="L289" s="7">
        <v>1</v>
      </c>
      <c r="M289" s="7">
        <v>30.8</v>
      </c>
      <c r="N289">
        <v>212</v>
      </c>
      <c r="O289" s="15">
        <v>173</v>
      </c>
      <c r="P289" s="8">
        <v>0.62857142857142856</v>
      </c>
      <c r="Q289">
        <v>180</v>
      </c>
      <c r="R289" s="15">
        <v>158</v>
      </c>
      <c r="S289" s="8">
        <v>0.60799999999999998</v>
      </c>
      <c r="T289">
        <v>134</v>
      </c>
      <c r="U289" s="15">
        <v>118</v>
      </c>
      <c r="V289" s="8">
        <v>0.72941176470588232</v>
      </c>
      <c r="W289">
        <f t="shared" si="4"/>
        <v>526</v>
      </c>
    </row>
    <row r="290" spans="1:23">
      <c r="A290" s="6">
        <v>45215</v>
      </c>
      <c r="B290" t="s">
        <v>62</v>
      </c>
      <c r="C290">
        <v>0</v>
      </c>
      <c r="D290">
        <v>10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 s="7">
        <v>3.6</v>
      </c>
      <c r="M290" s="7">
        <v>29.8</v>
      </c>
      <c r="N290">
        <v>194</v>
      </c>
      <c r="O290" s="15">
        <v>179</v>
      </c>
      <c r="P290" s="8">
        <v>0.5714285714285714</v>
      </c>
      <c r="Q290">
        <v>148</v>
      </c>
      <c r="R290" s="15">
        <v>123</v>
      </c>
      <c r="S290" s="8">
        <v>0.496</v>
      </c>
      <c r="T290">
        <v>101</v>
      </c>
      <c r="U290" s="15">
        <v>89</v>
      </c>
      <c r="V290" s="8">
        <v>0.51764705882352946</v>
      </c>
      <c r="W290">
        <f t="shared" si="4"/>
        <v>443</v>
      </c>
    </row>
    <row r="291" spans="1:23">
      <c r="A291" s="6">
        <v>45216</v>
      </c>
      <c r="B291" t="s">
        <v>63</v>
      </c>
      <c r="C291">
        <v>1</v>
      </c>
      <c r="D291">
        <v>10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 s="7">
        <v>5.3</v>
      </c>
      <c r="M291" s="7">
        <v>29.1</v>
      </c>
      <c r="N291">
        <v>190</v>
      </c>
      <c r="O291" s="15">
        <v>156</v>
      </c>
      <c r="P291" s="8">
        <v>0.57857142857142863</v>
      </c>
      <c r="Q291">
        <v>150</v>
      </c>
      <c r="R291" s="15">
        <v>136</v>
      </c>
      <c r="S291" s="8">
        <v>0.52800000000000002</v>
      </c>
      <c r="T291">
        <v>100</v>
      </c>
      <c r="U291" s="15">
        <v>90</v>
      </c>
      <c r="V291" s="8">
        <v>0.52941176470588236</v>
      </c>
      <c r="W291">
        <f t="shared" si="4"/>
        <v>440</v>
      </c>
    </row>
    <row r="292" spans="1:23">
      <c r="A292" s="6">
        <v>45217</v>
      </c>
      <c r="B292" t="s">
        <v>64</v>
      </c>
      <c r="C292">
        <v>2</v>
      </c>
      <c r="D292">
        <v>10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 s="7">
        <v>2.5</v>
      </c>
      <c r="M292" s="7">
        <v>29.7</v>
      </c>
      <c r="N292">
        <v>145</v>
      </c>
      <c r="O292" s="15">
        <v>124</v>
      </c>
      <c r="P292" s="8">
        <v>0.45</v>
      </c>
      <c r="Q292">
        <v>162</v>
      </c>
      <c r="R292" s="15">
        <v>139</v>
      </c>
      <c r="S292" s="8">
        <v>0.54400000000000004</v>
      </c>
      <c r="T292">
        <v>103</v>
      </c>
      <c r="U292" s="15">
        <v>87</v>
      </c>
      <c r="V292" s="8">
        <v>0.55294117647058827</v>
      </c>
      <c r="W292">
        <f t="shared" si="4"/>
        <v>410</v>
      </c>
    </row>
    <row r="293" spans="1:23">
      <c r="A293" s="6">
        <v>45218</v>
      </c>
      <c r="B293" t="s">
        <v>65</v>
      </c>
      <c r="C293">
        <v>3</v>
      </c>
      <c r="D293">
        <v>10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 s="7">
        <v>2.4</v>
      </c>
      <c r="M293" s="7">
        <v>30</v>
      </c>
      <c r="N293">
        <v>164</v>
      </c>
      <c r="O293" s="15">
        <v>132</v>
      </c>
      <c r="P293" s="8">
        <v>0.51428571428571423</v>
      </c>
      <c r="Q293">
        <v>153</v>
      </c>
      <c r="R293" s="15">
        <v>141</v>
      </c>
      <c r="S293" s="8">
        <v>0.504</v>
      </c>
      <c r="T293">
        <v>107</v>
      </c>
      <c r="U293" s="15">
        <v>90</v>
      </c>
      <c r="V293" s="8">
        <v>0.6</v>
      </c>
      <c r="W293">
        <f t="shared" si="4"/>
        <v>424</v>
      </c>
    </row>
    <row r="294" spans="1:23">
      <c r="A294" s="6">
        <v>45219</v>
      </c>
      <c r="B294" t="s">
        <v>66</v>
      </c>
      <c r="C294">
        <v>4</v>
      </c>
      <c r="D294">
        <v>10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 s="7">
        <v>1</v>
      </c>
      <c r="M294" s="7">
        <v>29.9</v>
      </c>
      <c r="N294">
        <v>150</v>
      </c>
      <c r="O294" s="15">
        <v>124</v>
      </c>
      <c r="P294" s="8">
        <v>0.47142857142857142</v>
      </c>
      <c r="Q294">
        <v>146</v>
      </c>
      <c r="R294" s="15">
        <v>121</v>
      </c>
      <c r="S294" s="8">
        <v>0.496</v>
      </c>
      <c r="T294">
        <v>124</v>
      </c>
      <c r="U294" s="15">
        <v>116</v>
      </c>
      <c r="V294" s="8">
        <v>0.6</v>
      </c>
      <c r="W294">
        <f t="shared" si="4"/>
        <v>420</v>
      </c>
    </row>
    <row r="295" spans="1:23">
      <c r="A295" s="6">
        <v>45220</v>
      </c>
      <c r="B295" t="s">
        <v>67</v>
      </c>
      <c r="C295">
        <v>5</v>
      </c>
      <c r="D295">
        <v>10</v>
      </c>
      <c r="E295">
        <v>1</v>
      </c>
      <c r="F295">
        <v>0</v>
      </c>
      <c r="H295">
        <v>0</v>
      </c>
      <c r="I295">
        <v>0</v>
      </c>
      <c r="J295">
        <v>0</v>
      </c>
      <c r="K295">
        <v>0</v>
      </c>
      <c r="L295" s="7">
        <v>0</v>
      </c>
      <c r="M295" s="7">
        <v>31.1</v>
      </c>
      <c r="N295">
        <v>189</v>
      </c>
      <c r="O295" s="15">
        <v>161</v>
      </c>
      <c r="P295" s="8">
        <v>0.57857142857142863</v>
      </c>
      <c r="Q295">
        <v>191</v>
      </c>
      <c r="R295" s="15">
        <v>179</v>
      </c>
      <c r="S295" s="8">
        <v>0.61599999999999999</v>
      </c>
      <c r="T295">
        <v>140</v>
      </c>
      <c r="U295" s="15">
        <v>121</v>
      </c>
      <c r="V295" s="8">
        <v>0.71764705882352942</v>
      </c>
      <c r="W295">
        <f t="shared" si="4"/>
        <v>520</v>
      </c>
    </row>
    <row r="296" spans="1:23">
      <c r="A296" s="6">
        <v>45221</v>
      </c>
      <c r="B296" t="s">
        <v>60</v>
      </c>
      <c r="C296">
        <v>6</v>
      </c>
      <c r="D296">
        <v>10</v>
      </c>
      <c r="E296">
        <v>1</v>
      </c>
      <c r="F296">
        <v>0</v>
      </c>
      <c r="H296">
        <v>0</v>
      </c>
      <c r="I296">
        <v>0</v>
      </c>
      <c r="J296">
        <v>0</v>
      </c>
      <c r="K296">
        <v>0</v>
      </c>
      <c r="L296" s="7">
        <v>0.6</v>
      </c>
      <c r="M296" s="7">
        <v>29.4</v>
      </c>
      <c r="N296">
        <v>177</v>
      </c>
      <c r="O296" s="15">
        <v>150</v>
      </c>
      <c r="P296" s="8">
        <v>0.55714285714285716</v>
      </c>
      <c r="Q296">
        <v>185</v>
      </c>
      <c r="R296" s="15">
        <v>165</v>
      </c>
      <c r="S296" s="8">
        <v>0.63200000000000001</v>
      </c>
      <c r="T296">
        <v>120</v>
      </c>
      <c r="U296" s="15">
        <v>104</v>
      </c>
      <c r="V296" s="8">
        <v>0.6470588235294118</v>
      </c>
      <c r="W296">
        <f t="shared" si="4"/>
        <v>482</v>
      </c>
    </row>
    <row r="297" spans="1:23">
      <c r="A297" s="6">
        <v>45222</v>
      </c>
      <c r="B297" t="s">
        <v>62</v>
      </c>
      <c r="C297">
        <v>0</v>
      </c>
      <c r="D297">
        <v>10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 s="7">
        <v>2.6</v>
      </c>
      <c r="M297" s="7">
        <v>27.5</v>
      </c>
      <c r="N297">
        <v>152</v>
      </c>
      <c r="O297" s="15">
        <v>131</v>
      </c>
      <c r="P297" s="8">
        <v>0.45</v>
      </c>
      <c r="Q297">
        <v>133</v>
      </c>
      <c r="R297" s="15">
        <v>117</v>
      </c>
      <c r="S297" s="8">
        <v>0.46400000000000002</v>
      </c>
      <c r="T297">
        <v>116</v>
      </c>
      <c r="U297" s="15">
        <v>97</v>
      </c>
      <c r="V297" s="8">
        <v>0.6</v>
      </c>
      <c r="W297">
        <f t="shared" si="4"/>
        <v>401</v>
      </c>
    </row>
    <row r="298" spans="1:23">
      <c r="A298" s="6">
        <v>45223</v>
      </c>
      <c r="B298" t="s">
        <v>63</v>
      </c>
      <c r="C298">
        <v>1</v>
      </c>
      <c r="D298">
        <v>10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 s="7">
        <v>0</v>
      </c>
      <c r="M298" s="7">
        <v>28.8</v>
      </c>
      <c r="N298">
        <v>181</v>
      </c>
      <c r="O298" s="15">
        <v>165</v>
      </c>
      <c r="P298" s="8">
        <v>0.51428571428571423</v>
      </c>
      <c r="Q298">
        <v>150</v>
      </c>
      <c r="R298" s="15">
        <v>133</v>
      </c>
      <c r="S298" s="8">
        <v>0.504</v>
      </c>
      <c r="T298">
        <v>112</v>
      </c>
      <c r="U298" s="15">
        <v>96</v>
      </c>
      <c r="V298" s="8">
        <v>0.58823529411764708</v>
      </c>
      <c r="W298">
        <f t="shared" si="4"/>
        <v>443</v>
      </c>
    </row>
    <row r="299" spans="1:23">
      <c r="A299" s="6">
        <v>45224</v>
      </c>
      <c r="B299" t="s">
        <v>64</v>
      </c>
      <c r="C299">
        <v>2</v>
      </c>
      <c r="D299">
        <v>10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 s="7">
        <v>1.1000000000000001</v>
      </c>
      <c r="M299" s="7">
        <v>30.9</v>
      </c>
      <c r="N299">
        <v>170</v>
      </c>
      <c r="O299" s="15">
        <v>146</v>
      </c>
      <c r="P299" s="8">
        <v>0.50714285714285712</v>
      </c>
      <c r="Q299">
        <v>126</v>
      </c>
      <c r="R299" s="15">
        <v>117</v>
      </c>
      <c r="S299" s="8">
        <v>0.432</v>
      </c>
      <c r="T299">
        <v>116</v>
      </c>
      <c r="U299" s="15">
        <v>104</v>
      </c>
      <c r="V299" s="8">
        <v>0.58823529411764708</v>
      </c>
      <c r="W299">
        <f t="shared" si="4"/>
        <v>412</v>
      </c>
    </row>
    <row r="300" spans="1:23">
      <c r="A300" s="6">
        <v>45225</v>
      </c>
      <c r="B300" t="s">
        <v>65</v>
      </c>
      <c r="C300">
        <v>3</v>
      </c>
      <c r="D300">
        <v>10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 s="7">
        <v>1.4</v>
      </c>
      <c r="M300" s="7">
        <v>27.6</v>
      </c>
      <c r="N300">
        <v>158</v>
      </c>
      <c r="O300" s="15">
        <v>138</v>
      </c>
      <c r="P300" s="8">
        <v>0.5</v>
      </c>
      <c r="Q300">
        <v>131</v>
      </c>
      <c r="R300" s="15">
        <v>107</v>
      </c>
      <c r="S300" s="8">
        <v>0.44</v>
      </c>
      <c r="T300">
        <v>105</v>
      </c>
      <c r="U300" s="15">
        <v>91</v>
      </c>
      <c r="V300" s="8">
        <v>0.57647058823529407</v>
      </c>
      <c r="W300">
        <f t="shared" si="4"/>
        <v>394</v>
      </c>
    </row>
    <row r="301" spans="1:23">
      <c r="A301" s="6">
        <v>45226</v>
      </c>
      <c r="B301" t="s">
        <v>66</v>
      </c>
      <c r="C301">
        <v>4</v>
      </c>
      <c r="D301">
        <v>10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 s="7">
        <v>2.1</v>
      </c>
      <c r="M301" s="7">
        <v>30.1</v>
      </c>
      <c r="N301">
        <v>172</v>
      </c>
      <c r="O301" s="15">
        <v>143</v>
      </c>
      <c r="P301" s="8">
        <v>0.5357142857142857</v>
      </c>
      <c r="Q301">
        <v>157</v>
      </c>
      <c r="R301" s="15">
        <v>130</v>
      </c>
      <c r="S301" s="8">
        <v>0.51200000000000001</v>
      </c>
      <c r="T301">
        <v>108</v>
      </c>
      <c r="U301" s="15">
        <v>96</v>
      </c>
      <c r="V301" s="8">
        <v>0.6</v>
      </c>
      <c r="W301">
        <f t="shared" si="4"/>
        <v>437</v>
      </c>
    </row>
    <row r="302" spans="1:23">
      <c r="A302" s="6">
        <v>45227</v>
      </c>
      <c r="B302" t="s">
        <v>67</v>
      </c>
      <c r="C302">
        <v>5</v>
      </c>
      <c r="D302">
        <v>10</v>
      </c>
      <c r="E302">
        <v>1</v>
      </c>
      <c r="F302">
        <v>0</v>
      </c>
      <c r="H302">
        <v>0</v>
      </c>
      <c r="I302">
        <v>0</v>
      </c>
      <c r="J302">
        <v>0</v>
      </c>
      <c r="K302">
        <v>0</v>
      </c>
      <c r="L302" s="7">
        <v>3.2</v>
      </c>
      <c r="M302" s="7">
        <v>28.6</v>
      </c>
      <c r="N302">
        <v>197</v>
      </c>
      <c r="O302" s="15">
        <v>177</v>
      </c>
      <c r="P302" s="8">
        <v>0.6071428571428571</v>
      </c>
      <c r="Q302">
        <v>185</v>
      </c>
      <c r="R302" s="15">
        <v>159</v>
      </c>
      <c r="S302" s="8">
        <v>0.63200000000000001</v>
      </c>
      <c r="T302">
        <v>147</v>
      </c>
      <c r="U302" s="15">
        <v>118</v>
      </c>
      <c r="V302" s="8">
        <v>0.76470588235294112</v>
      </c>
      <c r="W302">
        <f t="shared" si="4"/>
        <v>529</v>
      </c>
    </row>
    <row r="303" spans="1:23">
      <c r="A303" s="6">
        <v>45228</v>
      </c>
      <c r="B303" t="s">
        <v>60</v>
      </c>
      <c r="C303">
        <v>6</v>
      </c>
      <c r="D303">
        <v>10</v>
      </c>
      <c r="E303">
        <v>1</v>
      </c>
      <c r="F303">
        <v>0</v>
      </c>
      <c r="H303">
        <v>0</v>
      </c>
      <c r="I303">
        <v>0</v>
      </c>
      <c r="J303">
        <v>0</v>
      </c>
      <c r="K303">
        <v>0</v>
      </c>
      <c r="L303" s="7">
        <v>0</v>
      </c>
      <c r="M303" s="7">
        <v>28.9</v>
      </c>
      <c r="N303">
        <v>196</v>
      </c>
      <c r="O303" s="15">
        <v>166</v>
      </c>
      <c r="P303" s="8">
        <v>0.6</v>
      </c>
      <c r="Q303">
        <v>184</v>
      </c>
      <c r="R303" s="15">
        <v>163</v>
      </c>
      <c r="S303" s="8">
        <v>0.6</v>
      </c>
      <c r="T303">
        <v>124</v>
      </c>
      <c r="U303" s="15">
        <v>116</v>
      </c>
      <c r="V303" s="8">
        <v>0.69411764705882351</v>
      </c>
      <c r="W303">
        <f t="shared" si="4"/>
        <v>504</v>
      </c>
    </row>
    <row r="304" spans="1:23">
      <c r="A304" s="6">
        <v>45229</v>
      </c>
      <c r="B304" t="s">
        <v>62</v>
      </c>
      <c r="C304">
        <v>0</v>
      </c>
      <c r="D304">
        <v>10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 s="7">
        <v>1.9</v>
      </c>
      <c r="M304" s="7">
        <v>29.7</v>
      </c>
      <c r="N304">
        <v>161</v>
      </c>
      <c r="O304" s="15">
        <v>147</v>
      </c>
      <c r="P304" s="8">
        <v>0.4642857142857143</v>
      </c>
      <c r="Q304">
        <v>142</v>
      </c>
      <c r="R304" s="15">
        <v>125</v>
      </c>
      <c r="S304" s="8">
        <v>0.48799999999999999</v>
      </c>
      <c r="T304">
        <v>121</v>
      </c>
      <c r="U304" s="15">
        <v>112</v>
      </c>
      <c r="V304" s="8">
        <v>0.58823529411764708</v>
      </c>
      <c r="W304">
        <f t="shared" si="4"/>
        <v>424</v>
      </c>
    </row>
    <row r="305" spans="1:23">
      <c r="A305" s="6">
        <v>45230</v>
      </c>
      <c r="B305" t="s">
        <v>63</v>
      </c>
      <c r="C305">
        <v>1</v>
      </c>
      <c r="D305">
        <v>10</v>
      </c>
      <c r="E305">
        <v>0</v>
      </c>
      <c r="F305">
        <v>0</v>
      </c>
      <c r="H305">
        <v>0</v>
      </c>
      <c r="I305">
        <v>0</v>
      </c>
      <c r="J305">
        <v>0</v>
      </c>
      <c r="K305">
        <v>0</v>
      </c>
      <c r="L305" s="7">
        <v>1.7</v>
      </c>
      <c r="M305" s="7">
        <v>29.9</v>
      </c>
      <c r="N305">
        <v>185</v>
      </c>
      <c r="O305" s="15">
        <v>163</v>
      </c>
      <c r="P305" s="8">
        <v>0.55714285714285716</v>
      </c>
      <c r="Q305">
        <v>153</v>
      </c>
      <c r="R305" s="15">
        <v>124</v>
      </c>
      <c r="S305" s="8">
        <v>0.53600000000000003</v>
      </c>
      <c r="T305">
        <v>113</v>
      </c>
      <c r="U305" s="15">
        <v>99</v>
      </c>
      <c r="V305" s="8">
        <v>0.57647058823529407</v>
      </c>
      <c r="W305">
        <f t="shared" si="4"/>
        <v>451</v>
      </c>
    </row>
    <row r="306" spans="1:23">
      <c r="A306" s="6">
        <v>45231</v>
      </c>
      <c r="B306" t="s">
        <v>64</v>
      </c>
      <c r="C306">
        <v>2</v>
      </c>
      <c r="D306">
        <v>11</v>
      </c>
      <c r="E306">
        <v>0</v>
      </c>
      <c r="F306">
        <v>0</v>
      </c>
      <c r="H306">
        <v>0</v>
      </c>
      <c r="I306">
        <v>0</v>
      </c>
      <c r="J306">
        <v>0</v>
      </c>
      <c r="K306">
        <v>0</v>
      </c>
      <c r="L306" s="7">
        <v>2.2999999999999998</v>
      </c>
      <c r="M306" s="7">
        <v>30.3</v>
      </c>
      <c r="N306">
        <v>188</v>
      </c>
      <c r="O306" s="15">
        <v>152</v>
      </c>
      <c r="P306" s="8">
        <v>0.57857142857142863</v>
      </c>
      <c r="Q306">
        <v>142</v>
      </c>
      <c r="R306" s="15">
        <v>119</v>
      </c>
      <c r="S306" s="8">
        <v>0.47199999999999998</v>
      </c>
      <c r="T306">
        <v>110</v>
      </c>
      <c r="U306" s="15">
        <v>93</v>
      </c>
      <c r="V306" s="8">
        <v>0.6</v>
      </c>
      <c r="W306">
        <f t="shared" si="4"/>
        <v>440</v>
      </c>
    </row>
    <row r="307" spans="1:23">
      <c r="A307" s="6">
        <v>45232</v>
      </c>
      <c r="B307" t="s">
        <v>65</v>
      </c>
      <c r="C307">
        <v>3</v>
      </c>
      <c r="D307">
        <v>11</v>
      </c>
      <c r="E307">
        <v>0</v>
      </c>
      <c r="F307">
        <v>1</v>
      </c>
      <c r="G307" t="s">
        <v>74</v>
      </c>
      <c r="H307">
        <v>0</v>
      </c>
      <c r="I307">
        <v>0</v>
      </c>
      <c r="J307">
        <v>0</v>
      </c>
      <c r="K307">
        <v>0</v>
      </c>
      <c r="L307" s="7">
        <v>0</v>
      </c>
      <c r="M307" s="7">
        <v>28.8</v>
      </c>
      <c r="N307">
        <v>190</v>
      </c>
      <c r="O307" s="15">
        <v>165</v>
      </c>
      <c r="P307" s="8">
        <v>0.59285714285714286</v>
      </c>
      <c r="Q307">
        <v>177</v>
      </c>
      <c r="R307" s="15">
        <v>157</v>
      </c>
      <c r="S307" s="8">
        <v>0.58399999999999996</v>
      </c>
      <c r="T307">
        <v>121</v>
      </c>
      <c r="U307" s="15">
        <v>104</v>
      </c>
      <c r="V307" s="8">
        <v>0.63529411764705879</v>
      </c>
      <c r="W307">
        <f t="shared" si="4"/>
        <v>488</v>
      </c>
    </row>
    <row r="308" spans="1:23">
      <c r="A308" s="6">
        <v>45233</v>
      </c>
      <c r="B308" t="s">
        <v>66</v>
      </c>
      <c r="C308">
        <v>4</v>
      </c>
      <c r="D308">
        <v>11</v>
      </c>
      <c r="E308">
        <v>0</v>
      </c>
      <c r="F308">
        <v>0</v>
      </c>
      <c r="H308">
        <v>0</v>
      </c>
      <c r="I308">
        <v>0</v>
      </c>
      <c r="J308">
        <v>0</v>
      </c>
      <c r="K308">
        <v>0</v>
      </c>
      <c r="L308" s="7">
        <v>1.7</v>
      </c>
      <c r="M308" s="7">
        <v>28.2</v>
      </c>
      <c r="N308">
        <v>160</v>
      </c>
      <c r="O308" s="15">
        <v>138</v>
      </c>
      <c r="P308" s="8">
        <v>0.47857142857142859</v>
      </c>
      <c r="Q308">
        <v>119</v>
      </c>
      <c r="R308" s="15">
        <v>105</v>
      </c>
      <c r="S308" s="8">
        <v>0.42399999999999999</v>
      </c>
      <c r="T308">
        <v>127</v>
      </c>
      <c r="U308" s="15">
        <v>110</v>
      </c>
      <c r="V308" s="8">
        <v>0.63529411764705879</v>
      </c>
      <c r="W308">
        <f t="shared" si="4"/>
        <v>406</v>
      </c>
    </row>
    <row r="309" spans="1:23">
      <c r="A309" s="6">
        <v>45234</v>
      </c>
      <c r="B309" t="s">
        <v>67</v>
      </c>
      <c r="C309">
        <v>5</v>
      </c>
      <c r="D309">
        <v>11</v>
      </c>
      <c r="E309">
        <v>1</v>
      </c>
      <c r="F309">
        <v>0</v>
      </c>
      <c r="H309">
        <v>0</v>
      </c>
      <c r="I309">
        <v>0</v>
      </c>
      <c r="J309">
        <v>0</v>
      </c>
      <c r="K309">
        <v>0</v>
      </c>
      <c r="L309" s="7">
        <v>0.5</v>
      </c>
      <c r="M309" s="7">
        <v>30.7</v>
      </c>
      <c r="N309">
        <v>208</v>
      </c>
      <c r="O309" s="15">
        <v>188</v>
      </c>
      <c r="P309" s="8">
        <v>0.65</v>
      </c>
      <c r="Q309">
        <v>193</v>
      </c>
      <c r="R309" s="15">
        <v>163</v>
      </c>
      <c r="S309" s="8">
        <v>0.60799999999999998</v>
      </c>
      <c r="T309">
        <v>140</v>
      </c>
      <c r="U309" s="15">
        <v>122</v>
      </c>
      <c r="V309" s="8">
        <v>0.71764705882352942</v>
      </c>
      <c r="W309">
        <f t="shared" si="4"/>
        <v>541</v>
      </c>
    </row>
    <row r="310" spans="1:23">
      <c r="A310" s="6">
        <v>45235</v>
      </c>
      <c r="B310" t="s">
        <v>60</v>
      </c>
      <c r="C310">
        <v>6</v>
      </c>
      <c r="D310">
        <v>11</v>
      </c>
      <c r="E310">
        <v>1</v>
      </c>
      <c r="F310">
        <v>0</v>
      </c>
      <c r="H310">
        <v>0</v>
      </c>
      <c r="I310">
        <v>0</v>
      </c>
      <c r="J310">
        <v>0</v>
      </c>
      <c r="K310">
        <v>0</v>
      </c>
      <c r="L310" s="7">
        <v>0</v>
      </c>
      <c r="M310" s="7">
        <v>29.8</v>
      </c>
      <c r="N310">
        <v>220</v>
      </c>
      <c r="O310" s="15">
        <v>198</v>
      </c>
      <c r="P310" s="8">
        <v>0.67142857142857137</v>
      </c>
      <c r="Q310">
        <v>195</v>
      </c>
      <c r="R310" s="15">
        <v>183</v>
      </c>
      <c r="S310" s="8">
        <v>0.64800000000000002</v>
      </c>
      <c r="T310">
        <v>131</v>
      </c>
      <c r="U310" s="15">
        <v>117</v>
      </c>
      <c r="V310" s="8">
        <v>0.68235294117647061</v>
      </c>
      <c r="W310">
        <f t="shared" si="4"/>
        <v>546</v>
      </c>
    </row>
    <row r="311" spans="1:23">
      <c r="A311" s="6">
        <v>45236</v>
      </c>
      <c r="B311" t="s">
        <v>62</v>
      </c>
      <c r="C311">
        <v>0</v>
      </c>
      <c r="D311">
        <v>11</v>
      </c>
      <c r="E311">
        <v>0</v>
      </c>
      <c r="F311">
        <v>0</v>
      </c>
      <c r="H311">
        <v>0</v>
      </c>
      <c r="I311">
        <v>0</v>
      </c>
      <c r="J311">
        <v>0</v>
      </c>
      <c r="K311">
        <v>0</v>
      </c>
      <c r="L311" s="7">
        <v>0</v>
      </c>
      <c r="M311" s="7">
        <v>28.5</v>
      </c>
      <c r="N311">
        <v>211</v>
      </c>
      <c r="O311" s="15">
        <v>175</v>
      </c>
      <c r="P311" s="8">
        <v>0.62857142857142856</v>
      </c>
      <c r="Q311">
        <v>153</v>
      </c>
      <c r="R311" s="15">
        <v>124</v>
      </c>
      <c r="S311" s="8">
        <v>0.496</v>
      </c>
      <c r="T311">
        <v>109</v>
      </c>
      <c r="U311" s="15">
        <v>94</v>
      </c>
      <c r="V311" s="8">
        <v>0.57647058823529407</v>
      </c>
      <c r="W311">
        <f t="shared" si="4"/>
        <v>473</v>
      </c>
    </row>
    <row r="312" spans="1:23">
      <c r="A312" s="6">
        <v>45237</v>
      </c>
      <c r="B312" t="s">
        <v>63</v>
      </c>
      <c r="C312">
        <v>1</v>
      </c>
      <c r="D312">
        <v>11</v>
      </c>
      <c r="E312">
        <v>0</v>
      </c>
      <c r="F312">
        <v>0</v>
      </c>
      <c r="H312">
        <v>0</v>
      </c>
      <c r="I312">
        <v>0</v>
      </c>
      <c r="J312">
        <v>0</v>
      </c>
      <c r="K312">
        <v>0</v>
      </c>
      <c r="L312" s="7">
        <v>0</v>
      </c>
      <c r="M312" s="7">
        <v>29.6</v>
      </c>
      <c r="N312">
        <v>163</v>
      </c>
      <c r="O312" s="15">
        <v>132</v>
      </c>
      <c r="P312" s="8">
        <v>0.51428571428571423</v>
      </c>
      <c r="Q312">
        <v>152</v>
      </c>
      <c r="R312" s="15">
        <v>127</v>
      </c>
      <c r="S312" s="8">
        <v>0.51200000000000001</v>
      </c>
      <c r="T312">
        <v>102</v>
      </c>
      <c r="U312" s="15">
        <v>90</v>
      </c>
      <c r="V312" s="8">
        <v>0.57647058823529407</v>
      </c>
      <c r="W312">
        <f t="shared" si="4"/>
        <v>417</v>
      </c>
    </row>
    <row r="313" spans="1:23">
      <c r="A313" s="6">
        <v>45238</v>
      </c>
      <c r="B313" t="s">
        <v>64</v>
      </c>
      <c r="C313">
        <v>2</v>
      </c>
      <c r="D313">
        <v>11</v>
      </c>
      <c r="E313">
        <v>0</v>
      </c>
      <c r="F313">
        <v>0</v>
      </c>
      <c r="H313">
        <v>0</v>
      </c>
      <c r="I313">
        <v>0</v>
      </c>
      <c r="J313">
        <v>0</v>
      </c>
      <c r="K313">
        <v>0</v>
      </c>
      <c r="L313" s="7">
        <v>2.1</v>
      </c>
      <c r="M313" s="7">
        <v>28.9</v>
      </c>
      <c r="N313">
        <v>190</v>
      </c>
      <c r="O313" s="15">
        <v>153</v>
      </c>
      <c r="P313" s="8">
        <v>0.57857142857142863</v>
      </c>
      <c r="Q313">
        <v>134</v>
      </c>
      <c r="R313" s="15">
        <v>116</v>
      </c>
      <c r="S313" s="8">
        <v>0.44</v>
      </c>
      <c r="T313">
        <v>103</v>
      </c>
      <c r="U313" s="15">
        <v>89</v>
      </c>
      <c r="V313" s="8">
        <v>0.55294117647058827</v>
      </c>
      <c r="W313">
        <f t="shared" si="4"/>
        <v>427</v>
      </c>
    </row>
    <row r="314" spans="1:23">
      <c r="A314" s="6">
        <v>45239</v>
      </c>
      <c r="B314" t="s">
        <v>65</v>
      </c>
      <c r="C314">
        <v>3</v>
      </c>
      <c r="D314">
        <v>11</v>
      </c>
      <c r="E314">
        <v>0</v>
      </c>
      <c r="F314">
        <v>0</v>
      </c>
      <c r="H314">
        <v>0</v>
      </c>
      <c r="I314">
        <v>0</v>
      </c>
      <c r="J314">
        <v>0</v>
      </c>
      <c r="K314">
        <v>0</v>
      </c>
      <c r="L314" s="7">
        <v>3.3</v>
      </c>
      <c r="M314" s="7">
        <v>27.6</v>
      </c>
      <c r="N314">
        <v>178</v>
      </c>
      <c r="O314" s="15">
        <v>159</v>
      </c>
      <c r="P314" s="8">
        <v>0.54285714285714282</v>
      </c>
      <c r="Q314">
        <v>155</v>
      </c>
      <c r="R314" s="15">
        <v>132</v>
      </c>
      <c r="S314" s="8">
        <v>0.52</v>
      </c>
      <c r="T314">
        <v>108</v>
      </c>
      <c r="U314" s="15">
        <v>96</v>
      </c>
      <c r="V314" s="8">
        <v>0.56470588235294117</v>
      </c>
      <c r="W314">
        <f t="shared" si="4"/>
        <v>441</v>
      </c>
    </row>
    <row r="315" spans="1:23">
      <c r="A315" s="6">
        <v>45240</v>
      </c>
      <c r="B315" t="s">
        <v>66</v>
      </c>
      <c r="C315">
        <v>4</v>
      </c>
      <c r="D315">
        <v>11</v>
      </c>
      <c r="E315">
        <v>0</v>
      </c>
      <c r="F315">
        <v>0</v>
      </c>
      <c r="H315">
        <v>0</v>
      </c>
      <c r="I315">
        <v>0</v>
      </c>
      <c r="J315">
        <v>0</v>
      </c>
      <c r="K315">
        <v>0</v>
      </c>
      <c r="L315" s="7">
        <v>0</v>
      </c>
      <c r="M315" s="7">
        <v>28.7</v>
      </c>
      <c r="N315">
        <v>166</v>
      </c>
      <c r="O315" s="15">
        <v>149</v>
      </c>
      <c r="P315" s="8">
        <v>0.52857142857142858</v>
      </c>
      <c r="Q315">
        <v>169</v>
      </c>
      <c r="R315" s="15">
        <v>157</v>
      </c>
      <c r="S315" s="8">
        <v>0.54400000000000004</v>
      </c>
      <c r="T315">
        <v>110</v>
      </c>
      <c r="U315" s="15">
        <v>89</v>
      </c>
      <c r="V315" s="8">
        <v>0.55294117647058827</v>
      </c>
      <c r="W315">
        <f t="shared" si="4"/>
        <v>445</v>
      </c>
    </row>
    <row r="316" spans="1:23">
      <c r="A316" s="6">
        <v>45241</v>
      </c>
      <c r="B316" t="s">
        <v>67</v>
      </c>
      <c r="C316">
        <v>5</v>
      </c>
      <c r="D316">
        <v>11</v>
      </c>
      <c r="E316">
        <v>1</v>
      </c>
      <c r="F316">
        <v>0</v>
      </c>
      <c r="H316">
        <v>0</v>
      </c>
      <c r="I316">
        <v>0</v>
      </c>
      <c r="J316">
        <v>0</v>
      </c>
      <c r="K316">
        <v>0</v>
      </c>
      <c r="L316" s="7">
        <v>0.3</v>
      </c>
      <c r="M316" s="7">
        <v>29.2</v>
      </c>
      <c r="N316">
        <v>202</v>
      </c>
      <c r="O316" s="15">
        <v>181</v>
      </c>
      <c r="P316" s="8">
        <v>0.62142857142857144</v>
      </c>
      <c r="Q316">
        <v>186</v>
      </c>
      <c r="R316" s="15">
        <v>150</v>
      </c>
      <c r="S316" s="8">
        <v>0.64800000000000002</v>
      </c>
      <c r="T316">
        <v>134</v>
      </c>
      <c r="U316" s="15">
        <v>109</v>
      </c>
      <c r="V316" s="8">
        <v>0.68235294117647061</v>
      </c>
      <c r="W316">
        <f t="shared" si="4"/>
        <v>522</v>
      </c>
    </row>
    <row r="317" spans="1:23">
      <c r="A317" s="6">
        <v>45242</v>
      </c>
      <c r="B317" t="s">
        <v>60</v>
      </c>
      <c r="C317">
        <v>6</v>
      </c>
      <c r="D317">
        <v>11</v>
      </c>
      <c r="E317">
        <v>1</v>
      </c>
      <c r="F317">
        <v>0</v>
      </c>
      <c r="H317">
        <v>0</v>
      </c>
      <c r="I317">
        <v>0</v>
      </c>
      <c r="J317">
        <v>0</v>
      </c>
      <c r="K317">
        <v>0</v>
      </c>
      <c r="L317" s="7">
        <v>0</v>
      </c>
      <c r="M317" s="7">
        <v>29.4</v>
      </c>
      <c r="N317">
        <v>206</v>
      </c>
      <c r="O317" s="15">
        <v>192</v>
      </c>
      <c r="P317" s="8">
        <v>0.61428571428571432</v>
      </c>
      <c r="Q317">
        <v>209</v>
      </c>
      <c r="R317" s="15">
        <v>195</v>
      </c>
      <c r="S317" s="8">
        <v>0.68799999999999994</v>
      </c>
      <c r="T317">
        <v>140</v>
      </c>
      <c r="U317" s="15">
        <v>114</v>
      </c>
      <c r="V317" s="8">
        <v>0.68235294117647061</v>
      </c>
      <c r="W317">
        <f t="shared" si="4"/>
        <v>555</v>
      </c>
    </row>
    <row r="318" spans="1:23">
      <c r="A318" s="6">
        <v>45243</v>
      </c>
      <c r="B318" t="s">
        <v>62</v>
      </c>
      <c r="C318">
        <v>0</v>
      </c>
      <c r="D318">
        <v>11</v>
      </c>
      <c r="E318">
        <v>0</v>
      </c>
      <c r="F318">
        <v>0</v>
      </c>
      <c r="H318">
        <v>0</v>
      </c>
      <c r="I318">
        <v>0</v>
      </c>
      <c r="J318">
        <v>0</v>
      </c>
      <c r="K318">
        <v>0</v>
      </c>
      <c r="L318" s="7">
        <v>0</v>
      </c>
      <c r="M318" s="7">
        <v>30.2</v>
      </c>
      <c r="N318">
        <v>174</v>
      </c>
      <c r="O318" s="15">
        <v>145</v>
      </c>
      <c r="P318" s="8">
        <v>0.52142857142857146</v>
      </c>
      <c r="Q318">
        <v>162</v>
      </c>
      <c r="R318" s="15">
        <v>132</v>
      </c>
      <c r="S318" s="8">
        <v>0.54400000000000004</v>
      </c>
      <c r="T318">
        <v>125</v>
      </c>
      <c r="U318" s="15">
        <v>108</v>
      </c>
      <c r="V318" s="8">
        <v>0.61176470588235299</v>
      </c>
      <c r="W318">
        <f t="shared" si="4"/>
        <v>461</v>
      </c>
    </row>
    <row r="319" spans="1:23">
      <c r="A319" s="6">
        <v>45244</v>
      </c>
      <c r="B319" t="s">
        <v>63</v>
      </c>
      <c r="C319">
        <v>1</v>
      </c>
      <c r="D319">
        <v>11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 s="7">
        <v>0</v>
      </c>
      <c r="M319" s="7">
        <v>29.6</v>
      </c>
      <c r="N319">
        <v>200</v>
      </c>
      <c r="O319" s="15">
        <v>170</v>
      </c>
      <c r="P319" s="8">
        <v>0.61428571428571432</v>
      </c>
      <c r="Q319">
        <v>134</v>
      </c>
      <c r="R319" s="15">
        <v>114</v>
      </c>
      <c r="S319" s="8">
        <v>0.44</v>
      </c>
      <c r="T319">
        <v>112</v>
      </c>
      <c r="U319" s="15">
        <v>102</v>
      </c>
      <c r="V319" s="8">
        <v>0.6</v>
      </c>
      <c r="W319">
        <f t="shared" si="4"/>
        <v>446</v>
      </c>
    </row>
    <row r="320" spans="1:23">
      <c r="A320" s="6">
        <v>45245</v>
      </c>
      <c r="B320" t="s">
        <v>64</v>
      </c>
      <c r="C320">
        <v>2</v>
      </c>
      <c r="D320">
        <v>11</v>
      </c>
      <c r="E320">
        <v>0</v>
      </c>
      <c r="F320">
        <v>1</v>
      </c>
      <c r="G320" t="s">
        <v>75</v>
      </c>
      <c r="H320">
        <v>0</v>
      </c>
      <c r="I320">
        <v>0</v>
      </c>
      <c r="J320">
        <v>0</v>
      </c>
      <c r="K320">
        <v>0</v>
      </c>
      <c r="L320" s="7">
        <v>0.2</v>
      </c>
      <c r="M320" s="7">
        <v>30.6</v>
      </c>
      <c r="N320">
        <v>185</v>
      </c>
      <c r="O320" s="15">
        <v>161</v>
      </c>
      <c r="P320" s="8">
        <v>0.57857142857142863</v>
      </c>
      <c r="Q320">
        <v>176</v>
      </c>
      <c r="R320" s="15">
        <v>164</v>
      </c>
      <c r="S320" s="8">
        <v>0.58399999999999996</v>
      </c>
      <c r="T320">
        <v>133</v>
      </c>
      <c r="U320" s="15">
        <v>107</v>
      </c>
      <c r="V320" s="8">
        <v>0.68235294117647061</v>
      </c>
      <c r="W320">
        <f t="shared" si="4"/>
        <v>494</v>
      </c>
    </row>
    <row r="321" spans="1:23">
      <c r="A321" s="6">
        <v>45246</v>
      </c>
      <c r="B321" t="s">
        <v>65</v>
      </c>
      <c r="C321">
        <v>3</v>
      </c>
      <c r="D321">
        <v>11</v>
      </c>
      <c r="E321">
        <v>0</v>
      </c>
      <c r="F321">
        <v>0</v>
      </c>
      <c r="H321">
        <v>0</v>
      </c>
      <c r="I321">
        <v>0</v>
      </c>
      <c r="J321">
        <v>0</v>
      </c>
      <c r="K321">
        <v>0</v>
      </c>
      <c r="L321" s="7">
        <v>1.5</v>
      </c>
      <c r="M321" s="7">
        <v>30.8</v>
      </c>
      <c r="N321">
        <v>159</v>
      </c>
      <c r="O321" s="15">
        <v>143</v>
      </c>
      <c r="P321" s="8">
        <v>0.50714285714285712</v>
      </c>
      <c r="Q321">
        <v>165</v>
      </c>
      <c r="R321" s="15">
        <v>152</v>
      </c>
      <c r="S321" s="8">
        <v>0.55200000000000005</v>
      </c>
      <c r="T321">
        <v>113</v>
      </c>
      <c r="U321" s="15">
        <v>102</v>
      </c>
      <c r="V321" s="8">
        <v>0.58823529411764708</v>
      </c>
      <c r="W321">
        <f t="shared" si="4"/>
        <v>437</v>
      </c>
    </row>
    <row r="322" spans="1:23">
      <c r="A322" s="6">
        <v>45247</v>
      </c>
      <c r="B322" t="s">
        <v>66</v>
      </c>
      <c r="C322">
        <v>4</v>
      </c>
      <c r="D322">
        <v>11</v>
      </c>
      <c r="E322">
        <v>0</v>
      </c>
      <c r="F322">
        <v>0</v>
      </c>
      <c r="H322">
        <v>0</v>
      </c>
      <c r="I322">
        <v>0</v>
      </c>
      <c r="J322">
        <v>0</v>
      </c>
      <c r="K322">
        <v>0</v>
      </c>
      <c r="L322" s="7">
        <v>0.4</v>
      </c>
      <c r="M322" s="7">
        <v>29</v>
      </c>
      <c r="N322">
        <v>180</v>
      </c>
      <c r="O322" s="15">
        <v>167</v>
      </c>
      <c r="P322" s="8">
        <v>0.52857142857142858</v>
      </c>
      <c r="Q322">
        <v>145</v>
      </c>
      <c r="R322" s="15">
        <v>121</v>
      </c>
      <c r="S322" s="8">
        <v>0.48</v>
      </c>
      <c r="T322">
        <v>100</v>
      </c>
      <c r="U322" s="15">
        <v>89</v>
      </c>
      <c r="V322" s="8">
        <v>0.51764705882352946</v>
      </c>
      <c r="W322">
        <f t="shared" ref="W322:W385" si="5">N322+Q322+T322</f>
        <v>425</v>
      </c>
    </row>
    <row r="323" spans="1:23">
      <c r="A323" s="6">
        <v>45248</v>
      </c>
      <c r="B323" t="s">
        <v>67</v>
      </c>
      <c r="C323">
        <v>5</v>
      </c>
      <c r="D323">
        <v>11</v>
      </c>
      <c r="E323">
        <v>1</v>
      </c>
      <c r="F323">
        <v>0</v>
      </c>
      <c r="H323">
        <v>0</v>
      </c>
      <c r="I323">
        <v>0</v>
      </c>
      <c r="J323">
        <v>0</v>
      </c>
      <c r="K323">
        <v>0</v>
      </c>
      <c r="L323" s="7">
        <v>1.8</v>
      </c>
      <c r="M323" s="7">
        <v>28.5</v>
      </c>
      <c r="N323">
        <v>185</v>
      </c>
      <c r="O323" s="15">
        <v>166</v>
      </c>
      <c r="P323" s="8">
        <v>0.5714285714285714</v>
      </c>
      <c r="Q323">
        <v>193</v>
      </c>
      <c r="R323" s="15">
        <v>175</v>
      </c>
      <c r="S323" s="8">
        <v>0.64800000000000002</v>
      </c>
      <c r="T323">
        <v>138</v>
      </c>
      <c r="U323" s="15">
        <v>124</v>
      </c>
      <c r="V323" s="8">
        <v>0.71764705882352942</v>
      </c>
      <c r="W323">
        <f t="shared" si="5"/>
        <v>516</v>
      </c>
    </row>
    <row r="324" spans="1:23">
      <c r="A324" s="6">
        <v>45249</v>
      </c>
      <c r="B324" t="s">
        <v>60</v>
      </c>
      <c r="C324">
        <v>6</v>
      </c>
      <c r="D324">
        <v>11</v>
      </c>
      <c r="E324">
        <v>1</v>
      </c>
      <c r="F324">
        <v>0</v>
      </c>
      <c r="H324">
        <v>0</v>
      </c>
      <c r="I324">
        <v>0</v>
      </c>
      <c r="J324">
        <v>0</v>
      </c>
      <c r="K324">
        <v>0</v>
      </c>
      <c r="L324" s="7">
        <v>1</v>
      </c>
      <c r="M324" s="7">
        <v>28.5</v>
      </c>
      <c r="N324">
        <v>207</v>
      </c>
      <c r="O324" s="15">
        <v>189</v>
      </c>
      <c r="P324" s="8">
        <v>0.63571428571428568</v>
      </c>
      <c r="Q324">
        <v>187</v>
      </c>
      <c r="R324" s="15">
        <v>154</v>
      </c>
      <c r="S324" s="8">
        <v>0.64</v>
      </c>
      <c r="T324">
        <v>140</v>
      </c>
      <c r="U324" s="15">
        <v>115</v>
      </c>
      <c r="V324" s="8">
        <v>0.71764705882352942</v>
      </c>
      <c r="W324">
        <f t="shared" si="5"/>
        <v>534</v>
      </c>
    </row>
    <row r="325" spans="1:23">
      <c r="A325" s="6">
        <v>45250</v>
      </c>
      <c r="B325" t="s">
        <v>62</v>
      </c>
      <c r="C325">
        <v>0</v>
      </c>
      <c r="D325">
        <v>11</v>
      </c>
      <c r="E325">
        <v>0</v>
      </c>
      <c r="F325">
        <v>0</v>
      </c>
      <c r="H325">
        <v>0</v>
      </c>
      <c r="I325">
        <v>0</v>
      </c>
      <c r="J325">
        <v>0</v>
      </c>
      <c r="K325">
        <v>0</v>
      </c>
      <c r="L325" s="7">
        <v>0</v>
      </c>
      <c r="M325" s="7">
        <v>29.5</v>
      </c>
      <c r="N325">
        <v>179</v>
      </c>
      <c r="O325" s="15">
        <v>144</v>
      </c>
      <c r="P325" s="8">
        <v>0.55000000000000004</v>
      </c>
      <c r="Q325">
        <v>149</v>
      </c>
      <c r="R325" s="15">
        <v>132</v>
      </c>
      <c r="S325" s="8">
        <v>0.496</v>
      </c>
      <c r="T325">
        <v>112</v>
      </c>
      <c r="U325" s="15">
        <v>96</v>
      </c>
      <c r="V325" s="8">
        <v>0.57647058823529407</v>
      </c>
      <c r="W325">
        <f t="shared" si="5"/>
        <v>440</v>
      </c>
    </row>
    <row r="326" spans="1:23">
      <c r="A326" s="6">
        <v>45251</v>
      </c>
      <c r="B326" t="s">
        <v>63</v>
      </c>
      <c r="C326">
        <v>1</v>
      </c>
      <c r="D326">
        <v>11</v>
      </c>
      <c r="E326">
        <v>0</v>
      </c>
      <c r="F326">
        <v>0</v>
      </c>
      <c r="H326">
        <v>0</v>
      </c>
      <c r="I326">
        <v>0</v>
      </c>
      <c r="J326">
        <v>0</v>
      </c>
      <c r="K326">
        <v>0</v>
      </c>
      <c r="L326" s="7">
        <v>0</v>
      </c>
      <c r="M326" s="7">
        <v>28.4</v>
      </c>
      <c r="N326">
        <v>198</v>
      </c>
      <c r="O326" s="15">
        <v>159</v>
      </c>
      <c r="P326" s="8">
        <v>0.59285714285714286</v>
      </c>
      <c r="Q326">
        <v>185</v>
      </c>
      <c r="R326" s="15">
        <v>156</v>
      </c>
      <c r="S326" s="8">
        <v>0.6</v>
      </c>
      <c r="T326">
        <v>115</v>
      </c>
      <c r="U326" s="15">
        <v>97</v>
      </c>
      <c r="V326" s="8">
        <v>0.62352941176470589</v>
      </c>
      <c r="W326">
        <f t="shared" si="5"/>
        <v>498</v>
      </c>
    </row>
    <row r="327" spans="1:23">
      <c r="A327" s="6">
        <v>45252</v>
      </c>
      <c r="B327" t="s">
        <v>64</v>
      </c>
      <c r="C327">
        <v>2</v>
      </c>
      <c r="D327">
        <v>11</v>
      </c>
      <c r="E327">
        <v>0</v>
      </c>
      <c r="F327">
        <v>0</v>
      </c>
      <c r="H327">
        <v>0</v>
      </c>
      <c r="I327">
        <v>0</v>
      </c>
      <c r="J327">
        <v>0</v>
      </c>
      <c r="K327">
        <v>0</v>
      </c>
      <c r="L327" s="7">
        <v>0</v>
      </c>
      <c r="M327" s="7">
        <v>29.9</v>
      </c>
      <c r="N327">
        <v>167</v>
      </c>
      <c r="O327" s="15">
        <v>136</v>
      </c>
      <c r="P327" s="8">
        <v>0.50714285714285712</v>
      </c>
      <c r="Q327">
        <v>168</v>
      </c>
      <c r="R327" s="15">
        <v>145</v>
      </c>
      <c r="S327" s="8">
        <v>0.56799999999999995</v>
      </c>
      <c r="T327">
        <v>125</v>
      </c>
      <c r="U327" s="15">
        <v>110</v>
      </c>
      <c r="V327" s="8">
        <v>0.6588235294117647</v>
      </c>
      <c r="W327">
        <f t="shared" si="5"/>
        <v>460</v>
      </c>
    </row>
    <row r="328" spans="1:23">
      <c r="A328" s="6">
        <v>45253</v>
      </c>
      <c r="B328" t="s">
        <v>65</v>
      </c>
      <c r="C328">
        <v>3</v>
      </c>
      <c r="D328">
        <v>11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 s="7">
        <v>0</v>
      </c>
      <c r="M328" s="7">
        <v>29.2</v>
      </c>
      <c r="N328">
        <v>168</v>
      </c>
      <c r="O328" s="15">
        <v>151</v>
      </c>
      <c r="P328" s="8">
        <v>0.5357142857142857</v>
      </c>
      <c r="Q328">
        <v>147</v>
      </c>
      <c r="R328" s="15">
        <v>119</v>
      </c>
      <c r="S328" s="8">
        <v>0.496</v>
      </c>
      <c r="T328">
        <v>121</v>
      </c>
      <c r="U328" s="15">
        <v>111</v>
      </c>
      <c r="V328" s="8">
        <v>0.63529411764705879</v>
      </c>
      <c r="W328">
        <f t="shared" si="5"/>
        <v>436</v>
      </c>
    </row>
    <row r="329" spans="1:23">
      <c r="A329" s="6">
        <v>45254</v>
      </c>
      <c r="B329" t="s">
        <v>66</v>
      </c>
      <c r="C329">
        <v>4</v>
      </c>
      <c r="D329">
        <v>11</v>
      </c>
      <c r="E329">
        <v>0</v>
      </c>
      <c r="F329">
        <v>0</v>
      </c>
      <c r="H329">
        <v>0</v>
      </c>
      <c r="I329">
        <v>0</v>
      </c>
      <c r="J329">
        <v>0</v>
      </c>
      <c r="K329">
        <v>0</v>
      </c>
      <c r="L329" s="7">
        <v>3.2</v>
      </c>
      <c r="M329" s="7">
        <v>28.4</v>
      </c>
      <c r="N329">
        <v>163</v>
      </c>
      <c r="O329" s="15">
        <v>147</v>
      </c>
      <c r="P329" s="8">
        <v>0.51428571428571423</v>
      </c>
      <c r="Q329">
        <v>148</v>
      </c>
      <c r="R329" s="15">
        <v>136</v>
      </c>
      <c r="S329" s="8">
        <v>0.496</v>
      </c>
      <c r="T329">
        <v>119</v>
      </c>
      <c r="U329" s="15">
        <v>111</v>
      </c>
      <c r="V329" s="8">
        <v>0.6</v>
      </c>
      <c r="W329">
        <f t="shared" si="5"/>
        <v>430</v>
      </c>
    </row>
    <row r="330" spans="1:23">
      <c r="A330" s="6">
        <v>45255</v>
      </c>
      <c r="B330" t="s">
        <v>67</v>
      </c>
      <c r="C330">
        <v>5</v>
      </c>
      <c r="D330">
        <v>11</v>
      </c>
      <c r="E330">
        <v>1</v>
      </c>
      <c r="F330">
        <v>0</v>
      </c>
      <c r="H330">
        <v>0</v>
      </c>
      <c r="I330">
        <v>0</v>
      </c>
      <c r="J330">
        <v>0</v>
      </c>
      <c r="K330">
        <v>0</v>
      </c>
      <c r="L330" s="7">
        <v>1.7</v>
      </c>
      <c r="M330" s="7">
        <v>29.6</v>
      </c>
      <c r="N330">
        <v>220</v>
      </c>
      <c r="O330" s="15">
        <v>204</v>
      </c>
      <c r="P330" s="8">
        <v>0.6785714285714286</v>
      </c>
      <c r="Q330">
        <v>191</v>
      </c>
      <c r="R330" s="15">
        <v>158</v>
      </c>
      <c r="S330" s="8">
        <v>0.64</v>
      </c>
      <c r="T330">
        <v>135</v>
      </c>
      <c r="U330" s="15">
        <v>123</v>
      </c>
      <c r="V330" s="8">
        <v>0.71764705882352942</v>
      </c>
      <c r="W330">
        <f t="shared" si="5"/>
        <v>546</v>
      </c>
    </row>
    <row r="331" spans="1:23">
      <c r="A331" s="6">
        <v>45256</v>
      </c>
      <c r="B331" t="s">
        <v>60</v>
      </c>
      <c r="C331">
        <v>6</v>
      </c>
      <c r="D331">
        <v>11</v>
      </c>
      <c r="E331">
        <v>1</v>
      </c>
      <c r="F331">
        <v>0</v>
      </c>
      <c r="H331">
        <v>0</v>
      </c>
      <c r="I331">
        <v>0</v>
      </c>
      <c r="J331">
        <v>0</v>
      </c>
      <c r="K331">
        <v>0</v>
      </c>
      <c r="L331" s="7">
        <v>3.9</v>
      </c>
      <c r="M331" s="7">
        <v>30</v>
      </c>
      <c r="N331">
        <v>201</v>
      </c>
      <c r="O331" s="15">
        <v>186</v>
      </c>
      <c r="P331" s="8">
        <v>0.58571428571428574</v>
      </c>
      <c r="Q331">
        <v>197</v>
      </c>
      <c r="R331" s="15">
        <v>180</v>
      </c>
      <c r="S331" s="8">
        <v>0.64800000000000002</v>
      </c>
      <c r="T331">
        <v>137</v>
      </c>
      <c r="U331" s="15">
        <v>125</v>
      </c>
      <c r="V331" s="8">
        <v>0.71764705882352942</v>
      </c>
      <c r="W331">
        <f t="shared" si="5"/>
        <v>535</v>
      </c>
    </row>
    <row r="332" spans="1:23">
      <c r="A332" s="6">
        <v>45257</v>
      </c>
      <c r="B332" t="s">
        <v>62</v>
      </c>
      <c r="C332">
        <v>0</v>
      </c>
      <c r="D332">
        <v>11</v>
      </c>
      <c r="E332">
        <v>0</v>
      </c>
      <c r="F332">
        <v>0</v>
      </c>
      <c r="H332">
        <v>0</v>
      </c>
      <c r="I332">
        <v>0</v>
      </c>
      <c r="J332">
        <v>0</v>
      </c>
      <c r="K332">
        <v>0</v>
      </c>
      <c r="L332" s="7">
        <v>3.8</v>
      </c>
      <c r="M332" s="7">
        <v>28.4</v>
      </c>
      <c r="N332">
        <v>185</v>
      </c>
      <c r="O332" s="15">
        <v>150</v>
      </c>
      <c r="P332" s="8">
        <v>0.5714285714285714</v>
      </c>
      <c r="Q332">
        <v>166</v>
      </c>
      <c r="R332" s="15">
        <v>134</v>
      </c>
      <c r="S332" s="8">
        <v>0.56799999999999995</v>
      </c>
      <c r="T332">
        <v>120</v>
      </c>
      <c r="U332" s="15">
        <v>99</v>
      </c>
      <c r="V332" s="8">
        <v>0.62352941176470589</v>
      </c>
      <c r="W332">
        <f t="shared" si="5"/>
        <v>471</v>
      </c>
    </row>
    <row r="333" spans="1:23">
      <c r="A333" s="6">
        <v>45258</v>
      </c>
      <c r="B333" t="s">
        <v>63</v>
      </c>
      <c r="C333">
        <v>1</v>
      </c>
      <c r="D333">
        <v>11</v>
      </c>
      <c r="E333">
        <v>0</v>
      </c>
      <c r="F333">
        <v>0</v>
      </c>
      <c r="H333">
        <v>0</v>
      </c>
      <c r="I333">
        <v>0</v>
      </c>
      <c r="J333">
        <v>0</v>
      </c>
      <c r="K333">
        <v>0</v>
      </c>
      <c r="L333" s="7">
        <v>0.2</v>
      </c>
      <c r="M333" s="7">
        <v>28.8</v>
      </c>
      <c r="N333">
        <v>198</v>
      </c>
      <c r="O333" s="15">
        <v>161</v>
      </c>
      <c r="P333" s="8">
        <v>0.61428571428571432</v>
      </c>
      <c r="Q333">
        <v>155</v>
      </c>
      <c r="R333" s="15">
        <v>135</v>
      </c>
      <c r="S333" s="8">
        <v>0.496</v>
      </c>
      <c r="T333">
        <v>126</v>
      </c>
      <c r="U333" s="15">
        <v>101</v>
      </c>
      <c r="V333" s="8">
        <v>0.63529411764705879</v>
      </c>
      <c r="W333">
        <f t="shared" si="5"/>
        <v>479</v>
      </c>
    </row>
    <row r="334" spans="1:23">
      <c r="A334" s="6">
        <v>45259</v>
      </c>
      <c r="B334" t="s">
        <v>64</v>
      </c>
      <c r="C334">
        <v>2</v>
      </c>
      <c r="D334">
        <v>11</v>
      </c>
      <c r="E334">
        <v>0</v>
      </c>
      <c r="F334">
        <v>0</v>
      </c>
      <c r="H334">
        <v>0</v>
      </c>
      <c r="I334">
        <v>0</v>
      </c>
      <c r="J334">
        <v>0</v>
      </c>
      <c r="K334">
        <v>0</v>
      </c>
      <c r="L334" s="7">
        <v>0</v>
      </c>
      <c r="M334" s="7">
        <v>29.4</v>
      </c>
      <c r="N334">
        <v>183</v>
      </c>
      <c r="O334" s="15">
        <v>148</v>
      </c>
      <c r="P334" s="8">
        <v>0.56428571428571428</v>
      </c>
      <c r="Q334">
        <v>163</v>
      </c>
      <c r="R334" s="15">
        <v>140</v>
      </c>
      <c r="S334" s="8">
        <v>0.53600000000000003</v>
      </c>
      <c r="T334">
        <v>121</v>
      </c>
      <c r="U334" s="15">
        <v>106</v>
      </c>
      <c r="V334" s="8">
        <v>0.62352941176470589</v>
      </c>
      <c r="W334">
        <f t="shared" si="5"/>
        <v>467</v>
      </c>
    </row>
    <row r="335" spans="1:23">
      <c r="A335" s="6">
        <v>45260</v>
      </c>
      <c r="B335" t="s">
        <v>65</v>
      </c>
      <c r="C335">
        <v>3</v>
      </c>
      <c r="D335">
        <v>11</v>
      </c>
      <c r="E335">
        <v>0</v>
      </c>
      <c r="F335">
        <v>0</v>
      </c>
      <c r="H335">
        <v>0</v>
      </c>
      <c r="I335">
        <v>0</v>
      </c>
      <c r="J335">
        <v>0</v>
      </c>
      <c r="K335">
        <v>0</v>
      </c>
      <c r="L335" s="7">
        <v>0</v>
      </c>
      <c r="M335" s="7">
        <v>29.8</v>
      </c>
      <c r="N335">
        <v>197</v>
      </c>
      <c r="O335" s="15">
        <v>169</v>
      </c>
      <c r="P335" s="8">
        <v>0.6071428571428571</v>
      </c>
      <c r="Q335">
        <v>169</v>
      </c>
      <c r="R335" s="15">
        <v>150</v>
      </c>
      <c r="S335" s="8">
        <v>0.57599999999999996</v>
      </c>
      <c r="T335">
        <v>120</v>
      </c>
      <c r="U335" s="15">
        <v>111</v>
      </c>
      <c r="V335" s="8">
        <v>0.62352941176470589</v>
      </c>
      <c r="W335">
        <f t="shared" si="5"/>
        <v>486</v>
      </c>
    </row>
    <row r="336" spans="1:23">
      <c r="A336" s="6">
        <v>45261</v>
      </c>
      <c r="B336" t="s">
        <v>66</v>
      </c>
      <c r="C336">
        <v>4</v>
      </c>
      <c r="D336">
        <v>12</v>
      </c>
      <c r="E336">
        <v>0</v>
      </c>
      <c r="F336">
        <v>0</v>
      </c>
      <c r="H336">
        <v>0</v>
      </c>
      <c r="I336">
        <v>0</v>
      </c>
      <c r="J336">
        <v>0</v>
      </c>
      <c r="K336">
        <v>0</v>
      </c>
      <c r="L336" s="7">
        <v>0.1</v>
      </c>
      <c r="M336" s="7">
        <v>29</v>
      </c>
      <c r="N336">
        <v>204</v>
      </c>
      <c r="O336" s="15">
        <v>165</v>
      </c>
      <c r="P336" s="8">
        <v>0.6</v>
      </c>
      <c r="Q336">
        <v>139</v>
      </c>
      <c r="R336" s="15">
        <v>114</v>
      </c>
      <c r="S336" s="8">
        <v>0.45600000000000002</v>
      </c>
      <c r="T336">
        <v>118</v>
      </c>
      <c r="U336" s="15">
        <v>106</v>
      </c>
      <c r="V336" s="8">
        <v>0.61176470588235299</v>
      </c>
      <c r="W336">
        <f t="shared" si="5"/>
        <v>461</v>
      </c>
    </row>
    <row r="337" spans="1:23">
      <c r="A337" s="6">
        <v>45262</v>
      </c>
      <c r="B337" t="s">
        <v>67</v>
      </c>
      <c r="C337">
        <v>5</v>
      </c>
      <c r="D337">
        <v>12</v>
      </c>
      <c r="E337">
        <v>1</v>
      </c>
      <c r="F337">
        <v>0</v>
      </c>
      <c r="H337">
        <v>0</v>
      </c>
      <c r="I337">
        <v>0</v>
      </c>
      <c r="J337">
        <v>0</v>
      </c>
      <c r="K337">
        <v>0</v>
      </c>
      <c r="L337" s="7">
        <v>1.2</v>
      </c>
      <c r="M337" s="7">
        <v>28.8</v>
      </c>
      <c r="N337">
        <v>218</v>
      </c>
      <c r="O337" s="15">
        <v>185</v>
      </c>
      <c r="P337" s="8">
        <v>0.63571428571428568</v>
      </c>
      <c r="Q337">
        <v>210</v>
      </c>
      <c r="R337" s="15">
        <v>174</v>
      </c>
      <c r="S337" s="8">
        <v>0.68799999999999994</v>
      </c>
      <c r="T337">
        <v>148</v>
      </c>
      <c r="U337" s="15">
        <v>134</v>
      </c>
      <c r="V337" s="8">
        <v>0.76470588235294112</v>
      </c>
      <c r="W337">
        <f t="shared" si="5"/>
        <v>576</v>
      </c>
    </row>
    <row r="338" spans="1:23">
      <c r="A338" s="6">
        <v>45263</v>
      </c>
      <c r="B338" t="s">
        <v>60</v>
      </c>
      <c r="C338">
        <v>6</v>
      </c>
      <c r="D338">
        <v>12</v>
      </c>
      <c r="E338">
        <v>1</v>
      </c>
      <c r="F338">
        <v>0</v>
      </c>
      <c r="H338">
        <v>0</v>
      </c>
      <c r="I338">
        <v>0</v>
      </c>
      <c r="J338">
        <v>0</v>
      </c>
      <c r="K338">
        <v>0</v>
      </c>
      <c r="L338" s="7">
        <v>0</v>
      </c>
      <c r="M338" s="7">
        <v>29.1</v>
      </c>
      <c r="N338">
        <v>225</v>
      </c>
      <c r="O338" s="15">
        <v>208</v>
      </c>
      <c r="P338" s="8">
        <v>0.6785714285714286</v>
      </c>
      <c r="Q338">
        <v>185</v>
      </c>
      <c r="R338" s="15">
        <v>166</v>
      </c>
      <c r="S338" s="8">
        <v>0.63200000000000001</v>
      </c>
      <c r="T338">
        <v>150</v>
      </c>
      <c r="U338" s="15">
        <v>122</v>
      </c>
      <c r="V338" s="8">
        <v>0.78823529411764703</v>
      </c>
      <c r="W338">
        <f t="shared" si="5"/>
        <v>560</v>
      </c>
    </row>
    <row r="339" spans="1:23">
      <c r="A339" s="6">
        <v>45264</v>
      </c>
      <c r="B339" t="s">
        <v>62</v>
      </c>
      <c r="C339">
        <v>0</v>
      </c>
      <c r="D339">
        <v>12</v>
      </c>
      <c r="E339">
        <v>0</v>
      </c>
      <c r="F339">
        <v>0</v>
      </c>
      <c r="H339">
        <v>0</v>
      </c>
      <c r="I339">
        <v>0</v>
      </c>
      <c r="J339">
        <v>0</v>
      </c>
      <c r="K339">
        <v>0</v>
      </c>
      <c r="L339" s="7">
        <v>0</v>
      </c>
      <c r="M339" s="7">
        <v>30.3</v>
      </c>
      <c r="N339">
        <v>178</v>
      </c>
      <c r="O339" s="15">
        <v>162</v>
      </c>
      <c r="P339" s="8">
        <v>0.52857142857142858</v>
      </c>
      <c r="Q339">
        <v>184</v>
      </c>
      <c r="R339" s="15">
        <v>152</v>
      </c>
      <c r="S339" s="8">
        <v>0.60799999999999998</v>
      </c>
      <c r="T339">
        <v>133</v>
      </c>
      <c r="U339" s="15">
        <v>107</v>
      </c>
      <c r="V339" s="8">
        <v>0.6705882352941176</v>
      </c>
      <c r="W339">
        <f t="shared" si="5"/>
        <v>495</v>
      </c>
    </row>
    <row r="340" spans="1:23">
      <c r="A340" s="6">
        <v>45265</v>
      </c>
      <c r="B340" t="s">
        <v>63</v>
      </c>
      <c r="C340">
        <v>1</v>
      </c>
      <c r="D340">
        <v>12</v>
      </c>
      <c r="E340">
        <v>0</v>
      </c>
      <c r="F340">
        <v>0</v>
      </c>
      <c r="H340">
        <v>0</v>
      </c>
      <c r="I340">
        <v>0</v>
      </c>
      <c r="J340">
        <v>0</v>
      </c>
      <c r="K340">
        <v>0</v>
      </c>
      <c r="L340" s="7">
        <v>1.4</v>
      </c>
      <c r="M340" s="7">
        <v>29</v>
      </c>
      <c r="N340">
        <v>198</v>
      </c>
      <c r="O340" s="15">
        <v>181</v>
      </c>
      <c r="P340" s="8">
        <v>0.59285714285714286</v>
      </c>
      <c r="Q340">
        <v>152</v>
      </c>
      <c r="R340" s="15">
        <v>125</v>
      </c>
      <c r="S340" s="8">
        <v>0.52</v>
      </c>
      <c r="T340">
        <v>109</v>
      </c>
      <c r="U340" s="15">
        <v>100</v>
      </c>
      <c r="V340" s="8">
        <v>0.57647058823529407</v>
      </c>
      <c r="W340">
        <f t="shared" si="5"/>
        <v>459</v>
      </c>
    </row>
    <row r="341" spans="1:23">
      <c r="A341" s="6">
        <v>45266</v>
      </c>
      <c r="B341" t="s">
        <v>64</v>
      </c>
      <c r="C341">
        <v>2</v>
      </c>
      <c r="D341">
        <v>12</v>
      </c>
      <c r="E341">
        <v>0</v>
      </c>
      <c r="F341">
        <v>0</v>
      </c>
      <c r="H341">
        <v>0</v>
      </c>
      <c r="I341">
        <v>0</v>
      </c>
      <c r="J341">
        <v>0</v>
      </c>
      <c r="K341">
        <v>0</v>
      </c>
      <c r="L341" s="7">
        <v>0</v>
      </c>
      <c r="M341" s="7">
        <v>27.7</v>
      </c>
      <c r="N341">
        <v>147</v>
      </c>
      <c r="O341" s="15">
        <v>127</v>
      </c>
      <c r="P341" s="8">
        <v>0.47142857142857142</v>
      </c>
      <c r="Q341">
        <v>166</v>
      </c>
      <c r="R341" s="15">
        <v>150</v>
      </c>
      <c r="S341" s="8">
        <v>0.55200000000000005</v>
      </c>
      <c r="T341">
        <v>133</v>
      </c>
      <c r="U341" s="15">
        <v>107</v>
      </c>
      <c r="V341" s="8">
        <v>0.69411764705882351</v>
      </c>
      <c r="W341">
        <f t="shared" si="5"/>
        <v>446</v>
      </c>
    </row>
    <row r="342" spans="1:23">
      <c r="A342" s="6">
        <v>45267</v>
      </c>
      <c r="B342" t="s">
        <v>65</v>
      </c>
      <c r="C342">
        <v>3</v>
      </c>
      <c r="D342">
        <v>12</v>
      </c>
      <c r="E342">
        <v>0</v>
      </c>
      <c r="F342">
        <v>0</v>
      </c>
      <c r="H342">
        <v>0</v>
      </c>
      <c r="I342">
        <v>0</v>
      </c>
      <c r="J342">
        <v>0</v>
      </c>
      <c r="K342">
        <v>0</v>
      </c>
      <c r="L342" s="7">
        <v>0</v>
      </c>
      <c r="M342" s="7">
        <v>30.4</v>
      </c>
      <c r="N342">
        <v>200</v>
      </c>
      <c r="O342" s="15">
        <v>179</v>
      </c>
      <c r="P342" s="8">
        <v>0.59285714285714286</v>
      </c>
      <c r="Q342">
        <v>185</v>
      </c>
      <c r="R342" s="15">
        <v>173</v>
      </c>
      <c r="S342" s="8">
        <v>0.61599999999999999</v>
      </c>
      <c r="T342">
        <v>129</v>
      </c>
      <c r="U342" s="15">
        <v>117</v>
      </c>
      <c r="V342" s="8">
        <v>0.68235294117647061</v>
      </c>
      <c r="W342">
        <f t="shared" si="5"/>
        <v>514</v>
      </c>
    </row>
    <row r="343" spans="1:23">
      <c r="A343" s="6">
        <v>45268</v>
      </c>
      <c r="B343" t="s">
        <v>66</v>
      </c>
      <c r="C343">
        <v>4</v>
      </c>
      <c r="D343">
        <v>12</v>
      </c>
      <c r="E343">
        <v>0</v>
      </c>
      <c r="F343">
        <v>0</v>
      </c>
      <c r="H343">
        <v>0</v>
      </c>
      <c r="I343">
        <v>0</v>
      </c>
      <c r="J343">
        <v>0</v>
      </c>
      <c r="K343">
        <v>0</v>
      </c>
      <c r="L343" s="7">
        <v>0</v>
      </c>
      <c r="M343" s="7">
        <v>30.7</v>
      </c>
      <c r="N343">
        <v>202</v>
      </c>
      <c r="O343" s="15">
        <v>170</v>
      </c>
      <c r="P343" s="8">
        <v>0.62142857142857144</v>
      </c>
      <c r="Q343">
        <v>166</v>
      </c>
      <c r="R343" s="15">
        <v>139</v>
      </c>
      <c r="S343" s="8">
        <v>0.56000000000000005</v>
      </c>
      <c r="T343">
        <v>133</v>
      </c>
      <c r="U343" s="15">
        <v>109</v>
      </c>
      <c r="V343" s="8">
        <v>0.69411764705882351</v>
      </c>
      <c r="W343">
        <f t="shared" si="5"/>
        <v>501</v>
      </c>
    </row>
    <row r="344" spans="1:23">
      <c r="A344" s="6">
        <v>45269</v>
      </c>
      <c r="B344" t="s">
        <v>67</v>
      </c>
      <c r="C344">
        <v>5</v>
      </c>
      <c r="D344">
        <v>12</v>
      </c>
      <c r="E344">
        <v>1</v>
      </c>
      <c r="F344">
        <v>0</v>
      </c>
      <c r="H344">
        <v>0</v>
      </c>
      <c r="I344">
        <v>0</v>
      </c>
      <c r="J344">
        <v>0</v>
      </c>
      <c r="K344">
        <v>0</v>
      </c>
      <c r="L344" s="7">
        <v>1</v>
      </c>
      <c r="M344" s="7">
        <v>30</v>
      </c>
      <c r="N344">
        <v>236</v>
      </c>
      <c r="O344" s="15">
        <v>208</v>
      </c>
      <c r="P344" s="8">
        <v>0.72142857142857142</v>
      </c>
      <c r="Q344">
        <v>197</v>
      </c>
      <c r="R344" s="15">
        <v>183</v>
      </c>
      <c r="S344" s="8">
        <v>0.66400000000000003</v>
      </c>
      <c r="T344">
        <v>147</v>
      </c>
      <c r="U344" s="15">
        <v>118</v>
      </c>
      <c r="V344" s="8">
        <v>0.76470588235294112</v>
      </c>
      <c r="W344">
        <f t="shared" si="5"/>
        <v>580</v>
      </c>
    </row>
    <row r="345" spans="1:23">
      <c r="A345" s="6">
        <v>45270</v>
      </c>
      <c r="B345" t="s">
        <v>60</v>
      </c>
      <c r="C345">
        <v>6</v>
      </c>
      <c r="D345">
        <v>12</v>
      </c>
      <c r="E345">
        <v>1</v>
      </c>
      <c r="F345">
        <v>0</v>
      </c>
      <c r="H345">
        <v>0</v>
      </c>
      <c r="I345">
        <v>0</v>
      </c>
      <c r="J345">
        <v>0</v>
      </c>
      <c r="K345">
        <v>0</v>
      </c>
      <c r="L345" s="7">
        <v>0</v>
      </c>
      <c r="M345" s="7">
        <v>28.4</v>
      </c>
      <c r="N345">
        <v>203</v>
      </c>
      <c r="O345" s="15">
        <v>177</v>
      </c>
      <c r="P345" s="8">
        <v>0.62142857142857144</v>
      </c>
      <c r="Q345">
        <v>190</v>
      </c>
      <c r="R345" s="15">
        <v>157</v>
      </c>
      <c r="S345" s="8">
        <v>0.61599999999999999</v>
      </c>
      <c r="T345">
        <v>141</v>
      </c>
      <c r="U345" s="15">
        <v>119</v>
      </c>
      <c r="V345" s="8">
        <v>0.74117647058823533</v>
      </c>
      <c r="W345">
        <f t="shared" si="5"/>
        <v>534</v>
      </c>
    </row>
    <row r="346" spans="1:23">
      <c r="A346" s="6">
        <v>45271</v>
      </c>
      <c r="B346" t="s">
        <v>62</v>
      </c>
      <c r="C346">
        <v>0</v>
      </c>
      <c r="D346">
        <v>12</v>
      </c>
      <c r="E346">
        <v>0</v>
      </c>
      <c r="F346">
        <v>0</v>
      </c>
      <c r="H346">
        <v>0</v>
      </c>
      <c r="I346">
        <v>0</v>
      </c>
      <c r="J346">
        <v>0</v>
      </c>
      <c r="K346">
        <v>0</v>
      </c>
      <c r="L346" s="7">
        <v>0.4</v>
      </c>
      <c r="M346" s="7">
        <v>28.6</v>
      </c>
      <c r="N346">
        <v>205</v>
      </c>
      <c r="O346" s="15">
        <v>189</v>
      </c>
      <c r="P346" s="8">
        <v>0.61428571428571432</v>
      </c>
      <c r="Q346">
        <v>165</v>
      </c>
      <c r="R346" s="15">
        <v>134</v>
      </c>
      <c r="S346" s="8">
        <v>0.56799999999999995</v>
      </c>
      <c r="T346">
        <v>128</v>
      </c>
      <c r="U346" s="15">
        <v>107</v>
      </c>
      <c r="V346" s="8">
        <v>0.6705882352941176</v>
      </c>
      <c r="W346">
        <f t="shared" si="5"/>
        <v>498</v>
      </c>
    </row>
    <row r="347" spans="1:23">
      <c r="A347" s="6">
        <v>45272</v>
      </c>
      <c r="B347" t="s">
        <v>63</v>
      </c>
      <c r="C347">
        <v>1</v>
      </c>
      <c r="D347">
        <v>12</v>
      </c>
      <c r="E347">
        <v>0</v>
      </c>
      <c r="F347">
        <v>0</v>
      </c>
      <c r="H347">
        <v>0</v>
      </c>
      <c r="I347">
        <v>0</v>
      </c>
      <c r="J347">
        <v>0</v>
      </c>
      <c r="K347">
        <v>0</v>
      </c>
      <c r="L347" s="7">
        <v>1.5</v>
      </c>
      <c r="M347" s="7">
        <v>27.9</v>
      </c>
      <c r="N347">
        <v>212</v>
      </c>
      <c r="O347" s="15">
        <v>190</v>
      </c>
      <c r="P347" s="8">
        <v>0.62857142857142856</v>
      </c>
      <c r="Q347">
        <v>178</v>
      </c>
      <c r="R347" s="15">
        <v>165</v>
      </c>
      <c r="S347" s="8">
        <v>0.6</v>
      </c>
      <c r="T347">
        <v>121</v>
      </c>
      <c r="U347" s="15">
        <v>109</v>
      </c>
      <c r="V347" s="8">
        <v>0.6470588235294118</v>
      </c>
      <c r="W347">
        <f t="shared" si="5"/>
        <v>511</v>
      </c>
    </row>
    <row r="348" spans="1:23">
      <c r="A348" s="6">
        <v>45273</v>
      </c>
      <c r="B348" t="s">
        <v>64</v>
      </c>
      <c r="C348">
        <v>2</v>
      </c>
      <c r="D348">
        <v>12</v>
      </c>
      <c r="E348">
        <v>0</v>
      </c>
      <c r="F348">
        <v>0</v>
      </c>
      <c r="H348">
        <v>0</v>
      </c>
      <c r="I348">
        <v>0</v>
      </c>
      <c r="J348">
        <v>0</v>
      </c>
      <c r="K348">
        <v>0</v>
      </c>
      <c r="L348" s="7">
        <v>0.5</v>
      </c>
      <c r="M348" s="7">
        <v>30</v>
      </c>
      <c r="N348">
        <v>203</v>
      </c>
      <c r="O348" s="15">
        <v>179</v>
      </c>
      <c r="P348" s="8">
        <v>0.6071428571428571</v>
      </c>
      <c r="Q348">
        <v>197</v>
      </c>
      <c r="R348" s="15">
        <v>177</v>
      </c>
      <c r="S348" s="8">
        <v>0.63200000000000001</v>
      </c>
      <c r="T348">
        <v>113</v>
      </c>
      <c r="U348" s="15">
        <v>100</v>
      </c>
      <c r="V348" s="8">
        <v>0.62352941176470589</v>
      </c>
      <c r="W348">
        <f t="shared" si="5"/>
        <v>513</v>
      </c>
    </row>
    <row r="349" spans="1:23">
      <c r="A349" s="6">
        <v>45274</v>
      </c>
      <c r="B349" t="s">
        <v>65</v>
      </c>
      <c r="C349">
        <v>3</v>
      </c>
      <c r="D349">
        <v>12</v>
      </c>
      <c r="E349">
        <v>0</v>
      </c>
      <c r="F349">
        <v>0</v>
      </c>
      <c r="H349">
        <v>0</v>
      </c>
      <c r="I349">
        <v>0</v>
      </c>
      <c r="J349">
        <v>0</v>
      </c>
      <c r="K349">
        <v>0</v>
      </c>
      <c r="L349" s="7">
        <v>0</v>
      </c>
      <c r="M349" s="7">
        <v>28.5</v>
      </c>
      <c r="N349">
        <v>204</v>
      </c>
      <c r="O349" s="15">
        <v>179</v>
      </c>
      <c r="P349" s="8">
        <v>0.61428571428571432</v>
      </c>
      <c r="Q349">
        <v>160</v>
      </c>
      <c r="R349" s="15">
        <v>149</v>
      </c>
      <c r="S349" s="8">
        <v>0.55200000000000005</v>
      </c>
      <c r="T349">
        <v>121</v>
      </c>
      <c r="U349" s="15">
        <v>99</v>
      </c>
      <c r="V349" s="8">
        <v>0.62352941176470589</v>
      </c>
      <c r="W349">
        <f t="shared" si="5"/>
        <v>485</v>
      </c>
    </row>
    <row r="350" spans="1:23">
      <c r="A350" s="6">
        <v>45275</v>
      </c>
      <c r="B350" t="s">
        <v>66</v>
      </c>
      <c r="C350">
        <v>4</v>
      </c>
      <c r="D350">
        <v>12</v>
      </c>
      <c r="E350">
        <v>0</v>
      </c>
      <c r="F350">
        <v>0</v>
      </c>
      <c r="H350">
        <v>1</v>
      </c>
      <c r="I350">
        <v>0</v>
      </c>
      <c r="J350">
        <v>0</v>
      </c>
      <c r="K350">
        <v>0</v>
      </c>
      <c r="L350" s="7">
        <v>3.8</v>
      </c>
      <c r="M350" s="7">
        <v>30.4</v>
      </c>
      <c r="N350">
        <v>207</v>
      </c>
      <c r="O350" s="15">
        <v>181</v>
      </c>
      <c r="P350" s="8">
        <v>0.62857142857142856</v>
      </c>
      <c r="Q350">
        <v>212</v>
      </c>
      <c r="R350" s="15">
        <v>182</v>
      </c>
      <c r="S350" s="8">
        <v>0.71199999999999997</v>
      </c>
      <c r="T350">
        <v>157</v>
      </c>
      <c r="U350" s="15">
        <v>148</v>
      </c>
      <c r="V350" s="8">
        <v>0.8</v>
      </c>
      <c r="W350">
        <f t="shared" si="5"/>
        <v>576</v>
      </c>
    </row>
    <row r="351" spans="1:23">
      <c r="A351" s="6">
        <v>45276</v>
      </c>
      <c r="B351" t="s">
        <v>67</v>
      </c>
      <c r="C351">
        <v>5</v>
      </c>
      <c r="D351">
        <v>12</v>
      </c>
      <c r="E351">
        <v>1</v>
      </c>
      <c r="F351">
        <v>0</v>
      </c>
      <c r="H351">
        <v>1</v>
      </c>
      <c r="I351">
        <v>0</v>
      </c>
      <c r="J351">
        <v>0</v>
      </c>
      <c r="K351">
        <v>0</v>
      </c>
      <c r="L351" s="7">
        <v>1.9</v>
      </c>
      <c r="M351" s="7">
        <v>30.2</v>
      </c>
      <c r="N351">
        <v>239</v>
      </c>
      <c r="O351" s="15">
        <v>205</v>
      </c>
      <c r="P351" s="8">
        <v>0.70714285714285718</v>
      </c>
      <c r="Q351">
        <v>246</v>
      </c>
      <c r="R351" s="15">
        <v>200</v>
      </c>
      <c r="S351" s="8">
        <v>0.82399999999999995</v>
      </c>
      <c r="T351">
        <v>169</v>
      </c>
      <c r="U351" s="15">
        <v>154</v>
      </c>
      <c r="V351" s="8">
        <v>0.90588235294117647</v>
      </c>
      <c r="W351">
        <f t="shared" si="5"/>
        <v>654</v>
      </c>
    </row>
    <row r="352" spans="1:23">
      <c r="A352" s="6">
        <v>45277</v>
      </c>
      <c r="B352" t="s">
        <v>60</v>
      </c>
      <c r="C352">
        <v>6</v>
      </c>
      <c r="D352">
        <v>12</v>
      </c>
      <c r="E352">
        <v>1</v>
      </c>
      <c r="F352">
        <v>0</v>
      </c>
      <c r="H352">
        <v>1</v>
      </c>
      <c r="I352">
        <v>0</v>
      </c>
      <c r="J352">
        <v>0</v>
      </c>
      <c r="K352">
        <v>0</v>
      </c>
      <c r="L352" s="7">
        <v>1</v>
      </c>
      <c r="M352" s="7">
        <v>28.4</v>
      </c>
      <c r="N352">
        <v>246</v>
      </c>
      <c r="O352" s="15">
        <v>227</v>
      </c>
      <c r="P352" s="8">
        <v>0.74285714285714288</v>
      </c>
      <c r="Q352">
        <v>228</v>
      </c>
      <c r="R352" s="15">
        <v>194</v>
      </c>
      <c r="S352" s="8">
        <v>0.752</v>
      </c>
      <c r="T352">
        <v>170</v>
      </c>
      <c r="U352" s="15">
        <v>147</v>
      </c>
      <c r="V352" s="8">
        <v>0.89411764705882357</v>
      </c>
      <c r="W352">
        <f t="shared" si="5"/>
        <v>644</v>
      </c>
    </row>
    <row r="353" spans="1:23">
      <c r="A353" s="6">
        <v>45278</v>
      </c>
      <c r="B353" t="s">
        <v>62</v>
      </c>
      <c r="C353">
        <v>0</v>
      </c>
      <c r="D353">
        <v>12</v>
      </c>
      <c r="E353">
        <v>0</v>
      </c>
      <c r="F353">
        <v>0</v>
      </c>
      <c r="H353">
        <v>1</v>
      </c>
      <c r="I353">
        <v>0</v>
      </c>
      <c r="J353">
        <v>0</v>
      </c>
      <c r="K353">
        <v>0</v>
      </c>
      <c r="L353" s="7">
        <v>0.7</v>
      </c>
      <c r="M353" s="7">
        <v>30</v>
      </c>
      <c r="N353">
        <v>221</v>
      </c>
      <c r="O353" s="15">
        <v>191</v>
      </c>
      <c r="P353" s="8">
        <v>0.6785714285714286</v>
      </c>
      <c r="Q353">
        <v>208</v>
      </c>
      <c r="R353" s="15">
        <v>168</v>
      </c>
      <c r="S353" s="8">
        <v>0.68799999999999994</v>
      </c>
      <c r="T353">
        <v>152</v>
      </c>
      <c r="U353" s="15">
        <v>123</v>
      </c>
      <c r="V353" s="8">
        <v>0.8</v>
      </c>
      <c r="W353">
        <f t="shared" si="5"/>
        <v>581</v>
      </c>
    </row>
    <row r="354" spans="1:23">
      <c r="A354" s="6">
        <v>45279</v>
      </c>
      <c r="B354" t="s">
        <v>63</v>
      </c>
      <c r="C354">
        <v>1</v>
      </c>
      <c r="D354">
        <v>12</v>
      </c>
      <c r="E354">
        <v>0</v>
      </c>
      <c r="F354">
        <v>0</v>
      </c>
      <c r="H354">
        <v>1</v>
      </c>
      <c r="I354">
        <v>0</v>
      </c>
      <c r="J354">
        <v>0</v>
      </c>
      <c r="K354">
        <v>0</v>
      </c>
      <c r="L354" s="7">
        <v>1.7</v>
      </c>
      <c r="M354" s="7">
        <v>30.1</v>
      </c>
      <c r="N354">
        <v>213</v>
      </c>
      <c r="O354" s="15">
        <v>189</v>
      </c>
      <c r="P354" s="8">
        <v>0.6428571428571429</v>
      </c>
      <c r="Q354">
        <v>234</v>
      </c>
      <c r="R354" s="15">
        <v>188</v>
      </c>
      <c r="S354" s="8">
        <v>0.76800000000000002</v>
      </c>
      <c r="T354">
        <v>147</v>
      </c>
      <c r="U354" s="15">
        <v>118</v>
      </c>
      <c r="V354" s="8">
        <v>0.76470588235294112</v>
      </c>
      <c r="W354">
        <f t="shared" si="5"/>
        <v>594</v>
      </c>
    </row>
    <row r="355" spans="1:23">
      <c r="A355" s="6">
        <v>45280</v>
      </c>
      <c r="B355" t="s">
        <v>64</v>
      </c>
      <c r="C355">
        <v>2</v>
      </c>
      <c r="D355">
        <v>12</v>
      </c>
      <c r="E355">
        <v>0</v>
      </c>
      <c r="F355">
        <v>0</v>
      </c>
      <c r="H355">
        <v>1</v>
      </c>
      <c r="I355">
        <v>0</v>
      </c>
      <c r="J355">
        <v>0</v>
      </c>
      <c r="K355">
        <v>0</v>
      </c>
      <c r="L355" s="7">
        <v>1.8</v>
      </c>
      <c r="M355" s="7">
        <v>27</v>
      </c>
      <c r="N355">
        <v>192</v>
      </c>
      <c r="O355" s="15">
        <v>180</v>
      </c>
      <c r="P355" s="8">
        <v>0.56428571428571428</v>
      </c>
      <c r="Q355">
        <v>224</v>
      </c>
      <c r="R355" s="15">
        <v>205</v>
      </c>
      <c r="S355" s="8">
        <v>0.73599999999999999</v>
      </c>
      <c r="T355">
        <v>156</v>
      </c>
      <c r="U355" s="15">
        <v>146</v>
      </c>
      <c r="V355" s="8">
        <v>0.83529411764705885</v>
      </c>
      <c r="W355">
        <f t="shared" si="5"/>
        <v>572</v>
      </c>
    </row>
    <row r="356" spans="1:23">
      <c r="A356" s="6">
        <v>45281</v>
      </c>
      <c r="B356" t="s">
        <v>65</v>
      </c>
      <c r="C356">
        <v>3</v>
      </c>
      <c r="D356">
        <v>12</v>
      </c>
      <c r="E356">
        <v>0</v>
      </c>
      <c r="F356">
        <v>0</v>
      </c>
      <c r="H356">
        <v>1</v>
      </c>
      <c r="I356">
        <v>0</v>
      </c>
      <c r="J356">
        <v>0</v>
      </c>
      <c r="K356">
        <v>0</v>
      </c>
      <c r="L356" s="7">
        <v>0</v>
      </c>
      <c r="M356" s="7">
        <v>28.8</v>
      </c>
      <c r="N356">
        <v>216</v>
      </c>
      <c r="O356" s="15">
        <v>197</v>
      </c>
      <c r="P356" s="8">
        <v>0.68571428571428572</v>
      </c>
      <c r="Q356">
        <v>207</v>
      </c>
      <c r="R356" s="15">
        <v>168</v>
      </c>
      <c r="S356" s="8">
        <v>0.68799999999999994</v>
      </c>
      <c r="T356">
        <v>156</v>
      </c>
      <c r="U356" s="15">
        <v>129</v>
      </c>
      <c r="V356" s="8">
        <v>0.81176470588235294</v>
      </c>
      <c r="W356">
        <f t="shared" si="5"/>
        <v>579</v>
      </c>
    </row>
    <row r="357" spans="1:23">
      <c r="A357" s="6">
        <v>45282</v>
      </c>
      <c r="B357" t="s">
        <v>66</v>
      </c>
      <c r="C357">
        <v>4</v>
      </c>
      <c r="D357">
        <v>12</v>
      </c>
      <c r="E357">
        <v>0</v>
      </c>
      <c r="F357">
        <v>0</v>
      </c>
      <c r="H357">
        <v>1</v>
      </c>
      <c r="I357">
        <v>0</v>
      </c>
      <c r="J357">
        <v>0</v>
      </c>
      <c r="K357">
        <v>0</v>
      </c>
      <c r="L357" s="7">
        <v>0</v>
      </c>
      <c r="M357" s="7">
        <v>29.1</v>
      </c>
      <c r="N357">
        <v>224</v>
      </c>
      <c r="O357" s="15">
        <v>204</v>
      </c>
      <c r="P357" s="8">
        <v>0.68571428571428572</v>
      </c>
      <c r="Q357">
        <v>221</v>
      </c>
      <c r="R357" s="15">
        <v>207</v>
      </c>
      <c r="S357" s="8">
        <v>0.72799999999999998</v>
      </c>
      <c r="T357">
        <v>149</v>
      </c>
      <c r="U357" s="15">
        <v>120</v>
      </c>
      <c r="V357" s="8">
        <v>0.81176470588235294</v>
      </c>
      <c r="W357">
        <f t="shared" si="5"/>
        <v>594</v>
      </c>
    </row>
    <row r="358" spans="1:23">
      <c r="A358" s="6">
        <v>45283</v>
      </c>
      <c r="B358" t="s">
        <v>67</v>
      </c>
      <c r="C358">
        <v>5</v>
      </c>
      <c r="D358">
        <v>12</v>
      </c>
      <c r="E358">
        <v>1</v>
      </c>
      <c r="F358">
        <v>0</v>
      </c>
      <c r="H358">
        <v>1</v>
      </c>
      <c r="I358">
        <v>0</v>
      </c>
      <c r="J358">
        <v>0</v>
      </c>
      <c r="K358">
        <v>0</v>
      </c>
      <c r="L358" s="7">
        <v>2.4</v>
      </c>
      <c r="M358" s="7">
        <v>29.3</v>
      </c>
      <c r="N358">
        <v>221</v>
      </c>
      <c r="O358" s="15">
        <v>193</v>
      </c>
      <c r="P358" s="8">
        <v>0.6785714285714286</v>
      </c>
      <c r="Q358">
        <v>263</v>
      </c>
      <c r="R358" s="15">
        <v>217</v>
      </c>
      <c r="S358" s="8">
        <v>0.872</v>
      </c>
      <c r="T358">
        <v>165</v>
      </c>
      <c r="U358" s="15">
        <v>141</v>
      </c>
      <c r="V358" s="8">
        <v>0.83529411764705885</v>
      </c>
      <c r="W358">
        <f t="shared" si="5"/>
        <v>649</v>
      </c>
    </row>
    <row r="359" spans="1:23">
      <c r="A359" s="6">
        <v>45284</v>
      </c>
      <c r="B359" t="s">
        <v>60</v>
      </c>
      <c r="C359">
        <v>6</v>
      </c>
      <c r="D359">
        <v>12</v>
      </c>
      <c r="E359">
        <v>1</v>
      </c>
      <c r="F359">
        <v>0</v>
      </c>
      <c r="H359">
        <v>1</v>
      </c>
      <c r="I359">
        <v>0</v>
      </c>
      <c r="J359">
        <v>0</v>
      </c>
      <c r="K359">
        <v>0</v>
      </c>
      <c r="L359" s="7">
        <v>0.7</v>
      </c>
      <c r="M359" s="7">
        <v>28.1</v>
      </c>
      <c r="N359">
        <v>235</v>
      </c>
      <c r="O359" s="15">
        <v>216</v>
      </c>
      <c r="P359" s="8">
        <v>0.72142857142857142</v>
      </c>
      <c r="Q359">
        <v>268</v>
      </c>
      <c r="R359" s="15">
        <v>235</v>
      </c>
      <c r="S359" s="8">
        <v>0.88800000000000001</v>
      </c>
      <c r="T359">
        <v>162</v>
      </c>
      <c r="U359" s="15">
        <v>142</v>
      </c>
      <c r="V359" s="8">
        <v>0.87058823529411766</v>
      </c>
      <c r="W359">
        <f t="shared" si="5"/>
        <v>665</v>
      </c>
    </row>
    <row r="360" spans="1:23">
      <c r="A360" s="6">
        <v>45285</v>
      </c>
      <c r="B360" t="s">
        <v>62</v>
      </c>
      <c r="C360">
        <v>0</v>
      </c>
      <c r="D360">
        <v>12</v>
      </c>
      <c r="E360">
        <v>0</v>
      </c>
      <c r="F360">
        <v>1</v>
      </c>
      <c r="G360" t="s">
        <v>76</v>
      </c>
      <c r="H360">
        <v>1</v>
      </c>
      <c r="I360">
        <v>0</v>
      </c>
      <c r="J360">
        <v>0</v>
      </c>
      <c r="K360">
        <v>0</v>
      </c>
      <c r="L360" s="7">
        <v>0</v>
      </c>
      <c r="M360" s="7">
        <v>28.7</v>
      </c>
      <c r="N360">
        <v>235</v>
      </c>
      <c r="O360" s="15">
        <v>192</v>
      </c>
      <c r="P360" s="8">
        <v>0.7142857142857143</v>
      </c>
      <c r="Q360">
        <v>229</v>
      </c>
      <c r="R360" s="15">
        <v>203</v>
      </c>
      <c r="S360" s="8">
        <v>0.77600000000000002</v>
      </c>
      <c r="T360">
        <v>161</v>
      </c>
      <c r="U360" s="15">
        <v>133</v>
      </c>
      <c r="V360" s="8">
        <v>0.87058823529411766</v>
      </c>
      <c r="W360">
        <f t="shared" si="5"/>
        <v>625</v>
      </c>
    </row>
    <row r="361" spans="1:23">
      <c r="A361" s="6">
        <v>45286</v>
      </c>
      <c r="B361" t="s">
        <v>63</v>
      </c>
      <c r="C361">
        <v>1</v>
      </c>
      <c r="D361">
        <v>12</v>
      </c>
      <c r="E361">
        <v>0</v>
      </c>
      <c r="F361">
        <v>0</v>
      </c>
      <c r="H361">
        <v>1</v>
      </c>
      <c r="I361">
        <v>0</v>
      </c>
      <c r="J361">
        <v>0</v>
      </c>
      <c r="K361">
        <v>0</v>
      </c>
      <c r="L361" s="7">
        <v>2</v>
      </c>
      <c r="M361" s="7">
        <v>26.8</v>
      </c>
      <c r="N361">
        <v>213</v>
      </c>
      <c r="O361" s="15">
        <v>194</v>
      </c>
      <c r="P361" s="8">
        <v>0.65</v>
      </c>
      <c r="Q361">
        <v>207</v>
      </c>
      <c r="R361" s="15">
        <v>191</v>
      </c>
      <c r="S361" s="8">
        <v>0.69599999999999995</v>
      </c>
      <c r="T361">
        <v>158</v>
      </c>
      <c r="U361" s="15">
        <v>133</v>
      </c>
      <c r="V361" s="8">
        <v>0.8</v>
      </c>
      <c r="W361">
        <f t="shared" si="5"/>
        <v>578</v>
      </c>
    </row>
    <row r="362" spans="1:23">
      <c r="A362" s="6">
        <v>45287</v>
      </c>
      <c r="B362" t="s">
        <v>64</v>
      </c>
      <c r="C362">
        <v>2</v>
      </c>
      <c r="D362">
        <v>12</v>
      </c>
      <c r="E362">
        <v>0</v>
      </c>
      <c r="F362">
        <v>0</v>
      </c>
      <c r="H362">
        <v>1</v>
      </c>
      <c r="I362">
        <v>0</v>
      </c>
      <c r="J362">
        <v>0</v>
      </c>
      <c r="K362">
        <v>0</v>
      </c>
      <c r="L362" s="7">
        <v>2.9</v>
      </c>
      <c r="M362" s="7">
        <v>30.2</v>
      </c>
      <c r="N362">
        <v>220</v>
      </c>
      <c r="O362" s="15">
        <v>180</v>
      </c>
      <c r="P362" s="8">
        <v>0.6785714285714286</v>
      </c>
      <c r="Q362">
        <v>237</v>
      </c>
      <c r="R362" s="15">
        <v>213</v>
      </c>
      <c r="S362" s="8">
        <v>0.77600000000000002</v>
      </c>
      <c r="T362">
        <v>153</v>
      </c>
      <c r="U362" s="15">
        <v>133</v>
      </c>
      <c r="V362" s="8">
        <v>0.78823529411764703</v>
      </c>
      <c r="W362">
        <f t="shared" si="5"/>
        <v>610</v>
      </c>
    </row>
    <row r="363" spans="1:23">
      <c r="A363" s="6">
        <v>45288</v>
      </c>
      <c r="B363" t="s">
        <v>65</v>
      </c>
      <c r="C363">
        <v>3</v>
      </c>
      <c r="D363">
        <v>12</v>
      </c>
      <c r="E363">
        <v>0</v>
      </c>
      <c r="F363">
        <v>0</v>
      </c>
      <c r="H363">
        <v>1</v>
      </c>
      <c r="I363">
        <v>0</v>
      </c>
      <c r="J363">
        <v>1</v>
      </c>
      <c r="K363">
        <v>0</v>
      </c>
      <c r="L363" s="7">
        <v>0</v>
      </c>
      <c r="M363" s="7">
        <v>28.2</v>
      </c>
      <c r="N363">
        <v>264</v>
      </c>
      <c r="O363" s="15">
        <v>216</v>
      </c>
      <c r="P363" s="8">
        <v>0.80714285714285716</v>
      </c>
      <c r="Q363">
        <v>275</v>
      </c>
      <c r="R363" s="15">
        <v>242</v>
      </c>
      <c r="S363" s="8">
        <v>0.88800000000000001</v>
      </c>
      <c r="T363">
        <v>181</v>
      </c>
      <c r="U363" s="15">
        <v>169</v>
      </c>
      <c r="V363" s="8">
        <v>0.96470588235294119</v>
      </c>
      <c r="W363">
        <f t="shared" si="5"/>
        <v>720</v>
      </c>
    </row>
    <row r="364" spans="1:23">
      <c r="A364" s="6">
        <v>45289</v>
      </c>
      <c r="B364" t="s">
        <v>66</v>
      </c>
      <c r="C364">
        <v>4</v>
      </c>
      <c r="D364">
        <v>12</v>
      </c>
      <c r="E364">
        <v>0</v>
      </c>
      <c r="F364">
        <v>0</v>
      </c>
      <c r="H364">
        <v>1</v>
      </c>
      <c r="I364">
        <v>0</v>
      </c>
      <c r="J364">
        <v>1</v>
      </c>
      <c r="K364">
        <v>0</v>
      </c>
      <c r="L364" s="7">
        <v>0.8</v>
      </c>
      <c r="M364" s="7">
        <v>29.3</v>
      </c>
      <c r="N364">
        <v>249</v>
      </c>
      <c r="O364" s="15">
        <v>228</v>
      </c>
      <c r="P364" s="8">
        <v>0.76428571428571423</v>
      </c>
      <c r="Q364">
        <v>273</v>
      </c>
      <c r="R364" s="15">
        <v>220</v>
      </c>
      <c r="S364" s="8">
        <v>0.91200000000000003</v>
      </c>
      <c r="T364">
        <v>183</v>
      </c>
      <c r="U364" s="15">
        <v>155</v>
      </c>
      <c r="V364" s="8">
        <v>0.96470588235294119</v>
      </c>
      <c r="W364">
        <f t="shared" si="5"/>
        <v>705</v>
      </c>
    </row>
    <row r="365" spans="1:23">
      <c r="A365" s="6">
        <v>45290</v>
      </c>
      <c r="B365" t="s">
        <v>67</v>
      </c>
      <c r="C365">
        <v>5</v>
      </c>
      <c r="D365">
        <v>12</v>
      </c>
      <c r="E365">
        <v>1</v>
      </c>
      <c r="F365">
        <v>0</v>
      </c>
      <c r="H365">
        <v>1</v>
      </c>
      <c r="I365">
        <v>0</v>
      </c>
      <c r="J365">
        <v>1</v>
      </c>
      <c r="K365">
        <v>0</v>
      </c>
      <c r="L365" s="7">
        <v>0.5</v>
      </c>
      <c r="M365" s="7">
        <v>29.1</v>
      </c>
      <c r="N365">
        <v>279</v>
      </c>
      <c r="O365" s="15">
        <v>253</v>
      </c>
      <c r="P365" s="8">
        <v>0.84285714285714286</v>
      </c>
      <c r="Q365">
        <v>284</v>
      </c>
      <c r="R365" s="15">
        <v>235</v>
      </c>
      <c r="S365" s="8">
        <v>0.94399999999999995</v>
      </c>
      <c r="T365">
        <v>192</v>
      </c>
      <c r="U365" s="15">
        <v>168</v>
      </c>
      <c r="V365" s="8">
        <v>0.96470588235294119</v>
      </c>
      <c r="W365">
        <f t="shared" si="5"/>
        <v>755</v>
      </c>
    </row>
    <row r="366" spans="1:23">
      <c r="A366" s="6">
        <v>45291</v>
      </c>
      <c r="B366" t="s">
        <v>60</v>
      </c>
      <c r="C366">
        <v>6</v>
      </c>
      <c r="D366">
        <v>12</v>
      </c>
      <c r="E366">
        <v>1</v>
      </c>
      <c r="F366">
        <v>0</v>
      </c>
      <c r="H366">
        <v>1</v>
      </c>
      <c r="I366">
        <v>0</v>
      </c>
      <c r="J366">
        <v>1</v>
      </c>
      <c r="K366">
        <v>0</v>
      </c>
      <c r="L366" s="7">
        <v>2.5</v>
      </c>
      <c r="M366" s="7">
        <v>29.1</v>
      </c>
      <c r="N366">
        <v>297</v>
      </c>
      <c r="O366" s="15">
        <v>269</v>
      </c>
      <c r="P366" s="8">
        <v>0.9</v>
      </c>
      <c r="Q366">
        <v>293</v>
      </c>
      <c r="R366" s="15">
        <v>234</v>
      </c>
      <c r="S366" s="8">
        <v>0.96799999999999997</v>
      </c>
      <c r="T366">
        <v>179</v>
      </c>
      <c r="U366" s="15">
        <v>158</v>
      </c>
      <c r="V366" s="8">
        <v>0.96470588235294119</v>
      </c>
      <c r="W366">
        <f t="shared" si="5"/>
        <v>769</v>
      </c>
    </row>
    <row r="367" spans="1:23">
      <c r="A367" s="6">
        <v>45292</v>
      </c>
      <c r="B367" t="s">
        <v>62</v>
      </c>
      <c r="C367">
        <v>0</v>
      </c>
      <c r="D367">
        <v>1</v>
      </c>
      <c r="E367">
        <v>0</v>
      </c>
      <c r="F367">
        <v>1</v>
      </c>
      <c r="G367" t="s">
        <v>61</v>
      </c>
      <c r="H367">
        <v>1</v>
      </c>
      <c r="I367">
        <v>0</v>
      </c>
      <c r="J367">
        <v>1</v>
      </c>
      <c r="K367">
        <v>0</v>
      </c>
      <c r="L367" s="7">
        <v>0</v>
      </c>
      <c r="M367" s="7">
        <v>29</v>
      </c>
      <c r="N367">
        <v>289</v>
      </c>
      <c r="O367" s="15">
        <v>253</v>
      </c>
      <c r="P367" s="8">
        <v>0.87142857142857144</v>
      </c>
      <c r="Q367">
        <v>290</v>
      </c>
      <c r="R367" s="15">
        <v>271</v>
      </c>
      <c r="S367" s="8">
        <v>0.96799999999999997</v>
      </c>
      <c r="T367">
        <v>186</v>
      </c>
      <c r="U367" s="15">
        <v>154</v>
      </c>
      <c r="V367" s="8">
        <v>0.96470588235294119</v>
      </c>
      <c r="W367">
        <f t="shared" si="5"/>
        <v>765</v>
      </c>
    </row>
    <row r="368" spans="1:23">
      <c r="A368" s="6">
        <v>45293</v>
      </c>
      <c r="B368" t="s">
        <v>63</v>
      </c>
      <c r="C368">
        <v>1</v>
      </c>
      <c r="D368">
        <v>1</v>
      </c>
      <c r="E368">
        <v>0</v>
      </c>
      <c r="F368">
        <v>0</v>
      </c>
      <c r="H368">
        <v>1</v>
      </c>
      <c r="I368">
        <v>0</v>
      </c>
      <c r="J368">
        <v>1</v>
      </c>
      <c r="K368">
        <v>0</v>
      </c>
      <c r="L368" s="7">
        <v>0.7</v>
      </c>
      <c r="M368" s="7">
        <v>27.4</v>
      </c>
      <c r="N368">
        <v>266</v>
      </c>
      <c r="O368" s="15">
        <v>215</v>
      </c>
      <c r="P368" s="8">
        <v>0.8</v>
      </c>
      <c r="Q368">
        <v>284</v>
      </c>
      <c r="R368" s="15">
        <v>244</v>
      </c>
      <c r="S368" s="8">
        <v>0.96</v>
      </c>
      <c r="T368">
        <v>180</v>
      </c>
      <c r="U368" s="15">
        <v>167</v>
      </c>
      <c r="V368" s="8">
        <v>0.96470588235294119</v>
      </c>
      <c r="W368">
        <f t="shared" si="5"/>
        <v>730</v>
      </c>
    </row>
    <row r="369" spans="1:23">
      <c r="A369" s="6">
        <v>45294</v>
      </c>
      <c r="B369" t="s">
        <v>64</v>
      </c>
      <c r="C369">
        <v>2</v>
      </c>
      <c r="D369">
        <v>1</v>
      </c>
      <c r="E369">
        <v>0</v>
      </c>
      <c r="F369">
        <v>0</v>
      </c>
      <c r="H369">
        <v>1</v>
      </c>
      <c r="I369">
        <v>0</v>
      </c>
      <c r="J369">
        <v>0</v>
      </c>
      <c r="K369">
        <v>0</v>
      </c>
      <c r="L369" s="7">
        <v>18.399999999999999</v>
      </c>
      <c r="M369" s="7">
        <v>27.6</v>
      </c>
      <c r="N369">
        <v>221</v>
      </c>
      <c r="O369" s="15">
        <v>204</v>
      </c>
      <c r="P369" s="8">
        <v>0.66428571428571426</v>
      </c>
      <c r="Q369">
        <v>225</v>
      </c>
      <c r="R369" s="15">
        <v>197</v>
      </c>
      <c r="S369" s="8">
        <v>0.73599999999999999</v>
      </c>
      <c r="T369">
        <v>157</v>
      </c>
      <c r="U369" s="15">
        <v>146</v>
      </c>
      <c r="V369" s="8">
        <v>0.82352941176470584</v>
      </c>
      <c r="W369">
        <f t="shared" si="5"/>
        <v>603</v>
      </c>
    </row>
    <row r="370" spans="1:23">
      <c r="A370" s="6">
        <v>45295</v>
      </c>
      <c r="B370" t="s">
        <v>65</v>
      </c>
      <c r="C370">
        <v>3</v>
      </c>
      <c r="D370">
        <v>1</v>
      </c>
      <c r="E370">
        <v>0</v>
      </c>
      <c r="F370">
        <v>0</v>
      </c>
      <c r="H370">
        <v>1</v>
      </c>
      <c r="I370">
        <v>0</v>
      </c>
      <c r="J370">
        <v>0</v>
      </c>
      <c r="K370">
        <v>0</v>
      </c>
      <c r="L370" s="7">
        <v>8.5</v>
      </c>
      <c r="M370" s="7">
        <v>28.6</v>
      </c>
      <c r="N370">
        <v>222</v>
      </c>
      <c r="O370" s="15">
        <v>194</v>
      </c>
      <c r="P370" s="8">
        <v>0.69285714285714284</v>
      </c>
      <c r="Q370">
        <v>234</v>
      </c>
      <c r="R370" s="15">
        <v>213</v>
      </c>
      <c r="S370" s="8">
        <v>0.78400000000000003</v>
      </c>
      <c r="T370">
        <v>170</v>
      </c>
      <c r="U370" s="15">
        <v>146</v>
      </c>
      <c r="V370" s="8">
        <v>0.85882352941176465</v>
      </c>
      <c r="W370">
        <f t="shared" si="5"/>
        <v>626</v>
      </c>
    </row>
    <row r="371" spans="1:23">
      <c r="A371" s="6">
        <v>45296</v>
      </c>
      <c r="B371" t="s">
        <v>66</v>
      </c>
      <c r="C371">
        <v>4</v>
      </c>
      <c r="D371">
        <v>1</v>
      </c>
      <c r="E371">
        <v>0</v>
      </c>
      <c r="F371">
        <v>0</v>
      </c>
      <c r="H371">
        <v>1</v>
      </c>
      <c r="I371">
        <v>0</v>
      </c>
      <c r="J371">
        <v>0</v>
      </c>
      <c r="K371">
        <v>0</v>
      </c>
      <c r="L371" s="7">
        <v>3.9</v>
      </c>
      <c r="M371" s="7">
        <v>29.4</v>
      </c>
      <c r="N371">
        <v>218</v>
      </c>
      <c r="O371" s="15">
        <v>182</v>
      </c>
      <c r="P371" s="8">
        <v>0.63571428571428568</v>
      </c>
      <c r="Q371">
        <v>231</v>
      </c>
      <c r="R371" s="15">
        <v>213</v>
      </c>
      <c r="S371" s="8">
        <v>0.76800000000000002</v>
      </c>
      <c r="T371">
        <v>152</v>
      </c>
      <c r="U371" s="15">
        <v>132</v>
      </c>
      <c r="V371" s="8">
        <v>0.78823529411764703</v>
      </c>
      <c r="W371">
        <f t="shared" si="5"/>
        <v>601</v>
      </c>
    </row>
    <row r="372" spans="1:23">
      <c r="A372" s="6">
        <v>45297</v>
      </c>
      <c r="B372" t="s">
        <v>67</v>
      </c>
      <c r="C372">
        <v>5</v>
      </c>
      <c r="D372">
        <v>1</v>
      </c>
      <c r="E372">
        <v>1</v>
      </c>
      <c r="F372">
        <v>0</v>
      </c>
      <c r="H372">
        <v>1</v>
      </c>
      <c r="I372">
        <v>0</v>
      </c>
      <c r="J372">
        <v>0</v>
      </c>
      <c r="K372">
        <v>0</v>
      </c>
      <c r="L372" s="7">
        <v>7.7</v>
      </c>
      <c r="M372" s="7">
        <v>28.7</v>
      </c>
      <c r="N372">
        <v>242</v>
      </c>
      <c r="O372" s="15">
        <v>219</v>
      </c>
      <c r="P372" s="8">
        <v>0.75</v>
      </c>
      <c r="Q372">
        <v>246</v>
      </c>
      <c r="R372" s="15">
        <v>229</v>
      </c>
      <c r="S372" s="8">
        <v>0.81599999999999995</v>
      </c>
      <c r="T372">
        <v>178</v>
      </c>
      <c r="U372" s="15">
        <v>153</v>
      </c>
      <c r="V372" s="8">
        <v>0.95294117647058818</v>
      </c>
      <c r="W372">
        <f t="shared" si="5"/>
        <v>666</v>
      </c>
    </row>
    <row r="373" spans="1:23">
      <c r="A373" s="6">
        <v>45298</v>
      </c>
      <c r="B373" t="s">
        <v>60</v>
      </c>
      <c r="C373">
        <v>6</v>
      </c>
      <c r="D373">
        <v>1</v>
      </c>
      <c r="E373">
        <v>1</v>
      </c>
      <c r="F373">
        <v>0</v>
      </c>
      <c r="H373">
        <v>1</v>
      </c>
      <c r="I373">
        <v>0</v>
      </c>
      <c r="J373">
        <v>0</v>
      </c>
      <c r="K373">
        <v>0</v>
      </c>
      <c r="L373" s="7">
        <v>0.2</v>
      </c>
      <c r="M373" s="7">
        <v>28.6</v>
      </c>
      <c r="N373">
        <v>245</v>
      </c>
      <c r="O373" s="15">
        <v>203</v>
      </c>
      <c r="P373" s="8">
        <v>0.75</v>
      </c>
      <c r="Q373">
        <v>264</v>
      </c>
      <c r="R373" s="15">
        <v>236</v>
      </c>
      <c r="S373" s="8">
        <v>0.88</v>
      </c>
      <c r="T373">
        <v>175</v>
      </c>
      <c r="U373" s="15">
        <v>164</v>
      </c>
      <c r="V373" s="8">
        <v>0.91764705882352937</v>
      </c>
      <c r="W373">
        <f t="shared" si="5"/>
        <v>684</v>
      </c>
    </row>
    <row r="374" spans="1:23">
      <c r="A374" s="6">
        <v>45299</v>
      </c>
      <c r="B374" t="s">
        <v>62</v>
      </c>
      <c r="C374">
        <v>0</v>
      </c>
      <c r="D374">
        <v>1</v>
      </c>
      <c r="E374">
        <v>0</v>
      </c>
      <c r="F374">
        <v>0</v>
      </c>
      <c r="H374">
        <v>1</v>
      </c>
      <c r="I374">
        <v>0</v>
      </c>
      <c r="J374">
        <v>0</v>
      </c>
      <c r="K374">
        <v>0</v>
      </c>
      <c r="L374" s="7">
        <v>13</v>
      </c>
      <c r="M374" s="7">
        <v>29.1</v>
      </c>
      <c r="N374">
        <v>185</v>
      </c>
      <c r="O374" s="15">
        <v>168</v>
      </c>
      <c r="P374" s="8">
        <v>0.56428571428571428</v>
      </c>
      <c r="Q374">
        <v>218</v>
      </c>
      <c r="R374" s="15">
        <v>193</v>
      </c>
      <c r="S374" s="8">
        <v>0.72</v>
      </c>
      <c r="T374">
        <v>154</v>
      </c>
      <c r="U374" s="15">
        <v>124</v>
      </c>
      <c r="V374" s="8">
        <v>0.82352941176470584</v>
      </c>
      <c r="W374">
        <f t="shared" si="5"/>
        <v>557</v>
      </c>
    </row>
    <row r="375" spans="1:23">
      <c r="A375" s="6">
        <v>45300</v>
      </c>
      <c r="B375" t="s">
        <v>63</v>
      </c>
      <c r="C375">
        <v>1</v>
      </c>
      <c r="D375">
        <v>1</v>
      </c>
      <c r="E375">
        <v>0</v>
      </c>
      <c r="F375">
        <v>0</v>
      </c>
      <c r="H375">
        <v>1</v>
      </c>
      <c r="I375">
        <v>0</v>
      </c>
      <c r="J375">
        <v>0</v>
      </c>
      <c r="K375">
        <v>0</v>
      </c>
      <c r="L375" s="7">
        <v>0</v>
      </c>
      <c r="M375" s="7">
        <v>27.9</v>
      </c>
      <c r="N375">
        <v>209</v>
      </c>
      <c r="O375" s="15">
        <v>171</v>
      </c>
      <c r="P375" s="8">
        <v>0.6428571428571429</v>
      </c>
      <c r="Q375">
        <v>210</v>
      </c>
      <c r="R375" s="15">
        <v>180</v>
      </c>
      <c r="S375" s="8">
        <v>0.70399999999999996</v>
      </c>
      <c r="T375">
        <v>155</v>
      </c>
      <c r="U375" s="15">
        <v>145</v>
      </c>
      <c r="V375" s="8">
        <v>0.85882352941176465</v>
      </c>
      <c r="W375">
        <f t="shared" si="5"/>
        <v>574</v>
      </c>
    </row>
    <row r="376" spans="1:23">
      <c r="A376" s="6">
        <v>45301</v>
      </c>
      <c r="B376" t="s">
        <v>64</v>
      </c>
      <c r="C376">
        <v>2</v>
      </c>
      <c r="D376">
        <v>1</v>
      </c>
      <c r="E376">
        <v>0</v>
      </c>
      <c r="F376">
        <v>0</v>
      </c>
      <c r="H376">
        <v>1</v>
      </c>
      <c r="I376">
        <v>0</v>
      </c>
      <c r="J376">
        <v>0</v>
      </c>
      <c r="K376">
        <v>0</v>
      </c>
      <c r="L376" s="7">
        <v>3.2</v>
      </c>
      <c r="M376" s="7">
        <v>27.8</v>
      </c>
      <c r="N376">
        <v>235</v>
      </c>
      <c r="O376" s="15">
        <v>195</v>
      </c>
      <c r="P376" s="8">
        <v>0.70714285714285718</v>
      </c>
      <c r="Q376">
        <v>218</v>
      </c>
      <c r="R376" s="15">
        <v>187</v>
      </c>
      <c r="S376" s="8">
        <v>0.74399999999999999</v>
      </c>
      <c r="T376">
        <v>147</v>
      </c>
      <c r="U376" s="15">
        <v>133</v>
      </c>
      <c r="V376" s="8">
        <v>0.77647058823529413</v>
      </c>
      <c r="W376">
        <f t="shared" si="5"/>
        <v>600</v>
      </c>
    </row>
    <row r="377" spans="1:23">
      <c r="A377" s="6">
        <v>45302</v>
      </c>
      <c r="B377" t="s">
        <v>65</v>
      </c>
      <c r="C377">
        <v>3</v>
      </c>
      <c r="D377">
        <v>1</v>
      </c>
      <c r="E377">
        <v>0</v>
      </c>
      <c r="F377">
        <v>0</v>
      </c>
      <c r="H377">
        <v>1</v>
      </c>
      <c r="I377">
        <v>0</v>
      </c>
      <c r="J377">
        <v>0</v>
      </c>
      <c r="K377">
        <v>0</v>
      </c>
      <c r="L377" s="7">
        <v>0</v>
      </c>
      <c r="M377" s="7">
        <v>28.8</v>
      </c>
      <c r="N377">
        <v>222</v>
      </c>
      <c r="O377" s="15">
        <v>183</v>
      </c>
      <c r="P377" s="8">
        <v>0.68571428571428572</v>
      </c>
      <c r="Q377">
        <v>220</v>
      </c>
      <c r="R377" s="15">
        <v>205</v>
      </c>
      <c r="S377" s="8">
        <v>0.74399999999999999</v>
      </c>
      <c r="T377">
        <v>160</v>
      </c>
      <c r="U377" s="15">
        <v>131</v>
      </c>
      <c r="V377" s="8">
        <v>0.84705882352941175</v>
      </c>
      <c r="W377">
        <f t="shared" si="5"/>
        <v>602</v>
      </c>
    </row>
    <row r="378" spans="1:23">
      <c r="A378" s="6">
        <v>45303</v>
      </c>
      <c r="B378" t="s">
        <v>66</v>
      </c>
      <c r="C378">
        <v>4</v>
      </c>
      <c r="D378">
        <v>1</v>
      </c>
      <c r="E378">
        <v>0</v>
      </c>
      <c r="F378">
        <v>0</v>
      </c>
      <c r="H378">
        <v>1</v>
      </c>
      <c r="I378">
        <v>0</v>
      </c>
      <c r="J378">
        <v>0</v>
      </c>
      <c r="K378">
        <v>0</v>
      </c>
      <c r="L378" s="7">
        <v>2.5</v>
      </c>
      <c r="M378" s="7">
        <v>29.9</v>
      </c>
      <c r="N378">
        <v>227</v>
      </c>
      <c r="O378" s="15">
        <v>186</v>
      </c>
      <c r="P378" s="8">
        <v>0.7</v>
      </c>
      <c r="Q378">
        <v>237</v>
      </c>
      <c r="R378" s="15">
        <v>192</v>
      </c>
      <c r="S378" s="8">
        <v>0.79200000000000004</v>
      </c>
      <c r="T378">
        <v>153</v>
      </c>
      <c r="U378" s="15">
        <v>125</v>
      </c>
      <c r="V378" s="8">
        <v>0.8</v>
      </c>
      <c r="W378">
        <f t="shared" si="5"/>
        <v>617</v>
      </c>
    </row>
    <row r="379" spans="1:23">
      <c r="A379" s="6">
        <v>45304</v>
      </c>
      <c r="B379" t="s">
        <v>67</v>
      </c>
      <c r="C379">
        <v>5</v>
      </c>
      <c r="D379">
        <v>1</v>
      </c>
      <c r="E379">
        <v>1</v>
      </c>
      <c r="F379">
        <v>0</v>
      </c>
      <c r="H379">
        <v>1</v>
      </c>
      <c r="I379">
        <v>0</v>
      </c>
      <c r="J379">
        <v>0</v>
      </c>
      <c r="K379">
        <v>0</v>
      </c>
      <c r="L379" s="7">
        <v>4.4000000000000004</v>
      </c>
      <c r="M379" s="7">
        <v>28.7</v>
      </c>
      <c r="N379">
        <v>255</v>
      </c>
      <c r="O379" s="15">
        <v>226</v>
      </c>
      <c r="P379" s="8">
        <v>0.76428571428571423</v>
      </c>
      <c r="Q379">
        <v>264</v>
      </c>
      <c r="R379" s="15">
        <v>244</v>
      </c>
      <c r="S379" s="8">
        <v>0.88</v>
      </c>
      <c r="T379">
        <v>184</v>
      </c>
      <c r="U379" s="15">
        <v>172</v>
      </c>
      <c r="V379" s="8">
        <v>0.96470588235294119</v>
      </c>
      <c r="W379">
        <f t="shared" si="5"/>
        <v>703</v>
      </c>
    </row>
    <row r="380" spans="1:23">
      <c r="A380" s="6">
        <v>45305</v>
      </c>
      <c r="B380" t="s">
        <v>60</v>
      </c>
      <c r="C380">
        <v>6</v>
      </c>
      <c r="D380">
        <v>1</v>
      </c>
      <c r="E380">
        <v>1</v>
      </c>
      <c r="F380">
        <v>0</v>
      </c>
      <c r="H380">
        <v>1</v>
      </c>
      <c r="I380">
        <v>0</v>
      </c>
      <c r="J380">
        <v>0</v>
      </c>
      <c r="K380">
        <v>0</v>
      </c>
      <c r="L380" s="7">
        <v>0</v>
      </c>
      <c r="M380" s="7">
        <v>28.4</v>
      </c>
      <c r="N380">
        <v>257</v>
      </c>
      <c r="O380" s="15">
        <v>228</v>
      </c>
      <c r="P380" s="8">
        <v>0.7857142857142857</v>
      </c>
      <c r="Q380">
        <v>245</v>
      </c>
      <c r="R380" s="15">
        <v>222</v>
      </c>
      <c r="S380" s="8">
        <v>0.84</v>
      </c>
      <c r="T380">
        <v>193</v>
      </c>
      <c r="U380" s="15">
        <v>170</v>
      </c>
      <c r="V380" s="8">
        <v>0.96470588235294119</v>
      </c>
      <c r="W380">
        <f t="shared" si="5"/>
        <v>695</v>
      </c>
    </row>
    <row r="381" spans="1:23">
      <c r="A381" s="6">
        <v>45306</v>
      </c>
      <c r="B381" t="s">
        <v>62</v>
      </c>
      <c r="C381">
        <v>0</v>
      </c>
      <c r="D381">
        <v>1</v>
      </c>
      <c r="E381">
        <v>0</v>
      </c>
      <c r="F381">
        <v>0</v>
      </c>
      <c r="H381">
        <v>1</v>
      </c>
      <c r="I381">
        <v>0</v>
      </c>
      <c r="J381">
        <v>0</v>
      </c>
      <c r="K381">
        <v>0</v>
      </c>
      <c r="L381" s="7">
        <v>7.2</v>
      </c>
      <c r="M381" s="7">
        <v>29</v>
      </c>
      <c r="N381">
        <v>233</v>
      </c>
      <c r="O381" s="15">
        <v>218</v>
      </c>
      <c r="P381" s="8">
        <v>0.70714285714285718</v>
      </c>
      <c r="Q381">
        <v>238</v>
      </c>
      <c r="R381" s="15">
        <v>203</v>
      </c>
      <c r="S381" s="8">
        <v>0.8</v>
      </c>
      <c r="T381">
        <v>166</v>
      </c>
      <c r="U381" s="15">
        <v>147</v>
      </c>
      <c r="V381" s="8">
        <v>0.83529411764705885</v>
      </c>
      <c r="W381">
        <f t="shared" si="5"/>
        <v>637</v>
      </c>
    </row>
    <row r="382" spans="1:23">
      <c r="A382" s="6">
        <v>45307</v>
      </c>
      <c r="B382" t="s">
        <v>63</v>
      </c>
      <c r="C382">
        <v>1</v>
      </c>
      <c r="D382">
        <v>1</v>
      </c>
      <c r="E382">
        <v>0</v>
      </c>
      <c r="F382">
        <v>0</v>
      </c>
      <c r="H382">
        <v>1</v>
      </c>
      <c r="I382">
        <v>0</v>
      </c>
      <c r="J382">
        <v>0</v>
      </c>
      <c r="K382">
        <v>0</v>
      </c>
      <c r="L382" s="7">
        <v>0</v>
      </c>
      <c r="M382" s="7">
        <v>28.6</v>
      </c>
      <c r="N382">
        <v>230</v>
      </c>
      <c r="O382" s="15">
        <v>190</v>
      </c>
      <c r="P382" s="8">
        <v>0.70714285714285718</v>
      </c>
      <c r="Q382">
        <v>216</v>
      </c>
      <c r="R382" s="15">
        <v>176</v>
      </c>
      <c r="S382" s="8">
        <v>0.73599999999999999</v>
      </c>
      <c r="T382">
        <v>140</v>
      </c>
      <c r="U382" s="15">
        <v>130</v>
      </c>
      <c r="V382" s="8">
        <v>0.75294117647058822</v>
      </c>
      <c r="W382">
        <f t="shared" si="5"/>
        <v>586</v>
      </c>
    </row>
    <row r="383" spans="1:23">
      <c r="A383" s="6">
        <v>45308</v>
      </c>
      <c r="B383" t="s">
        <v>64</v>
      </c>
      <c r="C383">
        <v>2</v>
      </c>
      <c r="D383">
        <v>1</v>
      </c>
      <c r="E383">
        <v>0</v>
      </c>
      <c r="F383">
        <v>0</v>
      </c>
      <c r="H383">
        <v>1</v>
      </c>
      <c r="I383">
        <v>0</v>
      </c>
      <c r="J383">
        <v>0</v>
      </c>
      <c r="K383">
        <v>0</v>
      </c>
      <c r="L383" s="7">
        <v>9.6</v>
      </c>
      <c r="M383" s="7">
        <v>27.7</v>
      </c>
      <c r="N383">
        <v>217</v>
      </c>
      <c r="O383" s="15">
        <v>196</v>
      </c>
      <c r="P383" s="8">
        <v>0.6785714285714286</v>
      </c>
      <c r="Q383">
        <v>195</v>
      </c>
      <c r="R383" s="15">
        <v>182</v>
      </c>
      <c r="S383" s="8">
        <v>0.67200000000000004</v>
      </c>
      <c r="T383">
        <v>158</v>
      </c>
      <c r="U383" s="15">
        <v>139</v>
      </c>
      <c r="V383" s="8">
        <v>0.84705882352941175</v>
      </c>
      <c r="W383">
        <f t="shared" si="5"/>
        <v>570</v>
      </c>
    </row>
    <row r="384" spans="1:23">
      <c r="A384" s="6">
        <v>45309</v>
      </c>
      <c r="B384" t="s">
        <v>65</v>
      </c>
      <c r="C384">
        <v>3</v>
      </c>
      <c r="D384">
        <v>1</v>
      </c>
      <c r="E384">
        <v>0</v>
      </c>
      <c r="F384">
        <v>0</v>
      </c>
      <c r="H384">
        <v>1</v>
      </c>
      <c r="I384">
        <v>0</v>
      </c>
      <c r="J384">
        <v>0</v>
      </c>
      <c r="K384">
        <v>0</v>
      </c>
      <c r="L384" s="7">
        <v>6.1</v>
      </c>
      <c r="M384" s="7">
        <v>28.7</v>
      </c>
      <c r="N384">
        <v>216</v>
      </c>
      <c r="O384" s="15">
        <v>173</v>
      </c>
      <c r="P384" s="8">
        <v>0.63571428571428568</v>
      </c>
      <c r="Q384">
        <v>213</v>
      </c>
      <c r="R384" s="15">
        <v>198</v>
      </c>
      <c r="S384" s="8">
        <v>0.72</v>
      </c>
      <c r="T384">
        <v>165</v>
      </c>
      <c r="U384" s="15">
        <v>139</v>
      </c>
      <c r="V384" s="8">
        <v>0.84705882352941175</v>
      </c>
      <c r="W384">
        <f t="shared" si="5"/>
        <v>594</v>
      </c>
    </row>
    <row r="385" spans="1:23">
      <c r="A385" s="6">
        <v>45310</v>
      </c>
      <c r="B385" t="s">
        <v>66</v>
      </c>
      <c r="C385">
        <v>4</v>
      </c>
      <c r="D385">
        <v>1</v>
      </c>
      <c r="E385">
        <v>0</v>
      </c>
      <c r="F385">
        <v>0</v>
      </c>
      <c r="H385">
        <v>1</v>
      </c>
      <c r="I385">
        <v>0</v>
      </c>
      <c r="J385">
        <v>0</v>
      </c>
      <c r="K385">
        <v>0</v>
      </c>
      <c r="L385" s="7">
        <v>6.8</v>
      </c>
      <c r="M385" s="7">
        <v>27.6</v>
      </c>
      <c r="N385">
        <v>219</v>
      </c>
      <c r="O385" s="15">
        <v>186</v>
      </c>
      <c r="P385" s="8">
        <v>0.65714285714285714</v>
      </c>
      <c r="Q385">
        <v>222</v>
      </c>
      <c r="R385" s="15">
        <v>198</v>
      </c>
      <c r="S385" s="8">
        <v>0.752</v>
      </c>
      <c r="T385">
        <v>172</v>
      </c>
      <c r="U385" s="15">
        <v>141</v>
      </c>
      <c r="V385" s="8">
        <v>0.87058823529411766</v>
      </c>
      <c r="W385">
        <f t="shared" si="5"/>
        <v>613</v>
      </c>
    </row>
    <row r="386" spans="1:23">
      <c r="A386" s="6">
        <v>45311</v>
      </c>
      <c r="B386" t="s">
        <v>67</v>
      </c>
      <c r="C386">
        <v>5</v>
      </c>
      <c r="D386">
        <v>1</v>
      </c>
      <c r="E386">
        <v>1</v>
      </c>
      <c r="F386">
        <v>0</v>
      </c>
      <c r="H386">
        <v>1</v>
      </c>
      <c r="I386">
        <v>0</v>
      </c>
      <c r="J386">
        <v>0</v>
      </c>
      <c r="K386">
        <v>0</v>
      </c>
      <c r="L386" s="7">
        <v>0</v>
      </c>
      <c r="M386" s="7">
        <v>29.1</v>
      </c>
      <c r="N386">
        <v>262</v>
      </c>
      <c r="O386" s="15">
        <v>243</v>
      </c>
      <c r="P386" s="8">
        <v>0.79285714285714282</v>
      </c>
      <c r="Q386">
        <v>263</v>
      </c>
      <c r="R386" s="15">
        <v>246</v>
      </c>
      <c r="S386" s="8">
        <v>0.86399999999999999</v>
      </c>
      <c r="T386">
        <v>173</v>
      </c>
      <c r="U386" s="15">
        <v>145</v>
      </c>
      <c r="V386" s="8">
        <v>0.92941176470588238</v>
      </c>
      <c r="W386">
        <f t="shared" ref="W386:W449" si="6">N386+Q386+T386</f>
        <v>698</v>
      </c>
    </row>
    <row r="387" spans="1:23">
      <c r="A387" s="6">
        <v>45312</v>
      </c>
      <c r="B387" t="s">
        <v>60</v>
      </c>
      <c r="C387">
        <v>6</v>
      </c>
      <c r="D387">
        <v>1</v>
      </c>
      <c r="E387">
        <v>1</v>
      </c>
      <c r="F387">
        <v>0</v>
      </c>
      <c r="H387">
        <v>1</v>
      </c>
      <c r="I387">
        <v>0</v>
      </c>
      <c r="J387">
        <v>0</v>
      </c>
      <c r="K387">
        <v>0</v>
      </c>
      <c r="L387" s="7">
        <v>9.6999999999999993</v>
      </c>
      <c r="M387" s="7">
        <v>28.4</v>
      </c>
      <c r="N387">
        <v>251</v>
      </c>
      <c r="O387" s="15">
        <v>222</v>
      </c>
      <c r="P387" s="8">
        <v>0.76428571428571423</v>
      </c>
      <c r="Q387">
        <v>283</v>
      </c>
      <c r="R387" s="15">
        <v>261</v>
      </c>
      <c r="S387" s="8">
        <v>0.92</v>
      </c>
      <c r="T387">
        <v>185</v>
      </c>
      <c r="U387" s="15">
        <v>152</v>
      </c>
      <c r="V387" s="8">
        <v>0.96470588235294119</v>
      </c>
      <c r="W387">
        <f t="shared" si="6"/>
        <v>719</v>
      </c>
    </row>
    <row r="388" spans="1:23">
      <c r="A388" s="6">
        <v>45313</v>
      </c>
      <c r="B388" t="s">
        <v>62</v>
      </c>
      <c r="C388">
        <v>0</v>
      </c>
      <c r="D388">
        <v>1</v>
      </c>
      <c r="E388">
        <v>0</v>
      </c>
      <c r="F388">
        <v>0</v>
      </c>
      <c r="H388">
        <v>1</v>
      </c>
      <c r="I388">
        <v>0</v>
      </c>
      <c r="J388">
        <v>0</v>
      </c>
      <c r="K388">
        <v>0</v>
      </c>
      <c r="L388" s="7">
        <v>4.2</v>
      </c>
      <c r="M388" s="7">
        <v>27.7</v>
      </c>
      <c r="N388">
        <v>219</v>
      </c>
      <c r="O388" s="15">
        <v>196</v>
      </c>
      <c r="P388" s="8">
        <v>0.66428571428571426</v>
      </c>
      <c r="Q388">
        <v>215</v>
      </c>
      <c r="R388" s="15">
        <v>188</v>
      </c>
      <c r="S388" s="8">
        <v>0.73599999999999999</v>
      </c>
      <c r="T388">
        <v>169</v>
      </c>
      <c r="U388" s="15">
        <v>146</v>
      </c>
      <c r="V388" s="8">
        <v>0.88235294117647056</v>
      </c>
      <c r="W388">
        <f t="shared" si="6"/>
        <v>603</v>
      </c>
    </row>
    <row r="389" spans="1:23">
      <c r="A389" s="6">
        <v>45314</v>
      </c>
      <c r="B389" t="s">
        <v>63</v>
      </c>
      <c r="C389">
        <v>1</v>
      </c>
      <c r="D389">
        <v>1</v>
      </c>
      <c r="E389">
        <v>0</v>
      </c>
      <c r="F389">
        <v>0</v>
      </c>
      <c r="H389">
        <v>1</v>
      </c>
      <c r="I389">
        <v>0</v>
      </c>
      <c r="J389">
        <v>0</v>
      </c>
      <c r="K389">
        <v>0</v>
      </c>
      <c r="L389" s="7">
        <v>0</v>
      </c>
      <c r="M389" s="7">
        <v>27.9</v>
      </c>
      <c r="N389">
        <v>253</v>
      </c>
      <c r="O389" s="15">
        <v>231</v>
      </c>
      <c r="P389" s="8">
        <v>0.75</v>
      </c>
      <c r="Q389">
        <v>236</v>
      </c>
      <c r="R389" s="15">
        <v>210</v>
      </c>
      <c r="S389" s="8">
        <v>0.77600000000000002</v>
      </c>
      <c r="T389">
        <v>161</v>
      </c>
      <c r="U389" s="15">
        <v>135</v>
      </c>
      <c r="V389" s="8">
        <v>0.85882352941176465</v>
      </c>
      <c r="W389">
        <f t="shared" si="6"/>
        <v>650</v>
      </c>
    </row>
    <row r="390" spans="1:23">
      <c r="A390" s="6">
        <v>45315</v>
      </c>
      <c r="B390" t="s">
        <v>64</v>
      </c>
      <c r="C390">
        <v>2</v>
      </c>
      <c r="D390">
        <v>1</v>
      </c>
      <c r="E390">
        <v>0</v>
      </c>
      <c r="F390">
        <v>0</v>
      </c>
      <c r="H390">
        <v>1</v>
      </c>
      <c r="I390">
        <v>0</v>
      </c>
      <c r="J390">
        <v>0</v>
      </c>
      <c r="K390">
        <v>0</v>
      </c>
      <c r="L390" s="7">
        <v>7.4</v>
      </c>
      <c r="M390" s="7">
        <v>27.6</v>
      </c>
      <c r="N390">
        <v>223</v>
      </c>
      <c r="O390" s="15">
        <v>192</v>
      </c>
      <c r="P390" s="8">
        <v>0.69285714285714284</v>
      </c>
      <c r="Q390">
        <v>218</v>
      </c>
      <c r="R390" s="15">
        <v>184</v>
      </c>
      <c r="S390" s="8">
        <v>0.72</v>
      </c>
      <c r="T390">
        <v>161</v>
      </c>
      <c r="U390" s="15">
        <v>147</v>
      </c>
      <c r="V390" s="8">
        <v>0.84705882352941175</v>
      </c>
      <c r="W390">
        <f t="shared" si="6"/>
        <v>602</v>
      </c>
    </row>
    <row r="391" spans="1:23">
      <c r="A391" s="6">
        <v>45316</v>
      </c>
      <c r="B391" t="s">
        <v>65</v>
      </c>
      <c r="C391">
        <v>3</v>
      </c>
      <c r="D391">
        <v>1</v>
      </c>
      <c r="E391">
        <v>0</v>
      </c>
      <c r="F391">
        <v>0</v>
      </c>
      <c r="H391">
        <v>1</v>
      </c>
      <c r="I391">
        <v>0</v>
      </c>
      <c r="J391">
        <v>0</v>
      </c>
      <c r="K391">
        <v>0</v>
      </c>
      <c r="L391" s="7">
        <v>12.5</v>
      </c>
      <c r="M391" s="7">
        <v>27.3</v>
      </c>
      <c r="N391">
        <v>235</v>
      </c>
      <c r="O391" s="15">
        <v>197</v>
      </c>
      <c r="P391" s="8">
        <v>0.73571428571428577</v>
      </c>
      <c r="Q391">
        <v>232</v>
      </c>
      <c r="R391" s="15">
        <v>207</v>
      </c>
      <c r="S391" s="8">
        <v>0.76800000000000002</v>
      </c>
      <c r="T391">
        <v>152</v>
      </c>
      <c r="U391" s="15">
        <v>128</v>
      </c>
      <c r="V391" s="8">
        <v>0.81176470588235294</v>
      </c>
      <c r="W391">
        <f t="shared" si="6"/>
        <v>619</v>
      </c>
    </row>
    <row r="392" spans="1:23">
      <c r="A392" s="6">
        <v>45317</v>
      </c>
      <c r="B392" t="s">
        <v>66</v>
      </c>
      <c r="C392">
        <v>4</v>
      </c>
      <c r="D392">
        <v>1</v>
      </c>
      <c r="E392">
        <v>0</v>
      </c>
      <c r="F392">
        <v>0</v>
      </c>
      <c r="H392">
        <v>1</v>
      </c>
      <c r="I392">
        <v>0</v>
      </c>
      <c r="J392">
        <v>0</v>
      </c>
      <c r="K392">
        <v>0</v>
      </c>
      <c r="L392" s="7">
        <v>0</v>
      </c>
      <c r="M392" s="7">
        <v>26.8</v>
      </c>
      <c r="N392">
        <v>219</v>
      </c>
      <c r="O392" s="15">
        <v>190</v>
      </c>
      <c r="P392" s="8">
        <v>0.66428571428571426</v>
      </c>
      <c r="Q392">
        <v>217</v>
      </c>
      <c r="R392" s="15">
        <v>178</v>
      </c>
      <c r="S392" s="8">
        <v>0.74399999999999999</v>
      </c>
      <c r="T392">
        <v>164</v>
      </c>
      <c r="U392" s="15">
        <v>150</v>
      </c>
      <c r="V392" s="8">
        <v>0.82352941176470584</v>
      </c>
      <c r="W392">
        <f t="shared" si="6"/>
        <v>600</v>
      </c>
    </row>
    <row r="393" spans="1:23">
      <c r="A393" s="6">
        <v>45318</v>
      </c>
      <c r="B393" t="s">
        <v>67</v>
      </c>
      <c r="C393">
        <v>5</v>
      </c>
      <c r="D393">
        <v>1</v>
      </c>
      <c r="E393">
        <v>1</v>
      </c>
      <c r="F393">
        <v>0</v>
      </c>
      <c r="H393">
        <v>1</v>
      </c>
      <c r="I393">
        <v>0</v>
      </c>
      <c r="J393">
        <v>0</v>
      </c>
      <c r="K393">
        <v>0</v>
      </c>
      <c r="L393" s="7">
        <v>3.6</v>
      </c>
      <c r="M393" s="7">
        <v>28.9</v>
      </c>
      <c r="N393">
        <v>253</v>
      </c>
      <c r="O393" s="15">
        <v>237</v>
      </c>
      <c r="P393" s="8">
        <v>0.77857142857142858</v>
      </c>
      <c r="Q393">
        <v>268</v>
      </c>
      <c r="R393" s="15">
        <v>218</v>
      </c>
      <c r="S393" s="8">
        <v>0.88800000000000001</v>
      </c>
      <c r="T393">
        <v>181</v>
      </c>
      <c r="U393" s="15">
        <v>148</v>
      </c>
      <c r="V393" s="8">
        <v>0.95294117647058818</v>
      </c>
      <c r="W393">
        <f t="shared" si="6"/>
        <v>702</v>
      </c>
    </row>
    <row r="394" spans="1:23">
      <c r="A394" s="6">
        <v>45319</v>
      </c>
      <c r="B394" t="s">
        <v>60</v>
      </c>
      <c r="C394">
        <v>6</v>
      </c>
      <c r="D394">
        <v>1</v>
      </c>
      <c r="E394">
        <v>1</v>
      </c>
      <c r="F394">
        <v>0</v>
      </c>
      <c r="H394">
        <v>1</v>
      </c>
      <c r="I394">
        <v>0</v>
      </c>
      <c r="J394">
        <v>0</v>
      </c>
      <c r="K394">
        <v>0</v>
      </c>
      <c r="L394" s="7">
        <v>0</v>
      </c>
      <c r="M394" s="7">
        <v>28</v>
      </c>
      <c r="N394">
        <v>261</v>
      </c>
      <c r="O394" s="15">
        <v>242</v>
      </c>
      <c r="P394" s="8">
        <v>0.8</v>
      </c>
      <c r="Q394">
        <v>244</v>
      </c>
      <c r="R394" s="15">
        <v>202</v>
      </c>
      <c r="S394" s="8">
        <v>0.84</v>
      </c>
      <c r="T394">
        <v>179</v>
      </c>
      <c r="U394" s="15">
        <v>165</v>
      </c>
      <c r="V394" s="8">
        <v>0.94117647058823528</v>
      </c>
      <c r="W394">
        <f t="shared" si="6"/>
        <v>684</v>
      </c>
    </row>
    <row r="395" spans="1:23">
      <c r="A395" s="6">
        <v>45320</v>
      </c>
      <c r="B395" t="s">
        <v>62</v>
      </c>
      <c r="C395">
        <v>0</v>
      </c>
      <c r="D395">
        <v>1</v>
      </c>
      <c r="E395">
        <v>0</v>
      </c>
      <c r="F395">
        <v>0</v>
      </c>
      <c r="H395">
        <v>1</v>
      </c>
      <c r="I395">
        <v>0</v>
      </c>
      <c r="J395">
        <v>0</v>
      </c>
      <c r="K395">
        <v>0</v>
      </c>
      <c r="L395" s="7">
        <v>0</v>
      </c>
      <c r="M395" s="7">
        <v>28.1</v>
      </c>
      <c r="N395">
        <v>243</v>
      </c>
      <c r="O395" s="15">
        <v>216</v>
      </c>
      <c r="P395" s="8">
        <v>0.7142857142857143</v>
      </c>
      <c r="Q395">
        <v>207</v>
      </c>
      <c r="R395" s="15">
        <v>168</v>
      </c>
      <c r="S395" s="8">
        <v>0.68799999999999994</v>
      </c>
      <c r="T395">
        <v>151</v>
      </c>
      <c r="U395" s="15">
        <v>122</v>
      </c>
      <c r="V395" s="8">
        <v>0.82352941176470584</v>
      </c>
      <c r="W395">
        <f t="shared" si="6"/>
        <v>601</v>
      </c>
    </row>
    <row r="396" spans="1:23">
      <c r="A396" s="6">
        <v>45321</v>
      </c>
      <c r="B396" t="s">
        <v>63</v>
      </c>
      <c r="C396">
        <v>1</v>
      </c>
      <c r="D396">
        <v>1</v>
      </c>
      <c r="E396">
        <v>0</v>
      </c>
      <c r="F396">
        <v>0</v>
      </c>
      <c r="H396">
        <v>1</v>
      </c>
      <c r="I396">
        <v>0</v>
      </c>
      <c r="J396">
        <v>0</v>
      </c>
      <c r="K396">
        <v>0</v>
      </c>
      <c r="L396" s="7">
        <v>6.9</v>
      </c>
      <c r="M396" s="7">
        <v>28</v>
      </c>
      <c r="N396">
        <v>219</v>
      </c>
      <c r="O396" s="15">
        <v>205</v>
      </c>
      <c r="P396" s="8">
        <v>0.67142857142857137</v>
      </c>
      <c r="Q396">
        <v>205</v>
      </c>
      <c r="R396" s="15">
        <v>191</v>
      </c>
      <c r="S396" s="8">
        <v>0.67200000000000004</v>
      </c>
      <c r="T396">
        <v>153</v>
      </c>
      <c r="U396" s="15">
        <v>125</v>
      </c>
      <c r="V396" s="8">
        <v>0.82352941176470584</v>
      </c>
      <c r="W396">
        <f t="shared" si="6"/>
        <v>577</v>
      </c>
    </row>
    <row r="397" spans="1:23">
      <c r="A397" s="6">
        <v>45322</v>
      </c>
      <c r="B397" t="s">
        <v>64</v>
      </c>
      <c r="C397">
        <v>2</v>
      </c>
      <c r="D397">
        <v>1</v>
      </c>
      <c r="E397">
        <v>0</v>
      </c>
      <c r="F397">
        <v>0</v>
      </c>
      <c r="H397">
        <v>1</v>
      </c>
      <c r="I397">
        <v>0</v>
      </c>
      <c r="J397">
        <v>0</v>
      </c>
      <c r="K397">
        <v>0</v>
      </c>
      <c r="L397" s="7">
        <v>0.8</v>
      </c>
      <c r="M397" s="7">
        <v>27.6</v>
      </c>
      <c r="N397">
        <v>204</v>
      </c>
      <c r="O397" s="15">
        <v>169</v>
      </c>
      <c r="P397" s="8">
        <v>0.61428571428571432</v>
      </c>
      <c r="Q397">
        <v>232</v>
      </c>
      <c r="R397" s="15">
        <v>192</v>
      </c>
      <c r="S397" s="8">
        <v>0.76</v>
      </c>
      <c r="T397">
        <v>165</v>
      </c>
      <c r="U397" s="15">
        <v>144</v>
      </c>
      <c r="V397" s="8">
        <v>0.85882352941176465</v>
      </c>
      <c r="W397">
        <f t="shared" si="6"/>
        <v>601</v>
      </c>
    </row>
    <row r="398" spans="1:23">
      <c r="A398" s="6">
        <v>45323</v>
      </c>
      <c r="B398" t="s">
        <v>65</v>
      </c>
      <c r="C398">
        <v>3</v>
      </c>
      <c r="D398">
        <v>2</v>
      </c>
      <c r="E398">
        <v>0</v>
      </c>
      <c r="F398">
        <v>0</v>
      </c>
      <c r="H398">
        <v>0</v>
      </c>
      <c r="I398">
        <v>0</v>
      </c>
      <c r="J398">
        <v>0</v>
      </c>
      <c r="K398">
        <v>0</v>
      </c>
      <c r="L398" s="7">
        <v>6.9</v>
      </c>
      <c r="M398" s="7">
        <v>28.2</v>
      </c>
      <c r="N398">
        <v>189</v>
      </c>
      <c r="O398" s="15">
        <v>172</v>
      </c>
      <c r="P398" s="8">
        <v>0.58571428571428574</v>
      </c>
      <c r="Q398">
        <v>188</v>
      </c>
      <c r="R398" s="15">
        <v>154</v>
      </c>
      <c r="S398" s="8">
        <v>0.61599999999999999</v>
      </c>
      <c r="T398">
        <v>112</v>
      </c>
      <c r="U398" s="15">
        <v>93</v>
      </c>
      <c r="V398" s="8">
        <v>0.6</v>
      </c>
      <c r="W398">
        <f t="shared" si="6"/>
        <v>489</v>
      </c>
    </row>
    <row r="399" spans="1:23">
      <c r="A399" s="6">
        <v>45324</v>
      </c>
      <c r="B399" t="s">
        <v>66</v>
      </c>
      <c r="C399">
        <v>4</v>
      </c>
      <c r="D399">
        <v>2</v>
      </c>
      <c r="E399">
        <v>0</v>
      </c>
      <c r="F399">
        <v>0</v>
      </c>
      <c r="H399">
        <v>0</v>
      </c>
      <c r="I399">
        <v>0</v>
      </c>
      <c r="J399">
        <v>0</v>
      </c>
      <c r="K399">
        <v>0</v>
      </c>
      <c r="L399" s="7">
        <v>5.8</v>
      </c>
      <c r="M399" s="7">
        <v>30.1</v>
      </c>
      <c r="N399">
        <v>198</v>
      </c>
      <c r="O399" s="15">
        <v>167</v>
      </c>
      <c r="P399" s="8">
        <v>0.6</v>
      </c>
      <c r="Q399">
        <v>181</v>
      </c>
      <c r="R399" s="15">
        <v>163</v>
      </c>
      <c r="S399" s="8">
        <v>0.6</v>
      </c>
      <c r="T399">
        <v>124</v>
      </c>
      <c r="U399" s="15">
        <v>112</v>
      </c>
      <c r="V399" s="8">
        <v>0.6705882352941176</v>
      </c>
      <c r="W399">
        <f t="shared" si="6"/>
        <v>503</v>
      </c>
    </row>
    <row r="400" spans="1:23">
      <c r="A400" s="6">
        <v>45325</v>
      </c>
      <c r="B400" t="s">
        <v>67</v>
      </c>
      <c r="C400">
        <v>5</v>
      </c>
      <c r="D400">
        <v>2</v>
      </c>
      <c r="E400">
        <v>1</v>
      </c>
      <c r="F400">
        <v>0</v>
      </c>
      <c r="H400">
        <v>0</v>
      </c>
      <c r="I400">
        <v>0</v>
      </c>
      <c r="J400">
        <v>0</v>
      </c>
      <c r="K400">
        <v>0</v>
      </c>
      <c r="L400" s="7">
        <v>0</v>
      </c>
      <c r="M400" s="7">
        <v>28</v>
      </c>
      <c r="N400">
        <v>215</v>
      </c>
      <c r="O400" s="15">
        <v>198</v>
      </c>
      <c r="P400" s="8">
        <v>0.6428571428571429</v>
      </c>
      <c r="Q400">
        <v>202</v>
      </c>
      <c r="R400" s="15">
        <v>175</v>
      </c>
      <c r="S400" s="8">
        <v>0.66400000000000003</v>
      </c>
      <c r="T400">
        <v>151</v>
      </c>
      <c r="U400" s="15">
        <v>122</v>
      </c>
      <c r="V400" s="8">
        <v>0.8</v>
      </c>
      <c r="W400">
        <f t="shared" si="6"/>
        <v>568</v>
      </c>
    </row>
    <row r="401" spans="1:23">
      <c r="A401" s="6">
        <v>45326</v>
      </c>
      <c r="B401" t="s">
        <v>60</v>
      </c>
      <c r="C401">
        <v>6</v>
      </c>
      <c r="D401">
        <v>2</v>
      </c>
      <c r="E401">
        <v>1</v>
      </c>
      <c r="F401">
        <v>0</v>
      </c>
      <c r="H401">
        <v>0</v>
      </c>
      <c r="I401">
        <v>0</v>
      </c>
      <c r="J401">
        <v>0</v>
      </c>
      <c r="K401">
        <v>0</v>
      </c>
      <c r="L401" s="7">
        <v>10.3</v>
      </c>
      <c r="M401" s="7">
        <v>28.3</v>
      </c>
      <c r="N401">
        <v>230</v>
      </c>
      <c r="O401" s="15">
        <v>190</v>
      </c>
      <c r="P401" s="8">
        <v>0.70714285714285718</v>
      </c>
      <c r="Q401">
        <v>198</v>
      </c>
      <c r="R401" s="15">
        <v>173</v>
      </c>
      <c r="S401" s="8">
        <v>0.68</v>
      </c>
      <c r="T401">
        <v>173</v>
      </c>
      <c r="U401" s="15">
        <v>160</v>
      </c>
      <c r="V401" s="8">
        <v>0.91764705882352937</v>
      </c>
      <c r="W401">
        <f t="shared" si="6"/>
        <v>601</v>
      </c>
    </row>
    <row r="402" spans="1:23">
      <c r="A402" s="6">
        <v>45327</v>
      </c>
      <c r="B402" t="s">
        <v>62</v>
      </c>
      <c r="C402">
        <v>0</v>
      </c>
      <c r="D402">
        <v>2</v>
      </c>
      <c r="E402">
        <v>0</v>
      </c>
      <c r="F402">
        <v>0</v>
      </c>
      <c r="H402">
        <v>0</v>
      </c>
      <c r="I402">
        <v>0</v>
      </c>
      <c r="J402">
        <v>0</v>
      </c>
      <c r="K402">
        <v>0</v>
      </c>
      <c r="L402" s="7">
        <v>0</v>
      </c>
      <c r="M402" s="7">
        <v>28.1</v>
      </c>
      <c r="N402">
        <v>219</v>
      </c>
      <c r="O402" s="15">
        <v>195</v>
      </c>
      <c r="P402" s="8">
        <v>0.66428571428571426</v>
      </c>
      <c r="Q402">
        <v>183</v>
      </c>
      <c r="R402" s="15">
        <v>155</v>
      </c>
      <c r="S402" s="8">
        <v>0.60799999999999998</v>
      </c>
      <c r="T402">
        <v>127</v>
      </c>
      <c r="U402" s="15">
        <v>111</v>
      </c>
      <c r="V402" s="8">
        <v>0.6588235294117647</v>
      </c>
      <c r="W402">
        <f t="shared" si="6"/>
        <v>529</v>
      </c>
    </row>
    <row r="403" spans="1:23">
      <c r="A403" s="6">
        <v>45328</v>
      </c>
      <c r="B403" t="s">
        <v>63</v>
      </c>
      <c r="C403">
        <v>1</v>
      </c>
      <c r="D403">
        <v>2</v>
      </c>
      <c r="E403">
        <v>0</v>
      </c>
      <c r="F403">
        <v>0</v>
      </c>
      <c r="H403">
        <v>0</v>
      </c>
      <c r="I403">
        <v>0</v>
      </c>
      <c r="J403">
        <v>0</v>
      </c>
      <c r="K403">
        <v>0</v>
      </c>
      <c r="L403" s="7">
        <v>15.4</v>
      </c>
      <c r="M403" s="7">
        <v>28</v>
      </c>
      <c r="N403">
        <v>197</v>
      </c>
      <c r="O403" s="15">
        <v>162</v>
      </c>
      <c r="P403" s="8">
        <v>0.59285714285714286</v>
      </c>
      <c r="Q403">
        <v>187</v>
      </c>
      <c r="R403" s="15">
        <v>158</v>
      </c>
      <c r="S403" s="8">
        <v>0.60799999999999998</v>
      </c>
      <c r="T403">
        <v>133</v>
      </c>
      <c r="U403" s="15">
        <v>117</v>
      </c>
      <c r="V403" s="8">
        <v>0.70588235294117652</v>
      </c>
      <c r="W403">
        <f t="shared" si="6"/>
        <v>517</v>
      </c>
    </row>
    <row r="404" spans="1:23">
      <c r="A404" s="6">
        <v>45329</v>
      </c>
      <c r="B404" t="s">
        <v>64</v>
      </c>
      <c r="C404">
        <v>2</v>
      </c>
      <c r="D404">
        <v>2</v>
      </c>
      <c r="E404">
        <v>0</v>
      </c>
      <c r="F404">
        <v>0</v>
      </c>
      <c r="H404">
        <v>0</v>
      </c>
      <c r="I404">
        <v>0</v>
      </c>
      <c r="J404">
        <v>0</v>
      </c>
      <c r="K404">
        <v>0</v>
      </c>
      <c r="L404" s="7">
        <v>0</v>
      </c>
      <c r="M404" s="7">
        <v>28.2</v>
      </c>
      <c r="N404">
        <v>221</v>
      </c>
      <c r="O404" s="15">
        <v>185</v>
      </c>
      <c r="P404" s="8">
        <v>0.65714285714285714</v>
      </c>
      <c r="Q404">
        <v>170</v>
      </c>
      <c r="R404" s="15">
        <v>150</v>
      </c>
      <c r="S404" s="8">
        <v>0.56799999999999995</v>
      </c>
      <c r="T404">
        <v>137</v>
      </c>
      <c r="U404" s="15">
        <v>128</v>
      </c>
      <c r="V404" s="8">
        <v>0.72941176470588232</v>
      </c>
      <c r="W404">
        <f t="shared" si="6"/>
        <v>528</v>
      </c>
    </row>
    <row r="405" spans="1:23">
      <c r="A405" s="6">
        <v>45330</v>
      </c>
      <c r="B405" t="s">
        <v>65</v>
      </c>
      <c r="C405">
        <v>3</v>
      </c>
      <c r="D405">
        <v>2</v>
      </c>
      <c r="E405">
        <v>0</v>
      </c>
      <c r="F405">
        <v>0</v>
      </c>
      <c r="H405">
        <v>0</v>
      </c>
      <c r="I405">
        <v>0</v>
      </c>
      <c r="J405">
        <v>0</v>
      </c>
      <c r="K405">
        <v>0</v>
      </c>
      <c r="L405" s="7">
        <v>0</v>
      </c>
      <c r="M405" s="7">
        <v>27.8</v>
      </c>
      <c r="N405">
        <v>205</v>
      </c>
      <c r="O405" s="15">
        <v>168</v>
      </c>
      <c r="P405" s="8">
        <v>0.62142857142857144</v>
      </c>
      <c r="Q405">
        <v>186</v>
      </c>
      <c r="R405" s="15">
        <v>159</v>
      </c>
      <c r="S405" s="8">
        <v>0.63200000000000001</v>
      </c>
      <c r="T405">
        <v>117</v>
      </c>
      <c r="U405" s="15">
        <v>106</v>
      </c>
      <c r="V405" s="8">
        <v>0.6705882352941176</v>
      </c>
      <c r="W405">
        <f t="shared" si="6"/>
        <v>508</v>
      </c>
    </row>
    <row r="406" spans="1:23">
      <c r="A406" s="6">
        <v>45331</v>
      </c>
      <c r="B406" t="s">
        <v>66</v>
      </c>
      <c r="C406">
        <v>4</v>
      </c>
      <c r="D406">
        <v>2</v>
      </c>
      <c r="E406">
        <v>0</v>
      </c>
      <c r="F406">
        <v>0</v>
      </c>
      <c r="H406">
        <v>0</v>
      </c>
      <c r="I406">
        <v>1</v>
      </c>
      <c r="J406">
        <v>0</v>
      </c>
      <c r="K406">
        <v>0</v>
      </c>
      <c r="L406" s="7">
        <v>2.2999999999999998</v>
      </c>
      <c r="M406" s="7">
        <v>28</v>
      </c>
      <c r="N406">
        <v>211</v>
      </c>
      <c r="O406" s="15">
        <v>169</v>
      </c>
      <c r="P406" s="8">
        <v>0.6428571428571429</v>
      </c>
      <c r="Q406">
        <v>206</v>
      </c>
      <c r="R406" s="15">
        <v>166</v>
      </c>
      <c r="S406" s="8">
        <v>0.68799999999999994</v>
      </c>
      <c r="T406">
        <v>143</v>
      </c>
      <c r="U406" s="15">
        <v>123</v>
      </c>
      <c r="V406" s="8">
        <v>0.75294117647058822</v>
      </c>
      <c r="W406">
        <f t="shared" si="6"/>
        <v>560</v>
      </c>
    </row>
    <row r="407" spans="1:23">
      <c r="A407" s="6">
        <v>45332</v>
      </c>
      <c r="B407" t="s">
        <v>67</v>
      </c>
      <c r="C407">
        <v>5</v>
      </c>
      <c r="D407">
        <v>2</v>
      </c>
      <c r="E407">
        <v>1</v>
      </c>
      <c r="F407">
        <v>0</v>
      </c>
      <c r="H407">
        <v>0</v>
      </c>
      <c r="I407">
        <v>1</v>
      </c>
      <c r="J407">
        <v>0</v>
      </c>
      <c r="K407">
        <v>0</v>
      </c>
      <c r="L407" s="7">
        <v>20.8</v>
      </c>
      <c r="M407" s="7">
        <v>27.7</v>
      </c>
      <c r="N407">
        <v>237</v>
      </c>
      <c r="O407" s="15">
        <v>217</v>
      </c>
      <c r="P407" s="8">
        <v>0.72857142857142854</v>
      </c>
      <c r="Q407">
        <v>225</v>
      </c>
      <c r="R407" s="15">
        <v>184</v>
      </c>
      <c r="S407" s="8">
        <v>0.752</v>
      </c>
      <c r="T407">
        <v>182</v>
      </c>
      <c r="U407" s="15">
        <v>161</v>
      </c>
      <c r="V407" s="8">
        <v>0.91764705882352937</v>
      </c>
      <c r="W407">
        <f t="shared" si="6"/>
        <v>644</v>
      </c>
    </row>
    <row r="408" spans="1:23">
      <c r="A408" s="6">
        <v>45333</v>
      </c>
      <c r="B408" t="s">
        <v>60</v>
      </c>
      <c r="C408">
        <v>6</v>
      </c>
      <c r="D408">
        <v>2</v>
      </c>
      <c r="E408">
        <v>1</v>
      </c>
      <c r="F408">
        <v>0</v>
      </c>
      <c r="H408">
        <v>0</v>
      </c>
      <c r="I408">
        <v>1</v>
      </c>
      <c r="J408">
        <v>0</v>
      </c>
      <c r="K408">
        <v>0</v>
      </c>
      <c r="L408" s="7">
        <v>2.5</v>
      </c>
      <c r="M408" s="7">
        <v>27.1</v>
      </c>
      <c r="N408">
        <v>251</v>
      </c>
      <c r="O408" s="15">
        <v>230</v>
      </c>
      <c r="P408" s="8">
        <v>0.77142857142857146</v>
      </c>
      <c r="Q408">
        <v>235</v>
      </c>
      <c r="R408" s="15">
        <v>201</v>
      </c>
      <c r="S408" s="8">
        <v>0.76800000000000002</v>
      </c>
      <c r="T408">
        <v>153</v>
      </c>
      <c r="U408" s="15">
        <v>138</v>
      </c>
      <c r="V408" s="8">
        <v>0.8</v>
      </c>
      <c r="W408">
        <f t="shared" si="6"/>
        <v>639</v>
      </c>
    </row>
    <row r="409" spans="1:23">
      <c r="A409" s="6">
        <v>45334</v>
      </c>
      <c r="B409" t="s">
        <v>62</v>
      </c>
      <c r="C409">
        <v>0</v>
      </c>
      <c r="D409">
        <v>2</v>
      </c>
      <c r="E409">
        <v>0</v>
      </c>
      <c r="F409">
        <v>0</v>
      </c>
      <c r="H409">
        <v>0</v>
      </c>
      <c r="I409">
        <v>1</v>
      </c>
      <c r="J409">
        <v>0</v>
      </c>
      <c r="K409">
        <v>0</v>
      </c>
      <c r="L409" s="7">
        <v>0.8</v>
      </c>
      <c r="M409" s="7">
        <v>27.7</v>
      </c>
      <c r="N409">
        <v>214</v>
      </c>
      <c r="O409" s="15">
        <v>176</v>
      </c>
      <c r="P409" s="8">
        <v>0.65</v>
      </c>
      <c r="Q409">
        <v>224</v>
      </c>
      <c r="R409" s="15">
        <v>196</v>
      </c>
      <c r="S409" s="8">
        <v>0.74399999999999999</v>
      </c>
      <c r="T409">
        <v>141</v>
      </c>
      <c r="U409" s="15">
        <v>113</v>
      </c>
      <c r="V409" s="8">
        <v>0.71764705882352942</v>
      </c>
      <c r="W409">
        <f t="shared" si="6"/>
        <v>579</v>
      </c>
    </row>
    <row r="410" spans="1:23">
      <c r="A410" s="6">
        <v>45335</v>
      </c>
      <c r="B410" t="s">
        <v>63</v>
      </c>
      <c r="C410">
        <v>1</v>
      </c>
      <c r="D410">
        <v>2</v>
      </c>
      <c r="E410">
        <v>0</v>
      </c>
      <c r="F410">
        <v>0</v>
      </c>
      <c r="H410">
        <v>0</v>
      </c>
      <c r="I410">
        <v>1</v>
      </c>
      <c r="J410">
        <v>0</v>
      </c>
      <c r="K410">
        <v>0</v>
      </c>
      <c r="L410" s="7">
        <v>0.3</v>
      </c>
      <c r="M410" s="7">
        <v>28.8</v>
      </c>
      <c r="N410">
        <v>233</v>
      </c>
      <c r="O410" s="15">
        <v>217</v>
      </c>
      <c r="P410" s="8">
        <v>0.7142857142857143</v>
      </c>
      <c r="Q410">
        <v>191</v>
      </c>
      <c r="R410" s="15">
        <v>164</v>
      </c>
      <c r="S410" s="8">
        <v>0.64</v>
      </c>
      <c r="T410">
        <v>141</v>
      </c>
      <c r="U410" s="15">
        <v>119</v>
      </c>
      <c r="V410" s="8">
        <v>0.72941176470588232</v>
      </c>
      <c r="W410">
        <f t="shared" si="6"/>
        <v>565</v>
      </c>
    </row>
    <row r="411" spans="1:23">
      <c r="A411" s="6">
        <v>45336</v>
      </c>
      <c r="B411" t="s">
        <v>64</v>
      </c>
      <c r="C411">
        <v>2</v>
      </c>
      <c r="D411">
        <v>2</v>
      </c>
      <c r="E411">
        <v>0</v>
      </c>
      <c r="F411">
        <v>0</v>
      </c>
      <c r="H411">
        <v>0</v>
      </c>
      <c r="I411">
        <v>0</v>
      </c>
      <c r="J411">
        <v>0</v>
      </c>
      <c r="K411">
        <v>0</v>
      </c>
      <c r="L411" s="7">
        <v>11</v>
      </c>
      <c r="M411" s="7">
        <v>28.2</v>
      </c>
      <c r="N411">
        <v>198</v>
      </c>
      <c r="O411" s="15">
        <v>180</v>
      </c>
      <c r="P411" s="8">
        <v>0.58571428571428574</v>
      </c>
      <c r="Q411">
        <v>165</v>
      </c>
      <c r="R411" s="15">
        <v>144</v>
      </c>
      <c r="S411" s="8">
        <v>0.56799999999999995</v>
      </c>
      <c r="T411">
        <v>142</v>
      </c>
      <c r="U411" s="15">
        <v>123</v>
      </c>
      <c r="V411" s="8">
        <v>0.71764705882352942</v>
      </c>
      <c r="W411">
        <f t="shared" si="6"/>
        <v>505</v>
      </c>
    </row>
    <row r="412" spans="1:23">
      <c r="A412" s="6">
        <v>45337</v>
      </c>
      <c r="B412" t="s">
        <v>65</v>
      </c>
      <c r="C412">
        <v>3</v>
      </c>
      <c r="D412">
        <v>2</v>
      </c>
      <c r="E412">
        <v>0</v>
      </c>
      <c r="F412">
        <v>0</v>
      </c>
      <c r="H412">
        <v>0</v>
      </c>
      <c r="I412">
        <v>0</v>
      </c>
      <c r="J412">
        <v>0</v>
      </c>
      <c r="K412">
        <v>0</v>
      </c>
      <c r="L412" s="7">
        <v>5.9</v>
      </c>
      <c r="M412" s="7">
        <v>26.4</v>
      </c>
      <c r="N412">
        <v>221</v>
      </c>
      <c r="O412" s="15">
        <v>202</v>
      </c>
      <c r="P412" s="8">
        <v>0.68571428571428572</v>
      </c>
      <c r="Q412">
        <v>168</v>
      </c>
      <c r="R412" s="15">
        <v>146</v>
      </c>
      <c r="S412" s="8">
        <v>0.56799999999999995</v>
      </c>
      <c r="T412">
        <v>120</v>
      </c>
      <c r="U412" s="15">
        <v>104</v>
      </c>
      <c r="V412" s="8">
        <v>0.6588235294117647</v>
      </c>
      <c r="W412">
        <f t="shared" si="6"/>
        <v>509</v>
      </c>
    </row>
    <row r="413" spans="1:23">
      <c r="A413" s="6">
        <v>45338</v>
      </c>
      <c r="B413" t="s">
        <v>66</v>
      </c>
      <c r="C413">
        <v>4</v>
      </c>
      <c r="D413">
        <v>2</v>
      </c>
      <c r="E413">
        <v>0</v>
      </c>
      <c r="F413">
        <v>0</v>
      </c>
      <c r="H413">
        <v>0</v>
      </c>
      <c r="I413">
        <v>0</v>
      </c>
      <c r="J413">
        <v>0</v>
      </c>
      <c r="K413">
        <v>0</v>
      </c>
      <c r="L413" s="7">
        <v>0</v>
      </c>
      <c r="M413" s="7">
        <v>29.2</v>
      </c>
      <c r="N413">
        <v>202</v>
      </c>
      <c r="O413" s="15">
        <v>188</v>
      </c>
      <c r="P413" s="8">
        <v>0.61428571428571432</v>
      </c>
      <c r="Q413">
        <v>178</v>
      </c>
      <c r="R413" s="15">
        <v>148</v>
      </c>
      <c r="S413" s="8">
        <v>0.6</v>
      </c>
      <c r="T413">
        <v>132</v>
      </c>
      <c r="U413" s="15">
        <v>112</v>
      </c>
      <c r="V413" s="8">
        <v>0.68235294117647061</v>
      </c>
      <c r="W413">
        <f t="shared" si="6"/>
        <v>512</v>
      </c>
    </row>
    <row r="414" spans="1:23">
      <c r="A414" s="6">
        <v>45339</v>
      </c>
      <c r="B414" t="s">
        <v>67</v>
      </c>
      <c r="C414">
        <v>5</v>
      </c>
      <c r="D414">
        <v>2</v>
      </c>
      <c r="E414">
        <v>1</v>
      </c>
      <c r="F414">
        <v>0</v>
      </c>
      <c r="H414">
        <v>0</v>
      </c>
      <c r="I414">
        <v>0</v>
      </c>
      <c r="J414">
        <v>0</v>
      </c>
      <c r="K414">
        <v>0</v>
      </c>
      <c r="L414" s="7">
        <v>4.0999999999999996</v>
      </c>
      <c r="M414" s="7">
        <v>28.4</v>
      </c>
      <c r="N414">
        <v>231</v>
      </c>
      <c r="O414" s="15">
        <v>196</v>
      </c>
      <c r="P414" s="8">
        <v>0.7142857142857143</v>
      </c>
      <c r="Q414">
        <v>198</v>
      </c>
      <c r="R414" s="15">
        <v>172</v>
      </c>
      <c r="S414" s="8">
        <v>0.66400000000000003</v>
      </c>
      <c r="T414">
        <v>137</v>
      </c>
      <c r="U414" s="15">
        <v>126</v>
      </c>
      <c r="V414" s="8">
        <v>0.72941176470588232</v>
      </c>
      <c r="W414">
        <f t="shared" si="6"/>
        <v>566</v>
      </c>
    </row>
    <row r="415" spans="1:23">
      <c r="A415" s="6">
        <v>45340</v>
      </c>
      <c r="B415" t="s">
        <v>60</v>
      </c>
      <c r="C415">
        <v>6</v>
      </c>
      <c r="D415">
        <v>2</v>
      </c>
      <c r="E415">
        <v>1</v>
      </c>
      <c r="F415">
        <v>0</v>
      </c>
      <c r="H415">
        <v>0</v>
      </c>
      <c r="I415">
        <v>0</v>
      </c>
      <c r="J415">
        <v>0</v>
      </c>
      <c r="K415">
        <v>0</v>
      </c>
      <c r="L415" s="7">
        <v>0</v>
      </c>
      <c r="M415" s="7">
        <v>29.2</v>
      </c>
      <c r="N415">
        <v>236</v>
      </c>
      <c r="O415" s="15">
        <v>211</v>
      </c>
      <c r="P415" s="8">
        <v>0.70714285714285718</v>
      </c>
      <c r="Q415">
        <v>202</v>
      </c>
      <c r="R415" s="15">
        <v>175</v>
      </c>
      <c r="S415" s="8">
        <v>0.66400000000000003</v>
      </c>
      <c r="T415">
        <v>133</v>
      </c>
      <c r="U415" s="15">
        <v>111</v>
      </c>
      <c r="V415" s="8">
        <v>0.69411764705882351</v>
      </c>
      <c r="W415">
        <f t="shared" si="6"/>
        <v>571</v>
      </c>
    </row>
    <row r="416" spans="1:23">
      <c r="A416" s="6">
        <v>45341</v>
      </c>
      <c r="B416" t="s">
        <v>62</v>
      </c>
      <c r="C416">
        <v>0</v>
      </c>
      <c r="D416">
        <v>2</v>
      </c>
      <c r="E416">
        <v>0</v>
      </c>
      <c r="F416">
        <v>0</v>
      </c>
      <c r="H416">
        <v>0</v>
      </c>
      <c r="I416">
        <v>0</v>
      </c>
      <c r="J416">
        <v>0</v>
      </c>
      <c r="K416">
        <v>0</v>
      </c>
      <c r="L416" s="7">
        <v>0</v>
      </c>
      <c r="M416" s="7">
        <v>27.8</v>
      </c>
      <c r="N416">
        <v>182</v>
      </c>
      <c r="O416" s="15">
        <v>147</v>
      </c>
      <c r="P416" s="8">
        <v>0.5714285714285714</v>
      </c>
      <c r="Q416">
        <v>149</v>
      </c>
      <c r="R416" s="15">
        <v>132</v>
      </c>
      <c r="S416" s="8">
        <v>0.496</v>
      </c>
      <c r="T416">
        <v>121</v>
      </c>
      <c r="U416" s="15">
        <v>109</v>
      </c>
      <c r="V416" s="8">
        <v>0.63529411764705879</v>
      </c>
      <c r="W416">
        <f t="shared" si="6"/>
        <v>452</v>
      </c>
    </row>
    <row r="417" spans="1:23">
      <c r="A417" s="6">
        <v>45342</v>
      </c>
      <c r="B417" t="s">
        <v>63</v>
      </c>
      <c r="C417">
        <v>1</v>
      </c>
      <c r="D417">
        <v>2</v>
      </c>
      <c r="E417">
        <v>0</v>
      </c>
      <c r="F417">
        <v>0</v>
      </c>
      <c r="H417">
        <v>0</v>
      </c>
      <c r="I417">
        <v>0</v>
      </c>
      <c r="J417">
        <v>0</v>
      </c>
      <c r="K417">
        <v>0</v>
      </c>
      <c r="L417" s="7">
        <v>5.8</v>
      </c>
      <c r="M417" s="7">
        <v>27.1</v>
      </c>
      <c r="N417">
        <v>195</v>
      </c>
      <c r="O417" s="15">
        <v>165</v>
      </c>
      <c r="P417" s="8">
        <v>0.5714285714285714</v>
      </c>
      <c r="Q417">
        <v>160</v>
      </c>
      <c r="R417" s="15">
        <v>144</v>
      </c>
      <c r="S417" s="8">
        <v>0.53600000000000003</v>
      </c>
      <c r="T417">
        <v>121</v>
      </c>
      <c r="U417" s="15">
        <v>102</v>
      </c>
      <c r="V417" s="8">
        <v>0.6470588235294118</v>
      </c>
      <c r="W417">
        <f t="shared" si="6"/>
        <v>476</v>
      </c>
    </row>
    <row r="418" spans="1:23">
      <c r="A418" s="6">
        <v>45343</v>
      </c>
      <c r="B418" t="s">
        <v>64</v>
      </c>
      <c r="C418">
        <v>2</v>
      </c>
      <c r="D418">
        <v>2</v>
      </c>
      <c r="E418">
        <v>0</v>
      </c>
      <c r="F418">
        <v>0</v>
      </c>
      <c r="H418">
        <v>0</v>
      </c>
      <c r="I418">
        <v>0</v>
      </c>
      <c r="J418">
        <v>0</v>
      </c>
      <c r="K418">
        <v>0</v>
      </c>
      <c r="L418" s="7">
        <v>6.3</v>
      </c>
      <c r="M418" s="7">
        <v>26.5</v>
      </c>
      <c r="N418">
        <v>196</v>
      </c>
      <c r="O418" s="15">
        <v>164</v>
      </c>
      <c r="P418" s="8">
        <v>0.58571428571428574</v>
      </c>
      <c r="Q418">
        <v>153</v>
      </c>
      <c r="R418" s="15">
        <v>143</v>
      </c>
      <c r="S418" s="8">
        <v>0.53600000000000003</v>
      </c>
      <c r="T418">
        <v>113</v>
      </c>
      <c r="U418" s="15">
        <v>101</v>
      </c>
      <c r="V418" s="8">
        <v>0.58823529411764708</v>
      </c>
      <c r="W418">
        <f t="shared" si="6"/>
        <v>462</v>
      </c>
    </row>
    <row r="419" spans="1:23">
      <c r="A419" s="6">
        <v>45344</v>
      </c>
      <c r="B419" t="s">
        <v>65</v>
      </c>
      <c r="C419">
        <v>3</v>
      </c>
      <c r="D419">
        <v>2</v>
      </c>
      <c r="E419">
        <v>0</v>
      </c>
      <c r="F419">
        <v>0</v>
      </c>
      <c r="H419">
        <v>0</v>
      </c>
      <c r="I419">
        <v>0</v>
      </c>
      <c r="J419">
        <v>0</v>
      </c>
      <c r="K419">
        <v>0</v>
      </c>
      <c r="L419" s="7">
        <v>8.9</v>
      </c>
      <c r="M419" s="7">
        <v>27.4</v>
      </c>
      <c r="N419">
        <v>168</v>
      </c>
      <c r="O419" s="15">
        <v>141</v>
      </c>
      <c r="P419" s="8">
        <v>0.52857142857142858</v>
      </c>
      <c r="Q419">
        <v>171</v>
      </c>
      <c r="R419" s="15">
        <v>145</v>
      </c>
      <c r="S419" s="8">
        <v>0.57599999999999996</v>
      </c>
      <c r="T419">
        <v>120</v>
      </c>
      <c r="U419" s="15">
        <v>104</v>
      </c>
      <c r="V419" s="8">
        <v>0.63529411764705879</v>
      </c>
      <c r="W419">
        <f t="shared" si="6"/>
        <v>459</v>
      </c>
    </row>
    <row r="420" spans="1:23">
      <c r="A420" s="6">
        <v>45345</v>
      </c>
      <c r="B420" t="s">
        <v>66</v>
      </c>
      <c r="C420">
        <v>4</v>
      </c>
      <c r="D420">
        <v>2</v>
      </c>
      <c r="E420">
        <v>0</v>
      </c>
      <c r="F420">
        <v>0</v>
      </c>
      <c r="H420">
        <v>0</v>
      </c>
      <c r="I420">
        <v>0</v>
      </c>
      <c r="J420">
        <v>0</v>
      </c>
      <c r="K420">
        <v>0</v>
      </c>
      <c r="L420" s="7">
        <v>6.6</v>
      </c>
      <c r="M420" s="7">
        <v>26.1</v>
      </c>
      <c r="N420">
        <v>184</v>
      </c>
      <c r="O420" s="15">
        <v>164</v>
      </c>
      <c r="P420" s="8">
        <v>0.55714285714285716</v>
      </c>
      <c r="Q420">
        <v>165</v>
      </c>
      <c r="R420" s="15">
        <v>153</v>
      </c>
      <c r="S420" s="8">
        <v>0.56799999999999995</v>
      </c>
      <c r="T420">
        <v>95</v>
      </c>
      <c r="U420" s="15">
        <v>78</v>
      </c>
      <c r="V420" s="8">
        <v>0.54117647058823526</v>
      </c>
      <c r="W420">
        <f t="shared" si="6"/>
        <v>444</v>
      </c>
    </row>
    <row r="421" spans="1:23">
      <c r="A421" s="6">
        <v>45346</v>
      </c>
      <c r="B421" t="s">
        <v>67</v>
      </c>
      <c r="C421">
        <v>5</v>
      </c>
      <c r="D421">
        <v>2</v>
      </c>
      <c r="E421">
        <v>1</v>
      </c>
      <c r="F421">
        <v>0</v>
      </c>
      <c r="H421">
        <v>0</v>
      </c>
      <c r="I421">
        <v>0</v>
      </c>
      <c r="J421">
        <v>0</v>
      </c>
      <c r="K421">
        <v>0</v>
      </c>
      <c r="L421" s="7">
        <v>2.7</v>
      </c>
      <c r="M421" s="7">
        <v>28.2</v>
      </c>
      <c r="N421">
        <v>218</v>
      </c>
      <c r="O421" s="15">
        <v>176</v>
      </c>
      <c r="P421" s="8">
        <v>0.65714285714285714</v>
      </c>
      <c r="Q421">
        <v>204</v>
      </c>
      <c r="R421" s="15">
        <v>170</v>
      </c>
      <c r="S421" s="8">
        <v>0.68799999999999994</v>
      </c>
      <c r="T421">
        <v>151</v>
      </c>
      <c r="U421" s="15">
        <v>138</v>
      </c>
      <c r="V421" s="8">
        <v>0.82352941176470584</v>
      </c>
      <c r="W421">
        <f t="shared" si="6"/>
        <v>573</v>
      </c>
    </row>
    <row r="422" spans="1:23">
      <c r="A422" s="6">
        <v>45347</v>
      </c>
      <c r="B422" t="s">
        <v>60</v>
      </c>
      <c r="C422">
        <v>6</v>
      </c>
      <c r="D422">
        <v>2</v>
      </c>
      <c r="E422">
        <v>1</v>
      </c>
      <c r="F422">
        <v>0</v>
      </c>
      <c r="H422">
        <v>0</v>
      </c>
      <c r="I422">
        <v>0</v>
      </c>
      <c r="J422">
        <v>0</v>
      </c>
      <c r="K422">
        <v>0</v>
      </c>
      <c r="L422" s="7">
        <v>13.9</v>
      </c>
      <c r="M422" s="7">
        <v>27.8</v>
      </c>
      <c r="N422">
        <v>197</v>
      </c>
      <c r="O422" s="15">
        <v>158</v>
      </c>
      <c r="P422" s="8">
        <v>0.61428571428571432</v>
      </c>
      <c r="Q422">
        <v>204</v>
      </c>
      <c r="R422" s="15">
        <v>165</v>
      </c>
      <c r="S422" s="8">
        <v>0.68</v>
      </c>
      <c r="T422">
        <v>151</v>
      </c>
      <c r="U422" s="15">
        <v>134</v>
      </c>
      <c r="V422" s="8">
        <v>0.78823529411764703</v>
      </c>
      <c r="W422">
        <f t="shared" si="6"/>
        <v>552</v>
      </c>
    </row>
    <row r="423" spans="1:23">
      <c r="A423" s="6">
        <v>45348</v>
      </c>
      <c r="B423" t="s">
        <v>62</v>
      </c>
      <c r="C423">
        <v>0</v>
      </c>
      <c r="D423">
        <v>2</v>
      </c>
      <c r="E423">
        <v>0</v>
      </c>
      <c r="F423">
        <v>0</v>
      </c>
      <c r="H423">
        <v>0</v>
      </c>
      <c r="I423">
        <v>0</v>
      </c>
      <c r="J423">
        <v>0</v>
      </c>
      <c r="K423">
        <v>0</v>
      </c>
      <c r="L423" s="7">
        <v>4.9000000000000004</v>
      </c>
      <c r="M423" s="7">
        <v>27.9</v>
      </c>
      <c r="N423">
        <v>191</v>
      </c>
      <c r="O423" s="15">
        <v>161</v>
      </c>
      <c r="P423" s="8">
        <v>0.59285714285714286</v>
      </c>
      <c r="Q423">
        <v>163</v>
      </c>
      <c r="R423" s="15">
        <v>137</v>
      </c>
      <c r="S423" s="8">
        <v>0.53600000000000003</v>
      </c>
      <c r="T423">
        <v>130</v>
      </c>
      <c r="U423" s="15">
        <v>110</v>
      </c>
      <c r="V423" s="8">
        <v>0.6588235294117647</v>
      </c>
      <c r="W423">
        <f t="shared" si="6"/>
        <v>484</v>
      </c>
    </row>
    <row r="424" spans="1:23">
      <c r="A424" s="6">
        <v>45349</v>
      </c>
      <c r="B424" t="s">
        <v>63</v>
      </c>
      <c r="C424">
        <v>1</v>
      </c>
      <c r="D424">
        <v>2</v>
      </c>
      <c r="E424">
        <v>0</v>
      </c>
      <c r="F424">
        <v>0</v>
      </c>
      <c r="H424">
        <v>0</v>
      </c>
      <c r="I424">
        <v>0</v>
      </c>
      <c r="J424">
        <v>0</v>
      </c>
      <c r="K424">
        <v>0</v>
      </c>
      <c r="L424" s="7">
        <v>7.8</v>
      </c>
      <c r="M424" s="7">
        <v>27</v>
      </c>
      <c r="N424">
        <v>195</v>
      </c>
      <c r="O424" s="15">
        <v>178</v>
      </c>
      <c r="P424" s="8">
        <v>0.58571428571428574</v>
      </c>
      <c r="Q424">
        <v>163</v>
      </c>
      <c r="R424" s="15">
        <v>153</v>
      </c>
      <c r="S424" s="8">
        <v>0.52800000000000002</v>
      </c>
      <c r="T424">
        <v>126</v>
      </c>
      <c r="U424" s="15">
        <v>118</v>
      </c>
      <c r="V424" s="8">
        <v>0.6470588235294118</v>
      </c>
      <c r="W424">
        <f t="shared" si="6"/>
        <v>484</v>
      </c>
    </row>
    <row r="425" spans="1:23">
      <c r="A425" s="6">
        <v>45350</v>
      </c>
      <c r="B425" t="s">
        <v>64</v>
      </c>
      <c r="C425">
        <v>2</v>
      </c>
      <c r="D425">
        <v>2</v>
      </c>
      <c r="E425">
        <v>0</v>
      </c>
      <c r="F425">
        <v>0</v>
      </c>
      <c r="H425">
        <v>0</v>
      </c>
      <c r="I425">
        <v>0</v>
      </c>
      <c r="J425">
        <v>0</v>
      </c>
      <c r="K425">
        <v>0</v>
      </c>
      <c r="L425" s="7">
        <v>8.6999999999999993</v>
      </c>
      <c r="M425" s="7">
        <v>26.6</v>
      </c>
      <c r="N425">
        <v>187</v>
      </c>
      <c r="O425" s="15">
        <v>176</v>
      </c>
      <c r="P425" s="8">
        <v>0.5714285714285714</v>
      </c>
      <c r="Q425">
        <v>159</v>
      </c>
      <c r="R425" s="15">
        <v>139</v>
      </c>
      <c r="S425" s="8">
        <v>0.52</v>
      </c>
      <c r="T425">
        <v>116</v>
      </c>
      <c r="U425" s="15">
        <v>100</v>
      </c>
      <c r="V425" s="8">
        <v>0.63529411764705879</v>
      </c>
      <c r="W425">
        <f t="shared" si="6"/>
        <v>462</v>
      </c>
    </row>
    <row r="426" spans="1:23">
      <c r="A426" s="6">
        <v>45351</v>
      </c>
      <c r="B426" t="s">
        <v>65</v>
      </c>
      <c r="C426">
        <v>3</v>
      </c>
      <c r="D426">
        <v>2</v>
      </c>
      <c r="E426">
        <v>0</v>
      </c>
      <c r="F426">
        <v>0</v>
      </c>
      <c r="H426">
        <v>0</v>
      </c>
      <c r="I426">
        <v>0</v>
      </c>
      <c r="J426">
        <v>0</v>
      </c>
      <c r="K426">
        <v>0</v>
      </c>
      <c r="L426" s="7">
        <v>6.1</v>
      </c>
      <c r="M426" s="7">
        <v>27.7</v>
      </c>
      <c r="N426">
        <v>181</v>
      </c>
      <c r="O426" s="15">
        <v>149</v>
      </c>
      <c r="P426" s="8">
        <v>0.52857142857142858</v>
      </c>
      <c r="Q426">
        <v>151</v>
      </c>
      <c r="R426" s="15">
        <v>126</v>
      </c>
      <c r="S426" s="8">
        <v>0.51200000000000001</v>
      </c>
      <c r="T426">
        <v>116</v>
      </c>
      <c r="U426" s="15">
        <v>98</v>
      </c>
      <c r="V426" s="8">
        <v>0.61176470588235299</v>
      </c>
      <c r="W426">
        <f t="shared" si="6"/>
        <v>448</v>
      </c>
    </row>
    <row r="427" spans="1:23">
      <c r="A427" s="6">
        <v>45352</v>
      </c>
      <c r="B427" t="s">
        <v>66</v>
      </c>
      <c r="C427">
        <v>4</v>
      </c>
      <c r="D427">
        <v>3</v>
      </c>
      <c r="E427">
        <v>0</v>
      </c>
      <c r="F427">
        <v>0</v>
      </c>
      <c r="H427">
        <v>0</v>
      </c>
      <c r="I427">
        <v>0</v>
      </c>
      <c r="J427">
        <v>0</v>
      </c>
      <c r="K427">
        <v>0</v>
      </c>
      <c r="L427" s="7">
        <v>5.4</v>
      </c>
      <c r="M427" s="7">
        <v>27.5</v>
      </c>
      <c r="N427">
        <v>203</v>
      </c>
      <c r="O427" s="15">
        <v>178</v>
      </c>
      <c r="P427" s="8">
        <v>0.6071428571428571</v>
      </c>
      <c r="Q427">
        <v>164</v>
      </c>
      <c r="R427" s="15">
        <v>140</v>
      </c>
      <c r="S427" s="8">
        <v>0.53600000000000003</v>
      </c>
      <c r="T427">
        <v>133</v>
      </c>
      <c r="U427" s="15">
        <v>121</v>
      </c>
      <c r="V427" s="8">
        <v>0.6705882352941176</v>
      </c>
      <c r="W427">
        <f t="shared" si="6"/>
        <v>500</v>
      </c>
    </row>
    <row r="428" spans="1:23">
      <c r="A428" s="6">
        <v>45353</v>
      </c>
      <c r="B428" t="s">
        <v>67</v>
      </c>
      <c r="C428">
        <v>5</v>
      </c>
      <c r="D428">
        <v>3</v>
      </c>
      <c r="E428">
        <v>1</v>
      </c>
      <c r="F428">
        <v>0</v>
      </c>
      <c r="H428">
        <v>0</v>
      </c>
      <c r="I428">
        <v>0</v>
      </c>
      <c r="J428">
        <v>0</v>
      </c>
      <c r="K428">
        <v>0</v>
      </c>
      <c r="L428" s="7">
        <v>2</v>
      </c>
      <c r="M428" s="7">
        <v>28.7</v>
      </c>
      <c r="N428">
        <v>188</v>
      </c>
      <c r="O428" s="15">
        <v>160</v>
      </c>
      <c r="P428" s="8">
        <v>0.57857142857142863</v>
      </c>
      <c r="Q428">
        <v>193</v>
      </c>
      <c r="R428" s="15">
        <v>159</v>
      </c>
      <c r="S428" s="8">
        <v>0.64800000000000002</v>
      </c>
      <c r="T428">
        <v>131</v>
      </c>
      <c r="U428" s="15">
        <v>119</v>
      </c>
      <c r="V428" s="8">
        <v>0.68235294117647061</v>
      </c>
      <c r="W428">
        <f t="shared" si="6"/>
        <v>512</v>
      </c>
    </row>
    <row r="429" spans="1:23">
      <c r="A429" s="6">
        <v>45354</v>
      </c>
      <c r="B429" t="s">
        <v>60</v>
      </c>
      <c r="C429">
        <v>6</v>
      </c>
      <c r="D429">
        <v>3</v>
      </c>
      <c r="E429">
        <v>1</v>
      </c>
      <c r="F429">
        <v>0</v>
      </c>
      <c r="H429">
        <v>0</v>
      </c>
      <c r="I429">
        <v>0</v>
      </c>
      <c r="J429">
        <v>0</v>
      </c>
      <c r="K429">
        <v>0</v>
      </c>
      <c r="L429" s="7">
        <v>20.9</v>
      </c>
      <c r="M429" s="7">
        <v>28.4</v>
      </c>
      <c r="N429">
        <v>201</v>
      </c>
      <c r="O429" s="15">
        <v>186</v>
      </c>
      <c r="P429" s="8">
        <v>0.62142857142857144</v>
      </c>
      <c r="Q429">
        <v>185</v>
      </c>
      <c r="R429" s="15">
        <v>161</v>
      </c>
      <c r="S429" s="8">
        <v>0.624</v>
      </c>
      <c r="T429">
        <v>135</v>
      </c>
      <c r="U429" s="15">
        <v>109</v>
      </c>
      <c r="V429" s="8">
        <v>0.72941176470588232</v>
      </c>
      <c r="W429">
        <f t="shared" si="6"/>
        <v>521</v>
      </c>
    </row>
    <row r="430" spans="1:23">
      <c r="A430" s="6">
        <v>45355</v>
      </c>
      <c r="B430" t="s">
        <v>62</v>
      </c>
      <c r="C430">
        <v>0</v>
      </c>
      <c r="D430">
        <v>3</v>
      </c>
      <c r="E430">
        <v>0</v>
      </c>
      <c r="F430">
        <v>0</v>
      </c>
      <c r="H430">
        <v>0</v>
      </c>
      <c r="I430">
        <v>0</v>
      </c>
      <c r="J430">
        <v>0</v>
      </c>
      <c r="K430">
        <v>0</v>
      </c>
      <c r="L430" s="7">
        <v>9</v>
      </c>
      <c r="M430" s="7">
        <v>28.1</v>
      </c>
      <c r="N430">
        <v>186</v>
      </c>
      <c r="O430" s="15">
        <v>167</v>
      </c>
      <c r="P430" s="8">
        <v>0.5714285714285714</v>
      </c>
      <c r="Q430">
        <v>177</v>
      </c>
      <c r="R430" s="15">
        <v>161</v>
      </c>
      <c r="S430" s="8">
        <v>0.57599999999999996</v>
      </c>
      <c r="T430">
        <v>120</v>
      </c>
      <c r="U430" s="15">
        <v>106</v>
      </c>
      <c r="V430" s="8">
        <v>0.61176470588235299</v>
      </c>
      <c r="W430">
        <f t="shared" si="6"/>
        <v>483</v>
      </c>
    </row>
    <row r="431" spans="1:23">
      <c r="A431" s="6">
        <v>45356</v>
      </c>
      <c r="B431" t="s">
        <v>63</v>
      </c>
      <c r="C431">
        <v>1</v>
      </c>
      <c r="D431">
        <v>3</v>
      </c>
      <c r="E431">
        <v>0</v>
      </c>
      <c r="F431">
        <v>0</v>
      </c>
      <c r="H431">
        <v>0</v>
      </c>
      <c r="I431">
        <v>0</v>
      </c>
      <c r="J431">
        <v>0</v>
      </c>
      <c r="K431">
        <v>0</v>
      </c>
      <c r="L431" s="7">
        <v>5.4</v>
      </c>
      <c r="M431" s="7">
        <v>28.6</v>
      </c>
      <c r="N431">
        <v>152</v>
      </c>
      <c r="O431" s="15">
        <v>128</v>
      </c>
      <c r="P431" s="8">
        <v>0.47142857142857142</v>
      </c>
      <c r="Q431">
        <v>160</v>
      </c>
      <c r="R431" s="15">
        <v>139</v>
      </c>
      <c r="S431" s="8">
        <v>0.54400000000000004</v>
      </c>
      <c r="T431">
        <v>124</v>
      </c>
      <c r="U431" s="15">
        <v>102</v>
      </c>
      <c r="V431" s="8">
        <v>0.62352941176470589</v>
      </c>
      <c r="W431">
        <f t="shared" si="6"/>
        <v>436</v>
      </c>
    </row>
    <row r="432" spans="1:23">
      <c r="A432" s="6">
        <v>45357</v>
      </c>
      <c r="B432" t="s">
        <v>64</v>
      </c>
      <c r="C432">
        <v>2</v>
      </c>
      <c r="D432">
        <v>3</v>
      </c>
      <c r="E432">
        <v>0</v>
      </c>
      <c r="F432">
        <v>0</v>
      </c>
      <c r="H432">
        <v>0</v>
      </c>
      <c r="I432">
        <v>0</v>
      </c>
      <c r="J432">
        <v>0</v>
      </c>
      <c r="K432">
        <v>0</v>
      </c>
      <c r="L432" s="7">
        <v>1.1000000000000001</v>
      </c>
      <c r="M432" s="7">
        <v>26.5</v>
      </c>
      <c r="N432">
        <v>188</v>
      </c>
      <c r="O432" s="15">
        <v>152</v>
      </c>
      <c r="P432" s="8">
        <v>0.5714285714285714</v>
      </c>
      <c r="Q432">
        <v>172</v>
      </c>
      <c r="R432" s="15">
        <v>139</v>
      </c>
      <c r="S432" s="8">
        <v>0.54400000000000004</v>
      </c>
      <c r="T432">
        <v>113</v>
      </c>
      <c r="U432" s="15">
        <v>91</v>
      </c>
      <c r="V432" s="8">
        <v>0.58823529411764708</v>
      </c>
      <c r="W432">
        <f t="shared" si="6"/>
        <v>473</v>
      </c>
    </row>
    <row r="433" spans="1:23">
      <c r="A433" s="6">
        <v>45358</v>
      </c>
      <c r="B433" t="s">
        <v>65</v>
      </c>
      <c r="C433">
        <v>3</v>
      </c>
      <c r="D433">
        <v>3</v>
      </c>
      <c r="E433">
        <v>0</v>
      </c>
      <c r="F433">
        <v>0</v>
      </c>
      <c r="H433">
        <v>0</v>
      </c>
      <c r="I433">
        <v>0</v>
      </c>
      <c r="J433">
        <v>0</v>
      </c>
      <c r="K433">
        <v>0</v>
      </c>
      <c r="L433" s="7">
        <v>8.4</v>
      </c>
      <c r="M433" s="7">
        <v>27.1</v>
      </c>
      <c r="N433">
        <v>198</v>
      </c>
      <c r="O433" s="15">
        <v>170</v>
      </c>
      <c r="P433" s="8">
        <v>0.6</v>
      </c>
      <c r="Q433">
        <v>167</v>
      </c>
      <c r="R433" s="15">
        <v>139</v>
      </c>
      <c r="S433" s="8">
        <v>0.55200000000000005</v>
      </c>
      <c r="T433">
        <v>108</v>
      </c>
      <c r="U433" s="15">
        <v>99</v>
      </c>
      <c r="V433" s="8">
        <v>0.58823529411764708</v>
      </c>
      <c r="W433">
        <f t="shared" si="6"/>
        <v>473</v>
      </c>
    </row>
    <row r="434" spans="1:23">
      <c r="A434" s="6">
        <v>45359</v>
      </c>
      <c r="B434" t="s">
        <v>66</v>
      </c>
      <c r="C434">
        <v>4</v>
      </c>
      <c r="D434">
        <v>3</v>
      </c>
      <c r="E434">
        <v>0</v>
      </c>
      <c r="F434">
        <v>0</v>
      </c>
      <c r="H434">
        <v>0</v>
      </c>
      <c r="I434">
        <v>0</v>
      </c>
      <c r="J434">
        <v>0</v>
      </c>
      <c r="K434">
        <v>0</v>
      </c>
      <c r="L434" s="7">
        <v>4.0999999999999996</v>
      </c>
      <c r="M434" s="7">
        <v>29.8</v>
      </c>
      <c r="N434">
        <v>194</v>
      </c>
      <c r="O434" s="15">
        <v>163</v>
      </c>
      <c r="P434" s="8">
        <v>0.59285714285714286</v>
      </c>
      <c r="Q434">
        <v>156</v>
      </c>
      <c r="R434" s="15">
        <v>138</v>
      </c>
      <c r="S434" s="8">
        <v>0.52800000000000002</v>
      </c>
      <c r="T434">
        <v>109</v>
      </c>
      <c r="U434" s="15">
        <v>98</v>
      </c>
      <c r="V434" s="8">
        <v>0.56470588235294117</v>
      </c>
      <c r="W434">
        <f t="shared" si="6"/>
        <v>459</v>
      </c>
    </row>
    <row r="435" spans="1:23">
      <c r="A435" s="6">
        <v>45360</v>
      </c>
      <c r="B435" t="s">
        <v>67</v>
      </c>
      <c r="C435">
        <v>5</v>
      </c>
      <c r="D435">
        <v>3</v>
      </c>
      <c r="E435">
        <v>1</v>
      </c>
      <c r="F435">
        <v>0</v>
      </c>
      <c r="H435">
        <v>0</v>
      </c>
      <c r="I435">
        <v>0</v>
      </c>
      <c r="J435">
        <v>0</v>
      </c>
      <c r="K435">
        <v>0</v>
      </c>
      <c r="L435" s="7">
        <v>3</v>
      </c>
      <c r="M435" s="7">
        <v>28.5</v>
      </c>
      <c r="N435">
        <v>217</v>
      </c>
      <c r="O435" s="15">
        <v>195</v>
      </c>
      <c r="P435" s="8">
        <v>0.66428571428571426</v>
      </c>
      <c r="Q435">
        <v>195</v>
      </c>
      <c r="R435" s="15">
        <v>175</v>
      </c>
      <c r="S435" s="8">
        <v>0.68799999999999994</v>
      </c>
      <c r="T435">
        <v>136</v>
      </c>
      <c r="U435" s="15">
        <v>123</v>
      </c>
      <c r="V435" s="8">
        <v>0.70588235294117652</v>
      </c>
      <c r="W435">
        <f t="shared" si="6"/>
        <v>548</v>
      </c>
    </row>
    <row r="436" spans="1:23">
      <c r="A436" s="6">
        <v>45361</v>
      </c>
      <c r="B436" t="s">
        <v>60</v>
      </c>
      <c r="C436">
        <v>6</v>
      </c>
      <c r="D436">
        <v>3</v>
      </c>
      <c r="E436">
        <v>1</v>
      </c>
      <c r="F436">
        <v>0</v>
      </c>
      <c r="H436">
        <v>0</v>
      </c>
      <c r="I436">
        <v>0</v>
      </c>
      <c r="J436">
        <v>0</v>
      </c>
      <c r="K436">
        <v>0</v>
      </c>
      <c r="L436" s="7">
        <v>0</v>
      </c>
      <c r="M436" s="7">
        <v>27.9</v>
      </c>
      <c r="N436">
        <v>209</v>
      </c>
      <c r="O436" s="15">
        <v>187</v>
      </c>
      <c r="P436" s="8">
        <v>0.62857142857142856</v>
      </c>
      <c r="Q436">
        <v>215</v>
      </c>
      <c r="R436" s="15">
        <v>185</v>
      </c>
      <c r="S436" s="8">
        <v>0.68799999999999994</v>
      </c>
      <c r="T436">
        <v>150</v>
      </c>
      <c r="U436" s="15">
        <v>125</v>
      </c>
      <c r="V436" s="8">
        <v>0.8</v>
      </c>
      <c r="W436">
        <f t="shared" si="6"/>
        <v>574</v>
      </c>
    </row>
    <row r="437" spans="1:23">
      <c r="A437" s="6">
        <v>45362</v>
      </c>
      <c r="B437" t="s">
        <v>62</v>
      </c>
      <c r="C437">
        <v>0</v>
      </c>
      <c r="D437">
        <v>3</v>
      </c>
      <c r="E437">
        <v>0</v>
      </c>
      <c r="F437">
        <v>0</v>
      </c>
      <c r="H437">
        <v>0</v>
      </c>
      <c r="I437">
        <v>0</v>
      </c>
      <c r="J437">
        <v>0</v>
      </c>
      <c r="K437">
        <v>0</v>
      </c>
      <c r="L437" s="7">
        <v>6.9</v>
      </c>
      <c r="M437" s="7">
        <v>28.6</v>
      </c>
      <c r="N437">
        <v>185</v>
      </c>
      <c r="O437" s="15">
        <v>172</v>
      </c>
      <c r="P437" s="8">
        <v>0.56428571428571428</v>
      </c>
      <c r="Q437">
        <v>157</v>
      </c>
      <c r="R437" s="15">
        <v>146</v>
      </c>
      <c r="S437" s="8">
        <v>0.504</v>
      </c>
      <c r="T437">
        <v>126</v>
      </c>
      <c r="U437" s="15">
        <v>111</v>
      </c>
      <c r="V437" s="8">
        <v>0.6470588235294118</v>
      </c>
      <c r="W437">
        <f t="shared" si="6"/>
        <v>468</v>
      </c>
    </row>
    <row r="438" spans="1:23">
      <c r="A438" s="6">
        <v>45363</v>
      </c>
      <c r="B438" t="s">
        <v>63</v>
      </c>
      <c r="C438">
        <v>1</v>
      </c>
      <c r="D438">
        <v>3</v>
      </c>
      <c r="E438">
        <v>0</v>
      </c>
      <c r="F438">
        <v>0</v>
      </c>
      <c r="H438">
        <v>0</v>
      </c>
      <c r="I438">
        <v>0</v>
      </c>
      <c r="J438">
        <v>0</v>
      </c>
      <c r="K438">
        <v>0</v>
      </c>
      <c r="L438" s="7">
        <v>1.1000000000000001</v>
      </c>
      <c r="M438" s="7">
        <v>28.8</v>
      </c>
      <c r="N438">
        <v>177</v>
      </c>
      <c r="O438" s="15">
        <v>144</v>
      </c>
      <c r="P438" s="8">
        <v>0.55000000000000004</v>
      </c>
      <c r="Q438">
        <v>181</v>
      </c>
      <c r="R438" s="15">
        <v>154</v>
      </c>
      <c r="S438" s="8">
        <v>0.58399999999999996</v>
      </c>
      <c r="T438">
        <v>94</v>
      </c>
      <c r="U438" s="15">
        <v>85</v>
      </c>
      <c r="V438" s="8">
        <v>0.52941176470588236</v>
      </c>
      <c r="W438">
        <f t="shared" si="6"/>
        <v>452</v>
      </c>
    </row>
    <row r="439" spans="1:23">
      <c r="A439" s="6">
        <v>45364</v>
      </c>
      <c r="B439" t="s">
        <v>64</v>
      </c>
      <c r="C439">
        <v>2</v>
      </c>
      <c r="D439">
        <v>3</v>
      </c>
      <c r="E439">
        <v>0</v>
      </c>
      <c r="F439">
        <v>0</v>
      </c>
      <c r="H439">
        <v>0</v>
      </c>
      <c r="I439">
        <v>0</v>
      </c>
      <c r="J439">
        <v>0</v>
      </c>
      <c r="K439">
        <v>0</v>
      </c>
      <c r="L439" s="7">
        <v>11.8</v>
      </c>
      <c r="M439" s="7">
        <v>25.2</v>
      </c>
      <c r="N439">
        <v>194</v>
      </c>
      <c r="O439" s="15">
        <v>158</v>
      </c>
      <c r="P439" s="8">
        <v>0.57857142857142863</v>
      </c>
      <c r="Q439">
        <v>166</v>
      </c>
      <c r="R439" s="15">
        <v>134</v>
      </c>
      <c r="S439" s="8">
        <v>0.55200000000000005</v>
      </c>
      <c r="T439">
        <v>117</v>
      </c>
      <c r="U439" s="15">
        <v>102</v>
      </c>
      <c r="V439" s="8">
        <v>0.62352941176470589</v>
      </c>
      <c r="W439">
        <f t="shared" si="6"/>
        <v>477</v>
      </c>
    </row>
    <row r="440" spans="1:23">
      <c r="A440" s="6">
        <v>45365</v>
      </c>
      <c r="B440" t="s">
        <v>65</v>
      </c>
      <c r="C440">
        <v>3</v>
      </c>
      <c r="D440">
        <v>3</v>
      </c>
      <c r="E440">
        <v>0</v>
      </c>
      <c r="F440">
        <v>0</v>
      </c>
      <c r="H440">
        <v>0</v>
      </c>
      <c r="I440">
        <v>0</v>
      </c>
      <c r="J440">
        <v>0</v>
      </c>
      <c r="K440">
        <v>0</v>
      </c>
      <c r="L440" s="7">
        <v>6.9</v>
      </c>
      <c r="M440" s="7">
        <v>28.1</v>
      </c>
      <c r="N440">
        <v>166</v>
      </c>
      <c r="O440" s="15">
        <v>138</v>
      </c>
      <c r="P440" s="8">
        <v>0.50714285714285712</v>
      </c>
      <c r="Q440">
        <v>171</v>
      </c>
      <c r="R440" s="15">
        <v>159</v>
      </c>
      <c r="S440" s="8">
        <v>0.58399999999999996</v>
      </c>
      <c r="T440">
        <v>108</v>
      </c>
      <c r="U440" s="15">
        <v>101</v>
      </c>
      <c r="V440" s="8">
        <v>0.56470588235294117</v>
      </c>
      <c r="W440">
        <f t="shared" si="6"/>
        <v>445</v>
      </c>
    </row>
    <row r="441" spans="1:23">
      <c r="A441" s="6">
        <v>45366</v>
      </c>
      <c r="B441" t="s">
        <v>66</v>
      </c>
      <c r="C441">
        <v>4</v>
      </c>
      <c r="D441">
        <v>3</v>
      </c>
      <c r="E441">
        <v>0</v>
      </c>
      <c r="F441">
        <v>0</v>
      </c>
      <c r="H441">
        <v>0</v>
      </c>
      <c r="I441">
        <v>0</v>
      </c>
      <c r="J441">
        <v>0</v>
      </c>
      <c r="K441">
        <v>0</v>
      </c>
      <c r="L441" s="7">
        <v>10</v>
      </c>
      <c r="M441" s="7">
        <v>26.7</v>
      </c>
      <c r="N441">
        <v>204</v>
      </c>
      <c r="O441" s="15">
        <v>169</v>
      </c>
      <c r="P441" s="8">
        <v>0.6071428571428571</v>
      </c>
      <c r="Q441">
        <v>164</v>
      </c>
      <c r="R441" s="15">
        <v>152</v>
      </c>
      <c r="S441" s="8">
        <v>0.56000000000000005</v>
      </c>
      <c r="T441">
        <v>102</v>
      </c>
      <c r="U441" s="15">
        <v>93</v>
      </c>
      <c r="V441" s="8">
        <v>0.55294117647058827</v>
      </c>
      <c r="W441">
        <f t="shared" si="6"/>
        <v>470</v>
      </c>
    </row>
    <row r="442" spans="1:23">
      <c r="A442" s="6">
        <v>45367</v>
      </c>
      <c r="B442" t="s">
        <v>67</v>
      </c>
      <c r="C442">
        <v>5</v>
      </c>
      <c r="D442">
        <v>3</v>
      </c>
      <c r="E442">
        <v>1</v>
      </c>
      <c r="F442">
        <v>0</v>
      </c>
      <c r="H442">
        <v>0</v>
      </c>
      <c r="I442">
        <v>0</v>
      </c>
      <c r="J442">
        <v>0</v>
      </c>
      <c r="K442">
        <v>0</v>
      </c>
      <c r="L442" s="7">
        <v>11.7</v>
      </c>
      <c r="M442" s="7">
        <v>28</v>
      </c>
      <c r="N442">
        <v>211</v>
      </c>
      <c r="O442" s="15">
        <v>173</v>
      </c>
      <c r="P442" s="8">
        <v>0.6428571428571429</v>
      </c>
      <c r="Q442">
        <v>178</v>
      </c>
      <c r="R442" s="15">
        <v>165</v>
      </c>
      <c r="S442" s="8">
        <v>0.56799999999999995</v>
      </c>
      <c r="T442">
        <v>132</v>
      </c>
      <c r="U442" s="15">
        <v>120</v>
      </c>
      <c r="V442" s="8">
        <v>0.68235294117647061</v>
      </c>
      <c r="W442">
        <f t="shared" si="6"/>
        <v>521</v>
      </c>
    </row>
    <row r="443" spans="1:23">
      <c r="A443" s="6">
        <v>45368</v>
      </c>
      <c r="B443" t="s">
        <v>60</v>
      </c>
      <c r="C443">
        <v>6</v>
      </c>
      <c r="D443">
        <v>3</v>
      </c>
      <c r="E443">
        <v>1</v>
      </c>
      <c r="F443">
        <v>0</v>
      </c>
      <c r="H443">
        <v>0</v>
      </c>
      <c r="I443">
        <v>0</v>
      </c>
      <c r="J443">
        <v>0</v>
      </c>
      <c r="K443">
        <v>0</v>
      </c>
      <c r="L443" s="7">
        <v>15.2</v>
      </c>
      <c r="M443" s="7">
        <v>28.4</v>
      </c>
      <c r="N443">
        <v>194</v>
      </c>
      <c r="O443" s="15">
        <v>182</v>
      </c>
      <c r="P443" s="8">
        <v>0.6071428571428571</v>
      </c>
      <c r="Q443">
        <v>166</v>
      </c>
      <c r="R443" s="15">
        <v>140</v>
      </c>
      <c r="S443" s="8">
        <v>0.56000000000000005</v>
      </c>
      <c r="T443">
        <v>134</v>
      </c>
      <c r="U443" s="15">
        <v>124</v>
      </c>
      <c r="V443" s="8">
        <v>0.70588235294117652</v>
      </c>
      <c r="W443">
        <f t="shared" si="6"/>
        <v>494</v>
      </c>
    </row>
    <row r="444" spans="1:23">
      <c r="A444" s="6">
        <v>45369</v>
      </c>
      <c r="B444" t="s">
        <v>62</v>
      </c>
      <c r="C444">
        <v>0</v>
      </c>
      <c r="D444">
        <v>3</v>
      </c>
      <c r="E444">
        <v>0</v>
      </c>
      <c r="F444">
        <v>0</v>
      </c>
      <c r="H444">
        <v>0</v>
      </c>
      <c r="I444">
        <v>0</v>
      </c>
      <c r="J444">
        <v>0</v>
      </c>
      <c r="K444">
        <v>0</v>
      </c>
      <c r="L444" s="7">
        <v>11.7</v>
      </c>
      <c r="M444" s="7">
        <v>27.1</v>
      </c>
      <c r="N444">
        <v>182</v>
      </c>
      <c r="O444" s="15">
        <v>166</v>
      </c>
      <c r="P444" s="8">
        <v>0.55714285714285716</v>
      </c>
      <c r="Q444">
        <v>152</v>
      </c>
      <c r="R444" s="15">
        <v>138</v>
      </c>
      <c r="S444" s="8">
        <v>0.52</v>
      </c>
      <c r="T444">
        <v>119</v>
      </c>
      <c r="U444" s="15">
        <v>103</v>
      </c>
      <c r="V444" s="8">
        <v>0.61176470588235299</v>
      </c>
      <c r="W444">
        <f t="shared" si="6"/>
        <v>453</v>
      </c>
    </row>
    <row r="445" spans="1:23">
      <c r="A445" s="6">
        <v>45370</v>
      </c>
      <c r="B445" t="s">
        <v>63</v>
      </c>
      <c r="C445">
        <v>1</v>
      </c>
      <c r="D445">
        <v>3</v>
      </c>
      <c r="E445">
        <v>0</v>
      </c>
      <c r="F445">
        <v>1</v>
      </c>
      <c r="G445" t="s">
        <v>68</v>
      </c>
      <c r="H445">
        <v>0</v>
      </c>
      <c r="I445">
        <v>0</v>
      </c>
      <c r="J445">
        <v>0</v>
      </c>
      <c r="K445">
        <v>0</v>
      </c>
      <c r="L445" s="7">
        <v>2.7</v>
      </c>
      <c r="M445" s="7">
        <v>26.7</v>
      </c>
      <c r="N445">
        <v>214</v>
      </c>
      <c r="O445" s="15">
        <v>190</v>
      </c>
      <c r="P445" s="8">
        <v>0.6428571428571429</v>
      </c>
      <c r="Q445">
        <v>192</v>
      </c>
      <c r="R445" s="15">
        <v>180</v>
      </c>
      <c r="S445" s="8">
        <v>0.624</v>
      </c>
      <c r="T445">
        <v>134</v>
      </c>
      <c r="U445" s="15">
        <v>108</v>
      </c>
      <c r="V445" s="8">
        <v>0.69411764705882351</v>
      </c>
      <c r="W445">
        <f t="shared" si="6"/>
        <v>540</v>
      </c>
    </row>
    <row r="446" spans="1:23">
      <c r="A446" s="6">
        <v>45371</v>
      </c>
      <c r="B446" t="s">
        <v>64</v>
      </c>
      <c r="C446">
        <v>2</v>
      </c>
      <c r="D446">
        <v>3</v>
      </c>
      <c r="E446">
        <v>0</v>
      </c>
      <c r="F446">
        <v>0</v>
      </c>
      <c r="H446">
        <v>0</v>
      </c>
      <c r="I446">
        <v>0</v>
      </c>
      <c r="J446">
        <v>0</v>
      </c>
      <c r="K446">
        <v>0</v>
      </c>
      <c r="L446" s="7">
        <v>15.5</v>
      </c>
      <c r="M446" s="7">
        <v>27.8</v>
      </c>
      <c r="N446">
        <v>176</v>
      </c>
      <c r="O446" s="15">
        <v>160</v>
      </c>
      <c r="P446" s="8">
        <v>0.52857142857142858</v>
      </c>
      <c r="Q446">
        <v>154</v>
      </c>
      <c r="R446" s="15">
        <v>138</v>
      </c>
      <c r="S446" s="8">
        <v>0.52</v>
      </c>
      <c r="T446">
        <v>107</v>
      </c>
      <c r="U446" s="15">
        <v>95</v>
      </c>
      <c r="V446" s="8">
        <v>0.57647058823529407</v>
      </c>
      <c r="W446">
        <f t="shared" si="6"/>
        <v>437</v>
      </c>
    </row>
    <row r="447" spans="1:23">
      <c r="A447" s="6">
        <v>45372</v>
      </c>
      <c r="B447" t="s">
        <v>65</v>
      </c>
      <c r="C447">
        <v>3</v>
      </c>
      <c r="D447">
        <v>3</v>
      </c>
      <c r="E447">
        <v>0</v>
      </c>
      <c r="F447">
        <v>0</v>
      </c>
      <c r="H447">
        <v>0</v>
      </c>
      <c r="I447">
        <v>0</v>
      </c>
      <c r="J447">
        <v>0</v>
      </c>
      <c r="K447">
        <v>0</v>
      </c>
      <c r="L447" s="7">
        <v>11.4</v>
      </c>
      <c r="M447" s="7">
        <v>27.2</v>
      </c>
      <c r="N447">
        <v>191</v>
      </c>
      <c r="O447" s="15">
        <v>166</v>
      </c>
      <c r="P447" s="8">
        <v>0.58571428571428574</v>
      </c>
      <c r="Q447">
        <v>166</v>
      </c>
      <c r="R447" s="15">
        <v>143</v>
      </c>
      <c r="S447" s="8">
        <v>0.54400000000000004</v>
      </c>
      <c r="T447">
        <v>110</v>
      </c>
      <c r="U447" s="15">
        <v>93</v>
      </c>
      <c r="V447" s="8">
        <v>0.58823529411764708</v>
      </c>
      <c r="W447">
        <f t="shared" si="6"/>
        <v>467</v>
      </c>
    </row>
    <row r="448" spans="1:23">
      <c r="A448" s="6">
        <v>45373</v>
      </c>
      <c r="B448" t="s">
        <v>66</v>
      </c>
      <c r="C448">
        <v>4</v>
      </c>
      <c r="D448">
        <v>3</v>
      </c>
      <c r="E448">
        <v>0</v>
      </c>
      <c r="F448">
        <v>0</v>
      </c>
      <c r="H448">
        <v>0</v>
      </c>
      <c r="I448">
        <v>0</v>
      </c>
      <c r="J448">
        <v>0</v>
      </c>
      <c r="K448">
        <v>0</v>
      </c>
      <c r="L448" s="7">
        <v>9.6</v>
      </c>
      <c r="M448" s="7">
        <v>29.3</v>
      </c>
      <c r="N448">
        <v>192</v>
      </c>
      <c r="O448" s="15">
        <v>165</v>
      </c>
      <c r="P448" s="8">
        <v>0.58571428571428574</v>
      </c>
      <c r="Q448">
        <v>165</v>
      </c>
      <c r="R448" s="15">
        <v>146</v>
      </c>
      <c r="S448" s="8">
        <v>0.52800000000000002</v>
      </c>
      <c r="T448">
        <v>124</v>
      </c>
      <c r="U448" s="15">
        <v>113</v>
      </c>
      <c r="V448" s="8">
        <v>0.62352941176470589</v>
      </c>
      <c r="W448">
        <f t="shared" si="6"/>
        <v>481</v>
      </c>
    </row>
    <row r="449" spans="1:23">
      <c r="A449" s="6">
        <v>45374</v>
      </c>
      <c r="B449" t="s">
        <v>67</v>
      </c>
      <c r="C449">
        <v>5</v>
      </c>
      <c r="D449">
        <v>3</v>
      </c>
      <c r="E449">
        <v>1</v>
      </c>
      <c r="F449">
        <v>0</v>
      </c>
      <c r="H449">
        <v>0</v>
      </c>
      <c r="I449">
        <v>0</v>
      </c>
      <c r="J449">
        <v>0</v>
      </c>
      <c r="K449">
        <v>0</v>
      </c>
      <c r="L449" s="7">
        <v>7.1</v>
      </c>
      <c r="M449" s="7">
        <v>28.1</v>
      </c>
      <c r="N449">
        <v>201</v>
      </c>
      <c r="O449" s="15">
        <v>188</v>
      </c>
      <c r="P449" s="8">
        <v>0.62142857142857144</v>
      </c>
      <c r="Q449">
        <v>172</v>
      </c>
      <c r="R449" s="15">
        <v>150</v>
      </c>
      <c r="S449" s="8">
        <v>0.58399999999999996</v>
      </c>
      <c r="T449">
        <v>150</v>
      </c>
      <c r="U449" s="15">
        <v>128</v>
      </c>
      <c r="V449" s="8">
        <v>0.76470588235294112</v>
      </c>
      <c r="W449">
        <f t="shared" si="6"/>
        <v>523</v>
      </c>
    </row>
    <row r="450" spans="1:23">
      <c r="A450" s="6">
        <v>45375</v>
      </c>
      <c r="B450" t="s">
        <v>60</v>
      </c>
      <c r="C450">
        <v>6</v>
      </c>
      <c r="D450">
        <v>3</v>
      </c>
      <c r="E450">
        <v>1</v>
      </c>
      <c r="F450">
        <v>0</v>
      </c>
      <c r="H450">
        <v>0</v>
      </c>
      <c r="I450">
        <v>0</v>
      </c>
      <c r="J450">
        <v>0</v>
      </c>
      <c r="K450">
        <v>0</v>
      </c>
      <c r="L450" s="7">
        <v>5.4</v>
      </c>
      <c r="M450" s="7">
        <v>27.1</v>
      </c>
      <c r="N450">
        <v>207</v>
      </c>
      <c r="O450" s="15">
        <v>190</v>
      </c>
      <c r="P450" s="8">
        <v>0.61428571428571432</v>
      </c>
      <c r="Q450">
        <v>191</v>
      </c>
      <c r="R450" s="15">
        <v>175</v>
      </c>
      <c r="S450" s="8">
        <v>0.624</v>
      </c>
      <c r="T450">
        <v>138</v>
      </c>
      <c r="U450" s="15">
        <v>118</v>
      </c>
      <c r="V450" s="8">
        <v>0.74117647058823533</v>
      </c>
      <c r="W450">
        <f t="shared" ref="W450:W513" si="7">N450+Q450+T450</f>
        <v>536</v>
      </c>
    </row>
    <row r="451" spans="1:23">
      <c r="A451" s="6">
        <v>45376</v>
      </c>
      <c r="B451" t="s">
        <v>62</v>
      </c>
      <c r="C451">
        <v>0</v>
      </c>
      <c r="D451">
        <v>3</v>
      </c>
      <c r="E451">
        <v>0</v>
      </c>
      <c r="F451">
        <v>1</v>
      </c>
      <c r="G451" t="s">
        <v>69</v>
      </c>
      <c r="H451">
        <v>0</v>
      </c>
      <c r="I451">
        <v>0</v>
      </c>
      <c r="J451">
        <v>0</v>
      </c>
      <c r="K451">
        <v>0</v>
      </c>
      <c r="L451" s="7">
        <v>0</v>
      </c>
      <c r="M451" s="7">
        <v>27.5</v>
      </c>
      <c r="N451">
        <v>189</v>
      </c>
      <c r="O451" s="15">
        <v>153</v>
      </c>
      <c r="P451" s="8">
        <v>0.5714285714285714</v>
      </c>
      <c r="Q451">
        <v>195</v>
      </c>
      <c r="R451" s="15">
        <v>173</v>
      </c>
      <c r="S451" s="8">
        <v>0.64800000000000002</v>
      </c>
      <c r="T451">
        <v>126</v>
      </c>
      <c r="U451" s="15">
        <v>116</v>
      </c>
      <c r="V451" s="8">
        <v>0.6705882352941176</v>
      </c>
      <c r="W451">
        <f t="shared" si="7"/>
        <v>510</v>
      </c>
    </row>
    <row r="452" spans="1:23">
      <c r="A452" s="6">
        <v>45377</v>
      </c>
      <c r="B452" t="s">
        <v>63</v>
      </c>
      <c r="C452">
        <v>1</v>
      </c>
      <c r="D452">
        <v>3</v>
      </c>
      <c r="E452">
        <v>0</v>
      </c>
      <c r="F452">
        <v>0</v>
      </c>
      <c r="H452">
        <v>0</v>
      </c>
      <c r="I452">
        <v>0</v>
      </c>
      <c r="J452">
        <v>0</v>
      </c>
      <c r="K452">
        <v>0</v>
      </c>
      <c r="L452" s="7">
        <v>12.7</v>
      </c>
      <c r="M452" s="7">
        <v>27.5</v>
      </c>
      <c r="N452">
        <v>169</v>
      </c>
      <c r="O452" s="15">
        <v>146</v>
      </c>
      <c r="P452" s="8">
        <v>0.51428571428571423</v>
      </c>
      <c r="Q452">
        <v>166</v>
      </c>
      <c r="R452" s="15">
        <v>136</v>
      </c>
      <c r="S452" s="8">
        <v>0.55200000000000005</v>
      </c>
      <c r="T452">
        <v>104</v>
      </c>
      <c r="U452" s="15">
        <v>85</v>
      </c>
      <c r="V452" s="8">
        <v>0.57647058823529407</v>
      </c>
      <c r="W452">
        <f t="shared" si="7"/>
        <v>439</v>
      </c>
    </row>
    <row r="453" spans="1:23">
      <c r="A453" s="6">
        <v>45378</v>
      </c>
      <c r="B453" t="s">
        <v>64</v>
      </c>
      <c r="C453">
        <v>2</v>
      </c>
      <c r="D453">
        <v>3</v>
      </c>
      <c r="E453">
        <v>0</v>
      </c>
      <c r="F453">
        <v>0</v>
      </c>
      <c r="H453">
        <v>0</v>
      </c>
      <c r="I453">
        <v>0</v>
      </c>
      <c r="J453">
        <v>0</v>
      </c>
      <c r="K453">
        <v>0</v>
      </c>
      <c r="L453" s="7">
        <v>5.7</v>
      </c>
      <c r="M453" s="7">
        <v>29.5</v>
      </c>
      <c r="N453">
        <v>191</v>
      </c>
      <c r="O453" s="15">
        <v>166</v>
      </c>
      <c r="P453" s="8">
        <v>0.5714285714285714</v>
      </c>
      <c r="Q453">
        <v>163</v>
      </c>
      <c r="R453" s="15">
        <v>140</v>
      </c>
      <c r="S453" s="8">
        <v>0.54400000000000004</v>
      </c>
      <c r="T453">
        <v>119</v>
      </c>
      <c r="U453" s="15">
        <v>107</v>
      </c>
      <c r="V453" s="8">
        <v>0.6</v>
      </c>
      <c r="W453">
        <f t="shared" si="7"/>
        <v>473</v>
      </c>
    </row>
    <row r="454" spans="1:23">
      <c r="A454" s="6">
        <v>45379</v>
      </c>
      <c r="B454" t="s">
        <v>65</v>
      </c>
      <c r="C454">
        <v>3</v>
      </c>
      <c r="D454">
        <v>3</v>
      </c>
      <c r="E454">
        <v>0</v>
      </c>
      <c r="F454">
        <v>0</v>
      </c>
      <c r="H454">
        <v>0</v>
      </c>
      <c r="I454">
        <v>0</v>
      </c>
      <c r="J454">
        <v>0</v>
      </c>
      <c r="K454">
        <v>0</v>
      </c>
      <c r="L454" s="7">
        <v>13.7</v>
      </c>
      <c r="M454" s="7">
        <v>28</v>
      </c>
      <c r="N454">
        <v>170</v>
      </c>
      <c r="O454" s="15">
        <v>152</v>
      </c>
      <c r="P454" s="8">
        <v>0.52857142857142858</v>
      </c>
      <c r="Q454">
        <v>145</v>
      </c>
      <c r="R454" s="15">
        <v>118</v>
      </c>
      <c r="S454" s="8">
        <v>0.504</v>
      </c>
      <c r="T454">
        <v>110</v>
      </c>
      <c r="U454" s="15">
        <v>90</v>
      </c>
      <c r="V454" s="8">
        <v>0.58823529411764708</v>
      </c>
      <c r="W454">
        <f t="shared" si="7"/>
        <v>425</v>
      </c>
    </row>
    <row r="455" spans="1:23">
      <c r="A455" s="6">
        <v>45380</v>
      </c>
      <c r="B455" t="s">
        <v>66</v>
      </c>
      <c r="C455">
        <v>4</v>
      </c>
      <c r="D455">
        <v>3</v>
      </c>
      <c r="E455">
        <v>0</v>
      </c>
      <c r="F455">
        <v>0</v>
      </c>
      <c r="H455">
        <v>0</v>
      </c>
      <c r="I455">
        <v>0</v>
      </c>
      <c r="J455">
        <v>0</v>
      </c>
      <c r="K455">
        <v>0</v>
      </c>
      <c r="L455" s="7">
        <v>0</v>
      </c>
      <c r="M455" s="7">
        <v>27.4</v>
      </c>
      <c r="N455">
        <v>191</v>
      </c>
      <c r="O455" s="15">
        <v>162</v>
      </c>
      <c r="P455" s="8">
        <v>0.5714285714285714</v>
      </c>
      <c r="Q455">
        <v>169</v>
      </c>
      <c r="R455" s="15">
        <v>144</v>
      </c>
      <c r="S455" s="8">
        <v>0.56000000000000005</v>
      </c>
      <c r="T455">
        <v>110</v>
      </c>
      <c r="U455" s="15">
        <v>91</v>
      </c>
      <c r="V455" s="8">
        <v>0.56470588235294117</v>
      </c>
      <c r="W455">
        <f t="shared" si="7"/>
        <v>470</v>
      </c>
    </row>
    <row r="456" spans="1:23">
      <c r="A456" s="6">
        <v>45381</v>
      </c>
      <c r="B456" t="s">
        <v>67</v>
      </c>
      <c r="C456">
        <v>5</v>
      </c>
      <c r="D456">
        <v>3</v>
      </c>
      <c r="E456">
        <v>1</v>
      </c>
      <c r="F456">
        <v>0</v>
      </c>
      <c r="H456">
        <v>0</v>
      </c>
      <c r="I456">
        <v>0</v>
      </c>
      <c r="J456">
        <v>0</v>
      </c>
      <c r="K456">
        <v>0</v>
      </c>
      <c r="L456" s="7">
        <v>6.7</v>
      </c>
      <c r="M456" s="7">
        <v>27</v>
      </c>
      <c r="N456">
        <v>217</v>
      </c>
      <c r="O456" s="15">
        <v>184</v>
      </c>
      <c r="P456" s="8">
        <v>0.6428571428571429</v>
      </c>
      <c r="Q456">
        <v>177</v>
      </c>
      <c r="R456" s="15">
        <v>149</v>
      </c>
      <c r="S456" s="8">
        <v>0.58399999999999996</v>
      </c>
      <c r="T456">
        <v>133</v>
      </c>
      <c r="U456" s="15">
        <v>123</v>
      </c>
      <c r="V456" s="8">
        <v>0.69411764705882351</v>
      </c>
      <c r="W456">
        <f t="shared" si="7"/>
        <v>527</v>
      </c>
    </row>
    <row r="457" spans="1:23">
      <c r="A457" s="6">
        <v>45382</v>
      </c>
      <c r="B457" t="s">
        <v>60</v>
      </c>
      <c r="C457">
        <v>6</v>
      </c>
      <c r="D457">
        <v>3</v>
      </c>
      <c r="E457">
        <v>1</v>
      </c>
      <c r="F457">
        <v>0</v>
      </c>
      <c r="H457">
        <v>0</v>
      </c>
      <c r="I457">
        <v>0</v>
      </c>
      <c r="J457">
        <v>0</v>
      </c>
      <c r="K457">
        <v>0</v>
      </c>
      <c r="L457" s="7">
        <v>16.3</v>
      </c>
      <c r="M457" s="7">
        <v>27.2</v>
      </c>
      <c r="N457">
        <v>219</v>
      </c>
      <c r="O457" s="15">
        <v>177</v>
      </c>
      <c r="P457" s="8">
        <v>0.66428571428571426</v>
      </c>
      <c r="Q457">
        <v>169</v>
      </c>
      <c r="R457" s="15">
        <v>139</v>
      </c>
      <c r="S457" s="8">
        <v>0.57599999999999996</v>
      </c>
      <c r="T457">
        <v>114</v>
      </c>
      <c r="U457" s="15">
        <v>100</v>
      </c>
      <c r="V457" s="8">
        <v>0.6</v>
      </c>
      <c r="W457">
        <f t="shared" si="7"/>
        <v>502</v>
      </c>
    </row>
    <row r="458" spans="1:23">
      <c r="A458" s="6">
        <v>45383</v>
      </c>
      <c r="B458" t="s">
        <v>62</v>
      </c>
      <c r="C458">
        <v>0</v>
      </c>
      <c r="D458">
        <v>4</v>
      </c>
      <c r="E458">
        <v>0</v>
      </c>
      <c r="F458">
        <v>0</v>
      </c>
      <c r="H458">
        <v>0</v>
      </c>
      <c r="I458">
        <v>0</v>
      </c>
      <c r="J458">
        <v>0</v>
      </c>
      <c r="K458">
        <v>0</v>
      </c>
      <c r="L458" s="7">
        <v>18.3</v>
      </c>
      <c r="M458" s="7">
        <v>25.9</v>
      </c>
      <c r="N458">
        <v>192</v>
      </c>
      <c r="O458" s="15">
        <v>158</v>
      </c>
      <c r="P458" s="8">
        <v>0.59285714285714286</v>
      </c>
      <c r="Q458">
        <v>157</v>
      </c>
      <c r="R458" s="15">
        <v>128</v>
      </c>
      <c r="S458" s="8">
        <v>0.52800000000000002</v>
      </c>
      <c r="T458">
        <v>113</v>
      </c>
      <c r="U458" s="15">
        <v>104</v>
      </c>
      <c r="V458" s="8">
        <v>0.58823529411764708</v>
      </c>
      <c r="W458">
        <f t="shared" si="7"/>
        <v>462</v>
      </c>
    </row>
    <row r="459" spans="1:23">
      <c r="A459" s="6">
        <v>45384</v>
      </c>
      <c r="B459" t="s">
        <v>63</v>
      </c>
      <c r="C459">
        <v>1</v>
      </c>
      <c r="D459">
        <v>4</v>
      </c>
      <c r="E459">
        <v>0</v>
      </c>
      <c r="F459">
        <v>0</v>
      </c>
      <c r="H459">
        <v>0</v>
      </c>
      <c r="I459">
        <v>0</v>
      </c>
      <c r="J459">
        <v>0</v>
      </c>
      <c r="K459">
        <v>0</v>
      </c>
      <c r="L459" s="7">
        <v>3.6</v>
      </c>
      <c r="M459" s="7">
        <v>27.7</v>
      </c>
      <c r="N459">
        <v>190</v>
      </c>
      <c r="O459" s="15">
        <v>161</v>
      </c>
      <c r="P459" s="8">
        <v>0.6</v>
      </c>
      <c r="Q459">
        <v>164</v>
      </c>
      <c r="R459" s="15">
        <v>135</v>
      </c>
      <c r="S459" s="8">
        <v>0.54400000000000004</v>
      </c>
      <c r="T459">
        <v>106</v>
      </c>
      <c r="U459" s="15">
        <v>92</v>
      </c>
      <c r="V459" s="8">
        <v>0.55294117647058827</v>
      </c>
      <c r="W459">
        <f t="shared" si="7"/>
        <v>460</v>
      </c>
    </row>
    <row r="460" spans="1:23">
      <c r="A460" s="6">
        <v>45385</v>
      </c>
      <c r="B460" t="s">
        <v>64</v>
      </c>
      <c r="C460">
        <v>2</v>
      </c>
      <c r="D460">
        <v>4</v>
      </c>
      <c r="E460">
        <v>0</v>
      </c>
      <c r="F460">
        <v>0</v>
      </c>
      <c r="H460">
        <v>0</v>
      </c>
      <c r="I460">
        <v>0</v>
      </c>
      <c r="J460">
        <v>0</v>
      </c>
      <c r="K460">
        <v>0</v>
      </c>
      <c r="L460" s="7">
        <v>16.600000000000001</v>
      </c>
      <c r="M460" s="7">
        <v>27.8</v>
      </c>
      <c r="N460">
        <v>191</v>
      </c>
      <c r="O460" s="15">
        <v>156</v>
      </c>
      <c r="P460" s="8">
        <v>0.5714285714285714</v>
      </c>
      <c r="Q460">
        <v>146</v>
      </c>
      <c r="R460" s="15">
        <v>130</v>
      </c>
      <c r="S460" s="8">
        <v>0.48799999999999999</v>
      </c>
      <c r="T460">
        <v>99</v>
      </c>
      <c r="U460" s="15">
        <v>82</v>
      </c>
      <c r="V460" s="8">
        <v>0.52941176470588236</v>
      </c>
      <c r="W460">
        <f t="shared" si="7"/>
        <v>436</v>
      </c>
    </row>
    <row r="461" spans="1:23">
      <c r="A461" s="6">
        <v>45386</v>
      </c>
      <c r="B461" t="s">
        <v>65</v>
      </c>
      <c r="C461">
        <v>3</v>
      </c>
      <c r="D461">
        <v>4</v>
      </c>
      <c r="E461">
        <v>0</v>
      </c>
      <c r="F461">
        <v>0</v>
      </c>
      <c r="H461">
        <v>0</v>
      </c>
      <c r="I461">
        <v>0</v>
      </c>
      <c r="J461">
        <v>0</v>
      </c>
      <c r="K461">
        <v>0</v>
      </c>
      <c r="L461" s="7">
        <v>0</v>
      </c>
      <c r="M461" s="7">
        <v>27.1</v>
      </c>
      <c r="N461">
        <v>170</v>
      </c>
      <c r="O461" s="15">
        <v>151</v>
      </c>
      <c r="P461" s="8">
        <v>0.55000000000000004</v>
      </c>
      <c r="Q461">
        <v>148</v>
      </c>
      <c r="R461" s="15">
        <v>127</v>
      </c>
      <c r="S461" s="8">
        <v>0.48799999999999999</v>
      </c>
      <c r="T461">
        <v>103</v>
      </c>
      <c r="U461" s="15">
        <v>92</v>
      </c>
      <c r="V461" s="8">
        <v>0.57647058823529407</v>
      </c>
      <c r="W461">
        <f t="shared" si="7"/>
        <v>421</v>
      </c>
    </row>
    <row r="462" spans="1:23">
      <c r="A462" s="6">
        <v>45387</v>
      </c>
      <c r="B462" t="s">
        <v>66</v>
      </c>
      <c r="C462">
        <v>4</v>
      </c>
      <c r="D462">
        <v>4</v>
      </c>
      <c r="E462">
        <v>0</v>
      </c>
      <c r="F462">
        <v>0</v>
      </c>
      <c r="H462">
        <v>0</v>
      </c>
      <c r="I462">
        <v>0</v>
      </c>
      <c r="J462">
        <v>0</v>
      </c>
      <c r="K462">
        <v>0</v>
      </c>
      <c r="L462" s="7">
        <v>8.1999999999999993</v>
      </c>
      <c r="M462" s="7">
        <v>27</v>
      </c>
      <c r="N462">
        <v>195</v>
      </c>
      <c r="O462" s="15">
        <v>175</v>
      </c>
      <c r="P462" s="8">
        <v>0.57857142857142863</v>
      </c>
      <c r="Q462">
        <v>159</v>
      </c>
      <c r="R462" s="15">
        <v>132</v>
      </c>
      <c r="S462" s="8">
        <v>0.53600000000000003</v>
      </c>
      <c r="T462">
        <v>102</v>
      </c>
      <c r="U462" s="15">
        <v>90</v>
      </c>
      <c r="V462" s="8">
        <v>0.56470588235294117</v>
      </c>
      <c r="W462">
        <f t="shared" si="7"/>
        <v>456</v>
      </c>
    </row>
    <row r="463" spans="1:23">
      <c r="A463" s="6">
        <v>45388</v>
      </c>
      <c r="B463" t="s">
        <v>67</v>
      </c>
      <c r="C463">
        <v>5</v>
      </c>
      <c r="D463">
        <v>4</v>
      </c>
      <c r="E463">
        <v>1</v>
      </c>
      <c r="F463">
        <v>0</v>
      </c>
      <c r="H463">
        <v>0</v>
      </c>
      <c r="I463">
        <v>0</v>
      </c>
      <c r="J463">
        <v>0</v>
      </c>
      <c r="K463">
        <v>0</v>
      </c>
      <c r="L463" s="7">
        <v>4.3</v>
      </c>
      <c r="M463" s="7">
        <v>27.9</v>
      </c>
      <c r="N463">
        <v>215</v>
      </c>
      <c r="O463" s="15">
        <v>189</v>
      </c>
      <c r="P463" s="8">
        <v>0.67142857142857137</v>
      </c>
      <c r="Q463">
        <v>174</v>
      </c>
      <c r="R463" s="15">
        <v>144</v>
      </c>
      <c r="S463" s="8">
        <v>0.56799999999999995</v>
      </c>
      <c r="T463">
        <v>140</v>
      </c>
      <c r="U463" s="15">
        <v>121</v>
      </c>
      <c r="V463" s="8">
        <v>0.75294117647058822</v>
      </c>
      <c r="W463">
        <f t="shared" si="7"/>
        <v>529</v>
      </c>
    </row>
    <row r="464" spans="1:23">
      <c r="A464" s="6">
        <v>45389</v>
      </c>
      <c r="B464" t="s">
        <v>60</v>
      </c>
      <c r="C464">
        <v>6</v>
      </c>
      <c r="D464">
        <v>4</v>
      </c>
      <c r="E464">
        <v>1</v>
      </c>
      <c r="F464">
        <v>0</v>
      </c>
      <c r="H464">
        <v>0</v>
      </c>
      <c r="I464">
        <v>0</v>
      </c>
      <c r="J464">
        <v>0</v>
      </c>
      <c r="K464">
        <v>0</v>
      </c>
      <c r="L464" s="7">
        <v>11.6</v>
      </c>
      <c r="M464" s="7">
        <v>27.9</v>
      </c>
      <c r="N464">
        <v>186</v>
      </c>
      <c r="O464" s="15">
        <v>151</v>
      </c>
      <c r="P464" s="8">
        <v>0.55714285714285716</v>
      </c>
      <c r="Q464">
        <v>192</v>
      </c>
      <c r="R464" s="15">
        <v>158</v>
      </c>
      <c r="S464" s="8">
        <v>0.64800000000000002</v>
      </c>
      <c r="T464">
        <v>139</v>
      </c>
      <c r="U464" s="15">
        <v>118</v>
      </c>
      <c r="V464" s="8">
        <v>0.72941176470588232</v>
      </c>
      <c r="W464">
        <f t="shared" si="7"/>
        <v>517</v>
      </c>
    </row>
    <row r="465" spans="1:23">
      <c r="A465" s="6">
        <v>45390</v>
      </c>
      <c r="B465" t="s">
        <v>62</v>
      </c>
      <c r="C465">
        <v>0</v>
      </c>
      <c r="D465">
        <v>4</v>
      </c>
      <c r="E465">
        <v>0</v>
      </c>
      <c r="F465">
        <v>0</v>
      </c>
      <c r="H465">
        <v>0</v>
      </c>
      <c r="I465">
        <v>0</v>
      </c>
      <c r="J465">
        <v>0</v>
      </c>
      <c r="K465">
        <v>0</v>
      </c>
      <c r="L465" s="7">
        <v>14.1</v>
      </c>
      <c r="M465" s="7">
        <v>27.7</v>
      </c>
      <c r="N465">
        <v>186</v>
      </c>
      <c r="O465" s="15">
        <v>150</v>
      </c>
      <c r="P465" s="8">
        <v>0.56428571428571428</v>
      </c>
      <c r="Q465">
        <v>162</v>
      </c>
      <c r="R465" s="15">
        <v>150</v>
      </c>
      <c r="S465" s="8">
        <v>0.56000000000000005</v>
      </c>
      <c r="T465">
        <v>109</v>
      </c>
      <c r="U465" s="15">
        <v>91</v>
      </c>
      <c r="V465" s="8">
        <v>0.56470588235294117</v>
      </c>
      <c r="W465">
        <f t="shared" si="7"/>
        <v>457</v>
      </c>
    </row>
    <row r="466" spans="1:23">
      <c r="A466" s="6">
        <v>45391</v>
      </c>
      <c r="B466" t="s">
        <v>63</v>
      </c>
      <c r="C466">
        <v>1</v>
      </c>
      <c r="D466">
        <v>4</v>
      </c>
      <c r="E466">
        <v>0</v>
      </c>
      <c r="F466">
        <v>0</v>
      </c>
      <c r="H466">
        <v>0</v>
      </c>
      <c r="I466">
        <v>0</v>
      </c>
      <c r="J466">
        <v>0</v>
      </c>
      <c r="K466">
        <v>0</v>
      </c>
      <c r="L466" s="7">
        <v>7.5</v>
      </c>
      <c r="M466" s="7">
        <v>27.6</v>
      </c>
      <c r="N466">
        <v>162</v>
      </c>
      <c r="O466" s="15">
        <v>148</v>
      </c>
      <c r="P466" s="8">
        <v>0.51428571428571423</v>
      </c>
      <c r="Q466">
        <v>166</v>
      </c>
      <c r="R466" s="15">
        <v>142</v>
      </c>
      <c r="S466" s="8">
        <v>0.56799999999999995</v>
      </c>
      <c r="T466">
        <v>118</v>
      </c>
      <c r="U466" s="15">
        <v>102</v>
      </c>
      <c r="V466" s="8">
        <v>0.63529411764705879</v>
      </c>
      <c r="W466">
        <f t="shared" si="7"/>
        <v>446</v>
      </c>
    </row>
    <row r="467" spans="1:23">
      <c r="A467" s="6">
        <v>45392</v>
      </c>
      <c r="B467" t="s">
        <v>64</v>
      </c>
      <c r="C467">
        <v>2</v>
      </c>
      <c r="D467">
        <v>4</v>
      </c>
      <c r="E467">
        <v>0</v>
      </c>
      <c r="F467">
        <v>0</v>
      </c>
      <c r="H467">
        <v>0</v>
      </c>
      <c r="I467">
        <v>0</v>
      </c>
      <c r="J467">
        <v>0</v>
      </c>
      <c r="K467">
        <v>0</v>
      </c>
      <c r="L467" s="7">
        <v>21.5</v>
      </c>
      <c r="M467" s="7">
        <v>26</v>
      </c>
      <c r="N467">
        <v>179</v>
      </c>
      <c r="O467" s="15">
        <v>151</v>
      </c>
      <c r="P467" s="8">
        <v>0.5357142857142857</v>
      </c>
      <c r="Q467">
        <v>140</v>
      </c>
      <c r="R467" s="15">
        <v>116</v>
      </c>
      <c r="S467" s="8">
        <v>0.45600000000000002</v>
      </c>
      <c r="T467">
        <v>119</v>
      </c>
      <c r="U467" s="15">
        <v>104</v>
      </c>
      <c r="V467" s="8">
        <v>0.6</v>
      </c>
      <c r="W467">
        <f t="shared" si="7"/>
        <v>438</v>
      </c>
    </row>
    <row r="468" spans="1:23">
      <c r="A468" s="6">
        <v>45393</v>
      </c>
      <c r="B468" t="s">
        <v>65</v>
      </c>
      <c r="C468">
        <v>3</v>
      </c>
      <c r="D468">
        <v>4</v>
      </c>
      <c r="E468">
        <v>0</v>
      </c>
      <c r="F468">
        <v>0</v>
      </c>
      <c r="H468">
        <v>0</v>
      </c>
      <c r="I468">
        <v>0</v>
      </c>
      <c r="J468">
        <v>0</v>
      </c>
      <c r="K468">
        <v>0</v>
      </c>
      <c r="L468" s="7">
        <v>15.2</v>
      </c>
      <c r="M468" s="7">
        <v>27.7</v>
      </c>
      <c r="N468">
        <v>177</v>
      </c>
      <c r="O468" s="15">
        <v>150</v>
      </c>
      <c r="P468" s="8">
        <v>0.5357142857142857</v>
      </c>
      <c r="Q468">
        <v>149</v>
      </c>
      <c r="R468" s="15">
        <v>125</v>
      </c>
      <c r="S468" s="8">
        <v>0.504</v>
      </c>
      <c r="T468">
        <v>111</v>
      </c>
      <c r="U468" s="15">
        <v>101</v>
      </c>
      <c r="V468" s="8">
        <v>0.58823529411764708</v>
      </c>
      <c r="W468">
        <f t="shared" si="7"/>
        <v>437</v>
      </c>
    </row>
    <row r="469" spans="1:23">
      <c r="A469" s="6">
        <v>45394</v>
      </c>
      <c r="B469" t="s">
        <v>66</v>
      </c>
      <c r="C469">
        <v>4</v>
      </c>
      <c r="D469">
        <v>4</v>
      </c>
      <c r="E469">
        <v>0</v>
      </c>
      <c r="F469">
        <v>0</v>
      </c>
      <c r="H469">
        <v>0</v>
      </c>
      <c r="I469">
        <v>0</v>
      </c>
      <c r="J469">
        <v>0</v>
      </c>
      <c r="K469">
        <v>0</v>
      </c>
      <c r="L469" s="7">
        <v>18.899999999999999</v>
      </c>
      <c r="M469" s="7">
        <v>28.7</v>
      </c>
      <c r="N469">
        <v>195</v>
      </c>
      <c r="O469" s="15">
        <v>176</v>
      </c>
      <c r="P469" s="8">
        <v>0.6</v>
      </c>
      <c r="Q469">
        <v>158</v>
      </c>
      <c r="R469" s="15">
        <v>143</v>
      </c>
      <c r="S469" s="8">
        <v>0.52</v>
      </c>
      <c r="T469">
        <v>97</v>
      </c>
      <c r="U469" s="15">
        <v>84</v>
      </c>
      <c r="V469" s="8">
        <v>0.52941176470588236</v>
      </c>
      <c r="W469">
        <f t="shared" si="7"/>
        <v>450</v>
      </c>
    </row>
    <row r="470" spans="1:23">
      <c r="A470" s="6">
        <v>45395</v>
      </c>
      <c r="B470" t="s">
        <v>67</v>
      </c>
      <c r="C470">
        <v>5</v>
      </c>
      <c r="D470">
        <v>4</v>
      </c>
      <c r="E470">
        <v>1</v>
      </c>
      <c r="F470">
        <v>0</v>
      </c>
      <c r="H470">
        <v>0</v>
      </c>
      <c r="I470">
        <v>0</v>
      </c>
      <c r="J470">
        <v>0</v>
      </c>
      <c r="K470">
        <v>0</v>
      </c>
      <c r="L470" s="7">
        <v>18.100000000000001</v>
      </c>
      <c r="M470" s="7">
        <v>27.5</v>
      </c>
      <c r="N470">
        <v>203</v>
      </c>
      <c r="O470" s="15">
        <v>171</v>
      </c>
      <c r="P470" s="8">
        <v>0.62142857142857144</v>
      </c>
      <c r="Q470">
        <v>194</v>
      </c>
      <c r="R470" s="15">
        <v>160</v>
      </c>
      <c r="S470" s="8">
        <v>0.64</v>
      </c>
      <c r="T470">
        <v>139</v>
      </c>
      <c r="U470" s="15">
        <v>124</v>
      </c>
      <c r="V470" s="8">
        <v>0.70588235294117652</v>
      </c>
      <c r="W470">
        <f t="shared" si="7"/>
        <v>536</v>
      </c>
    </row>
    <row r="471" spans="1:23">
      <c r="A471" s="6">
        <v>45396</v>
      </c>
      <c r="B471" t="s">
        <v>60</v>
      </c>
      <c r="C471">
        <v>6</v>
      </c>
      <c r="D471">
        <v>4</v>
      </c>
      <c r="E471">
        <v>1</v>
      </c>
      <c r="F471">
        <v>0</v>
      </c>
      <c r="H471">
        <v>0</v>
      </c>
      <c r="I471">
        <v>0</v>
      </c>
      <c r="J471">
        <v>0</v>
      </c>
      <c r="K471">
        <v>0</v>
      </c>
      <c r="L471" s="7">
        <v>10.8</v>
      </c>
      <c r="M471" s="7">
        <v>29</v>
      </c>
      <c r="N471">
        <v>193</v>
      </c>
      <c r="O471" s="15">
        <v>156</v>
      </c>
      <c r="P471" s="8">
        <v>0.59285714285714286</v>
      </c>
      <c r="Q471">
        <v>182</v>
      </c>
      <c r="R471" s="15">
        <v>153</v>
      </c>
      <c r="S471" s="8">
        <v>0.60799999999999998</v>
      </c>
      <c r="T471">
        <v>141</v>
      </c>
      <c r="U471" s="15">
        <v>132</v>
      </c>
      <c r="V471" s="8">
        <v>0.75294117647058822</v>
      </c>
      <c r="W471">
        <f t="shared" si="7"/>
        <v>516</v>
      </c>
    </row>
    <row r="472" spans="1:23">
      <c r="A472" s="6">
        <v>45397</v>
      </c>
      <c r="B472" t="s">
        <v>62</v>
      </c>
      <c r="C472">
        <v>0</v>
      </c>
      <c r="D472">
        <v>4</v>
      </c>
      <c r="E472">
        <v>0</v>
      </c>
      <c r="F472">
        <v>0</v>
      </c>
      <c r="H472">
        <v>0</v>
      </c>
      <c r="I472">
        <v>0</v>
      </c>
      <c r="J472">
        <v>0</v>
      </c>
      <c r="K472">
        <v>0</v>
      </c>
      <c r="L472" s="7">
        <v>0</v>
      </c>
      <c r="M472" s="7">
        <v>26.7</v>
      </c>
      <c r="N472">
        <v>167</v>
      </c>
      <c r="O472" s="15">
        <v>142</v>
      </c>
      <c r="P472" s="8">
        <v>0.51428571428571423</v>
      </c>
      <c r="Q472">
        <v>156</v>
      </c>
      <c r="R472" s="15">
        <v>139</v>
      </c>
      <c r="S472" s="8">
        <v>0.52</v>
      </c>
      <c r="T472">
        <v>98</v>
      </c>
      <c r="U472" s="15">
        <v>85</v>
      </c>
      <c r="V472" s="8">
        <v>0.52941176470588236</v>
      </c>
      <c r="W472">
        <f t="shared" si="7"/>
        <v>421</v>
      </c>
    </row>
    <row r="473" spans="1:23">
      <c r="A473" s="6">
        <v>45398</v>
      </c>
      <c r="B473" t="s">
        <v>63</v>
      </c>
      <c r="C473">
        <v>1</v>
      </c>
      <c r="D473">
        <v>4</v>
      </c>
      <c r="E473">
        <v>0</v>
      </c>
      <c r="F473">
        <v>0</v>
      </c>
      <c r="H473">
        <v>0</v>
      </c>
      <c r="I473">
        <v>0</v>
      </c>
      <c r="J473">
        <v>0</v>
      </c>
      <c r="K473">
        <v>0</v>
      </c>
      <c r="L473" s="7">
        <v>5.7</v>
      </c>
      <c r="M473" s="7">
        <v>26.5</v>
      </c>
      <c r="N473">
        <v>165</v>
      </c>
      <c r="O473" s="15">
        <v>143</v>
      </c>
      <c r="P473" s="8">
        <v>0.49285714285714288</v>
      </c>
      <c r="Q473">
        <v>134</v>
      </c>
      <c r="R473" s="15">
        <v>114</v>
      </c>
      <c r="S473" s="8">
        <v>0.45600000000000002</v>
      </c>
      <c r="T473">
        <v>110</v>
      </c>
      <c r="U473" s="15">
        <v>99</v>
      </c>
      <c r="V473" s="8">
        <v>0.6</v>
      </c>
      <c r="W473">
        <f t="shared" si="7"/>
        <v>409</v>
      </c>
    </row>
    <row r="474" spans="1:23">
      <c r="A474" s="6">
        <v>45399</v>
      </c>
      <c r="B474" t="s">
        <v>64</v>
      </c>
      <c r="C474">
        <v>2</v>
      </c>
      <c r="D474">
        <v>4</v>
      </c>
      <c r="E474">
        <v>0</v>
      </c>
      <c r="F474">
        <v>0</v>
      </c>
      <c r="H474">
        <v>0</v>
      </c>
      <c r="I474">
        <v>0</v>
      </c>
      <c r="J474">
        <v>0</v>
      </c>
      <c r="K474">
        <v>0</v>
      </c>
      <c r="L474" s="7">
        <v>14.5</v>
      </c>
      <c r="M474" s="7">
        <v>27.7</v>
      </c>
      <c r="N474">
        <v>146</v>
      </c>
      <c r="O474" s="15">
        <v>121</v>
      </c>
      <c r="P474" s="8">
        <v>0.43571428571428572</v>
      </c>
      <c r="Q474">
        <v>172</v>
      </c>
      <c r="R474" s="15">
        <v>141</v>
      </c>
      <c r="S474" s="8">
        <v>0.56799999999999995</v>
      </c>
      <c r="T474">
        <v>122</v>
      </c>
      <c r="U474" s="15">
        <v>114</v>
      </c>
      <c r="V474" s="8">
        <v>0.63529411764705879</v>
      </c>
      <c r="W474">
        <f t="shared" si="7"/>
        <v>440</v>
      </c>
    </row>
    <row r="475" spans="1:23">
      <c r="A475" s="6">
        <v>45400</v>
      </c>
      <c r="B475" t="s">
        <v>65</v>
      </c>
      <c r="C475">
        <v>3</v>
      </c>
      <c r="D475">
        <v>4</v>
      </c>
      <c r="E475">
        <v>0</v>
      </c>
      <c r="F475">
        <v>0</v>
      </c>
      <c r="H475">
        <v>0</v>
      </c>
      <c r="I475">
        <v>0</v>
      </c>
      <c r="J475">
        <v>0</v>
      </c>
      <c r="K475">
        <v>0</v>
      </c>
      <c r="L475" s="7">
        <v>15.6</v>
      </c>
      <c r="M475" s="7">
        <v>26.8</v>
      </c>
      <c r="N475">
        <v>180</v>
      </c>
      <c r="O475" s="15">
        <v>152</v>
      </c>
      <c r="P475" s="8">
        <v>0.56428571428571428</v>
      </c>
      <c r="Q475">
        <v>154</v>
      </c>
      <c r="R475" s="15">
        <v>142</v>
      </c>
      <c r="S475" s="8">
        <v>0.52800000000000002</v>
      </c>
      <c r="T475">
        <v>111</v>
      </c>
      <c r="U475" s="15">
        <v>94</v>
      </c>
      <c r="V475" s="8">
        <v>0.6</v>
      </c>
      <c r="W475">
        <f t="shared" si="7"/>
        <v>445</v>
      </c>
    </row>
    <row r="476" spans="1:23">
      <c r="A476" s="6">
        <v>45401</v>
      </c>
      <c r="B476" t="s">
        <v>66</v>
      </c>
      <c r="C476">
        <v>4</v>
      </c>
      <c r="D476">
        <v>4</v>
      </c>
      <c r="E476">
        <v>0</v>
      </c>
      <c r="F476">
        <v>0</v>
      </c>
      <c r="H476">
        <v>0</v>
      </c>
      <c r="I476">
        <v>0</v>
      </c>
      <c r="J476">
        <v>0</v>
      </c>
      <c r="K476">
        <v>0</v>
      </c>
      <c r="L476" s="7">
        <v>12.8</v>
      </c>
      <c r="M476" s="7">
        <v>26.9</v>
      </c>
      <c r="N476">
        <v>187</v>
      </c>
      <c r="O476" s="15">
        <v>152</v>
      </c>
      <c r="P476" s="8">
        <v>0.5714285714285714</v>
      </c>
      <c r="Q476">
        <v>165</v>
      </c>
      <c r="R476" s="15">
        <v>134</v>
      </c>
      <c r="S476" s="8">
        <v>0.55200000000000005</v>
      </c>
      <c r="T476">
        <v>115</v>
      </c>
      <c r="U476" s="15">
        <v>95</v>
      </c>
      <c r="V476" s="8">
        <v>0.58823529411764708</v>
      </c>
      <c r="W476">
        <f t="shared" si="7"/>
        <v>467</v>
      </c>
    </row>
    <row r="477" spans="1:23">
      <c r="A477" s="6">
        <v>45402</v>
      </c>
      <c r="B477" t="s">
        <v>67</v>
      </c>
      <c r="C477">
        <v>5</v>
      </c>
      <c r="D477">
        <v>4</v>
      </c>
      <c r="E477">
        <v>1</v>
      </c>
      <c r="F477">
        <v>0</v>
      </c>
      <c r="H477">
        <v>0</v>
      </c>
      <c r="I477">
        <v>0</v>
      </c>
      <c r="J477">
        <v>0</v>
      </c>
      <c r="K477">
        <v>0</v>
      </c>
      <c r="L477" s="7">
        <v>18</v>
      </c>
      <c r="M477" s="7">
        <v>27.7</v>
      </c>
      <c r="N477">
        <v>203</v>
      </c>
      <c r="O477" s="15">
        <v>172</v>
      </c>
      <c r="P477" s="8">
        <v>0.61428571428571432</v>
      </c>
      <c r="Q477">
        <v>186</v>
      </c>
      <c r="R477" s="15">
        <v>150</v>
      </c>
      <c r="S477" s="8">
        <v>0.624</v>
      </c>
      <c r="T477">
        <v>142</v>
      </c>
      <c r="U477" s="15">
        <v>114</v>
      </c>
      <c r="V477" s="8">
        <v>0.74117647058823533</v>
      </c>
      <c r="W477">
        <f t="shared" si="7"/>
        <v>531</v>
      </c>
    </row>
    <row r="478" spans="1:23">
      <c r="A478" s="6">
        <v>45403</v>
      </c>
      <c r="B478" t="s">
        <v>60</v>
      </c>
      <c r="C478">
        <v>6</v>
      </c>
      <c r="D478">
        <v>4</v>
      </c>
      <c r="E478">
        <v>1</v>
      </c>
      <c r="F478">
        <v>1</v>
      </c>
      <c r="G478" t="s">
        <v>70</v>
      </c>
      <c r="H478">
        <v>0</v>
      </c>
      <c r="I478">
        <v>0</v>
      </c>
      <c r="J478">
        <v>0</v>
      </c>
      <c r="K478">
        <v>0</v>
      </c>
      <c r="L478" s="7">
        <v>14.5</v>
      </c>
      <c r="M478" s="7">
        <v>26.3</v>
      </c>
      <c r="N478">
        <v>219</v>
      </c>
      <c r="O478" s="15">
        <v>196</v>
      </c>
      <c r="P478" s="8">
        <v>0.69285714285714284</v>
      </c>
      <c r="Q478">
        <v>180</v>
      </c>
      <c r="R478" s="15">
        <v>157</v>
      </c>
      <c r="S478" s="8">
        <v>0.624</v>
      </c>
      <c r="T478">
        <v>146</v>
      </c>
      <c r="U478" s="15">
        <v>119</v>
      </c>
      <c r="V478" s="8">
        <v>0.78823529411764703</v>
      </c>
      <c r="W478">
        <f t="shared" si="7"/>
        <v>545</v>
      </c>
    </row>
    <row r="479" spans="1:23">
      <c r="A479" s="6">
        <v>45404</v>
      </c>
      <c r="B479" t="s">
        <v>62</v>
      </c>
      <c r="C479">
        <v>0</v>
      </c>
      <c r="D479">
        <v>4</v>
      </c>
      <c r="E479">
        <v>0</v>
      </c>
      <c r="F479">
        <v>0</v>
      </c>
      <c r="H479">
        <v>0</v>
      </c>
      <c r="I479">
        <v>0</v>
      </c>
      <c r="J479">
        <v>0</v>
      </c>
      <c r="K479">
        <v>0</v>
      </c>
      <c r="L479" s="7">
        <v>11.7</v>
      </c>
      <c r="M479" s="7">
        <v>27.7</v>
      </c>
      <c r="N479">
        <v>152</v>
      </c>
      <c r="O479" s="15">
        <v>126</v>
      </c>
      <c r="P479" s="8">
        <v>0.47142857142857142</v>
      </c>
      <c r="Q479">
        <v>151</v>
      </c>
      <c r="R479" s="15">
        <v>123</v>
      </c>
      <c r="S479" s="8">
        <v>0.504</v>
      </c>
      <c r="T479">
        <v>109</v>
      </c>
      <c r="U479" s="15">
        <v>99</v>
      </c>
      <c r="V479" s="8">
        <v>0.55294117647058827</v>
      </c>
      <c r="W479">
        <f t="shared" si="7"/>
        <v>412</v>
      </c>
    </row>
    <row r="480" spans="1:23">
      <c r="A480" s="6">
        <v>45405</v>
      </c>
      <c r="B480" t="s">
        <v>63</v>
      </c>
      <c r="C480">
        <v>1</v>
      </c>
      <c r="D480">
        <v>4</v>
      </c>
      <c r="E480">
        <v>0</v>
      </c>
      <c r="F480">
        <v>0</v>
      </c>
      <c r="H480">
        <v>0</v>
      </c>
      <c r="I480">
        <v>0</v>
      </c>
      <c r="J480">
        <v>0</v>
      </c>
      <c r="K480">
        <v>0</v>
      </c>
      <c r="L480" s="7">
        <v>13</v>
      </c>
      <c r="M480" s="7">
        <v>27.8</v>
      </c>
      <c r="N480">
        <v>155</v>
      </c>
      <c r="O480" s="15">
        <v>143</v>
      </c>
      <c r="P480" s="8">
        <v>0.49285714285714288</v>
      </c>
      <c r="Q480">
        <v>136</v>
      </c>
      <c r="R480" s="15">
        <v>116</v>
      </c>
      <c r="S480" s="8">
        <v>0.44800000000000001</v>
      </c>
      <c r="T480">
        <v>109</v>
      </c>
      <c r="U480" s="15">
        <v>95</v>
      </c>
      <c r="V480" s="8">
        <v>0.56470588235294117</v>
      </c>
      <c r="W480">
        <f t="shared" si="7"/>
        <v>400</v>
      </c>
    </row>
    <row r="481" spans="1:23">
      <c r="A481" s="6">
        <v>45406</v>
      </c>
      <c r="B481" t="s">
        <v>64</v>
      </c>
      <c r="C481">
        <v>2</v>
      </c>
      <c r="D481">
        <v>4</v>
      </c>
      <c r="E481">
        <v>0</v>
      </c>
      <c r="F481">
        <v>0</v>
      </c>
      <c r="H481">
        <v>0</v>
      </c>
      <c r="I481">
        <v>0</v>
      </c>
      <c r="J481">
        <v>0</v>
      </c>
      <c r="K481">
        <v>0</v>
      </c>
      <c r="L481" s="7">
        <v>11.6</v>
      </c>
      <c r="M481" s="7">
        <v>27.2</v>
      </c>
      <c r="N481">
        <v>172</v>
      </c>
      <c r="O481" s="15">
        <v>151</v>
      </c>
      <c r="P481" s="8">
        <v>0.52142857142857146</v>
      </c>
      <c r="Q481">
        <v>161</v>
      </c>
      <c r="R481" s="15">
        <v>150</v>
      </c>
      <c r="S481" s="8">
        <v>0.53600000000000003</v>
      </c>
      <c r="T481">
        <v>112</v>
      </c>
      <c r="U481" s="15">
        <v>97</v>
      </c>
      <c r="V481" s="8">
        <v>0.57647058823529407</v>
      </c>
      <c r="W481">
        <f t="shared" si="7"/>
        <v>445</v>
      </c>
    </row>
    <row r="482" spans="1:23">
      <c r="A482" s="6">
        <v>45407</v>
      </c>
      <c r="B482" t="s">
        <v>65</v>
      </c>
      <c r="C482">
        <v>3</v>
      </c>
      <c r="D482">
        <v>4</v>
      </c>
      <c r="E482">
        <v>0</v>
      </c>
      <c r="F482">
        <v>0</v>
      </c>
      <c r="H482">
        <v>0</v>
      </c>
      <c r="I482">
        <v>0</v>
      </c>
      <c r="J482">
        <v>0</v>
      </c>
      <c r="K482">
        <v>0</v>
      </c>
      <c r="L482" s="7">
        <v>12.7</v>
      </c>
      <c r="M482" s="7">
        <v>28</v>
      </c>
      <c r="N482">
        <v>181</v>
      </c>
      <c r="O482" s="15">
        <v>166</v>
      </c>
      <c r="P482" s="8">
        <v>0.54285714285714282</v>
      </c>
      <c r="Q482">
        <v>168</v>
      </c>
      <c r="R482" s="15">
        <v>155</v>
      </c>
      <c r="S482" s="8">
        <v>0.56000000000000005</v>
      </c>
      <c r="T482">
        <v>124</v>
      </c>
      <c r="U482" s="15">
        <v>104</v>
      </c>
      <c r="V482" s="8">
        <v>0.62352941176470589</v>
      </c>
      <c r="W482">
        <f t="shared" si="7"/>
        <v>473</v>
      </c>
    </row>
    <row r="483" spans="1:23">
      <c r="A483" s="6">
        <v>45408</v>
      </c>
      <c r="B483" t="s">
        <v>66</v>
      </c>
      <c r="C483">
        <v>4</v>
      </c>
      <c r="D483">
        <v>4</v>
      </c>
      <c r="E483">
        <v>0</v>
      </c>
      <c r="F483">
        <v>0</v>
      </c>
      <c r="H483">
        <v>0</v>
      </c>
      <c r="I483">
        <v>0</v>
      </c>
      <c r="J483">
        <v>0</v>
      </c>
      <c r="K483">
        <v>0</v>
      </c>
      <c r="L483" s="7">
        <v>2.2999999999999998</v>
      </c>
      <c r="M483" s="7">
        <v>28</v>
      </c>
      <c r="N483">
        <v>191</v>
      </c>
      <c r="O483" s="15">
        <v>157</v>
      </c>
      <c r="P483" s="8">
        <v>0.57857142857142863</v>
      </c>
      <c r="Q483">
        <v>181</v>
      </c>
      <c r="R483" s="15">
        <v>148</v>
      </c>
      <c r="S483" s="8">
        <v>0.56799999999999995</v>
      </c>
      <c r="T483">
        <v>110</v>
      </c>
      <c r="U483" s="15">
        <v>100</v>
      </c>
      <c r="V483" s="8">
        <v>0.58823529411764708</v>
      </c>
      <c r="W483">
        <f t="shared" si="7"/>
        <v>482</v>
      </c>
    </row>
    <row r="484" spans="1:23">
      <c r="A484" s="6">
        <v>45409</v>
      </c>
      <c r="B484" t="s">
        <v>67</v>
      </c>
      <c r="C484">
        <v>5</v>
      </c>
      <c r="D484">
        <v>4</v>
      </c>
      <c r="E484">
        <v>1</v>
      </c>
      <c r="F484">
        <v>0</v>
      </c>
      <c r="H484">
        <v>0</v>
      </c>
      <c r="I484">
        <v>0</v>
      </c>
      <c r="J484">
        <v>0</v>
      </c>
      <c r="K484">
        <v>0</v>
      </c>
      <c r="L484" s="7">
        <v>6.4</v>
      </c>
      <c r="M484" s="7">
        <v>26.4</v>
      </c>
      <c r="N484">
        <v>194</v>
      </c>
      <c r="O484" s="15">
        <v>168</v>
      </c>
      <c r="P484" s="8">
        <v>0.6071428571428571</v>
      </c>
      <c r="Q484">
        <v>187</v>
      </c>
      <c r="R484" s="15">
        <v>159</v>
      </c>
      <c r="S484" s="8">
        <v>0.60799999999999998</v>
      </c>
      <c r="T484">
        <v>122</v>
      </c>
      <c r="U484" s="15">
        <v>99</v>
      </c>
      <c r="V484" s="8">
        <v>0.6470588235294118</v>
      </c>
      <c r="W484">
        <f t="shared" si="7"/>
        <v>503</v>
      </c>
    </row>
    <row r="485" spans="1:23">
      <c r="A485" s="6">
        <v>45410</v>
      </c>
      <c r="B485" t="s">
        <v>60</v>
      </c>
      <c r="C485">
        <v>6</v>
      </c>
      <c r="D485">
        <v>4</v>
      </c>
      <c r="E485">
        <v>1</v>
      </c>
      <c r="F485">
        <v>0</v>
      </c>
      <c r="H485">
        <v>0</v>
      </c>
      <c r="I485">
        <v>0</v>
      </c>
      <c r="J485">
        <v>0</v>
      </c>
      <c r="K485">
        <v>0</v>
      </c>
      <c r="L485" s="7">
        <v>17</v>
      </c>
      <c r="M485" s="7">
        <v>26.6</v>
      </c>
      <c r="N485">
        <v>217</v>
      </c>
      <c r="O485" s="15">
        <v>181</v>
      </c>
      <c r="P485" s="8">
        <v>0.65714285714285714</v>
      </c>
      <c r="Q485">
        <v>169</v>
      </c>
      <c r="R485" s="15">
        <v>135</v>
      </c>
      <c r="S485" s="8">
        <v>0.56799999999999995</v>
      </c>
      <c r="T485">
        <v>132</v>
      </c>
      <c r="U485" s="15">
        <v>121</v>
      </c>
      <c r="V485" s="8">
        <v>0.69411764705882351</v>
      </c>
      <c r="W485">
        <f t="shared" si="7"/>
        <v>518</v>
      </c>
    </row>
    <row r="486" spans="1:23">
      <c r="A486" s="6">
        <v>45411</v>
      </c>
      <c r="B486" t="s">
        <v>62</v>
      </c>
      <c r="C486">
        <v>0</v>
      </c>
      <c r="D486">
        <v>4</v>
      </c>
      <c r="E486">
        <v>0</v>
      </c>
      <c r="F486">
        <v>0</v>
      </c>
      <c r="H486">
        <v>0</v>
      </c>
      <c r="I486">
        <v>0</v>
      </c>
      <c r="J486">
        <v>0</v>
      </c>
      <c r="K486">
        <v>0</v>
      </c>
      <c r="L486" s="7">
        <v>8.1999999999999993</v>
      </c>
      <c r="M486" s="7">
        <v>28.5</v>
      </c>
      <c r="N486">
        <v>185</v>
      </c>
      <c r="O486" s="15">
        <v>161</v>
      </c>
      <c r="P486" s="8">
        <v>0.5357142857142857</v>
      </c>
      <c r="Q486">
        <v>143</v>
      </c>
      <c r="R486" s="15">
        <v>115</v>
      </c>
      <c r="S486" s="8">
        <v>0.48</v>
      </c>
      <c r="T486">
        <v>122</v>
      </c>
      <c r="U486" s="15">
        <v>103</v>
      </c>
      <c r="V486" s="8">
        <v>0.63529411764705879</v>
      </c>
      <c r="W486">
        <f t="shared" si="7"/>
        <v>450</v>
      </c>
    </row>
    <row r="487" spans="1:23">
      <c r="A487" s="6">
        <v>45412</v>
      </c>
      <c r="B487" t="s">
        <v>63</v>
      </c>
      <c r="C487">
        <v>1</v>
      </c>
      <c r="D487">
        <v>4</v>
      </c>
      <c r="E487">
        <v>0</v>
      </c>
      <c r="F487">
        <v>0</v>
      </c>
      <c r="H487">
        <v>0</v>
      </c>
      <c r="I487">
        <v>0</v>
      </c>
      <c r="J487">
        <v>0</v>
      </c>
      <c r="K487">
        <v>0</v>
      </c>
      <c r="L487" s="7">
        <v>0.4</v>
      </c>
      <c r="M487" s="7">
        <v>27.2</v>
      </c>
      <c r="N487">
        <v>185</v>
      </c>
      <c r="O487" s="15">
        <v>172</v>
      </c>
      <c r="P487" s="8">
        <v>0.5714285714285714</v>
      </c>
      <c r="Q487">
        <v>167</v>
      </c>
      <c r="R487" s="15">
        <v>144</v>
      </c>
      <c r="S487" s="8">
        <v>0.53600000000000003</v>
      </c>
      <c r="T487">
        <v>119</v>
      </c>
      <c r="U487" s="15">
        <v>101</v>
      </c>
      <c r="V487" s="8">
        <v>0.62352941176470589</v>
      </c>
      <c r="W487">
        <f t="shared" si="7"/>
        <v>471</v>
      </c>
    </row>
    <row r="488" spans="1:23">
      <c r="A488" s="6">
        <v>45413</v>
      </c>
      <c r="B488" t="s">
        <v>64</v>
      </c>
      <c r="C488">
        <v>2</v>
      </c>
      <c r="D488">
        <v>5</v>
      </c>
      <c r="E488">
        <v>0</v>
      </c>
      <c r="F488">
        <v>1</v>
      </c>
      <c r="G488" t="s">
        <v>71</v>
      </c>
      <c r="H488">
        <v>0</v>
      </c>
      <c r="I488">
        <v>0</v>
      </c>
      <c r="J488">
        <v>0</v>
      </c>
      <c r="K488">
        <v>0</v>
      </c>
      <c r="L488" s="7">
        <v>0</v>
      </c>
      <c r="M488" s="7">
        <v>28.4</v>
      </c>
      <c r="N488">
        <v>197</v>
      </c>
      <c r="O488" s="15">
        <v>169</v>
      </c>
      <c r="P488" s="8">
        <v>0.6071428571428571</v>
      </c>
      <c r="Q488">
        <v>187</v>
      </c>
      <c r="R488" s="15">
        <v>153</v>
      </c>
      <c r="S488" s="8">
        <v>0.64800000000000002</v>
      </c>
      <c r="T488">
        <v>135</v>
      </c>
      <c r="U488" s="15">
        <v>114</v>
      </c>
      <c r="V488" s="8">
        <v>0.70588235294117652</v>
      </c>
      <c r="W488">
        <f t="shared" si="7"/>
        <v>519</v>
      </c>
    </row>
    <row r="489" spans="1:23">
      <c r="A489" s="6">
        <v>45414</v>
      </c>
      <c r="B489" t="s">
        <v>65</v>
      </c>
      <c r="C489">
        <v>3</v>
      </c>
      <c r="D489">
        <v>5</v>
      </c>
      <c r="E489">
        <v>0</v>
      </c>
      <c r="F489">
        <v>0</v>
      </c>
      <c r="H489">
        <v>0</v>
      </c>
      <c r="I489">
        <v>0</v>
      </c>
      <c r="J489">
        <v>0</v>
      </c>
      <c r="K489">
        <v>0</v>
      </c>
      <c r="L489" s="7">
        <v>5.7</v>
      </c>
      <c r="M489" s="7">
        <v>27.7</v>
      </c>
      <c r="N489">
        <v>176</v>
      </c>
      <c r="O489" s="15">
        <v>145</v>
      </c>
      <c r="P489" s="8">
        <v>0.55000000000000004</v>
      </c>
      <c r="Q489">
        <v>153</v>
      </c>
      <c r="R489" s="15">
        <v>139</v>
      </c>
      <c r="S489" s="8">
        <v>0.51200000000000001</v>
      </c>
      <c r="T489">
        <v>99</v>
      </c>
      <c r="U489" s="15">
        <v>88</v>
      </c>
      <c r="V489" s="8">
        <v>0.54117647058823526</v>
      </c>
      <c r="W489">
        <f t="shared" si="7"/>
        <v>428</v>
      </c>
    </row>
    <row r="490" spans="1:23">
      <c r="A490" s="6">
        <v>45415</v>
      </c>
      <c r="B490" t="s">
        <v>66</v>
      </c>
      <c r="C490">
        <v>4</v>
      </c>
      <c r="D490">
        <v>5</v>
      </c>
      <c r="E490">
        <v>0</v>
      </c>
      <c r="F490">
        <v>0</v>
      </c>
      <c r="H490">
        <v>0</v>
      </c>
      <c r="I490">
        <v>0</v>
      </c>
      <c r="J490">
        <v>0</v>
      </c>
      <c r="K490">
        <v>0</v>
      </c>
      <c r="L490" s="7">
        <v>4.3</v>
      </c>
      <c r="M490" s="7">
        <v>27.6</v>
      </c>
      <c r="N490">
        <v>183</v>
      </c>
      <c r="O490" s="15">
        <v>156</v>
      </c>
      <c r="P490" s="8">
        <v>0.55000000000000004</v>
      </c>
      <c r="Q490">
        <v>178</v>
      </c>
      <c r="R490" s="15">
        <v>156</v>
      </c>
      <c r="S490" s="8">
        <v>0.60799999999999998</v>
      </c>
      <c r="T490">
        <v>117</v>
      </c>
      <c r="U490" s="15">
        <v>101</v>
      </c>
      <c r="V490" s="8">
        <v>0.56470588235294117</v>
      </c>
      <c r="W490">
        <f t="shared" si="7"/>
        <v>478</v>
      </c>
    </row>
    <row r="491" spans="1:23">
      <c r="A491" s="6">
        <v>45416</v>
      </c>
      <c r="B491" t="s">
        <v>67</v>
      </c>
      <c r="C491">
        <v>5</v>
      </c>
      <c r="D491">
        <v>5</v>
      </c>
      <c r="E491">
        <v>1</v>
      </c>
      <c r="F491">
        <v>0</v>
      </c>
      <c r="H491">
        <v>0</v>
      </c>
      <c r="I491">
        <v>0</v>
      </c>
      <c r="J491">
        <v>0</v>
      </c>
      <c r="K491">
        <v>0</v>
      </c>
      <c r="L491" s="7">
        <v>8.9</v>
      </c>
      <c r="M491" s="7">
        <v>27.5</v>
      </c>
      <c r="N491">
        <v>213</v>
      </c>
      <c r="O491" s="15">
        <v>188</v>
      </c>
      <c r="P491" s="8">
        <v>0.6428571428571429</v>
      </c>
      <c r="Q491">
        <v>217</v>
      </c>
      <c r="R491" s="15">
        <v>181</v>
      </c>
      <c r="S491" s="8">
        <v>0.70399999999999996</v>
      </c>
      <c r="T491">
        <v>129</v>
      </c>
      <c r="U491" s="15">
        <v>113</v>
      </c>
      <c r="V491" s="8">
        <v>0.6588235294117647</v>
      </c>
      <c r="W491">
        <f t="shared" si="7"/>
        <v>559</v>
      </c>
    </row>
    <row r="492" spans="1:23">
      <c r="A492" s="6">
        <v>45417</v>
      </c>
      <c r="B492" t="s">
        <v>60</v>
      </c>
      <c r="C492">
        <v>6</v>
      </c>
      <c r="D492">
        <v>5</v>
      </c>
      <c r="E492">
        <v>1</v>
      </c>
      <c r="F492">
        <v>0</v>
      </c>
      <c r="H492">
        <v>0</v>
      </c>
      <c r="I492">
        <v>0</v>
      </c>
      <c r="J492">
        <v>0</v>
      </c>
      <c r="K492">
        <v>0</v>
      </c>
      <c r="L492" s="7">
        <v>3.1</v>
      </c>
      <c r="M492" s="7">
        <v>28.9</v>
      </c>
      <c r="N492">
        <v>188</v>
      </c>
      <c r="O492" s="15">
        <v>151</v>
      </c>
      <c r="P492" s="8">
        <v>0.59285714285714286</v>
      </c>
      <c r="Q492">
        <v>178</v>
      </c>
      <c r="R492" s="15">
        <v>150</v>
      </c>
      <c r="S492" s="8">
        <v>0.59199999999999997</v>
      </c>
      <c r="T492">
        <v>126</v>
      </c>
      <c r="U492" s="15">
        <v>104</v>
      </c>
      <c r="V492" s="8">
        <v>0.6588235294117647</v>
      </c>
      <c r="W492">
        <f t="shared" si="7"/>
        <v>492</v>
      </c>
    </row>
    <row r="493" spans="1:23">
      <c r="A493" s="6">
        <v>45418</v>
      </c>
      <c r="B493" t="s">
        <v>62</v>
      </c>
      <c r="C493">
        <v>0</v>
      </c>
      <c r="D493">
        <v>5</v>
      </c>
      <c r="E493">
        <v>0</v>
      </c>
      <c r="F493">
        <v>0</v>
      </c>
      <c r="H493">
        <v>0</v>
      </c>
      <c r="I493">
        <v>0</v>
      </c>
      <c r="J493">
        <v>0</v>
      </c>
      <c r="K493">
        <v>0</v>
      </c>
      <c r="L493" s="7">
        <v>14.8</v>
      </c>
      <c r="M493" s="7">
        <v>27.6</v>
      </c>
      <c r="N493">
        <v>175</v>
      </c>
      <c r="O493" s="15">
        <v>149</v>
      </c>
      <c r="P493" s="8">
        <v>0.51428571428571423</v>
      </c>
      <c r="Q493">
        <v>147</v>
      </c>
      <c r="R493" s="15">
        <v>121</v>
      </c>
      <c r="S493" s="8">
        <v>0.48</v>
      </c>
      <c r="T493">
        <v>107</v>
      </c>
      <c r="U493" s="15">
        <v>90</v>
      </c>
      <c r="V493" s="8">
        <v>0.54117647058823526</v>
      </c>
      <c r="W493">
        <f t="shared" si="7"/>
        <v>429</v>
      </c>
    </row>
    <row r="494" spans="1:23">
      <c r="A494" s="6">
        <v>45419</v>
      </c>
      <c r="B494" t="s">
        <v>63</v>
      </c>
      <c r="C494">
        <v>1</v>
      </c>
      <c r="D494">
        <v>5</v>
      </c>
      <c r="E494">
        <v>0</v>
      </c>
      <c r="F494">
        <v>0</v>
      </c>
      <c r="H494">
        <v>0</v>
      </c>
      <c r="I494">
        <v>0</v>
      </c>
      <c r="J494">
        <v>0</v>
      </c>
      <c r="K494">
        <v>0</v>
      </c>
      <c r="L494" s="7">
        <v>14.8</v>
      </c>
      <c r="M494" s="7">
        <v>26.6</v>
      </c>
      <c r="N494">
        <v>181</v>
      </c>
      <c r="O494" s="15">
        <v>149</v>
      </c>
      <c r="P494" s="8">
        <v>0.52857142857142858</v>
      </c>
      <c r="Q494">
        <v>121</v>
      </c>
      <c r="R494" s="15">
        <v>106</v>
      </c>
      <c r="S494" s="8">
        <v>0.42399999999999999</v>
      </c>
      <c r="T494">
        <v>117</v>
      </c>
      <c r="U494" s="15">
        <v>102</v>
      </c>
      <c r="V494" s="8">
        <v>0.62352941176470589</v>
      </c>
      <c r="W494">
        <f t="shared" si="7"/>
        <v>419</v>
      </c>
    </row>
    <row r="495" spans="1:23">
      <c r="A495" s="6">
        <v>45420</v>
      </c>
      <c r="B495" t="s">
        <v>64</v>
      </c>
      <c r="C495">
        <v>2</v>
      </c>
      <c r="D495">
        <v>5</v>
      </c>
      <c r="E495">
        <v>0</v>
      </c>
      <c r="F495">
        <v>0</v>
      </c>
      <c r="H495">
        <v>0</v>
      </c>
      <c r="I495">
        <v>0</v>
      </c>
      <c r="J495">
        <v>0</v>
      </c>
      <c r="K495">
        <v>0</v>
      </c>
      <c r="L495" s="7">
        <v>6.2</v>
      </c>
      <c r="M495" s="7">
        <v>26.7</v>
      </c>
      <c r="N495">
        <v>197</v>
      </c>
      <c r="O495" s="15">
        <v>163</v>
      </c>
      <c r="P495" s="8">
        <v>0.59285714285714286</v>
      </c>
      <c r="Q495">
        <v>141</v>
      </c>
      <c r="R495" s="15">
        <v>129</v>
      </c>
      <c r="S495" s="8">
        <v>0.496</v>
      </c>
      <c r="T495">
        <v>116</v>
      </c>
      <c r="U495" s="15">
        <v>94</v>
      </c>
      <c r="V495" s="8">
        <v>0.62352941176470589</v>
      </c>
      <c r="W495">
        <f t="shared" si="7"/>
        <v>454</v>
      </c>
    </row>
    <row r="496" spans="1:23">
      <c r="A496" s="6">
        <v>45421</v>
      </c>
      <c r="B496" t="s">
        <v>65</v>
      </c>
      <c r="C496">
        <v>3</v>
      </c>
      <c r="D496">
        <v>5</v>
      </c>
      <c r="E496">
        <v>0</v>
      </c>
      <c r="F496">
        <v>0</v>
      </c>
      <c r="H496">
        <v>0</v>
      </c>
      <c r="I496">
        <v>0</v>
      </c>
      <c r="J496">
        <v>0</v>
      </c>
      <c r="K496">
        <v>0</v>
      </c>
      <c r="L496" s="7">
        <v>14.5</v>
      </c>
      <c r="M496" s="7">
        <v>26.8</v>
      </c>
      <c r="N496">
        <v>164</v>
      </c>
      <c r="O496" s="15">
        <v>151</v>
      </c>
      <c r="P496" s="8">
        <v>0.48571428571428571</v>
      </c>
      <c r="Q496">
        <v>171</v>
      </c>
      <c r="R496" s="15">
        <v>159</v>
      </c>
      <c r="S496" s="8">
        <v>0.57599999999999996</v>
      </c>
      <c r="T496">
        <v>111</v>
      </c>
      <c r="U496" s="15">
        <v>93</v>
      </c>
      <c r="V496" s="8">
        <v>0.56470588235294117</v>
      </c>
      <c r="W496">
        <f t="shared" si="7"/>
        <v>446</v>
      </c>
    </row>
    <row r="497" spans="1:23">
      <c r="A497" s="6">
        <v>45422</v>
      </c>
      <c r="B497" t="s">
        <v>66</v>
      </c>
      <c r="C497">
        <v>4</v>
      </c>
      <c r="D497">
        <v>5</v>
      </c>
      <c r="E497">
        <v>0</v>
      </c>
      <c r="F497">
        <v>0</v>
      </c>
      <c r="H497">
        <v>0</v>
      </c>
      <c r="I497">
        <v>0</v>
      </c>
      <c r="J497">
        <v>0</v>
      </c>
      <c r="K497">
        <v>0</v>
      </c>
      <c r="L497" s="7">
        <v>1.1000000000000001</v>
      </c>
      <c r="M497" s="7">
        <v>27.6</v>
      </c>
      <c r="N497">
        <v>198</v>
      </c>
      <c r="O497" s="15">
        <v>160</v>
      </c>
      <c r="P497" s="8">
        <v>0.61428571428571432</v>
      </c>
      <c r="Q497">
        <v>162</v>
      </c>
      <c r="R497" s="15">
        <v>146</v>
      </c>
      <c r="S497" s="8">
        <v>0.56000000000000005</v>
      </c>
      <c r="T497">
        <v>105</v>
      </c>
      <c r="U497" s="15">
        <v>90</v>
      </c>
      <c r="V497" s="8">
        <v>0.54117647058823526</v>
      </c>
      <c r="W497">
        <f t="shared" si="7"/>
        <v>465</v>
      </c>
    </row>
    <row r="498" spans="1:23">
      <c r="A498" s="6">
        <v>45423</v>
      </c>
      <c r="B498" t="s">
        <v>67</v>
      </c>
      <c r="C498">
        <v>5</v>
      </c>
      <c r="D498">
        <v>5</v>
      </c>
      <c r="E498">
        <v>1</v>
      </c>
      <c r="F498">
        <v>0</v>
      </c>
      <c r="H498">
        <v>0</v>
      </c>
      <c r="I498">
        <v>0</v>
      </c>
      <c r="J498">
        <v>0</v>
      </c>
      <c r="K498">
        <v>0</v>
      </c>
      <c r="L498" s="7">
        <v>8.6</v>
      </c>
      <c r="M498" s="7">
        <v>27.9</v>
      </c>
      <c r="N498">
        <v>213</v>
      </c>
      <c r="O498" s="15">
        <v>182</v>
      </c>
      <c r="P498" s="8">
        <v>0.65</v>
      </c>
      <c r="Q498">
        <v>179</v>
      </c>
      <c r="R498" s="15">
        <v>162</v>
      </c>
      <c r="S498" s="8">
        <v>0.59199999999999997</v>
      </c>
      <c r="T498">
        <v>115</v>
      </c>
      <c r="U498" s="15">
        <v>107</v>
      </c>
      <c r="V498" s="8">
        <v>0.63529411764705879</v>
      </c>
      <c r="W498">
        <f t="shared" si="7"/>
        <v>507</v>
      </c>
    </row>
    <row r="499" spans="1:23">
      <c r="A499" s="6">
        <v>45424</v>
      </c>
      <c r="B499" t="s">
        <v>60</v>
      </c>
      <c r="C499">
        <v>6</v>
      </c>
      <c r="D499">
        <v>5</v>
      </c>
      <c r="E499">
        <v>1</v>
      </c>
      <c r="F499">
        <v>0</v>
      </c>
      <c r="H499">
        <v>0</v>
      </c>
      <c r="I499">
        <v>0</v>
      </c>
      <c r="J499">
        <v>0</v>
      </c>
      <c r="K499">
        <v>0</v>
      </c>
      <c r="L499" s="7">
        <v>14.1</v>
      </c>
      <c r="M499" s="7">
        <v>28.5</v>
      </c>
      <c r="N499">
        <v>177</v>
      </c>
      <c r="O499" s="15">
        <v>161</v>
      </c>
      <c r="P499" s="8">
        <v>0.5714285714285714</v>
      </c>
      <c r="Q499">
        <v>173</v>
      </c>
      <c r="R499" s="15">
        <v>139</v>
      </c>
      <c r="S499" s="8">
        <v>0.56799999999999995</v>
      </c>
      <c r="T499">
        <v>128</v>
      </c>
      <c r="U499" s="15">
        <v>112</v>
      </c>
      <c r="V499" s="8">
        <v>0.70588235294117652</v>
      </c>
      <c r="W499">
        <f t="shared" si="7"/>
        <v>478</v>
      </c>
    </row>
    <row r="500" spans="1:23">
      <c r="A500" s="6">
        <v>45425</v>
      </c>
      <c r="B500" t="s">
        <v>62</v>
      </c>
      <c r="C500">
        <v>0</v>
      </c>
      <c r="D500">
        <v>5</v>
      </c>
      <c r="E500">
        <v>0</v>
      </c>
      <c r="F500">
        <v>0</v>
      </c>
      <c r="H500">
        <v>0</v>
      </c>
      <c r="I500">
        <v>0</v>
      </c>
      <c r="J500">
        <v>0</v>
      </c>
      <c r="K500">
        <v>0</v>
      </c>
      <c r="L500" s="7">
        <v>3.6</v>
      </c>
      <c r="M500" s="7">
        <v>27.1</v>
      </c>
      <c r="N500">
        <v>158</v>
      </c>
      <c r="O500" s="15">
        <v>135</v>
      </c>
      <c r="P500" s="8">
        <v>0.5</v>
      </c>
      <c r="Q500">
        <v>156</v>
      </c>
      <c r="R500" s="15">
        <v>136</v>
      </c>
      <c r="S500" s="8">
        <v>0.52800000000000002</v>
      </c>
      <c r="T500">
        <v>121</v>
      </c>
      <c r="U500" s="15">
        <v>99</v>
      </c>
      <c r="V500" s="8">
        <v>0.6</v>
      </c>
      <c r="W500">
        <f t="shared" si="7"/>
        <v>435</v>
      </c>
    </row>
    <row r="501" spans="1:23">
      <c r="A501" s="6">
        <v>45426</v>
      </c>
      <c r="B501" t="s">
        <v>63</v>
      </c>
      <c r="C501">
        <v>1</v>
      </c>
      <c r="D501">
        <v>5</v>
      </c>
      <c r="E501">
        <v>0</v>
      </c>
      <c r="F501">
        <v>0</v>
      </c>
      <c r="H501">
        <v>0</v>
      </c>
      <c r="I501">
        <v>0</v>
      </c>
      <c r="J501">
        <v>0</v>
      </c>
      <c r="K501">
        <v>0</v>
      </c>
      <c r="L501" s="7">
        <v>18.899999999999999</v>
      </c>
      <c r="M501" s="7">
        <v>27</v>
      </c>
      <c r="N501">
        <v>156</v>
      </c>
      <c r="O501" s="15">
        <v>137</v>
      </c>
      <c r="P501" s="8">
        <v>0.47142857142857142</v>
      </c>
      <c r="Q501">
        <v>163</v>
      </c>
      <c r="R501" s="15">
        <v>149</v>
      </c>
      <c r="S501" s="8">
        <v>0.53600000000000003</v>
      </c>
      <c r="T501">
        <v>114</v>
      </c>
      <c r="U501" s="15">
        <v>107</v>
      </c>
      <c r="V501" s="8">
        <v>0.57647058823529407</v>
      </c>
      <c r="W501">
        <f t="shared" si="7"/>
        <v>433</v>
      </c>
    </row>
    <row r="502" spans="1:23">
      <c r="A502" s="6">
        <v>45427</v>
      </c>
      <c r="B502" t="s">
        <v>64</v>
      </c>
      <c r="C502">
        <v>2</v>
      </c>
      <c r="D502">
        <v>5</v>
      </c>
      <c r="E502">
        <v>0</v>
      </c>
      <c r="F502">
        <v>0</v>
      </c>
      <c r="H502">
        <v>0</v>
      </c>
      <c r="I502">
        <v>0</v>
      </c>
      <c r="J502">
        <v>0</v>
      </c>
      <c r="K502">
        <v>0</v>
      </c>
      <c r="L502" s="7">
        <v>8.6999999999999993</v>
      </c>
      <c r="M502" s="7">
        <v>28.1</v>
      </c>
      <c r="N502">
        <v>182</v>
      </c>
      <c r="O502" s="15">
        <v>166</v>
      </c>
      <c r="P502" s="8">
        <v>0.54285714285714282</v>
      </c>
      <c r="Q502">
        <v>158</v>
      </c>
      <c r="R502" s="15">
        <v>134</v>
      </c>
      <c r="S502" s="8">
        <v>0.52800000000000002</v>
      </c>
      <c r="T502">
        <v>109</v>
      </c>
      <c r="U502" s="15">
        <v>91</v>
      </c>
      <c r="V502" s="8">
        <v>0.61176470588235299</v>
      </c>
      <c r="W502">
        <f t="shared" si="7"/>
        <v>449</v>
      </c>
    </row>
    <row r="503" spans="1:23">
      <c r="A503" s="6">
        <v>45428</v>
      </c>
      <c r="B503" t="s">
        <v>65</v>
      </c>
      <c r="C503">
        <v>3</v>
      </c>
      <c r="D503">
        <v>5</v>
      </c>
      <c r="E503">
        <v>0</v>
      </c>
      <c r="F503">
        <v>0</v>
      </c>
      <c r="H503">
        <v>0</v>
      </c>
      <c r="I503">
        <v>0</v>
      </c>
      <c r="J503">
        <v>0</v>
      </c>
      <c r="K503">
        <v>0</v>
      </c>
      <c r="L503" s="7">
        <v>15.3</v>
      </c>
      <c r="M503" s="7">
        <v>29.1</v>
      </c>
      <c r="N503">
        <v>146</v>
      </c>
      <c r="O503" s="15">
        <v>134</v>
      </c>
      <c r="P503" s="8">
        <v>0.44285714285714284</v>
      </c>
      <c r="Q503">
        <v>145</v>
      </c>
      <c r="R503" s="15">
        <v>130</v>
      </c>
      <c r="S503" s="8">
        <v>0.496</v>
      </c>
      <c r="T503">
        <v>108</v>
      </c>
      <c r="U503" s="15">
        <v>87</v>
      </c>
      <c r="V503" s="8">
        <v>0.58823529411764708</v>
      </c>
      <c r="W503">
        <f t="shared" si="7"/>
        <v>399</v>
      </c>
    </row>
    <row r="504" spans="1:23">
      <c r="A504" s="6">
        <v>45429</v>
      </c>
      <c r="B504" t="s">
        <v>66</v>
      </c>
      <c r="C504">
        <v>4</v>
      </c>
      <c r="D504">
        <v>5</v>
      </c>
      <c r="E504">
        <v>0</v>
      </c>
      <c r="F504">
        <v>0</v>
      </c>
      <c r="H504">
        <v>0</v>
      </c>
      <c r="I504">
        <v>0</v>
      </c>
      <c r="J504">
        <v>0</v>
      </c>
      <c r="K504">
        <v>0</v>
      </c>
      <c r="L504" s="7">
        <v>14.8</v>
      </c>
      <c r="M504" s="7">
        <v>28.8</v>
      </c>
      <c r="N504">
        <v>187</v>
      </c>
      <c r="O504" s="15">
        <v>172</v>
      </c>
      <c r="P504" s="8">
        <v>0.56428571428571428</v>
      </c>
      <c r="Q504">
        <v>146</v>
      </c>
      <c r="R504" s="15">
        <v>120</v>
      </c>
      <c r="S504" s="8">
        <v>0.496</v>
      </c>
      <c r="T504">
        <v>113</v>
      </c>
      <c r="U504" s="15">
        <v>102</v>
      </c>
      <c r="V504" s="8">
        <v>0.58823529411764708</v>
      </c>
      <c r="W504">
        <f t="shared" si="7"/>
        <v>446</v>
      </c>
    </row>
    <row r="505" spans="1:23">
      <c r="A505" s="6">
        <v>45430</v>
      </c>
      <c r="B505" t="s">
        <v>67</v>
      </c>
      <c r="C505">
        <v>5</v>
      </c>
      <c r="D505">
        <v>5</v>
      </c>
      <c r="E505">
        <v>1</v>
      </c>
      <c r="F505">
        <v>0</v>
      </c>
      <c r="H505">
        <v>0</v>
      </c>
      <c r="I505">
        <v>0</v>
      </c>
      <c r="J505">
        <v>0</v>
      </c>
      <c r="K505">
        <v>0</v>
      </c>
      <c r="L505" s="7">
        <v>11.6</v>
      </c>
      <c r="M505" s="7">
        <v>27.7</v>
      </c>
      <c r="N505">
        <v>203</v>
      </c>
      <c r="O505" s="15">
        <v>183</v>
      </c>
      <c r="P505" s="8">
        <v>0.62857142857142856</v>
      </c>
      <c r="Q505">
        <v>170</v>
      </c>
      <c r="R505" s="15">
        <v>142</v>
      </c>
      <c r="S505" s="8">
        <v>0.56000000000000005</v>
      </c>
      <c r="T505">
        <v>146</v>
      </c>
      <c r="U505" s="15">
        <v>137</v>
      </c>
      <c r="V505" s="8">
        <v>0.75294117647058822</v>
      </c>
      <c r="W505">
        <f t="shared" si="7"/>
        <v>519</v>
      </c>
    </row>
    <row r="506" spans="1:23">
      <c r="A506" s="6">
        <v>45431</v>
      </c>
      <c r="B506" t="s">
        <v>60</v>
      </c>
      <c r="C506">
        <v>6</v>
      </c>
      <c r="D506">
        <v>5</v>
      </c>
      <c r="E506">
        <v>1</v>
      </c>
      <c r="F506">
        <v>0</v>
      </c>
      <c r="H506">
        <v>0</v>
      </c>
      <c r="I506">
        <v>0</v>
      </c>
      <c r="J506">
        <v>0</v>
      </c>
      <c r="K506">
        <v>0</v>
      </c>
      <c r="L506" s="7">
        <v>19.399999999999999</v>
      </c>
      <c r="M506" s="7">
        <v>27</v>
      </c>
      <c r="N506">
        <v>198</v>
      </c>
      <c r="O506" s="15">
        <v>175</v>
      </c>
      <c r="P506" s="8">
        <v>0.61428571428571432</v>
      </c>
      <c r="Q506">
        <v>200</v>
      </c>
      <c r="R506" s="15">
        <v>179</v>
      </c>
      <c r="S506" s="8">
        <v>0.65600000000000003</v>
      </c>
      <c r="T506">
        <v>141</v>
      </c>
      <c r="U506" s="15">
        <v>124</v>
      </c>
      <c r="V506" s="8">
        <v>0.75294117647058822</v>
      </c>
      <c r="W506">
        <f t="shared" si="7"/>
        <v>539</v>
      </c>
    </row>
    <row r="507" spans="1:23">
      <c r="A507" s="6">
        <v>45432</v>
      </c>
      <c r="B507" t="s">
        <v>62</v>
      </c>
      <c r="C507">
        <v>0</v>
      </c>
      <c r="D507">
        <v>5</v>
      </c>
      <c r="E507">
        <v>0</v>
      </c>
      <c r="F507">
        <v>0</v>
      </c>
      <c r="H507">
        <v>0</v>
      </c>
      <c r="I507">
        <v>0</v>
      </c>
      <c r="J507">
        <v>0</v>
      </c>
      <c r="K507">
        <v>0</v>
      </c>
      <c r="L507" s="7">
        <v>5.0999999999999996</v>
      </c>
      <c r="M507" s="7">
        <v>27.8</v>
      </c>
      <c r="N507">
        <v>152</v>
      </c>
      <c r="O507" s="15">
        <v>135</v>
      </c>
      <c r="P507" s="8">
        <v>0.47142857142857142</v>
      </c>
      <c r="Q507">
        <v>143</v>
      </c>
      <c r="R507" s="15">
        <v>127</v>
      </c>
      <c r="S507" s="8">
        <v>0.496</v>
      </c>
      <c r="T507">
        <v>112</v>
      </c>
      <c r="U507" s="15">
        <v>102</v>
      </c>
      <c r="V507" s="8">
        <v>0.6</v>
      </c>
      <c r="W507">
        <f t="shared" si="7"/>
        <v>407</v>
      </c>
    </row>
    <row r="508" spans="1:23">
      <c r="A508" s="6">
        <v>45433</v>
      </c>
      <c r="B508" t="s">
        <v>63</v>
      </c>
      <c r="C508">
        <v>1</v>
      </c>
      <c r="D508">
        <v>5</v>
      </c>
      <c r="E508">
        <v>0</v>
      </c>
      <c r="F508">
        <v>0</v>
      </c>
      <c r="H508">
        <v>0</v>
      </c>
      <c r="I508">
        <v>0</v>
      </c>
      <c r="J508">
        <v>0</v>
      </c>
      <c r="K508">
        <v>0</v>
      </c>
      <c r="L508" s="7">
        <v>14.1</v>
      </c>
      <c r="M508" s="7">
        <v>28.4</v>
      </c>
      <c r="N508">
        <v>166</v>
      </c>
      <c r="O508" s="15">
        <v>140</v>
      </c>
      <c r="P508" s="8">
        <v>0.5357142857142857</v>
      </c>
      <c r="Q508">
        <v>163</v>
      </c>
      <c r="R508" s="15">
        <v>136</v>
      </c>
      <c r="S508" s="8">
        <v>0.56000000000000005</v>
      </c>
      <c r="T508">
        <v>116</v>
      </c>
      <c r="U508" s="15">
        <v>98</v>
      </c>
      <c r="V508" s="8">
        <v>0.6</v>
      </c>
      <c r="W508">
        <f t="shared" si="7"/>
        <v>445</v>
      </c>
    </row>
    <row r="509" spans="1:23">
      <c r="A509" s="6">
        <v>45434</v>
      </c>
      <c r="B509" t="s">
        <v>64</v>
      </c>
      <c r="C509">
        <v>2</v>
      </c>
      <c r="D509">
        <v>5</v>
      </c>
      <c r="E509">
        <v>0</v>
      </c>
      <c r="F509">
        <v>0</v>
      </c>
      <c r="H509">
        <v>0</v>
      </c>
      <c r="I509">
        <v>0</v>
      </c>
      <c r="J509">
        <v>0</v>
      </c>
      <c r="K509">
        <v>0</v>
      </c>
      <c r="L509" s="7">
        <v>2.7</v>
      </c>
      <c r="M509" s="7">
        <v>28.7</v>
      </c>
      <c r="N509">
        <v>183</v>
      </c>
      <c r="O509" s="15">
        <v>151</v>
      </c>
      <c r="P509" s="8">
        <v>0.56428571428571428</v>
      </c>
      <c r="Q509">
        <v>166</v>
      </c>
      <c r="R509" s="15">
        <v>152</v>
      </c>
      <c r="S509" s="8">
        <v>0.54400000000000004</v>
      </c>
      <c r="T509">
        <v>115</v>
      </c>
      <c r="U509" s="15">
        <v>96</v>
      </c>
      <c r="V509" s="8">
        <v>0.58823529411764708</v>
      </c>
      <c r="W509">
        <f t="shared" si="7"/>
        <v>464</v>
      </c>
    </row>
    <row r="510" spans="1:23">
      <c r="A510" s="6">
        <v>45435</v>
      </c>
      <c r="B510" t="s">
        <v>65</v>
      </c>
      <c r="C510">
        <v>3</v>
      </c>
      <c r="D510">
        <v>5</v>
      </c>
      <c r="E510">
        <v>0</v>
      </c>
      <c r="F510">
        <v>0</v>
      </c>
      <c r="H510">
        <v>0</v>
      </c>
      <c r="I510">
        <v>0</v>
      </c>
      <c r="J510">
        <v>0</v>
      </c>
      <c r="K510">
        <v>0</v>
      </c>
      <c r="L510" s="7">
        <v>10.6</v>
      </c>
      <c r="M510" s="7">
        <v>27.3</v>
      </c>
      <c r="N510">
        <v>167</v>
      </c>
      <c r="O510" s="15">
        <v>142</v>
      </c>
      <c r="P510" s="8">
        <v>0.50714285714285712</v>
      </c>
      <c r="Q510">
        <v>142</v>
      </c>
      <c r="R510" s="15">
        <v>114</v>
      </c>
      <c r="S510" s="8">
        <v>0.48</v>
      </c>
      <c r="T510">
        <v>120</v>
      </c>
      <c r="U510" s="15">
        <v>111</v>
      </c>
      <c r="V510" s="8">
        <v>0.63529411764705879</v>
      </c>
      <c r="W510">
        <f t="shared" si="7"/>
        <v>429</v>
      </c>
    </row>
    <row r="511" spans="1:23">
      <c r="A511" s="6">
        <v>45436</v>
      </c>
      <c r="B511" t="s">
        <v>66</v>
      </c>
      <c r="C511">
        <v>4</v>
      </c>
      <c r="D511">
        <v>5</v>
      </c>
      <c r="E511">
        <v>0</v>
      </c>
      <c r="F511">
        <v>0</v>
      </c>
      <c r="H511">
        <v>0</v>
      </c>
      <c r="I511">
        <v>0</v>
      </c>
      <c r="J511">
        <v>0</v>
      </c>
      <c r="K511">
        <v>0</v>
      </c>
      <c r="L511" s="7">
        <v>8.9</v>
      </c>
      <c r="M511" s="7">
        <v>26.5</v>
      </c>
      <c r="N511">
        <v>186</v>
      </c>
      <c r="O511" s="15">
        <v>174</v>
      </c>
      <c r="P511" s="8">
        <v>0.55000000000000004</v>
      </c>
      <c r="Q511">
        <v>155</v>
      </c>
      <c r="R511" s="15">
        <v>140</v>
      </c>
      <c r="S511" s="8">
        <v>0.51200000000000001</v>
      </c>
      <c r="T511">
        <v>108</v>
      </c>
      <c r="U511" s="15">
        <v>91</v>
      </c>
      <c r="V511" s="8">
        <v>0.58823529411764708</v>
      </c>
      <c r="W511">
        <f t="shared" si="7"/>
        <v>449</v>
      </c>
    </row>
    <row r="512" spans="1:23">
      <c r="A512" s="6">
        <v>45437</v>
      </c>
      <c r="B512" t="s">
        <v>67</v>
      </c>
      <c r="C512">
        <v>5</v>
      </c>
      <c r="D512">
        <v>5</v>
      </c>
      <c r="E512">
        <v>1</v>
      </c>
      <c r="F512">
        <v>0</v>
      </c>
      <c r="H512">
        <v>0</v>
      </c>
      <c r="I512">
        <v>0</v>
      </c>
      <c r="J512">
        <v>0</v>
      </c>
      <c r="K512">
        <v>0</v>
      </c>
      <c r="L512" s="7">
        <v>7.9</v>
      </c>
      <c r="M512" s="7">
        <v>26.2</v>
      </c>
      <c r="N512">
        <v>211</v>
      </c>
      <c r="O512" s="15">
        <v>176</v>
      </c>
      <c r="P512" s="8">
        <v>0.63571428571428568</v>
      </c>
      <c r="Q512">
        <v>183</v>
      </c>
      <c r="R512" s="15">
        <v>154</v>
      </c>
      <c r="S512" s="8">
        <v>0.6</v>
      </c>
      <c r="T512">
        <v>152</v>
      </c>
      <c r="U512" s="15">
        <v>130</v>
      </c>
      <c r="V512" s="8">
        <v>0.8</v>
      </c>
      <c r="W512">
        <f t="shared" si="7"/>
        <v>546</v>
      </c>
    </row>
    <row r="513" spans="1:23">
      <c r="A513" s="6">
        <v>45438</v>
      </c>
      <c r="B513" t="s">
        <v>60</v>
      </c>
      <c r="C513">
        <v>6</v>
      </c>
      <c r="D513">
        <v>5</v>
      </c>
      <c r="E513">
        <v>1</v>
      </c>
      <c r="F513">
        <v>0</v>
      </c>
      <c r="H513">
        <v>0</v>
      </c>
      <c r="I513">
        <v>0</v>
      </c>
      <c r="J513">
        <v>0</v>
      </c>
      <c r="K513">
        <v>0</v>
      </c>
      <c r="L513" s="7">
        <v>7.7</v>
      </c>
      <c r="M513" s="7">
        <v>27.5</v>
      </c>
      <c r="N513">
        <v>197</v>
      </c>
      <c r="O513" s="15">
        <v>172</v>
      </c>
      <c r="P513" s="8">
        <v>0.57857142857142863</v>
      </c>
      <c r="Q513">
        <v>163</v>
      </c>
      <c r="R513" s="15">
        <v>144</v>
      </c>
      <c r="S513" s="8">
        <v>0.54400000000000004</v>
      </c>
      <c r="T513">
        <v>115</v>
      </c>
      <c r="U513" s="15">
        <v>104</v>
      </c>
      <c r="V513" s="8">
        <v>0.6470588235294118</v>
      </c>
      <c r="W513">
        <f t="shared" si="7"/>
        <v>475</v>
      </c>
    </row>
    <row r="514" spans="1:23">
      <c r="A514" s="6">
        <v>45439</v>
      </c>
      <c r="B514" t="s">
        <v>62</v>
      </c>
      <c r="C514">
        <v>0</v>
      </c>
      <c r="D514">
        <v>5</v>
      </c>
      <c r="E514">
        <v>0</v>
      </c>
      <c r="F514">
        <v>0</v>
      </c>
      <c r="H514">
        <v>0</v>
      </c>
      <c r="I514">
        <v>0</v>
      </c>
      <c r="J514">
        <v>0</v>
      </c>
      <c r="K514">
        <v>0</v>
      </c>
      <c r="L514" s="7">
        <v>3.9</v>
      </c>
      <c r="M514" s="7">
        <v>27.2</v>
      </c>
      <c r="N514">
        <v>186</v>
      </c>
      <c r="O514" s="15">
        <v>164</v>
      </c>
      <c r="P514" s="8">
        <v>0.56428571428571428</v>
      </c>
      <c r="Q514">
        <v>172</v>
      </c>
      <c r="R514" s="15">
        <v>160</v>
      </c>
      <c r="S514" s="8">
        <v>0.56799999999999995</v>
      </c>
      <c r="T514">
        <v>118</v>
      </c>
      <c r="U514" s="15">
        <v>106</v>
      </c>
      <c r="V514" s="8">
        <v>0.6</v>
      </c>
      <c r="W514">
        <f t="shared" ref="W514:W577" si="8">N514+Q514+T514</f>
        <v>476</v>
      </c>
    </row>
    <row r="515" spans="1:23">
      <c r="A515" s="6">
        <v>45440</v>
      </c>
      <c r="B515" t="s">
        <v>63</v>
      </c>
      <c r="C515">
        <v>1</v>
      </c>
      <c r="D515">
        <v>5</v>
      </c>
      <c r="E515">
        <v>0</v>
      </c>
      <c r="F515">
        <v>0</v>
      </c>
      <c r="H515">
        <v>0</v>
      </c>
      <c r="I515">
        <v>0</v>
      </c>
      <c r="J515">
        <v>0</v>
      </c>
      <c r="K515">
        <v>0</v>
      </c>
      <c r="L515" s="7">
        <v>12.5</v>
      </c>
      <c r="M515" s="7">
        <v>27.8</v>
      </c>
      <c r="N515">
        <v>194</v>
      </c>
      <c r="O515" s="15">
        <v>156</v>
      </c>
      <c r="P515" s="8">
        <v>0.5714285714285714</v>
      </c>
      <c r="Q515">
        <v>166</v>
      </c>
      <c r="R515" s="15">
        <v>135</v>
      </c>
      <c r="S515" s="8">
        <v>0.55200000000000005</v>
      </c>
      <c r="T515">
        <v>99</v>
      </c>
      <c r="U515" s="15">
        <v>85</v>
      </c>
      <c r="V515" s="8">
        <v>0.55294117647058827</v>
      </c>
      <c r="W515">
        <f t="shared" si="8"/>
        <v>459</v>
      </c>
    </row>
    <row r="516" spans="1:23">
      <c r="A516" s="6">
        <v>45441</v>
      </c>
      <c r="B516" t="s">
        <v>64</v>
      </c>
      <c r="C516">
        <v>2</v>
      </c>
      <c r="D516">
        <v>5</v>
      </c>
      <c r="E516">
        <v>0</v>
      </c>
      <c r="F516">
        <v>0</v>
      </c>
      <c r="H516">
        <v>0</v>
      </c>
      <c r="I516">
        <v>0</v>
      </c>
      <c r="J516">
        <v>0</v>
      </c>
      <c r="K516">
        <v>0</v>
      </c>
      <c r="L516" s="7">
        <v>0.6</v>
      </c>
      <c r="M516" s="7">
        <v>27.3</v>
      </c>
      <c r="N516">
        <v>195</v>
      </c>
      <c r="O516" s="15">
        <v>168</v>
      </c>
      <c r="P516" s="8">
        <v>0.59285714285714286</v>
      </c>
      <c r="Q516">
        <v>162</v>
      </c>
      <c r="R516" s="15">
        <v>136</v>
      </c>
      <c r="S516" s="8">
        <v>0.52800000000000002</v>
      </c>
      <c r="T516">
        <v>119</v>
      </c>
      <c r="U516" s="15">
        <v>99</v>
      </c>
      <c r="V516" s="8">
        <v>0.62352941176470589</v>
      </c>
      <c r="W516">
        <f t="shared" si="8"/>
        <v>476</v>
      </c>
    </row>
    <row r="517" spans="1:23">
      <c r="A517" s="6">
        <v>45442</v>
      </c>
      <c r="B517" t="s">
        <v>65</v>
      </c>
      <c r="C517">
        <v>3</v>
      </c>
      <c r="D517">
        <v>5</v>
      </c>
      <c r="E517">
        <v>0</v>
      </c>
      <c r="F517">
        <v>0</v>
      </c>
      <c r="H517">
        <v>0</v>
      </c>
      <c r="I517">
        <v>0</v>
      </c>
      <c r="J517">
        <v>0</v>
      </c>
      <c r="K517">
        <v>0</v>
      </c>
      <c r="L517" s="7">
        <v>9.3000000000000007</v>
      </c>
      <c r="M517" s="7">
        <v>26.4</v>
      </c>
      <c r="N517">
        <v>167</v>
      </c>
      <c r="O517" s="15">
        <v>156</v>
      </c>
      <c r="P517" s="8">
        <v>0.5</v>
      </c>
      <c r="Q517">
        <v>155</v>
      </c>
      <c r="R517" s="15">
        <v>130</v>
      </c>
      <c r="S517" s="8">
        <v>0.53600000000000003</v>
      </c>
      <c r="T517">
        <v>113</v>
      </c>
      <c r="U517" s="15">
        <v>102</v>
      </c>
      <c r="V517" s="8">
        <v>0.61176470588235299</v>
      </c>
      <c r="W517">
        <f t="shared" si="8"/>
        <v>435</v>
      </c>
    </row>
    <row r="518" spans="1:23">
      <c r="A518" s="6">
        <v>45443</v>
      </c>
      <c r="B518" t="s">
        <v>66</v>
      </c>
      <c r="C518">
        <v>4</v>
      </c>
      <c r="D518">
        <v>5</v>
      </c>
      <c r="E518">
        <v>0</v>
      </c>
      <c r="F518">
        <v>0</v>
      </c>
      <c r="H518">
        <v>0</v>
      </c>
      <c r="I518">
        <v>0</v>
      </c>
      <c r="J518">
        <v>0</v>
      </c>
      <c r="K518">
        <v>0</v>
      </c>
      <c r="L518" s="7">
        <v>4.9000000000000004</v>
      </c>
      <c r="M518" s="7">
        <v>26.4</v>
      </c>
      <c r="N518">
        <v>151</v>
      </c>
      <c r="O518" s="15">
        <v>132</v>
      </c>
      <c r="P518" s="8">
        <v>0.47142857142857142</v>
      </c>
      <c r="Q518">
        <v>173</v>
      </c>
      <c r="R518" s="15">
        <v>161</v>
      </c>
      <c r="S518" s="8">
        <v>0.56799999999999995</v>
      </c>
      <c r="T518">
        <v>122</v>
      </c>
      <c r="U518" s="15">
        <v>105</v>
      </c>
      <c r="V518" s="8">
        <v>0.62352941176470589</v>
      </c>
      <c r="W518">
        <f t="shared" si="8"/>
        <v>446</v>
      </c>
    </row>
    <row r="519" spans="1:23">
      <c r="A519" s="6">
        <v>45444</v>
      </c>
      <c r="B519" t="s">
        <v>67</v>
      </c>
      <c r="C519">
        <v>5</v>
      </c>
      <c r="D519">
        <v>6</v>
      </c>
      <c r="E519">
        <v>1</v>
      </c>
      <c r="F519">
        <v>0</v>
      </c>
      <c r="H519">
        <v>0</v>
      </c>
      <c r="I519">
        <v>0</v>
      </c>
      <c r="J519">
        <v>0</v>
      </c>
      <c r="K519">
        <v>0</v>
      </c>
      <c r="L519" s="7">
        <v>4</v>
      </c>
      <c r="M519" s="7">
        <v>25.7</v>
      </c>
      <c r="N519">
        <v>204</v>
      </c>
      <c r="O519" s="15">
        <v>171</v>
      </c>
      <c r="P519" s="8">
        <v>0.62857142857142856</v>
      </c>
      <c r="Q519">
        <v>202</v>
      </c>
      <c r="R519" s="15">
        <v>168</v>
      </c>
      <c r="S519" s="8">
        <v>0.68</v>
      </c>
      <c r="T519">
        <v>146</v>
      </c>
      <c r="U519" s="15">
        <v>118</v>
      </c>
      <c r="V519" s="8">
        <v>0.75294117647058822</v>
      </c>
      <c r="W519">
        <f t="shared" si="8"/>
        <v>552</v>
      </c>
    </row>
    <row r="520" spans="1:23">
      <c r="A520" s="6">
        <v>45445</v>
      </c>
      <c r="B520" t="s">
        <v>60</v>
      </c>
      <c r="C520">
        <v>6</v>
      </c>
      <c r="D520">
        <v>6</v>
      </c>
      <c r="E520">
        <v>1</v>
      </c>
      <c r="F520">
        <v>0</v>
      </c>
      <c r="H520">
        <v>0</v>
      </c>
      <c r="I520">
        <v>0</v>
      </c>
      <c r="J520">
        <v>0</v>
      </c>
      <c r="K520">
        <v>0</v>
      </c>
      <c r="L520" s="7">
        <v>6.6</v>
      </c>
      <c r="M520" s="7">
        <v>28.2</v>
      </c>
      <c r="N520">
        <v>216</v>
      </c>
      <c r="O520" s="15">
        <v>200</v>
      </c>
      <c r="P520" s="8">
        <v>0.66428571428571426</v>
      </c>
      <c r="Q520">
        <v>187</v>
      </c>
      <c r="R520" s="15">
        <v>171</v>
      </c>
      <c r="S520" s="8">
        <v>0.624</v>
      </c>
      <c r="T520">
        <v>134</v>
      </c>
      <c r="U520" s="15">
        <v>117</v>
      </c>
      <c r="V520" s="8">
        <v>0.71764705882352942</v>
      </c>
      <c r="W520">
        <f t="shared" si="8"/>
        <v>537</v>
      </c>
    </row>
    <row r="521" spans="1:23">
      <c r="A521" s="6">
        <v>45446</v>
      </c>
      <c r="B521" t="s">
        <v>62</v>
      </c>
      <c r="C521">
        <v>0</v>
      </c>
      <c r="D521">
        <v>6</v>
      </c>
      <c r="E521">
        <v>0</v>
      </c>
      <c r="F521">
        <v>0</v>
      </c>
      <c r="H521">
        <v>0</v>
      </c>
      <c r="I521">
        <v>0</v>
      </c>
      <c r="J521">
        <v>0</v>
      </c>
      <c r="K521">
        <v>0</v>
      </c>
      <c r="L521" s="7">
        <v>6.2</v>
      </c>
      <c r="M521" s="7">
        <v>27.7</v>
      </c>
      <c r="N521">
        <v>203</v>
      </c>
      <c r="O521" s="15">
        <v>168</v>
      </c>
      <c r="P521" s="8">
        <v>0.59285714285714286</v>
      </c>
      <c r="Q521">
        <v>173</v>
      </c>
      <c r="R521" s="15">
        <v>144</v>
      </c>
      <c r="S521" s="8">
        <v>0.57599999999999996</v>
      </c>
      <c r="T521">
        <v>118</v>
      </c>
      <c r="U521" s="15">
        <v>109</v>
      </c>
      <c r="V521" s="8">
        <v>0.6</v>
      </c>
      <c r="W521">
        <f t="shared" si="8"/>
        <v>494</v>
      </c>
    </row>
    <row r="522" spans="1:23">
      <c r="A522" s="6">
        <v>45447</v>
      </c>
      <c r="B522" t="s">
        <v>63</v>
      </c>
      <c r="C522">
        <v>1</v>
      </c>
      <c r="D522">
        <v>6</v>
      </c>
      <c r="E522">
        <v>0</v>
      </c>
      <c r="F522">
        <v>0</v>
      </c>
      <c r="H522">
        <v>0</v>
      </c>
      <c r="I522">
        <v>0</v>
      </c>
      <c r="J522">
        <v>0</v>
      </c>
      <c r="K522">
        <v>0</v>
      </c>
      <c r="L522" s="7">
        <v>13.9</v>
      </c>
      <c r="M522" s="7">
        <v>28.1</v>
      </c>
      <c r="N522">
        <v>180</v>
      </c>
      <c r="O522" s="15">
        <v>148</v>
      </c>
      <c r="P522" s="8">
        <v>0.54285714285714282</v>
      </c>
      <c r="Q522">
        <v>150</v>
      </c>
      <c r="R522" s="15">
        <v>127</v>
      </c>
      <c r="S522" s="8">
        <v>0.51200000000000001</v>
      </c>
      <c r="T522">
        <v>121</v>
      </c>
      <c r="U522" s="15">
        <v>103</v>
      </c>
      <c r="V522" s="8">
        <v>0.63529411764705879</v>
      </c>
      <c r="W522">
        <f t="shared" si="8"/>
        <v>451</v>
      </c>
    </row>
    <row r="523" spans="1:23">
      <c r="A523" s="6">
        <v>45448</v>
      </c>
      <c r="B523" t="s">
        <v>64</v>
      </c>
      <c r="C523">
        <v>2</v>
      </c>
      <c r="D523">
        <v>6</v>
      </c>
      <c r="E523">
        <v>0</v>
      </c>
      <c r="F523">
        <v>0</v>
      </c>
      <c r="H523">
        <v>0</v>
      </c>
      <c r="I523">
        <v>0</v>
      </c>
      <c r="J523">
        <v>0</v>
      </c>
      <c r="K523">
        <v>0</v>
      </c>
      <c r="L523" s="7">
        <v>10.4</v>
      </c>
      <c r="M523" s="7">
        <v>27.7</v>
      </c>
      <c r="N523">
        <v>185</v>
      </c>
      <c r="O523" s="15">
        <v>151</v>
      </c>
      <c r="P523" s="8">
        <v>0.55714285714285716</v>
      </c>
      <c r="Q523">
        <v>148</v>
      </c>
      <c r="R523" s="15">
        <v>133</v>
      </c>
      <c r="S523" s="8">
        <v>0.496</v>
      </c>
      <c r="T523">
        <v>114</v>
      </c>
      <c r="U523" s="15">
        <v>92</v>
      </c>
      <c r="V523" s="8">
        <v>0.6</v>
      </c>
      <c r="W523">
        <f t="shared" si="8"/>
        <v>447</v>
      </c>
    </row>
    <row r="524" spans="1:23">
      <c r="A524" s="6">
        <v>45449</v>
      </c>
      <c r="B524" t="s">
        <v>65</v>
      </c>
      <c r="C524">
        <v>3</v>
      </c>
      <c r="D524">
        <v>6</v>
      </c>
      <c r="E524">
        <v>0</v>
      </c>
      <c r="F524">
        <v>0</v>
      </c>
      <c r="H524">
        <v>0</v>
      </c>
      <c r="I524">
        <v>0</v>
      </c>
      <c r="J524">
        <v>0</v>
      </c>
      <c r="K524">
        <v>0</v>
      </c>
      <c r="L524" s="7">
        <v>13.4</v>
      </c>
      <c r="M524" s="7">
        <v>26.7</v>
      </c>
      <c r="N524">
        <v>190</v>
      </c>
      <c r="O524" s="15">
        <v>155</v>
      </c>
      <c r="P524" s="8">
        <v>0.57857142857142863</v>
      </c>
      <c r="Q524">
        <v>182</v>
      </c>
      <c r="R524" s="15">
        <v>161</v>
      </c>
      <c r="S524" s="8">
        <v>0.60799999999999998</v>
      </c>
      <c r="T524">
        <v>124</v>
      </c>
      <c r="U524" s="15">
        <v>112</v>
      </c>
      <c r="V524" s="8">
        <v>0.61176470588235299</v>
      </c>
      <c r="W524">
        <f t="shared" si="8"/>
        <v>496</v>
      </c>
    </row>
    <row r="525" spans="1:23">
      <c r="A525" s="6">
        <v>45450</v>
      </c>
      <c r="B525" t="s">
        <v>66</v>
      </c>
      <c r="C525">
        <v>4</v>
      </c>
      <c r="D525">
        <v>6</v>
      </c>
      <c r="E525">
        <v>0</v>
      </c>
      <c r="F525">
        <v>0</v>
      </c>
      <c r="H525">
        <v>0</v>
      </c>
      <c r="I525">
        <v>0</v>
      </c>
      <c r="J525">
        <v>0</v>
      </c>
      <c r="K525">
        <v>0</v>
      </c>
      <c r="L525" s="7">
        <v>0</v>
      </c>
      <c r="M525" s="7">
        <v>27</v>
      </c>
      <c r="N525">
        <v>186</v>
      </c>
      <c r="O525" s="15">
        <v>162</v>
      </c>
      <c r="P525" s="8">
        <v>0.58571428571428574</v>
      </c>
      <c r="Q525">
        <v>162</v>
      </c>
      <c r="R525" s="15">
        <v>134</v>
      </c>
      <c r="S525" s="8">
        <v>0.53600000000000003</v>
      </c>
      <c r="T525">
        <v>117</v>
      </c>
      <c r="U525" s="15">
        <v>96</v>
      </c>
      <c r="V525" s="8">
        <v>0.61176470588235299</v>
      </c>
      <c r="W525">
        <f t="shared" si="8"/>
        <v>465</v>
      </c>
    </row>
    <row r="526" spans="1:23">
      <c r="A526" s="6">
        <v>45451</v>
      </c>
      <c r="B526" t="s">
        <v>67</v>
      </c>
      <c r="C526">
        <v>5</v>
      </c>
      <c r="D526">
        <v>6</v>
      </c>
      <c r="E526">
        <v>1</v>
      </c>
      <c r="F526">
        <v>0</v>
      </c>
      <c r="H526">
        <v>0</v>
      </c>
      <c r="I526">
        <v>0</v>
      </c>
      <c r="J526">
        <v>0</v>
      </c>
      <c r="K526">
        <v>0</v>
      </c>
      <c r="L526" s="7">
        <v>2.2999999999999998</v>
      </c>
      <c r="M526" s="7">
        <v>26.8</v>
      </c>
      <c r="N526">
        <v>231</v>
      </c>
      <c r="O526" s="15">
        <v>201</v>
      </c>
      <c r="P526" s="8">
        <v>0.68571428571428572</v>
      </c>
      <c r="Q526">
        <v>199</v>
      </c>
      <c r="R526" s="15">
        <v>181</v>
      </c>
      <c r="S526" s="8">
        <v>0.64800000000000002</v>
      </c>
      <c r="T526">
        <v>145</v>
      </c>
      <c r="U526" s="15">
        <v>128</v>
      </c>
      <c r="V526" s="8">
        <v>0.76470588235294112</v>
      </c>
      <c r="W526">
        <f t="shared" si="8"/>
        <v>575</v>
      </c>
    </row>
    <row r="527" spans="1:23">
      <c r="A527" s="6">
        <v>45452</v>
      </c>
      <c r="B527" t="s">
        <v>60</v>
      </c>
      <c r="C527">
        <v>6</v>
      </c>
      <c r="D527">
        <v>6</v>
      </c>
      <c r="E527">
        <v>1</v>
      </c>
      <c r="F527">
        <v>0</v>
      </c>
      <c r="H527">
        <v>0</v>
      </c>
      <c r="I527">
        <v>0</v>
      </c>
      <c r="J527">
        <v>0</v>
      </c>
      <c r="K527">
        <v>0</v>
      </c>
      <c r="L527" s="7">
        <v>10.1</v>
      </c>
      <c r="M527" s="7">
        <v>27.5</v>
      </c>
      <c r="N527">
        <v>200</v>
      </c>
      <c r="O527" s="15">
        <v>177</v>
      </c>
      <c r="P527" s="8">
        <v>0.6</v>
      </c>
      <c r="Q527">
        <v>188</v>
      </c>
      <c r="R527" s="15">
        <v>159</v>
      </c>
      <c r="S527" s="8">
        <v>0.64</v>
      </c>
      <c r="T527">
        <v>133</v>
      </c>
      <c r="U527" s="15">
        <v>108</v>
      </c>
      <c r="V527" s="8">
        <v>0.70588235294117652</v>
      </c>
      <c r="W527">
        <f t="shared" si="8"/>
        <v>521</v>
      </c>
    </row>
    <row r="528" spans="1:23">
      <c r="A528" s="6">
        <v>45453</v>
      </c>
      <c r="B528" t="s">
        <v>62</v>
      </c>
      <c r="C528">
        <v>0</v>
      </c>
      <c r="D528">
        <v>6</v>
      </c>
      <c r="E528">
        <v>0</v>
      </c>
      <c r="F528">
        <v>0</v>
      </c>
      <c r="H528">
        <v>0</v>
      </c>
      <c r="I528">
        <v>0</v>
      </c>
      <c r="J528">
        <v>0</v>
      </c>
      <c r="K528">
        <v>0</v>
      </c>
      <c r="L528" s="7">
        <v>13.4</v>
      </c>
      <c r="M528" s="7">
        <v>28.7</v>
      </c>
      <c r="N528">
        <v>189</v>
      </c>
      <c r="O528" s="15">
        <v>159</v>
      </c>
      <c r="P528" s="8">
        <v>0.5714285714285714</v>
      </c>
      <c r="Q528">
        <v>166</v>
      </c>
      <c r="R528" s="15">
        <v>145</v>
      </c>
      <c r="S528" s="8">
        <v>0.53600000000000003</v>
      </c>
      <c r="T528">
        <v>110</v>
      </c>
      <c r="U528" s="15">
        <v>92</v>
      </c>
      <c r="V528" s="8">
        <v>0.58823529411764708</v>
      </c>
      <c r="W528">
        <f t="shared" si="8"/>
        <v>465</v>
      </c>
    </row>
    <row r="529" spans="1:23">
      <c r="A529" s="6">
        <v>45454</v>
      </c>
      <c r="B529" t="s">
        <v>63</v>
      </c>
      <c r="C529">
        <v>1</v>
      </c>
      <c r="D529">
        <v>6</v>
      </c>
      <c r="E529">
        <v>0</v>
      </c>
      <c r="F529">
        <v>0</v>
      </c>
      <c r="H529">
        <v>0</v>
      </c>
      <c r="I529">
        <v>0</v>
      </c>
      <c r="J529">
        <v>0</v>
      </c>
      <c r="K529">
        <v>0</v>
      </c>
      <c r="L529" s="7">
        <v>12.1</v>
      </c>
      <c r="M529" s="7">
        <v>27.7</v>
      </c>
      <c r="N529">
        <v>183</v>
      </c>
      <c r="O529" s="15">
        <v>154</v>
      </c>
      <c r="P529" s="8">
        <v>0.5714285714285714</v>
      </c>
      <c r="Q529">
        <v>152</v>
      </c>
      <c r="R529" s="15">
        <v>122</v>
      </c>
      <c r="S529" s="8">
        <v>0.48799999999999999</v>
      </c>
      <c r="T529">
        <v>122</v>
      </c>
      <c r="U529" s="15">
        <v>113</v>
      </c>
      <c r="V529" s="8">
        <v>0.62352941176470589</v>
      </c>
      <c r="W529">
        <f t="shared" si="8"/>
        <v>457</v>
      </c>
    </row>
    <row r="530" spans="1:23">
      <c r="A530" s="6">
        <v>45455</v>
      </c>
      <c r="B530" t="s">
        <v>64</v>
      </c>
      <c r="C530">
        <v>2</v>
      </c>
      <c r="D530">
        <v>6</v>
      </c>
      <c r="E530">
        <v>0</v>
      </c>
      <c r="F530">
        <v>0</v>
      </c>
      <c r="H530">
        <v>0</v>
      </c>
      <c r="I530">
        <v>0</v>
      </c>
      <c r="J530">
        <v>0</v>
      </c>
      <c r="K530">
        <v>0</v>
      </c>
      <c r="L530" s="7">
        <v>17.899999999999999</v>
      </c>
      <c r="M530" s="7">
        <v>28.3</v>
      </c>
      <c r="N530">
        <v>176</v>
      </c>
      <c r="O530" s="15">
        <v>143</v>
      </c>
      <c r="P530" s="8">
        <v>0.52857142857142858</v>
      </c>
      <c r="Q530">
        <v>165</v>
      </c>
      <c r="R530" s="15">
        <v>154</v>
      </c>
      <c r="S530" s="8">
        <v>0.55200000000000005</v>
      </c>
      <c r="T530">
        <v>110</v>
      </c>
      <c r="U530" s="15">
        <v>96</v>
      </c>
      <c r="V530" s="8">
        <v>0.6</v>
      </c>
      <c r="W530">
        <f t="shared" si="8"/>
        <v>451</v>
      </c>
    </row>
    <row r="531" spans="1:23">
      <c r="A531" s="6">
        <v>45456</v>
      </c>
      <c r="B531" t="s">
        <v>65</v>
      </c>
      <c r="C531">
        <v>3</v>
      </c>
      <c r="D531">
        <v>6</v>
      </c>
      <c r="E531">
        <v>0</v>
      </c>
      <c r="F531">
        <v>0</v>
      </c>
      <c r="H531">
        <v>0</v>
      </c>
      <c r="I531">
        <v>0</v>
      </c>
      <c r="J531">
        <v>0</v>
      </c>
      <c r="K531">
        <v>0</v>
      </c>
      <c r="L531" s="7">
        <v>8.5</v>
      </c>
      <c r="M531" s="7">
        <v>26.9</v>
      </c>
      <c r="N531">
        <v>199</v>
      </c>
      <c r="O531" s="15">
        <v>170</v>
      </c>
      <c r="P531" s="8">
        <v>0.6071428571428571</v>
      </c>
      <c r="Q531">
        <v>181</v>
      </c>
      <c r="R531" s="15">
        <v>145</v>
      </c>
      <c r="S531" s="8">
        <v>0.6</v>
      </c>
      <c r="T531">
        <v>121</v>
      </c>
      <c r="U531" s="15">
        <v>108</v>
      </c>
      <c r="V531" s="8">
        <v>0.6470588235294118</v>
      </c>
      <c r="W531">
        <f t="shared" si="8"/>
        <v>501</v>
      </c>
    </row>
    <row r="532" spans="1:23">
      <c r="A532" s="6">
        <v>45457</v>
      </c>
      <c r="B532" t="s">
        <v>66</v>
      </c>
      <c r="C532">
        <v>4</v>
      </c>
      <c r="D532">
        <v>6</v>
      </c>
      <c r="E532">
        <v>0</v>
      </c>
      <c r="F532">
        <v>0</v>
      </c>
      <c r="H532">
        <v>0</v>
      </c>
      <c r="I532">
        <v>0</v>
      </c>
      <c r="J532">
        <v>0</v>
      </c>
      <c r="K532">
        <v>0</v>
      </c>
      <c r="L532" s="7">
        <v>8</v>
      </c>
      <c r="M532" s="7">
        <v>27</v>
      </c>
      <c r="N532">
        <v>180</v>
      </c>
      <c r="O532" s="15">
        <v>165</v>
      </c>
      <c r="P532" s="8">
        <v>0.54285714285714282</v>
      </c>
      <c r="Q532">
        <v>155</v>
      </c>
      <c r="R532" s="15">
        <v>137</v>
      </c>
      <c r="S532" s="8">
        <v>0.52800000000000002</v>
      </c>
      <c r="T532">
        <v>121</v>
      </c>
      <c r="U532" s="15">
        <v>106</v>
      </c>
      <c r="V532" s="8">
        <v>0.62352941176470589</v>
      </c>
      <c r="W532">
        <f t="shared" si="8"/>
        <v>456</v>
      </c>
    </row>
    <row r="533" spans="1:23">
      <c r="A533" s="6">
        <v>45458</v>
      </c>
      <c r="B533" t="s">
        <v>67</v>
      </c>
      <c r="C533">
        <v>5</v>
      </c>
      <c r="D533">
        <v>6</v>
      </c>
      <c r="E533">
        <v>1</v>
      </c>
      <c r="F533">
        <v>0</v>
      </c>
      <c r="H533">
        <v>0</v>
      </c>
      <c r="I533">
        <v>0</v>
      </c>
      <c r="J533">
        <v>0</v>
      </c>
      <c r="K533">
        <v>0</v>
      </c>
      <c r="L533" s="7">
        <v>15.5</v>
      </c>
      <c r="M533" s="7">
        <v>28.4</v>
      </c>
      <c r="N533">
        <v>192</v>
      </c>
      <c r="O533" s="15">
        <v>173</v>
      </c>
      <c r="P533" s="8">
        <v>0.6071428571428571</v>
      </c>
      <c r="Q533">
        <v>191</v>
      </c>
      <c r="R533" s="15">
        <v>153</v>
      </c>
      <c r="S533" s="8">
        <v>0.61599999999999999</v>
      </c>
      <c r="T533">
        <v>155</v>
      </c>
      <c r="U533" s="15">
        <v>136</v>
      </c>
      <c r="V533" s="8">
        <v>0.76470588235294112</v>
      </c>
      <c r="W533">
        <f t="shared" si="8"/>
        <v>538</v>
      </c>
    </row>
    <row r="534" spans="1:23">
      <c r="A534" s="6">
        <v>45459</v>
      </c>
      <c r="B534" t="s">
        <v>60</v>
      </c>
      <c r="C534">
        <v>6</v>
      </c>
      <c r="D534">
        <v>6</v>
      </c>
      <c r="E534">
        <v>1</v>
      </c>
      <c r="F534">
        <v>0</v>
      </c>
      <c r="H534">
        <v>0</v>
      </c>
      <c r="I534">
        <v>0</v>
      </c>
      <c r="J534">
        <v>0</v>
      </c>
      <c r="K534">
        <v>0</v>
      </c>
      <c r="L534" s="7">
        <v>19.8</v>
      </c>
      <c r="M534" s="7">
        <v>28.3</v>
      </c>
      <c r="N534">
        <v>240</v>
      </c>
      <c r="O534" s="15">
        <v>216</v>
      </c>
      <c r="P534" s="8">
        <v>0.70714285714285718</v>
      </c>
      <c r="Q534">
        <v>189</v>
      </c>
      <c r="R534" s="15">
        <v>174</v>
      </c>
      <c r="S534" s="8">
        <v>0.64800000000000002</v>
      </c>
      <c r="T534">
        <v>135</v>
      </c>
      <c r="U534" s="15">
        <v>121</v>
      </c>
      <c r="V534" s="8">
        <v>0.69411764705882351</v>
      </c>
      <c r="W534">
        <f t="shared" si="8"/>
        <v>564</v>
      </c>
    </row>
    <row r="535" spans="1:23">
      <c r="A535" s="6">
        <v>45460</v>
      </c>
      <c r="B535" t="s">
        <v>62</v>
      </c>
      <c r="C535">
        <v>0</v>
      </c>
      <c r="D535">
        <v>6</v>
      </c>
      <c r="E535">
        <v>0</v>
      </c>
      <c r="F535">
        <v>0</v>
      </c>
      <c r="H535">
        <v>0</v>
      </c>
      <c r="I535">
        <v>0</v>
      </c>
      <c r="J535">
        <v>0</v>
      </c>
      <c r="K535">
        <v>0</v>
      </c>
      <c r="L535" s="7">
        <v>16.7</v>
      </c>
      <c r="M535" s="7">
        <v>27.8</v>
      </c>
      <c r="N535">
        <v>211</v>
      </c>
      <c r="O535" s="15">
        <v>172</v>
      </c>
      <c r="P535" s="8">
        <v>0.6428571428571429</v>
      </c>
      <c r="Q535">
        <v>166</v>
      </c>
      <c r="R535" s="15">
        <v>146</v>
      </c>
      <c r="S535" s="8">
        <v>0.54400000000000004</v>
      </c>
      <c r="T535">
        <v>127</v>
      </c>
      <c r="U535" s="15">
        <v>108</v>
      </c>
      <c r="V535" s="8">
        <v>0.63529411764705879</v>
      </c>
      <c r="W535">
        <f t="shared" si="8"/>
        <v>504</v>
      </c>
    </row>
    <row r="536" spans="1:23">
      <c r="A536" s="6">
        <v>45461</v>
      </c>
      <c r="B536" t="s">
        <v>63</v>
      </c>
      <c r="C536">
        <v>1</v>
      </c>
      <c r="D536">
        <v>6</v>
      </c>
      <c r="E536">
        <v>0</v>
      </c>
      <c r="F536">
        <v>0</v>
      </c>
      <c r="H536">
        <v>0</v>
      </c>
      <c r="I536">
        <v>0</v>
      </c>
      <c r="J536">
        <v>0</v>
      </c>
      <c r="K536">
        <v>0</v>
      </c>
      <c r="L536" s="7">
        <v>8.5</v>
      </c>
      <c r="M536" s="7">
        <v>27.5</v>
      </c>
      <c r="N536">
        <v>226</v>
      </c>
      <c r="O536" s="15">
        <v>203</v>
      </c>
      <c r="P536" s="8">
        <v>0.6785714285714286</v>
      </c>
      <c r="Q536">
        <v>147</v>
      </c>
      <c r="R536" s="15">
        <v>121</v>
      </c>
      <c r="S536" s="8">
        <v>0.52800000000000002</v>
      </c>
      <c r="T536">
        <v>113</v>
      </c>
      <c r="U536" s="15">
        <v>91</v>
      </c>
      <c r="V536" s="8">
        <v>0.6</v>
      </c>
      <c r="W536">
        <f t="shared" si="8"/>
        <v>486</v>
      </c>
    </row>
    <row r="537" spans="1:23">
      <c r="A537" s="6">
        <v>45462</v>
      </c>
      <c r="B537" t="s">
        <v>64</v>
      </c>
      <c r="C537">
        <v>2</v>
      </c>
      <c r="D537">
        <v>6</v>
      </c>
      <c r="E537">
        <v>0</v>
      </c>
      <c r="F537">
        <v>0</v>
      </c>
      <c r="H537">
        <v>0</v>
      </c>
      <c r="I537">
        <v>0</v>
      </c>
      <c r="J537">
        <v>0</v>
      </c>
      <c r="K537">
        <v>0</v>
      </c>
      <c r="L537" s="7">
        <v>15.1</v>
      </c>
      <c r="M537" s="7">
        <v>28.7</v>
      </c>
      <c r="N537">
        <v>183</v>
      </c>
      <c r="O537" s="15">
        <v>169</v>
      </c>
      <c r="P537" s="8">
        <v>0.5714285714285714</v>
      </c>
      <c r="Q537">
        <v>172</v>
      </c>
      <c r="R537" s="15">
        <v>160</v>
      </c>
      <c r="S537" s="8">
        <v>0.59199999999999997</v>
      </c>
      <c r="T537">
        <v>127</v>
      </c>
      <c r="U537" s="15">
        <v>107</v>
      </c>
      <c r="V537" s="8">
        <v>0.62352941176470589</v>
      </c>
      <c r="W537">
        <f t="shared" si="8"/>
        <v>482</v>
      </c>
    </row>
    <row r="538" spans="1:23">
      <c r="A538" s="6">
        <v>45463</v>
      </c>
      <c r="B538" t="s">
        <v>65</v>
      </c>
      <c r="C538">
        <v>3</v>
      </c>
      <c r="D538">
        <v>6</v>
      </c>
      <c r="E538">
        <v>0</v>
      </c>
      <c r="F538">
        <v>0</v>
      </c>
      <c r="H538">
        <v>0</v>
      </c>
      <c r="I538">
        <v>0</v>
      </c>
      <c r="J538">
        <v>0</v>
      </c>
      <c r="K538">
        <v>0</v>
      </c>
      <c r="L538" s="7">
        <v>10.5</v>
      </c>
      <c r="M538" s="7">
        <v>27.4</v>
      </c>
      <c r="N538">
        <v>221</v>
      </c>
      <c r="O538" s="15">
        <v>186</v>
      </c>
      <c r="P538" s="8">
        <v>0.68571428571428572</v>
      </c>
      <c r="Q538">
        <v>166</v>
      </c>
      <c r="R538" s="15">
        <v>147</v>
      </c>
      <c r="S538" s="8">
        <v>0.58399999999999996</v>
      </c>
      <c r="T538">
        <v>118</v>
      </c>
      <c r="U538" s="15">
        <v>104</v>
      </c>
      <c r="V538" s="8">
        <v>0.62352941176470589</v>
      </c>
      <c r="W538">
        <f t="shared" si="8"/>
        <v>505</v>
      </c>
    </row>
    <row r="539" spans="1:23">
      <c r="A539" s="6">
        <v>45464</v>
      </c>
      <c r="B539" t="s">
        <v>66</v>
      </c>
      <c r="C539">
        <v>4</v>
      </c>
      <c r="D539">
        <v>6</v>
      </c>
      <c r="E539">
        <v>0</v>
      </c>
      <c r="F539">
        <v>0</v>
      </c>
      <c r="H539">
        <v>0</v>
      </c>
      <c r="I539">
        <v>0</v>
      </c>
      <c r="J539">
        <v>0</v>
      </c>
      <c r="K539">
        <v>0</v>
      </c>
      <c r="L539" s="7">
        <v>18.600000000000001</v>
      </c>
      <c r="M539" s="7">
        <v>29.3</v>
      </c>
      <c r="N539">
        <v>184</v>
      </c>
      <c r="O539" s="15">
        <v>171</v>
      </c>
      <c r="P539" s="8">
        <v>0.5714285714285714</v>
      </c>
      <c r="Q539">
        <v>176</v>
      </c>
      <c r="R539" s="15">
        <v>159</v>
      </c>
      <c r="S539" s="8">
        <v>0.60799999999999998</v>
      </c>
      <c r="T539">
        <v>118</v>
      </c>
      <c r="U539" s="15">
        <v>97</v>
      </c>
      <c r="V539" s="8">
        <v>0.61176470588235299</v>
      </c>
      <c r="W539">
        <f t="shared" si="8"/>
        <v>478</v>
      </c>
    </row>
    <row r="540" spans="1:23">
      <c r="A540" s="6">
        <v>45465</v>
      </c>
      <c r="B540" t="s">
        <v>67</v>
      </c>
      <c r="C540">
        <v>5</v>
      </c>
      <c r="D540">
        <v>6</v>
      </c>
      <c r="E540">
        <v>1</v>
      </c>
      <c r="F540">
        <v>0</v>
      </c>
      <c r="H540">
        <v>0</v>
      </c>
      <c r="I540">
        <v>0</v>
      </c>
      <c r="J540">
        <v>0</v>
      </c>
      <c r="K540">
        <v>0</v>
      </c>
      <c r="L540" s="7">
        <v>10</v>
      </c>
      <c r="M540" s="7">
        <v>27.7</v>
      </c>
      <c r="N540">
        <v>238</v>
      </c>
      <c r="O540" s="15">
        <v>213</v>
      </c>
      <c r="P540" s="8">
        <v>0.70714285714285718</v>
      </c>
      <c r="Q540">
        <v>196</v>
      </c>
      <c r="R540" s="15">
        <v>177</v>
      </c>
      <c r="S540" s="8">
        <v>0.65600000000000003</v>
      </c>
      <c r="T540">
        <v>153</v>
      </c>
      <c r="U540" s="15">
        <v>140</v>
      </c>
      <c r="V540" s="8">
        <v>0.76470588235294112</v>
      </c>
      <c r="W540">
        <f t="shared" si="8"/>
        <v>587</v>
      </c>
    </row>
    <row r="541" spans="1:23">
      <c r="A541" s="6">
        <v>45466</v>
      </c>
      <c r="B541" t="s">
        <v>60</v>
      </c>
      <c r="C541">
        <v>6</v>
      </c>
      <c r="D541">
        <v>6</v>
      </c>
      <c r="E541">
        <v>1</v>
      </c>
      <c r="F541">
        <v>0</v>
      </c>
      <c r="H541">
        <v>0</v>
      </c>
      <c r="I541">
        <v>0</v>
      </c>
      <c r="J541">
        <v>0</v>
      </c>
      <c r="K541">
        <v>0</v>
      </c>
      <c r="L541" s="7">
        <v>13.8</v>
      </c>
      <c r="M541" s="7">
        <v>27.3</v>
      </c>
      <c r="N541">
        <v>207</v>
      </c>
      <c r="O541" s="15">
        <v>190</v>
      </c>
      <c r="P541" s="8">
        <v>0.65</v>
      </c>
      <c r="Q541">
        <v>193</v>
      </c>
      <c r="R541" s="15">
        <v>166</v>
      </c>
      <c r="S541" s="8">
        <v>0.624</v>
      </c>
      <c r="T541">
        <v>168</v>
      </c>
      <c r="U541" s="15">
        <v>154</v>
      </c>
      <c r="V541" s="8">
        <v>0.85882352941176465</v>
      </c>
      <c r="W541">
        <f t="shared" si="8"/>
        <v>568</v>
      </c>
    </row>
    <row r="542" spans="1:23">
      <c r="A542" s="6">
        <v>45467</v>
      </c>
      <c r="B542" t="s">
        <v>62</v>
      </c>
      <c r="C542">
        <v>0</v>
      </c>
      <c r="D542">
        <v>6</v>
      </c>
      <c r="E542">
        <v>0</v>
      </c>
      <c r="F542">
        <v>0</v>
      </c>
      <c r="H542">
        <v>0</v>
      </c>
      <c r="I542">
        <v>0</v>
      </c>
      <c r="J542">
        <v>0</v>
      </c>
      <c r="K542">
        <v>0</v>
      </c>
      <c r="L542" s="7">
        <v>2.2999999999999998</v>
      </c>
      <c r="M542" s="7">
        <v>28</v>
      </c>
      <c r="N542">
        <v>201</v>
      </c>
      <c r="O542" s="15">
        <v>175</v>
      </c>
      <c r="P542" s="8">
        <v>0.6</v>
      </c>
      <c r="Q542">
        <v>185</v>
      </c>
      <c r="R542" s="15">
        <v>155</v>
      </c>
      <c r="S542" s="8">
        <v>0.60799999999999998</v>
      </c>
      <c r="T542">
        <v>137</v>
      </c>
      <c r="U542" s="15">
        <v>121</v>
      </c>
      <c r="V542" s="8">
        <v>0.68235294117647061</v>
      </c>
      <c r="W542">
        <f t="shared" si="8"/>
        <v>523</v>
      </c>
    </row>
    <row r="543" spans="1:23">
      <c r="A543" s="6">
        <v>45468</v>
      </c>
      <c r="B543" t="s">
        <v>63</v>
      </c>
      <c r="C543">
        <v>1</v>
      </c>
      <c r="D543">
        <v>6</v>
      </c>
      <c r="E543">
        <v>0</v>
      </c>
      <c r="F543">
        <v>0</v>
      </c>
      <c r="H543">
        <v>0</v>
      </c>
      <c r="I543">
        <v>0</v>
      </c>
      <c r="J543">
        <v>0</v>
      </c>
      <c r="K543">
        <v>0</v>
      </c>
      <c r="L543" s="7">
        <v>22.4</v>
      </c>
      <c r="M543" s="7">
        <v>27.1</v>
      </c>
      <c r="N543">
        <v>196</v>
      </c>
      <c r="O543" s="15">
        <v>166</v>
      </c>
      <c r="P543" s="8">
        <v>0.6071428571428571</v>
      </c>
      <c r="Q543">
        <v>174</v>
      </c>
      <c r="R543" s="15">
        <v>145</v>
      </c>
      <c r="S543" s="8">
        <v>0.58399999999999996</v>
      </c>
      <c r="T543">
        <v>129</v>
      </c>
      <c r="U543" s="15">
        <v>112</v>
      </c>
      <c r="V543" s="8">
        <v>0.6588235294117647</v>
      </c>
      <c r="W543">
        <f t="shared" si="8"/>
        <v>499</v>
      </c>
    </row>
    <row r="544" spans="1:23">
      <c r="A544" s="6">
        <v>45469</v>
      </c>
      <c r="B544" t="s">
        <v>64</v>
      </c>
      <c r="C544">
        <v>2</v>
      </c>
      <c r="D544">
        <v>6</v>
      </c>
      <c r="E544">
        <v>0</v>
      </c>
      <c r="F544">
        <v>0</v>
      </c>
      <c r="H544">
        <v>0</v>
      </c>
      <c r="I544">
        <v>0</v>
      </c>
      <c r="J544">
        <v>0</v>
      </c>
      <c r="K544">
        <v>0</v>
      </c>
      <c r="L544" s="7">
        <v>8.1999999999999993</v>
      </c>
      <c r="M544" s="7">
        <v>27.4</v>
      </c>
      <c r="N544">
        <v>197</v>
      </c>
      <c r="O544" s="15">
        <v>170</v>
      </c>
      <c r="P544" s="8">
        <v>0.61428571428571432</v>
      </c>
      <c r="Q544">
        <v>164</v>
      </c>
      <c r="R544" s="15">
        <v>154</v>
      </c>
      <c r="S544" s="8">
        <v>0.56799999999999995</v>
      </c>
      <c r="T544">
        <v>123</v>
      </c>
      <c r="U544" s="15">
        <v>102</v>
      </c>
      <c r="V544" s="8">
        <v>0.6705882352941176</v>
      </c>
      <c r="W544">
        <f t="shared" si="8"/>
        <v>484</v>
      </c>
    </row>
    <row r="545" spans="1:23">
      <c r="A545" s="6">
        <v>45470</v>
      </c>
      <c r="B545" t="s">
        <v>65</v>
      </c>
      <c r="C545">
        <v>3</v>
      </c>
      <c r="D545">
        <v>6</v>
      </c>
      <c r="E545">
        <v>0</v>
      </c>
      <c r="F545">
        <v>0</v>
      </c>
      <c r="H545">
        <v>0</v>
      </c>
      <c r="I545">
        <v>0</v>
      </c>
      <c r="J545">
        <v>0</v>
      </c>
      <c r="K545">
        <v>0</v>
      </c>
      <c r="L545" s="7">
        <v>5</v>
      </c>
      <c r="M545" s="7">
        <v>27.7</v>
      </c>
      <c r="N545">
        <v>193</v>
      </c>
      <c r="O545" s="15">
        <v>173</v>
      </c>
      <c r="P545" s="8">
        <v>0.6071428571428571</v>
      </c>
      <c r="Q545">
        <v>196</v>
      </c>
      <c r="R545" s="15">
        <v>162</v>
      </c>
      <c r="S545" s="8">
        <v>0.65600000000000003</v>
      </c>
      <c r="T545">
        <v>136</v>
      </c>
      <c r="U545" s="15">
        <v>126</v>
      </c>
      <c r="V545" s="8">
        <v>0.71764705882352942</v>
      </c>
      <c r="W545">
        <f t="shared" si="8"/>
        <v>525</v>
      </c>
    </row>
    <row r="546" spans="1:23">
      <c r="A546" s="6">
        <v>45471</v>
      </c>
      <c r="B546" t="s">
        <v>66</v>
      </c>
      <c r="C546">
        <v>4</v>
      </c>
      <c r="D546">
        <v>6</v>
      </c>
      <c r="E546">
        <v>0</v>
      </c>
      <c r="F546">
        <v>0</v>
      </c>
      <c r="H546">
        <v>0</v>
      </c>
      <c r="I546">
        <v>0</v>
      </c>
      <c r="J546">
        <v>0</v>
      </c>
      <c r="K546">
        <v>0</v>
      </c>
      <c r="L546" s="7">
        <v>6.3</v>
      </c>
      <c r="M546" s="7">
        <v>29.3</v>
      </c>
      <c r="N546">
        <v>210</v>
      </c>
      <c r="O546" s="15">
        <v>176</v>
      </c>
      <c r="P546" s="8">
        <v>0.63571428571428568</v>
      </c>
      <c r="Q546">
        <v>158</v>
      </c>
      <c r="R546" s="15">
        <v>146</v>
      </c>
      <c r="S546" s="8">
        <v>0.52800000000000002</v>
      </c>
      <c r="T546">
        <v>125</v>
      </c>
      <c r="U546" s="15">
        <v>110</v>
      </c>
      <c r="V546" s="8">
        <v>0.6470588235294118</v>
      </c>
      <c r="W546">
        <f t="shared" si="8"/>
        <v>493</v>
      </c>
    </row>
    <row r="547" spans="1:23">
      <c r="A547" s="6">
        <v>45472</v>
      </c>
      <c r="B547" t="s">
        <v>67</v>
      </c>
      <c r="C547">
        <v>5</v>
      </c>
      <c r="D547">
        <v>6</v>
      </c>
      <c r="E547">
        <v>1</v>
      </c>
      <c r="F547">
        <v>0</v>
      </c>
      <c r="H547">
        <v>0</v>
      </c>
      <c r="I547">
        <v>0</v>
      </c>
      <c r="J547">
        <v>0</v>
      </c>
      <c r="K547">
        <v>0</v>
      </c>
      <c r="L547" s="7">
        <v>11.3</v>
      </c>
      <c r="M547" s="7">
        <v>28.2</v>
      </c>
      <c r="N547">
        <v>223</v>
      </c>
      <c r="O547" s="15">
        <v>180</v>
      </c>
      <c r="P547" s="8">
        <v>0.6785714285714286</v>
      </c>
      <c r="Q547">
        <v>201</v>
      </c>
      <c r="R547" s="15">
        <v>179</v>
      </c>
      <c r="S547" s="8">
        <v>0.68</v>
      </c>
      <c r="T547">
        <v>150</v>
      </c>
      <c r="U547" s="15">
        <v>124</v>
      </c>
      <c r="V547" s="8">
        <v>0.78823529411764703</v>
      </c>
      <c r="W547">
        <f t="shared" si="8"/>
        <v>574</v>
      </c>
    </row>
    <row r="548" spans="1:23">
      <c r="A548" s="6">
        <v>45473</v>
      </c>
      <c r="B548" t="s">
        <v>60</v>
      </c>
      <c r="C548">
        <v>6</v>
      </c>
      <c r="D548">
        <v>6</v>
      </c>
      <c r="E548">
        <v>1</v>
      </c>
      <c r="F548">
        <v>0</v>
      </c>
      <c r="H548">
        <v>0</v>
      </c>
      <c r="I548">
        <v>0</v>
      </c>
      <c r="J548">
        <v>0</v>
      </c>
      <c r="K548">
        <v>0</v>
      </c>
      <c r="L548" s="7">
        <v>5.3</v>
      </c>
      <c r="M548" s="7">
        <v>28.1</v>
      </c>
      <c r="N548">
        <v>230</v>
      </c>
      <c r="O548" s="15">
        <v>206</v>
      </c>
      <c r="P548" s="8">
        <v>0.70714285714285718</v>
      </c>
      <c r="Q548">
        <v>219</v>
      </c>
      <c r="R548" s="15">
        <v>199</v>
      </c>
      <c r="S548" s="8">
        <v>0.72799999999999998</v>
      </c>
      <c r="T548">
        <v>140</v>
      </c>
      <c r="U548" s="15">
        <v>131</v>
      </c>
      <c r="V548" s="8">
        <v>0.77647058823529413</v>
      </c>
      <c r="W548">
        <f t="shared" si="8"/>
        <v>589</v>
      </c>
    </row>
    <row r="549" spans="1:23">
      <c r="A549" s="6">
        <v>45474</v>
      </c>
      <c r="B549" t="s">
        <v>62</v>
      </c>
      <c r="C549">
        <v>0</v>
      </c>
      <c r="D549">
        <v>7</v>
      </c>
      <c r="E549">
        <v>0</v>
      </c>
      <c r="F549">
        <v>0</v>
      </c>
      <c r="H549">
        <v>1</v>
      </c>
      <c r="I549">
        <v>0</v>
      </c>
      <c r="J549">
        <v>0</v>
      </c>
      <c r="K549">
        <v>0</v>
      </c>
      <c r="L549" s="7">
        <v>12</v>
      </c>
      <c r="M549" s="7">
        <v>26.9</v>
      </c>
      <c r="N549">
        <v>227</v>
      </c>
      <c r="O549" s="15">
        <v>203</v>
      </c>
      <c r="P549" s="8">
        <v>0.7</v>
      </c>
      <c r="Q549">
        <v>243</v>
      </c>
      <c r="R549" s="15">
        <v>223</v>
      </c>
      <c r="S549" s="8">
        <v>0.8</v>
      </c>
      <c r="T549">
        <v>164</v>
      </c>
      <c r="U549" s="15">
        <v>134</v>
      </c>
      <c r="V549" s="8">
        <v>0.84705882352941175</v>
      </c>
      <c r="W549">
        <f t="shared" si="8"/>
        <v>634</v>
      </c>
    </row>
    <row r="550" spans="1:23">
      <c r="A550" s="6">
        <v>45475</v>
      </c>
      <c r="B550" t="s">
        <v>63</v>
      </c>
      <c r="C550">
        <v>1</v>
      </c>
      <c r="D550">
        <v>7</v>
      </c>
      <c r="E550">
        <v>0</v>
      </c>
      <c r="F550">
        <v>0</v>
      </c>
      <c r="H550">
        <v>1</v>
      </c>
      <c r="I550">
        <v>0</v>
      </c>
      <c r="J550">
        <v>0</v>
      </c>
      <c r="K550">
        <v>0</v>
      </c>
      <c r="L550" s="7">
        <v>0.2</v>
      </c>
      <c r="M550" s="7">
        <v>27.8</v>
      </c>
      <c r="N550">
        <v>207</v>
      </c>
      <c r="O550" s="15">
        <v>185</v>
      </c>
      <c r="P550" s="8">
        <v>0.63571428571428568</v>
      </c>
      <c r="Q550">
        <v>222</v>
      </c>
      <c r="R550" s="15">
        <v>200</v>
      </c>
      <c r="S550" s="8">
        <v>0.73599999999999999</v>
      </c>
      <c r="T550">
        <v>162</v>
      </c>
      <c r="U550" s="15">
        <v>152</v>
      </c>
      <c r="V550" s="8">
        <v>0.85882352941176465</v>
      </c>
      <c r="W550">
        <f t="shared" si="8"/>
        <v>591</v>
      </c>
    </row>
    <row r="551" spans="1:23">
      <c r="A551" s="6">
        <v>45476</v>
      </c>
      <c r="B551" t="s">
        <v>64</v>
      </c>
      <c r="C551">
        <v>2</v>
      </c>
      <c r="D551">
        <v>7</v>
      </c>
      <c r="E551">
        <v>0</v>
      </c>
      <c r="F551">
        <v>0</v>
      </c>
      <c r="H551">
        <v>1</v>
      </c>
      <c r="I551">
        <v>0</v>
      </c>
      <c r="J551">
        <v>0</v>
      </c>
      <c r="K551">
        <v>0</v>
      </c>
      <c r="L551" s="7">
        <v>5.4</v>
      </c>
      <c r="M551" s="7">
        <v>27.5</v>
      </c>
      <c r="N551">
        <v>238</v>
      </c>
      <c r="O551" s="15">
        <v>207</v>
      </c>
      <c r="P551" s="8">
        <v>0.72142857142857142</v>
      </c>
      <c r="Q551">
        <v>226</v>
      </c>
      <c r="R551" s="15">
        <v>187</v>
      </c>
      <c r="S551" s="8">
        <v>0.74399999999999999</v>
      </c>
      <c r="T551">
        <v>157</v>
      </c>
      <c r="U551" s="15">
        <v>137</v>
      </c>
      <c r="V551" s="8">
        <v>0.81176470588235294</v>
      </c>
      <c r="W551">
        <f t="shared" si="8"/>
        <v>621</v>
      </c>
    </row>
    <row r="552" spans="1:23">
      <c r="A552" s="6">
        <v>45477</v>
      </c>
      <c r="B552" t="s">
        <v>65</v>
      </c>
      <c r="C552">
        <v>3</v>
      </c>
      <c r="D552">
        <v>7</v>
      </c>
      <c r="E552">
        <v>0</v>
      </c>
      <c r="F552">
        <v>0</v>
      </c>
      <c r="H552">
        <v>1</v>
      </c>
      <c r="I552">
        <v>0</v>
      </c>
      <c r="J552">
        <v>0</v>
      </c>
      <c r="K552">
        <v>0</v>
      </c>
      <c r="L552" s="7">
        <v>13</v>
      </c>
      <c r="M552" s="7">
        <v>29</v>
      </c>
      <c r="N552">
        <v>203</v>
      </c>
      <c r="O552" s="15">
        <v>191</v>
      </c>
      <c r="P552" s="8">
        <v>0.61428571428571432</v>
      </c>
      <c r="Q552">
        <v>209</v>
      </c>
      <c r="R552" s="15">
        <v>178</v>
      </c>
      <c r="S552" s="8">
        <v>0.68799999999999994</v>
      </c>
      <c r="T552">
        <v>155</v>
      </c>
      <c r="U552" s="15">
        <v>128</v>
      </c>
      <c r="V552" s="8">
        <v>0.84705882352941175</v>
      </c>
      <c r="W552">
        <f t="shared" si="8"/>
        <v>567</v>
      </c>
    </row>
    <row r="553" spans="1:23">
      <c r="A553" s="6">
        <v>45478</v>
      </c>
      <c r="B553" t="s">
        <v>66</v>
      </c>
      <c r="C553">
        <v>4</v>
      </c>
      <c r="D553">
        <v>7</v>
      </c>
      <c r="E553">
        <v>0</v>
      </c>
      <c r="F553">
        <v>0</v>
      </c>
      <c r="H553">
        <v>1</v>
      </c>
      <c r="I553">
        <v>0</v>
      </c>
      <c r="J553">
        <v>0</v>
      </c>
      <c r="K553">
        <v>0</v>
      </c>
      <c r="L553" s="7">
        <v>0</v>
      </c>
      <c r="M553" s="7">
        <v>28.4</v>
      </c>
      <c r="N553">
        <v>211</v>
      </c>
      <c r="O553" s="15">
        <v>187</v>
      </c>
      <c r="P553" s="8">
        <v>0.65</v>
      </c>
      <c r="Q553">
        <v>236</v>
      </c>
      <c r="R553" s="15">
        <v>204</v>
      </c>
      <c r="S553" s="8">
        <v>0.79200000000000004</v>
      </c>
      <c r="T553">
        <v>162</v>
      </c>
      <c r="U553" s="15">
        <v>142</v>
      </c>
      <c r="V553" s="8">
        <v>0.87058823529411766</v>
      </c>
      <c r="W553">
        <f t="shared" si="8"/>
        <v>609</v>
      </c>
    </row>
    <row r="554" spans="1:23">
      <c r="A554" s="6">
        <v>45479</v>
      </c>
      <c r="B554" t="s">
        <v>67</v>
      </c>
      <c r="C554">
        <v>5</v>
      </c>
      <c r="D554">
        <v>7</v>
      </c>
      <c r="E554">
        <v>1</v>
      </c>
      <c r="F554">
        <v>0</v>
      </c>
      <c r="H554">
        <v>1</v>
      </c>
      <c r="I554">
        <v>0</v>
      </c>
      <c r="J554">
        <v>0</v>
      </c>
      <c r="K554">
        <v>0</v>
      </c>
      <c r="L554" s="7">
        <v>21.9</v>
      </c>
      <c r="M554" s="7">
        <v>28.2</v>
      </c>
      <c r="N554">
        <v>255</v>
      </c>
      <c r="O554" s="15">
        <v>223</v>
      </c>
      <c r="P554" s="8">
        <v>0.77857142857142858</v>
      </c>
      <c r="Q554">
        <v>250</v>
      </c>
      <c r="R554" s="15">
        <v>212</v>
      </c>
      <c r="S554" s="8">
        <v>0.80800000000000005</v>
      </c>
      <c r="T554">
        <v>175</v>
      </c>
      <c r="U554" s="15">
        <v>160</v>
      </c>
      <c r="V554" s="8">
        <v>0.94117647058823528</v>
      </c>
      <c r="W554">
        <f t="shared" si="8"/>
        <v>680</v>
      </c>
    </row>
    <row r="555" spans="1:23">
      <c r="A555" s="6">
        <v>45480</v>
      </c>
      <c r="B555" t="s">
        <v>60</v>
      </c>
      <c r="C555">
        <v>6</v>
      </c>
      <c r="D555">
        <v>7</v>
      </c>
      <c r="E555">
        <v>1</v>
      </c>
      <c r="F555">
        <v>0</v>
      </c>
      <c r="H555">
        <v>1</v>
      </c>
      <c r="I555">
        <v>0</v>
      </c>
      <c r="J555">
        <v>0</v>
      </c>
      <c r="K555">
        <v>0</v>
      </c>
      <c r="L555" s="7">
        <v>1.5</v>
      </c>
      <c r="M555" s="7">
        <v>28.3</v>
      </c>
      <c r="N555">
        <v>221</v>
      </c>
      <c r="O555" s="15">
        <v>182</v>
      </c>
      <c r="P555" s="8">
        <v>0.69285714285714284</v>
      </c>
      <c r="Q555">
        <v>259</v>
      </c>
      <c r="R555" s="15">
        <v>243</v>
      </c>
      <c r="S555" s="8">
        <v>0.872</v>
      </c>
      <c r="T555">
        <v>180</v>
      </c>
      <c r="U555" s="15">
        <v>158</v>
      </c>
      <c r="V555" s="8">
        <v>0.91764705882352937</v>
      </c>
      <c r="W555">
        <f t="shared" si="8"/>
        <v>660</v>
      </c>
    </row>
    <row r="556" spans="1:23">
      <c r="A556" s="6">
        <v>45481</v>
      </c>
      <c r="B556" t="s">
        <v>62</v>
      </c>
      <c r="C556">
        <v>0</v>
      </c>
      <c r="D556">
        <v>7</v>
      </c>
      <c r="E556">
        <v>0</v>
      </c>
      <c r="F556">
        <v>0</v>
      </c>
      <c r="H556">
        <v>1</v>
      </c>
      <c r="I556">
        <v>0</v>
      </c>
      <c r="J556">
        <v>0</v>
      </c>
      <c r="K556">
        <v>0</v>
      </c>
      <c r="L556" s="7">
        <v>0</v>
      </c>
      <c r="M556" s="7">
        <v>28.6</v>
      </c>
      <c r="N556">
        <v>245</v>
      </c>
      <c r="O556" s="15">
        <v>222</v>
      </c>
      <c r="P556" s="8">
        <v>0.75</v>
      </c>
      <c r="Q556">
        <v>218</v>
      </c>
      <c r="R556" s="15">
        <v>178</v>
      </c>
      <c r="S556" s="8">
        <v>0.72799999999999998</v>
      </c>
      <c r="T556">
        <v>160</v>
      </c>
      <c r="U556" s="15">
        <v>135</v>
      </c>
      <c r="V556" s="8">
        <v>0.83529411764705885</v>
      </c>
      <c r="W556">
        <f t="shared" si="8"/>
        <v>623</v>
      </c>
    </row>
    <row r="557" spans="1:23">
      <c r="A557" s="6">
        <v>45482</v>
      </c>
      <c r="B557" t="s">
        <v>63</v>
      </c>
      <c r="C557">
        <v>1</v>
      </c>
      <c r="D557">
        <v>7</v>
      </c>
      <c r="E557">
        <v>0</v>
      </c>
      <c r="F557">
        <v>0</v>
      </c>
      <c r="H557">
        <v>1</v>
      </c>
      <c r="I557">
        <v>0</v>
      </c>
      <c r="J557">
        <v>0</v>
      </c>
      <c r="K557">
        <v>0</v>
      </c>
      <c r="L557" s="7">
        <v>17.600000000000001</v>
      </c>
      <c r="M557" s="7">
        <v>28</v>
      </c>
      <c r="N557">
        <v>207</v>
      </c>
      <c r="O557" s="15">
        <v>189</v>
      </c>
      <c r="P557" s="8">
        <v>0.63571428571428568</v>
      </c>
      <c r="Q557">
        <v>230</v>
      </c>
      <c r="R557" s="15">
        <v>196</v>
      </c>
      <c r="S557" s="8">
        <v>0.76800000000000002</v>
      </c>
      <c r="T557">
        <v>150</v>
      </c>
      <c r="U557" s="15">
        <v>137</v>
      </c>
      <c r="V557" s="8">
        <v>0.78823529411764703</v>
      </c>
      <c r="W557">
        <f t="shared" si="8"/>
        <v>587</v>
      </c>
    </row>
    <row r="558" spans="1:23">
      <c r="A558" s="6">
        <v>45483</v>
      </c>
      <c r="B558" t="s">
        <v>64</v>
      </c>
      <c r="C558">
        <v>2</v>
      </c>
      <c r="D558">
        <v>7</v>
      </c>
      <c r="E558">
        <v>0</v>
      </c>
      <c r="F558">
        <v>0</v>
      </c>
      <c r="H558">
        <v>1</v>
      </c>
      <c r="I558">
        <v>0</v>
      </c>
      <c r="J558">
        <v>0</v>
      </c>
      <c r="K558">
        <v>0</v>
      </c>
      <c r="L558" s="7">
        <v>15.6</v>
      </c>
      <c r="M558" s="7">
        <v>28.3</v>
      </c>
      <c r="N558">
        <v>225</v>
      </c>
      <c r="O558" s="15">
        <v>202</v>
      </c>
      <c r="P558" s="8">
        <v>0.7</v>
      </c>
      <c r="Q558">
        <v>217</v>
      </c>
      <c r="R558" s="15">
        <v>188</v>
      </c>
      <c r="S558" s="8">
        <v>0.72799999999999998</v>
      </c>
      <c r="T558">
        <v>158</v>
      </c>
      <c r="U558" s="15">
        <v>130</v>
      </c>
      <c r="V558" s="8">
        <v>0.83529411764705885</v>
      </c>
      <c r="W558">
        <f t="shared" si="8"/>
        <v>600</v>
      </c>
    </row>
    <row r="559" spans="1:23">
      <c r="A559" s="6">
        <v>45484</v>
      </c>
      <c r="B559" t="s">
        <v>65</v>
      </c>
      <c r="C559">
        <v>3</v>
      </c>
      <c r="D559">
        <v>7</v>
      </c>
      <c r="E559">
        <v>0</v>
      </c>
      <c r="F559">
        <v>0</v>
      </c>
      <c r="H559">
        <v>1</v>
      </c>
      <c r="I559">
        <v>0</v>
      </c>
      <c r="J559">
        <v>0</v>
      </c>
      <c r="K559">
        <v>0</v>
      </c>
      <c r="L559" s="7">
        <v>9.1999999999999993</v>
      </c>
      <c r="M559" s="7">
        <v>30.4</v>
      </c>
      <c r="N559">
        <v>210</v>
      </c>
      <c r="O559" s="15">
        <v>196</v>
      </c>
      <c r="P559" s="8">
        <v>0.65</v>
      </c>
      <c r="Q559">
        <v>213</v>
      </c>
      <c r="R559" s="15">
        <v>176</v>
      </c>
      <c r="S559" s="8">
        <v>0.69599999999999995</v>
      </c>
      <c r="T559">
        <v>162</v>
      </c>
      <c r="U559" s="15">
        <v>138</v>
      </c>
      <c r="V559" s="8">
        <v>0.84705882352941175</v>
      </c>
      <c r="W559">
        <f t="shared" si="8"/>
        <v>585</v>
      </c>
    </row>
    <row r="560" spans="1:23">
      <c r="A560" s="6">
        <v>45485</v>
      </c>
      <c r="B560" t="s">
        <v>66</v>
      </c>
      <c r="C560">
        <v>4</v>
      </c>
      <c r="D560">
        <v>7</v>
      </c>
      <c r="E560">
        <v>0</v>
      </c>
      <c r="F560">
        <v>0</v>
      </c>
      <c r="H560">
        <v>1</v>
      </c>
      <c r="I560">
        <v>0</v>
      </c>
      <c r="J560">
        <v>0</v>
      </c>
      <c r="K560">
        <v>0</v>
      </c>
      <c r="L560" s="7">
        <v>3.5</v>
      </c>
      <c r="M560" s="7">
        <v>28.4</v>
      </c>
      <c r="N560">
        <v>225</v>
      </c>
      <c r="O560" s="15">
        <v>190</v>
      </c>
      <c r="P560" s="8">
        <v>0.67142857142857137</v>
      </c>
      <c r="Q560">
        <v>234</v>
      </c>
      <c r="R560" s="15">
        <v>198</v>
      </c>
      <c r="S560" s="8">
        <v>0.78400000000000003</v>
      </c>
      <c r="T560">
        <v>145</v>
      </c>
      <c r="U560" s="15">
        <v>124</v>
      </c>
      <c r="V560" s="8">
        <v>0.78823529411764703</v>
      </c>
      <c r="W560">
        <f t="shared" si="8"/>
        <v>604</v>
      </c>
    </row>
    <row r="561" spans="1:23">
      <c r="A561" s="6">
        <v>45486</v>
      </c>
      <c r="B561" t="s">
        <v>67</v>
      </c>
      <c r="C561">
        <v>5</v>
      </c>
      <c r="D561">
        <v>7</v>
      </c>
      <c r="E561">
        <v>1</v>
      </c>
      <c r="F561">
        <v>0</v>
      </c>
      <c r="H561">
        <v>1</v>
      </c>
      <c r="I561">
        <v>0</v>
      </c>
      <c r="J561">
        <v>0</v>
      </c>
      <c r="K561">
        <v>0</v>
      </c>
      <c r="L561" s="7">
        <v>13.9</v>
      </c>
      <c r="M561" s="7">
        <v>29.1</v>
      </c>
      <c r="N561">
        <v>265</v>
      </c>
      <c r="O561" s="15">
        <v>217</v>
      </c>
      <c r="P561" s="8">
        <v>0.8214285714285714</v>
      </c>
      <c r="Q561">
        <v>245</v>
      </c>
      <c r="R561" s="15">
        <v>215</v>
      </c>
      <c r="S561" s="8">
        <v>0.81599999999999995</v>
      </c>
      <c r="T561">
        <v>188</v>
      </c>
      <c r="U561" s="15">
        <v>176</v>
      </c>
      <c r="V561" s="8">
        <v>0.94117647058823528</v>
      </c>
      <c r="W561">
        <f t="shared" si="8"/>
        <v>698</v>
      </c>
    </row>
    <row r="562" spans="1:23">
      <c r="A562" s="6">
        <v>45487</v>
      </c>
      <c r="B562" t="s">
        <v>60</v>
      </c>
      <c r="C562">
        <v>6</v>
      </c>
      <c r="D562">
        <v>7</v>
      </c>
      <c r="E562">
        <v>1</v>
      </c>
      <c r="F562">
        <v>0</v>
      </c>
      <c r="H562">
        <v>1</v>
      </c>
      <c r="I562">
        <v>0</v>
      </c>
      <c r="J562">
        <v>0</v>
      </c>
      <c r="K562">
        <v>0</v>
      </c>
      <c r="L562" s="7">
        <v>7.9</v>
      </c>
      <c r="M562" s="7">
        <v>27.2</v>
      </c>
      <c r="N562">
        <v>256</v>
      </c>
      <c r="O562" s="15">
        <v>235</v>
      </c>
      <c r="P562" s="8">
        <v>0.77142857142857146</v>
      </c>
      <c r="Q562">
        <v>251</v>
      </c>
      <c r="R562" s="15">
        <v>232</v>
      </c>
      <c r="S562" s="8">
        <v>0.83199999999999996</v>
      </c>
      <c r="T562">
        <v>187</v>
      </c>
      <c r="U562" s="15">
        <v>161</v>
      </c>
      <c r="V562" s="8">
        <v>0.96470588235294119</v>
      </c>
      <c r="W562">
        <f t="shared" si="8"/>
        <v>694</v>
      </c>
    </row>
    <row r="563" spans="1:23">
      <c r="A563" s="6">
        <v>45488</v>
      </c>
      <c r="B563" t="s">
        <v>62</v>
      </c>
      <c r="C563">
        <v>0</v>
      </c>
      <c r="D563">
        <v>7</v>
      </c>
      <c r="E563">
        <v>0</v>
      </c>
      <c r="F563">
        <v>0</v>
      </c>
      <c r="H563">
        <v>1</v>
      </c>
      <c r="I563">
        <v>0</v>
      </c>
      <c r="J563">
        <v>0</v>
      </c>
      <c r="K563">
        <v>1</v>
      </c>
      <c r="L563" s="7">
        <v>10.5</v>
      </c>
      <c r="M563" s="7">
        <v>27.6</v>
      </c>
      <c r="N563">
        <v>273</v>
      </c>
      <c r="O563" s="15">
        <v>238</v>
      </c>
      <c r="P563" s="8">
        <v>0.85</v>
      </c>
      <c r="Q563">
        <v>261</v>
      </c>
      <c r="R563" s="15">
        <v>241</v>
      </c>
      <c r="S563" s="8">
        <v>0.84799999999999998</v>
      </c>
      <c r="T563">
        <v>174</v>
      </c>
      <c r="U563" s="15">
        <v>158</v>
      </c>
      <c r="V563" s="8">
        <v>0.90588235294117647</v>
      </c>
      <c r="W563">
        <f t="shared" si="8"/>
        <v>708</v>
      </c>
    </row>
    <row r="564" spans="1:23">
      <c r="A564" s="6">
        <v>45489</v>
      </c>
      <c r="B564" t="s">
        <v>63</v>
      </c>
      <c r="C564">
        <v>1</v>
      </c>
      <c r="D564">
        <v>7</v>
      </c>
      <c r="E564">
        <v>0</v>
      </c>
      <c r="F564">
        <v>0</v>
      </c>
      <c r="H564">
        <v>1</v>
      </c>
      <c r="I564">
        <v>0</v>
      </c>
      <c r="J564">
        <v>0</v>
      </c>
      <c r="K564">
        <v>1</v>
      </c>
      <c r="L564" s="7">
        <v>15.1</v>
      </c>
      <c r="M564" s="7">
        <v>29.6</v>
      </c>
      <c r="N564">
        <v>251</v>
      </c>
      <c r="O564" s="15">
        <v>231</v>
      </c>
      <c r="P564" s="8">
        <v>0.77857142857142858</v>
      </c>
      <c r="Q564">
        <v>235</v>
      </c>
      <c r="R564" s="15">
        <v>206</v>
      </c>
      <c r="S564" s="8">
        <v>0.78400000000000003</v>
      </c>
      <c r="T564">
        <v>178</v>
      </c>
      <c r="U564" s="15">
        <v>159</v>
      </c>
      <c r="V564" s="8">
        <v>0.92941176470588238</v>
      </c>
      <c r="W564">
        <f t="shared" si="8"/>
        <v>664</v>
      </c>
    </row>
    <row r="565" spans="1:23">
      <c r="A565" s="6">
        <v>45490</v>
      </c>
      <c r="B565" t="s">
        <v>64</v>
      </c>
      <c r="C565">
        <v>2</v>
      </c>
      <c r="D565">
        <v>7</v>
      </c>
      <c r="E565">
        <v>0</v>
      </c>
      <c r="F565">
        <v>0</v>
      </c>
      <c r="H565">
        <v>1</v>
      </c>
      <c r="I565">
        <v>0</v>
      </c>
      <c r="J565">
        <v>0</v>
      </c>
      <c r="K565">
        <v>0</v>
      </c>
      <c r="L565" s="7">
        <v>18.3</v>
      </c>
      <c r="M565" s="7">
        <v>27.5</v>
      </c>
      <c r="N565">
        <v>239</v>
      </c>
      <c r="O565" s="15">
        <v>208</v>
      </c>
      <c r="P565" s="8">
        <v>0.70714285714285718</v>
      </c>
      <c r="Q565">
        <v>206</v>
      </c>
      <c r="R565" s="15">
        <v>177</v>
      </c>
      <c r="S565" s="8">
        <v>0.71199999999999997</v>
      </c>
      <c r="T565">
        <v>158</v>
      </c>
      <c r="U565" s="15">
        <v>134</v>
      </c>
      <c r="V565" s="8">
        <v>0.82352941176470584</v>
      </c>
      <c r="W565">
        <f t="shared" si="8"/>
        <v>603</v>
      </c>
    </row>
    <row r="566" spans="1:23">
      <c r="A566" s="6">
        <v>45491</v>
      </c>
      <c r="B566" t="s">
        <v>65</v>
      </c>
      <c r="C566">
        <v>3</v>
      </c>
      <c r="D566">
        <v>7</v>
      </c>
      <c r="E566">
        <v>0</v>
      </c>
      <c r="F566">
        <v>0</v>
      </c>
      <c r="H566">
        <v>1</v>
      </c>
      <c r="I566">
        <v>0</v>
      </c>
      <c r="J566">
        <v>0</v>
      </c>
      <c r="K566">
        <v>0</v>
      </c>
      <c r="L566" s="7">
        <v>3.4</v>
      </c>
      <c r="M566" s="7">
        <v>29.6</v>
      </c>
      <c r="N566">
        <v>227</v>
      </c>
      <c r="O566" s="15">
        <v>212</v>
      </c>
      <c r="P566" s="8">
        <v>0.7</v>
      </c>
      <c r="Q566">
        <v>240</v>
      </c>
      <c r="R566" s="15">
        <v>194</v>
      </c>
      <c r="S566" s="8">
        <v>0.8</v>
      </c>
      <c r="T566">
        <v>167</v>
      </c>
      <c r="U566" s="15">
        <v>134</v>
      </c>
      <c r="V566" s="8">
        <v>0.84705882352941175</v>
      </c>
      <c r="W566">
        <f t="shared" si="8"/>
        <v>634</v>
      </c>
    </row>
    <row r="567" spans="1:23">
      <c r="A567" s="6">
        <v>45492</v>
      </c>
      <c r="B567" t="s">
        <v>66</v>
      </c>
      <c r="C567">
        <v>4</v>
      </c>
      <c r="D567">
        <v>7</v>
      </c>
      <c r="E567">
        <v>0</v>
      </c>
      <c r="F567">
        <v>0</v>
      </c>
      <c r="H567">
        <v>1</v>
      </c>
      <c r="I567">
        <v>0</v>
      </c>
      <c r="J567">
        <v>0</v>
      </c>
      <c r="K567">
        <v>0</v>
      </c>
      <c r="L567" s="7">
        <v>1.6</v>
      </c>
      <c r="M567" s="7">
        <v>28.6</v>
      </c>
      <c r="N567">
        <v>216</v>
      </c>
      <c r="O567" s="15">
        <v>189</v>
      </c>
      <c r="P567" s="8">
        <v>0.67142857142857137</v>
      </c>
      <c r="Q567">
        <v>234</v>
      </c>
      <c r="R567" s="15">
        <v>197</v>
      </c>
      <c r="S567" s="8">
        <v>0.78400000000000003</v>
      </c>
      <c r="T567">
        <v>163</v>
      </c>
      <c r="U567" s="15">
        <v>133</v>
      </c>
      <c r="V567" s="8">
        <v>0.87058823529411766</v>
      </c>
      <c r="W567">
        <f t="shared" si="8"/>
        <v>613</v>
      </c>
    </row>
    <row r="568" spans="1:23">
      <c r="A568" s="6">
        <v>45493</v>
      </c>
      <c r="B568" t="s">
        <v>67</v>
      </c>
      <c r="C568">
        <v>5</v>
      </c>
      <c r="D568">
        <v>7</v>
      </c>
      <c r="E568">
        <v>1</v>
      </c>
      <c r="F568">
        <v>0</v>
      </c>
      <c r="H568">
        <v>1</v>
      </c>
      <c r="I568">
        <v>0</v>
      </c>
      <c r="J568">
        <v>0</v>
      </c>
      <c r="K568">
        <v>0</v>
      </c>
      <c r="L568" s="7">
        <v>11.8</v>
      </c>
      <c r="M568" s="7">
        <v>29.3</v>
      </c>
      <c r="N568">
        <v>249</v>
      </c>
      <c r="O568" s="15">
        <v>212</v>
      </c>
      <c r="P568" s="8">
        <v>0.75</v>
      </c>
      <c r="Q568">
        <v>249</v>
      </c>
      <c r="R568" s="15">
        <v>223</v>
      </c>
      <c r="S568" s="8">
        <v>0.84799999999999998</v>
      </c>
      <c r="T568">
        <v>193</v>
      </c>
      <c r="U568" s="15">
        <v>168</v>
      </c>
      <c r="V568" s="8">
        <v>0.96470588235294119</v>
      </c>
      <c r="W568">
        <f t="shared" si="8"/>
        <v>691</v>
      </c>
    </row>
    <row r="569" spans="1:23">
      <c r="A569" s="6">
        <v>45494</v>
      </c>
      <c r="B569" t="s">
        <v>60</v>
      </c>
      <c r="C569">
        <v>6</v>
      </c>
      <c r="D569">
        <v>7</v>
      </c>
      <c r="E569">
        <v>1</v>
      </c>
      <c r="F569">
        <v>0</v>
      </c>
      <c r="H569">
        <v>1</v>
      </c>
      <c r="I569">
        <v>0</v>
      </c>
      <c r="J569">
        <v>0</v>
      </c>
      <c r="K569">
        <v>0</v>
      </c>
      <c r="L569" s="7">
        <v>3.4</v>
      </c>
      <c r="M569" s="7">
        <v>28.3</v>
      </c>
      <c r="N569">
        <v>249</v>
      </c>
      <c r="O569" s="15">
        <v>229</v>
      </c>
      <c r="P569" s="8">
        <v>0.75</v>
      </c>
      <c r="Q569">
        <v>263</v>
      </c>
      <c r="R569" s="15">
        <v>242</v>
      </c>
      <c r="S569" s="8">
        <v>0.86399999999999999</v>
      </c>
      <c r="T569">
        <v>178</v>
      </c>
      <c r="U569" s="15">
        <v>150</v>
      </c>
      <c r="V569" s="8">
        <v>0.94117647058823528</v>
      </c>
      <c r="W569">
        <f t="shared" si="8"/>
        <v>690</v>
      </c>
    </row>
    <row r="570" spans="1:23">
      <c r="A570" s="6">
        <v>45495</v>
      </c>
      <c r="B570" t="s">
        <v>62</v>
      </c>
      <c r="C570">
        <v>0</v>
      </c>
      <c r="D570">
        <v>7</v>
      </c>
      <c r="E570">
        <v>0</v>
      </c>
      <c r="F570">
        <v>0</v>
      </c>
      <c r="H570">
        <v>1</v>
      </c>
      <c r="I570">
        <v>0</v>
      </c>
      <c r="J570">
        <v>0</v>
      </c>
      <c r="K570">
        <v>1</v>
      </c>
      <c r="L570" s="7">
        <v>3.8</v>
      </c>
      <c r="M570" s="7">
        <v>28.8</v>
      </c>
      <c r="N570">
        <v>253</v>
      </c>
      <c r="O570" s="15">
        <v>218</v>
      </c>
      <c r="P570" s="8">
        <v>0.76428571428571423</v>
      </c>
      <c r="Q570">
        <v>251</v>
      </c>
      <c r="R570" s="15">
        <v>208</v>
      </c>
      <c r="S570" s="8">
        <v>0.84799999999999998</v>
      </c>
      <c r="T570">
        <v>183</v>
      </c>
      <c r="U570" s="15">
        <v>169</v>
      </c>
      <c r="V570" s="8">
        <v>0.94117647058823528</v>
      </c>
      <c r="W570">
        <f t="shared" si="8"/>
        <v>687</v>
      </c>
    </row>
    <row r="571" spans="1:23">
      <c r="A571" s="6">
        <v>45496</v>
      </c>
      <c r="B571" t="s">
        <v>63</v>
      </c>
      <c r="C571">
        <v>1</v>
      </c>
      <c r="D571">
        <v>7</v>
      </c>
      <c r="E571">
        <v>0</v>
      </c>
      <c r="F571">
        <v>0</v>
      </c>
      <c r="H571">
        <v>1</v>
      </c>
      <c r="I571">
        <v>0</v>
      </c>
      <c r="J571">
        <v>0</v>
      </c>
      <c r="K571">
        <v>1</v>
      </c>
      <c r="L571" s="7">
        <v>7.4</v>
      </c>
      <c r="M571" s="7">
        <v>28.7</v>
      </c>
      <c r="N571">
        <v>256</v>
      </c>
      <c r="O571" s="15">
        <v>207</v>
      </c>
      <c r="P571" s="8">
        <v>0.77142857142857146</v>
      </c>
      <c r="Q571">
        <v>232</v>
      </c>
      <c r="R571" s="15">
        <v>200</v>
      </c>
      <c r="S571" s="8">
        <v>0.80800000000000005</v>
      </c>
      <c r="T571">
        <v>172</v>
      </c>
      <c r="U571" s="15">
        <v>143</v>
      </c>
      <c r="V571" s="8">
        <v>0.90588235294117647</v>
      </c>
      <c r="W571">
        <f t="shared" si="8"/>
        <v>660</v>
      </c>
    </row>
    <row r="572" spans="1:23">
      <c r="A572" s="6">
        <v>45497</v>
      </c>
      <c r="B572" t="s">
        <v>64</v>
      </c>
      <c r="C572">
        <v>2</v>
      </c>
      <c r="D572">
        <v>7</v>
      </c>
      <c r="E572">
        <v>0</v>
      </c>
      <c r="F572">
        <v>0</v>
      </c>
      <c r="H572">
        <v>1</v>
      </c>
      <c r="I572">
        <v>0</v>
      </c>
      <c r="J572">
        <v>0</v>
      </c>
      <c r="K572">
        <v>0</v>
      </c>
      <c r="L572" s="7">
        <v>2.8</v>
      </c>
      <c r="M572" s="7">
        <v>28.7</v>
      </c>
      <c r="N572">
        <v>249</v>
      </c>
      <c r="O572" s="15">
        <v>220</v>
      </c>
      <c r="P572" s="8">
        <v>0.72857142857142854</v>
      </c>
      <c r="Q572">
        <v>244</v>
      </c>
      <c r="R572" s="15">
        <v>222</v>
      </c>
      <c r="S572" s="8">
        <v>0.80800000000000005</v>
      </c>
      <c r="T572">
        <v>166</v>
      </c>
      <c r="U572" s="15">
        <v>146</v>
      </c>
      <c r="V572" s="8">
        <v>0.83529411764705885</v>
      </c>
      <c r="W572">
        <f t="shared" si="8"/>
        <v>659</v>
      </c>
    </row>
    <row r="573" spans="1:23">
      <c r="A573" s="6">
        <v>45498</v>
      </c>
      <c r="B573" t="s">
        <v>65</v>
      </c>
      <c r="C573">
        <v>3</v>
      </c>
      <c r="D573">
        <v>7</v>
      </c>
      <c r="E573">
        <v>0</v>
      </c>
      <c r="F573">
        <v>0</v>
      </c>
      <c r="H573">
        <v>1</v>
      </c>
      <c r="I573">
        <v>0</v>
      </c>
      <c r="J573">
        <v>0</v>
      </c>
      <c r="K573">
        <v>0</v>
      </c>
      <c r="L573" s="7">
        <v>8.1999999999999993</v>
      </c>
      <c r="M573" s="7">
        <v>28.9</v>
      </c>
      <c r="N573">
        <v>236</v>
      </c>
      <c r="O573" s="15">
        <v>199</v>
      </c>
      <c r="P573" s="8">
        <v>0.70714285714285718</v>
      </c>
      <c r="Q573">
        <v>217</v>
      </c>
      <c r="R573" s="15">
        <v>187</v>
      </c>
      <c r="S573" s="8">
        <v>0.71199999999999997</v>
      </c>
      <c r="T573">
        <v>162</v>
      </c>
      <c r="U573" s="15">
        <v>139</v>
      </c>
      <c r="V573" s="8">
        <v>0.82352941176470584</v>
      </c>
      <c r="W573">
        <f t="shared" si="8"/>
        <v>615</v>
      </c>
    </row>
    <row r="574" spans="1:23">
      <c r="A574" s="6">
        <v>45499</v>
      </c>
      <c r="B574" t="s">
        <v>66</v>
      </c>
      <c r="C574">
        <v>4</v>
      </c>
      <c r="D574">
        <v>7</v>
      </c>
      <c r="E574">
        <v>0</v>
      </c>
      <c r="F574">
        <v>0</v>
      </c>
      <c r="H574">
        <v>1</v>
      </c>
      <c r="I574">
        <v>0</v>
      </c>
      <c r="J574">
        <v>0</v>
      </c>
      <c r="K574">
        <v>0</v>
      </c>
      <c r="L574" s="7">
        <v>2.8</v>
      </c>
      <c r="M574" s="7">
        <v>29.4</v>
      </c>
      <c r="N574">
        <v>207</v>
      </c>
      <c r="O574" s="15">
        <v>178</v>
      </c>
      <c r="P574" s="8">
        <v>0.63571428571428568</v>
      </c>
      <c r="Q574">
        <v>233</v>
      </c>
      <c r="R574" s="15">
        <v>206</v>
      </c>
      <c r="S574" s="8">
        <v>0.77600000000000002</v>
      </c>
      <c r="T574">
        <v>170</v>
      </c>
      <c r="U574" s="15">
        <v>146</v>
      </c>
      <c r="V574" s="8">
        <v>0.85882352941176465</v>
      </c>
      <c r="W574">
        <f t="shared" si="8"/>
        <v>610</v>
      </c>
    </row>
    <row r="575" spans="1:23">
      <c r="A575" s="6">
        <v>45500</v>
      </c>
      <c r="B575" t="s">
        <v>67</v>
      </c>
      <c r="C575">
        <v>5</v>
      </c>
      <c r="D575">
        <v>7</v>
      </c>
      <c r="E575">
        <v>1</v>
      </c>
      <c r="F575">
        <v>0</v>
      </c>
      <c r="H575">
        <v>1</v>
      </c>
      <c r="I575">
        <v>0</v>
      </c>
      <c r="J575">
        <v>0</v>
      </c>
      <c r="K575">
        <v>0</v>
      </c>
      <c r="L575" s="7">
        <v>13</v>
      </c>
      <c r="M575" s="7">
        <v>28.7</v>
      </c>
      <c r="N575">
        <v>225</v>
      </c>
      <c r="O575" s="15">
        <v>199</v>
      </c>
      <c r="P575" s="8">
        <v>0.7</v>
      </c>
      <c r="Q575">
        <v>242</v>
      </c>
      <c r="R575" s="15">
        <v>224</v>
      </c>
      <c r="S575" s="8">
        <v>0.79200000000000004</v>
      </c>
      <c r="T575">
        <v>162</v>
      </c>
      <c r="U575" s="15">
        <v>142</v>
      </c>
      <c r="V575" s="8">
        <v>0.88235294117647056</v>
      </c>
      <c r="W575">
        <f t="shared" si="8"/>
        <v>629</v>
      </c>
    </row>
    <row r="576" spans="1:23">
      <c r="A576" s="6">
        <v>45501</v>
      </c>
      <c r="B576" t="s">
        <v>60</v>
      </c>
      <c r="C576">
        <v>6</v>
      </c>
      <c r="D576">
        <v>7</v>
      </c>
      <c r="E576">
        <v>1</v>
      </c>
      <c r="F576">
        <v>0</v>
      </c>
      <c r="H576">
        <v>1</v>
      </c>
      <c r="I576">
        <v>0</v>
      </c>
      <c r="J576">
        <v>0</v>
      </c>
      <c r="K576">
        <v>0</v>
      </c>
      <c r="L576" s="7">
        <v>4.2</v>
      </c>
      <c r="M576" s="7">
        <v>28.4</v>
      </c>
      <c r="N576">
        <v>240</v>
      </c>
      <c r="O576" s="15">
        <v>193</v>
      </c>
      <c r="P576" s="8">
        <v>0.73571428571428577</v>
      </c>
      <c r="Q576">
        <v>245</v>
      </c>
      <c r="R576" s="15">
        <v>204</v>
      </c>
      <c r="S576" s="8">
        <v>0.81599999999999995</v>
      </c>
      <c r="T576">
        <v>176</v>
      </c>
      <c r="U576" s="15">
        <v>160</v>
      </c>
      <c r="V576" s="8">
        <v>0.90588235294117647</v>
      </c>
      <c r="W576">
        <f t="shared" si="8"/>
        <v>661</v>
      </c>
    </row>
    <row r="577" spans="1:23">
      <c r="A577" s="6">
        <v>45502</v>
      </c>
      <c r="B577" t="s">
        <v>62</v>
      </c>
      <c r="C577">
        <v>0</v>
      </c>
      <c r="D577">
        <v>7</v>
      </c>
      <c r="E577">
        <v>0</v>
      </c>
      <c r="F577">
        <v>0</v>
      </c>
      <c r="H577">
        <v>1</v>
      </c>
      <c r="I577">
        <v>0</v>
      </c>
      <c r="J577">
        <v>0</v>
      </c>
      <c r="K577">
        <v>0</v>
      </c>
      <c r="L577" s="7">
        <v>5.3</v>
      </c>
      <c r="M577" s="7">
        <v>27.9</v>
      </c>
      <c r="N577">
        <v>223</v>
      </c>
      <c r="O577" s="15">
        <v>196</v>
      </c>
      <c r="P577" s="8">
        <v>0.6785714285714286</v>
      </c>
      <c r="Q577">
        <v>220</v>
      </c>
      <c r="R577" s="15">
        <v>194</v>
      </c>
      <c r="S577" s="8">
        <v>0.72799999999999998</v>
      </c>
      <c r="T577">
        <v>148</v>
      </c>
      <c r="U577" s="15">
        <v>132</v>
      </c>
      <c r="V577" s="8">
        <v>0.78823529411764703</v>
      </c>
      <c r="W577">
        <f t="shared" si="8"/>
        <v>591</v>
      </c>
    </row>
    <row r="578" spans="1:23">
      <c r="A578" s="6">
        <v>45503</v>
      </c>
      <c r="B578" t="s">
        <v>63</v>
      </c>
      <c r="C578">
        <v>1</v>
      </c>
      <c r="D578">
        <v>7</v>
      </c>
      <c r="E578">
        <v>0</v>
      </c>
      <c r="F578">
        <v>0</v>
      </c>
      <c r="H578">
        <v>1</v>
      </c>
      <c r="I578">
        <v>0</v>
      </c>
      <c r="J578">
        <v>0</v>
      </c>
      <c r="K578">
        <v>0</v>
      </c>
      <c r="L578" s="7">
        <v>3.2</v>
      </c>
      <c r="M578" s="7">
        <v>28.7</v>
      </c>
      <c r="N578">
        <v>214</v>
      </c>
      <c r="O578" s="15">
        <v>174</v>
      </c>
      <c r="P578" s="8">
        <v>0.65</v>
      </c>
      <c r="Q578">
        <v>235</v>
      </c>
      <c r="R578" s="15">
        <v>220</v>
      </c>
      <c r="S578" s="8">
        <v>0.77600000000000002</v>
      </c>
      <c r="T578">
        <v>156</v>
      </c>
      <c r="U578" s="15">
        <v>137</v>
      </c>
      <c r="V578" s="8">
        <v>0.83529411764705885</v>
      </c>
      <c r="W578">
        <f t="shared" ref="W578:W641" si="9">N578+Q578+T578</f>
        <v>605</v>
      </c>
    </row>
    <row r="579" spans="1:23">
      <c r="A579" s="6">
        <v>45504</v>
      </c>
      <c r="B579" t="s">
        <v>64</v>
      </c>
      <c r="C579">
        <v>2</v>
      </c>
      <c r="D579">
        <v>7</v>
      </c>
      <c r="E579">
        <v>0</v>
      </c>
      <c r="F579">
        <v>0</v>
      </c>
      <c r="H579">
        <v>1</v>
      </c>
      <c r="I579">
        <v>0</v>
      </c>
      <c r="J579">
        <v>0</v>
      </c>
      <c r="K579">
        <v>0</v>
      </c>
      <c r="L579" s="7">
        <v>4.4000000000000004</v>
      </c>
      <c r="M579" s="7">
        <v>26</v>
      </c>
      <c r="N579">
        <v>222</v>
      </c>
      <c r="O579" s="15">
        <v>204</v>
      </c>
      <c r="P579" s="8">
        <v>0.67142857142857137</v>
      </c>
      <c r="Q579">
        <v>212</v>
      </c>
      <c r="R579" s="15">
        <v>191</v>
      </c>
      <c r="S579" s="8">
        <v>0.72</v>
      </c>
      <c r="T579">
        <v>149</v>
      </c>
      <c r="U579" s="15">
        <v>130</v>
      </c>
      <c r="V579" s="8">
        <v>0.78823529411764703</v>
      </c>
      <c r="W579">
        <f t="shared" si="9"/>
        <v>583</v>
      </c>
    </row>
    <row r="580" spans="1:23">
      <c r="A580" s="6">
        <v>45505</v>
      </c>
      <c r="B580" t="s">
        <v>65</v>
      </c>
      <c r="C580">
        <v>3</v>
      </c>
      <c r="D580">
        <v>8</v>
      </c>
      <c r="E580">
        <v>0</v>
      </c>
      <c r="F580">
        <v>0</v>
      </c>
      <c r="H580">
        <v>0</v>
      </c>
      <c r="I580">
        <v>0</v>
      </c>
      <c r="J580">
        <v>0</v>
      </c>
      <c r="K580">
        <v>0</v>
      </c>
      <c r="L580" s="7">
        <v>2.6</v>
      </c>
      <c r="M580" s="7">
        <v>28.8</v>
      </c>
      <c r="N580">
        <v>201</v>
      </c>
      <c r="O580" s="15">
        <v>166</v>
      </c>
      <c r="P580" s="8">
        <v>0.62857142857142856</v>
      </c>
      <c r="Q580">
        <v>197</v>
      </c>
      <c r="R580" s="15">
        <v>159</v>
      </c>
      <c r="S580" s="8">
        <v>0.64800000000000002</v>
      </c>
      <c r="T580">
        <v>135</v>
      </c>
      <c r="U580" s="15">
        <v>111</v>
      </c>
      <c r="V580" s="8">
        <v>0.6705882352941176</v>
      </c>
      <c r="W580">
        <f t="shared" si="9"/>
        <v>533</v>
      </c>
    </row>
    <row r="581" spans="1:23">
      <c r="A581" s="6">
        <v>45506</v>
      </c>
      <c r="B581" t="s">
        <v>66</v>
      </c>
      <c r="C581">
        <v>4</v>
      </c>
      <c r="D581">
        <v>8</v>
      </c>
      <c r="E581">
        <v>0</v>
      </c>
      <c r="F581">
        <v>0</v>
      </c>
      <c r="H581">
        <v>0</v>
      </c>
      <c r="I581">
        <v>0</v>
      </c>
      <c r="J581">
        <v>0</v>
      </c>
      <c r="K581">
        <v>0</v>
      </c>
      <c r="L581" s="7">
        <v>6.2</v>
      </c>
      <c r="M581" s="7">
        <v>30.3</v>
      </c>
      <c r="N581">
        <v>213</v>
      </c>
      <c r="O581" s="15">
        <v>188</v>
      </c>
      <c r="P581" s="8">
        <v>0.65</v>
      </c>
      <c r="Q581">
        <v>170</v>
      </c>
      <c r="R581" s="15">
        <v>138</v>
      </c>
      <c r="S581" s="8">
        <v>0.53600000000000003</v>
      </c>
      <c r="T581">
        <v>137</v>
      </c>
      <c r="U581" s="15">
        <v>112</v>
      </c>
      <c r="V581" s="8">
        <v>0.68235294117647061</v>
      </c>
      <c r="W581">
        <f t="shared" si="9"/>
        <v>520</v>
      </c>
    </row>
    <row r="582" spans="1:23">
      <c r="A582" s="6">
        <v>45507</v>
      </c>
      <c r="B582" t="s">
        <v>67</v>
      </c>
      <c r="C582">
        <v>5</v>
      </c>
      <c r="D582">
        <v>8</v>
      </c>
      <c r="E582">
        <v>1</v>
      </c>
      <c r="F582">
        <v>0</v>
      </c>
      <c r="H582">
        <v>0</v>
      </c>
      <c r="I582">
        <v>0</v>
      </c>
      <c r="J582">
        <v>0</v>
      </c>
      <c r="K582">
        <v>0</v>
      </c>
      <c r="L582" s="7">
        <v>0</v>
      </c>
      <c r="M582" s="7">
        <v>29</v>
      </c>
      <c r="N582">
        <v>226</v>
      </c>
      <c r="O582" s="15">
        <v>187</v>
      </c>
      <c r="P582" s="8">
        <v>0.6785714285714286</v>
      </c>
      <c r="Q582">
        <v>197</v>
      </c>
      <c r="R582" s="15">
        <v>183</v>
      </c>
      <c r="S582" s="8">
        <v>0.65600000000000003</v>
      </c>
      <c r="T582">
        <v>156</v>
      </c>
      <c r="U582" s="15">
        <v>140</v>
      </c>
      <c r="V582" s="8">
        <v>0.8</v>
      </c>
      <c r="W582">
        <f t="shared" si="9"/>
        <v>579</v>
      </c>
    </row>
    <row r="583" spans="1:23">
      <c r="A583" s="6">
        <v>45508</v>
      </c>
      <c r="B583" t="s">
        <v>60</v>
      </c>
      <c r="C583">
        <v>6</v>
      </c>
      <c r="D583">
        <v>8</v>
      </c>
      <c r="E583">
        <v>1</v>
      </c>
      <c r="F583">
        <v>0</v>
      </c>
      <c r="H583">
        <v>0</v>
      </c>
      <c r="I583">
        <v>0</v>
      </c>
      <c r="J583">
        <v>0</v>
      </c>
      <c r="K583">
        <v>0</v>
      </c>
      <c r="L583" s="7">
        <v>0.2</v>
      </c>
      <c r="M583" s="7">
        <v>29.6</v>
      </c>
      <c r="N583">
        <v>244</v>
      </c>
      <c r="O583" s="15">
        <v>224</v>
      </c>
      <c r="P583" s="8">
        <v>0.72142857142857142</v>
      </c>
      <c r="Q583">
        <v>215</v>
      </c>
      <c r="R583" s="15">
        <v>183</v>
      </c>
      <c r="S583" s="8">
        <v>0.71199999999999997</v>
      </c>
      <c r="T583">
        <v>160</v>
      </c>
      <c r="U583" s="15">
        <v>134</v>
      </c>
      <c r="V583" s="8">
        <v>0.82352941176470584</v>
      </c>
      <c r="W583">
        <f t="shared" si="9"/>
        <v>619</v>
      </c>
    </row>
    <row r="584" spans="1:23">
      <c r="A584" s="6">
        <v>45509</v>
      </c>
      <c r="B584" t="s">
        <v>62</v>
      </c>
      <c r="C584">
        <v>0</v>
      </c>
      <c r="D584">
        <v>8</v>
      </c>
      <c r="E584">
        <v>0</v>
      </c>
      <c r="F584">
        <v>0</v>
      </c>
      <c r="H584">
        <v>0</v>
      </c>
      <c r="I584">
        <v>0</v>
      </c>
      <c r="J584">
        <v>0</v>
      </c>
      <c r="K584">
        <v>1</v>
      </c>
      <c r="L584" s="7">
        <v>1.1000000000000001</v>
      </c>
      <c r="M584" s="7">
        <v>28.7</v>
      </c>
      <c r="N584">
        <v>213</v>
      </c>
      <c r="O584" s="15">
        <v>180</v>
      </c>
      <c r="P584" s="8">
        <v>0.65714285714285714</v>
      </c>
      <c r="Q584">
        <v>188</v>
      </c>
      <c r="R584" s="15">
        <v>166</v>
      </c>
      <c r="S584" s="8">
        <v>0.64</v>
      </c>
      <c r="T584">
        <v>133</v>
      </c>
      <c r="U584" s="15">
        <v>120</v>
      </c>
      <c r="V584" s="8">
        <v>0.69411764705882351</v>
      </c>
      <c r="W584">
        <f t="shared" si="9"/>
        <v>534</v>
      </c>
    </row>
    <row r="585" spans="1:23">
      <c r="A585" s="6">
        <v>45510</v>
      </c>
      <c r="B585" t="s">
        <v>63</v>
      </c>
      <c r="C585">
        <v>1</v>
      </c>
      <c r="D585">
        <v>8</v>
      </c>
      <c r="E585">
        <v>0</v>
      </c>
      <c r="F585">
        <v>0</v>
      </c>
      <c r="H585">
        <v>0</v>
      </c>
      <c r="I585">
        <v>0</v>
      </c>
      <c r="J585">
        <v>0</v>
      </c>
      <c r="K585">
        <v>1</v>
      </c>
      <c r="L585" s="7">
        <v>2.8</v>
      </c>
      <c r="M585" s="7">
        <v>29.4</v>
      </c>
      <c r="N585">
        <v>217</v>
      </c>
      <c r="O585" s="15">
        <v>200</v>
      </c>
      <c r="P585" s="8">
        <v>0.66428571428571426</v>
      </c>
      <c r="Q585">
        <v>176</v>
      </c>
      <c r="R585" s="15">
        <v>163</v>
      </c>
      <c r="S585" s="8">
        <v>0.60799999999999998</v>
      </c>
      <c r="T585">
        <v>150</v>
      </c>
      <c r="U585" s="15">
        <v>125</v>
      </c>
      <c r="V585" s="8">
        <v>0.78823529411764703</v>
      </c>
      <c r="W585">
        <f t="shared" si="9"/>
        <v>543</v>
      </c>
    </row>
    <row r="586" spans="1:23">
      <c r="A586" s="6">
        <v>45511</v>
      </c>
      <c r="B586" t="s">
        <v>64</v>
      </c>
      <c r="C586">
        <v>2</v>
      </c>
      <c r="D586">
        <v>8</v>
      </c>
      <c r="E586">
        <v>0</v>
      </c>
      <c r="F586">
        <v>0</v>
      </c>
      <c r="H586">
        <v>0</v>
      </c>
      <c r="I586">
        <v>0</v>
      </c>
      <c r="J586">
        <v>0</v>
      </c>
      <c r="K586">
        <v>0</v>
      </c>
      <c r="L586" s="7">
        <v>0.7</v>
      </c>
      <c r="M586" s="7">
        <v>29.7</v>
      </c>
      <c r="N586">
        <v>182</v>
      </c>
      <c r="O586" s="15">
        <v>151</v>
      </c>
      <c r="P586" s="8">
        <v>0.5714285714285714</v>
      </c>
      <c r="Q586">
        <v>170</v>
      </c>
      <c r="R586" s="15">
        <v>140</v>
      </c>
      <c r="S586" s="8">
        <v>0.56799999999999995</v>
      </c>
      <c r="T586">
        <v>126</v>
      </c>
      <c r="U586" s="15">
        <v>117</v>
      </c>
      <c r="V586" s="8">
        <v>0.63529411764705879</v>
      </c>
      <c r="W586">
        <f t="shared" si="9"/>
        <v>478</v>
      </c>
    </row>
    <row r="587" spans="1:23">
      <c r="A587" s="6">
        <v>45512</v>
      </c>
      <c r="B587" t="s">
        <v>65</v>
      </c>
      <c r="C587">
        <v>3</v>
      </c>
      <c r="D587">
        <v>8</v>
      </c>
      <c r="E587">
        <v>0</v>
      </c>
      <c r="F587">
        <v>0</v>
      </c>
      <c r="H587">
        <v>0</v>
      </c>
      <c r="I587">
        <v>0</v>
      </c>
      <c r="J587">
        <v>0</v>
      </c>
      <c r="K587">
        <v>0</v>
      </c>
      <c r="L587" s="7">
        <v>0</v>
      </c>
      <c r="M587" s="7">
        <v>28.8</v>
      </c>
      <c r="N587">
        <v>198</v>
      </c>
      <c r="O587" s="15">
        <v>160</v>
      </c>
      <c r="P587" s="8">
        <v>0.58571428571428574</v>
      </c>
      <c r="Q587">
        <v>177</v>
      </c>
      <c r="R587" s="15">
        <v>160</v>
      </c>
      <c r="S587" s="8">
        <v>0.60799999999999998</v>
      </c>
      <c r="T587">
        <v>122</v>
      </c>
      <c r="U587" s="15">
        <v>113</v>
      </c>
      <c r="V587" s="8">
        <v>0.6588235294117647</v>
      </c>
      <c r="W587">
        <f t="shared" si="9"/>
        <v>497</v>
      </c>
    </row>
    <row r="588" spans="1:23">
      <c r="A588" s="6">
        <v>45513</v>
      </c>
      <c r="B588" t="s">
        <v>66</v>
      </c>
      <c r="C588">
        <v>4</v>
      </c>
      <c r="D588">
        <v>8</v>
      </c>
      <c r="E588">
        <v>0</v>
      </c>
      <c r="F588">
        <v>0</v>
      </c>
      <c r="H588">
        <v>0</v>
      </c>
      <c r="I588">
        <v>0</v>
      </c>
      <c r="J588">
        <v>0</v>
      </c>
      <c r="K588">
        <v>0</v>
      </c>
      <c r="L588" s="7">
        <v>2.2999999999999998</v>
      </c>
      <c r="M588" s="7">
        <v>28</v>
      </c>
      <c r="N588">
        <v>188</v>
      </c>
      <c r="O588" s="15">
        <v>151</v>
      </c>
      <c r="P588" s="8">
        <v>0.55000000000000004</v>
      </c>
      <c r="Q588">
        <v>182</v>
      </c>
      <c r="R588" s="15">
        <v>155</v>
      </c>
      <c r="S588" s="8">
        <v>0.59199999999999997</v>
      </c>
      <c r="T588">
        <v>136</v>
      </c>
      <c r="U588" s="15">
        <v>118</v>
      </c>
      <c r="V588" s="8">
        <v>0.71764705882352942</v>
      </c>
      <c r="W588">
        <f t="shared" si="9"/>
        <v>506</v>
      </c>
    </row>
    <row r="589" spans="1:23">
      <c r="A589" s="6">
        <v>45514</v>
      </c>
      <c r="B589" t="s">
        <v>67</v>
      </c>
      <c r="C589">
        <v>5</v>
      </c>
      <c r="D589">
        <v>8</v>
      </c>
      <c r="E589">
        <v>1</v>
      </c>
      <c r="F589">
        <v>0</v>
      </c>
      <c r="H589">
        <v>0</v>
      </c>
      <c r="I589">
        <v>0</v>
      </c>
      <c r="J589">
        <v>0</v>
      </c>
      <c r="K589">
        <v>0</v>
      </c>
      <c r="L589" s="7">
        <v>1</v>
      </c>
      <c r="M589" s="7">
        <v>28.9</v>
      </c>
      <c r="N589">
        <v>207</v>
      </c>
      <c r="O589" s="15">
        <v>189</v>
      </c>
      <c r="P589" s="8">
        <v>0.62142857142857144</v>
      </c>
      <c r="Q589">
        <v>207</v>
      </c>
      <c r="R589" s="15">
        <v>179</v>
      </c>
      <c r="S589" s="8">
        <v>0.68799999999999994</v>
      </c>
      <c r="T589">
        <v>147</v>
      </c>
      <c r="U589" s="15">
        <v>128</v>
      </c>
      <c r="V589" s="8">
        <v>0.78823529411764703</v>
      </c>
      <c r="W589">
        <f t="shared" si="9"/>
        <v>561</v>
      </c>
    </row>
    <row r="590" spans="1:23">
      <c r="A590" s="6">
        <v>45515</v>
      </c>
      <c r="B590" t="s">
        <v>60</v>
      </c>
      <c r="C590">
        <v>6</v>
      </c>
      <c r="D590">
        <v>8</v>
      </c>
      <c r="E590">
        <v>1</v>
      </c>
      <c r="F590">
        <v>0</v>
      </c>
      <c r="H590">
        <v>0</v>
      </c>
      <c r="I590">
        <v>0</v>
      </c>
      <c r="J590">
        <v>0</v>
      </c>
      <c r="K590">
        <v>0</v>
      </c>
      <c r="L590" s="7">
        <v>0</v>
      </c>
      <c r="M590" s="7">
        <v>29.4</v>
      </c>
      <c r="N590">
        <v>207</v>
      </c>
      <c r="O590" s="15">
        <v>192</v>
      </c>
      <c r="P590" s="8">
        <v>0.62857142857142856</v>
      </c>
      <c r="Q590">
        <v>200</v>
      </c>
      <c r="R590" s="15">
        <v>175</v>
      </c>
      <c r="S590" s="8">
        <v>0.65600000000000003</v>
      </c>
      <c r="T590">
        <v>151</v>
      </c>
      <c r="U590" s="15">
        <v>130</v>
      </c>
      <c r="V590" s="8">
        <v>0.76470588235294112</v>
      </c>
      <c r="W590">
        <f t="shared" si="9"/>
        <v>558</v>
      </c>
    </row>
    <row r="591" spans="1:23">
      <c r="A591" s="6">
        <v>45516</v>
      </c>
      <c r="B591" t="s">
        <v>62</v>
      </c>
      <c r="C591">
        <v>0</v>
      </c>
      <c r="D591">
        <v>8</v>
      </c>
      <c r="E591">
        <v>0</v>
      </c>
      <c r="F591">
        <v>0</v>
      </c>
      <c r="H591">
        <v>0</v>
      </c>
      <c r="I591">
        <v>0</v>
      </c>
      <c r="J591">
        <v>0</v>
      </c>
      <c r="K591">
        <v>1</v>
      </c>
      <c r="L591" s="7">
        <v>1.8</v>
      </c>
      <c r="M591" s="7">
        <v>28.7</v>
      </c>
      <c r="N591">
        <v>222</v>
      </c>
      <c r="O591" s="15">
        <v>186</v>
      </c>
      <c r="P591" s="8">
        <v>0.6785714285714286</v>
      </c>
      <c r="Q591">
        <v>198</v>
      </c>
      <c r="R591" s="15">
        <v>185</v>
      </c>
      <c r="S591" s="8">
        <v>0.65600000000000003</v>
      </c>
      <c r="T591">
        <v>146</v>
      </c>
      <c r="U591" s="15">
        <v>120</v>
      </c>
      <c r="V591" s="8">
        <v>0.74117647058823533</v>
      </c>
      <c r="W591">
        <f t="shared" si="9"/>
        <v>566</v>
      </c>
    </row>
    <row r="592" spans="1:23">
      <c r="A592" s="6">
        <v>45517</v>
      </c>
      <c r="B592" t="s">
        <v>63</v>
      </c>
      <c r="C592">
        <v>1</v>
      </c>
      <c r="D592">
        <v>8</v>
      </c>
      <c r="E592">
        <v>0</v>
      </c>
      <c r="F592">
        <v>0</v>
      </c>
      <c r="H592">
        <v>0</v>
      </c>
      <c r="I592">
        <v>0</v>
      </c>
      <c r="J592">
        <v>0</v>
      </c>
      <c r="K592">
        <v>1</v>
      </c>
      <c r="L592" s="7">
        <v>0</v>
      </c>
      <c r="M592" s="7">
        <v>29.5</v>
      </c>
      <c r="N592">
        <v>215</v>
      </c>
      <c r="O592" s="15">
        <v>200</v>
      </c>
      <c r="P592" s="8">
        <v>0.6428571428571429</v>
      </c>
      <c r="Q592">
        <v>188</v>
      </c>
      <c r="R592" s="15">
        <v>151</v>
      </c>
      <c r="S592" s="8">
        <v>0.63200000000000001</v>
      </c>
      <c r="T592">
        <v>135</v>
      </c>
      <c r="U592" s="15">
        <v>119</v>
      </c>
      <c r="V592" s="8">
        <v>0.74117647058823533</v>
      </c>
      <c r="W592">
        <f t="shared" si="9"/>
        <v>538</v>
      </c>
    </row>
    <row r="593" spans="1:23">
      <c r="A593" s="6">
        <v>45518</v>
      </c>
      <c r="B593" t="s">
        <v>64</v>
      </c>
      <c r="C593">
        <v>2</v>
      </c>
      <c r="D593">
        <v>8</v>
      </c>
      <c r="E593">
        <v>0</v>
      </c>
      <c r="F593">
        <v>0</v>
      </c>
      <c r="H593">
        <v>0</v>
      </c>
      <c r="I593">
        <v>0</v>
      </c>
      <c r="J593">
        <v>0</v>
      </c>
      <c r="K593">
        <v>0</v>
      </c>
      <c r="L593" s="7">
        <v>0</v>
      </c>
      <c r="M593" s="7">
        <v>29.2</v>
      </c>
      <c r="N593">
        <v>211</v>
      </c>
      <c r="O593" s="15">
        <v>170</v>
      </c>
      <c r="P593" s="8">
        <v>0.6428571428571429</v>
      </c>
      <c r="Q593">
        <v>159</v>
      </c>
      <c r="R593" s="15">
        <v>130</v>
      </c>
      <c r="S593" s="8">
        <v>0.52</v>
      </c>
      <c r="T593">
        <v>116</v>
      </c>
      <c r="U593" s="15">
        <v>102</v>
      </c>
      <c r="V593" s="8">
        <v>0.58823529411764708</v>
      </c>
      <c r="W593">
        <f t="shared" si="9"/>
        <v>486</v>
      </c>
    </row>
    <row r="594" spans="1:23">
      <c r="A594" s="6">
        <v>45519</v>
      </c>
      <c r="B594" t="s">
        <v>65</v>
      </c>
      <c r="C594">
        <v>3</v>
      </c>
      <c r="D594">
        <v>8</v>
      </c>
      <c r="E594">
        <v>0</v>
      </c>
      <c r="F594">
        <v>0</v>
      </c>
      <c r="H594">
        <v>0</v>
      </c>
      <c r="I594">
        <v>0</v>
      </c>
      <c r="J594">
        <v>0</v>
      </c>
      <c r="K594">
        <v>0</v>
      </c>
      <c r="L594" s="7">
        <v>1.9</v>
      </c>
      <c r="M594" s="7">
        <v>27.1</v>
      </c>
      <c r="N594">
        <v>242</v>
      </c>
      <c r="O594" s="15">
        <v>200</v>
      </c>
      <c r="P594" s="8">
        <v>0.7142857142857143</v>
      </c>
      <c r="Q594">
        <v>195</v>
      </c>
      <c r="R594" s="15">
        <v>178</v>
      </c>
      <c r="S594" s="8">
        <v>0.65600000000000003</v>
      </c>
      <c r="T594">
        <v>137</v>
      </c>
      <c r="U594" s="15">
        <v>123</v>
      </c>
      <c r="V594" s="8">
        <v>0.70588235294117652</v>
      </c>
      <c r="W594">
        <f t="shared" si="9"/>
        <v>574</v>
      </c>
    </row>
    <row r="595" spans="1:23">
      <c r="A595" s="6">
        <v>45520</v>
      </c>
      <c r="B595" t="s">
        <v>66</v>
      </c>
      <c r="C595">
        <v>4</v>
      </c>
      <c r="D595">
        <v>8</v>
      </c>
      <c r="E595">
        <v>0</v>
      </c>
      <c r="F595">
        <v>0</v>
      </c>
      <c r="H595">
        <v>0</v>
      </c>
      <c r="I595">
        <v>0</v>
      </c>
      <c r="J595">
        <v>0</v>
      </c>
      <c r="K595">
        <v>0</v>
      </c>
      <c r="L595" s="7">
        <v>0</v>
      </c>
      <c r="M595" s="7">
        <v>29.1</v>
      </c>
      <c r="N595">
        <v>204</v>
      </c>
      <c r="O595" s="15">
        <v>176</v>
      </c>
      <c r="P595" s="8">
        <v>0.6071428571428571</v>
      </c>
      <c r="Q595">
        <v>156</v>
      </c>
      <c r="R595" s="15">
        <v>138</v>
      </c>
      <c r="S595" s="8">
        <v>0.53600000000000003</v>
      </c>
      <c r="T595">
        <v>124</v>
      </c>
      <c r="U595" s="15">
        <v>104</v>
      </c>
      <c r="V595" s="8">
        <v>0.68235294117647061</v>
      </c>
      <c r="W595">
        <f t="shared" si="9"/>
        <v>484</v>
      </c>
    </row>
    <row r="596" spans="1:23">
      <c r="A596" s="6">
        <v>45521</v>
      </c>
      <c r="B596" t="s">
        <v>67</v>
      </c>
      <c r="C596">
        <v>5</v>
      </c>
      <c r="D596">
        <v>8</v>
      </c>
      <c r="E596">
        <v>1</v>
      </c>
      <c r="F596">
        <v>0</v>
      </c>
      <c r="H596">
        <v>0</v>
      </c>
      <c r="I596">
        <v>0</v>
      </c>
      <c r="J596">
        <v>0</v>
      </c>
      <c r="K596">
        <v>0</v>
      </c>
      <c r="L596" s="7">
        <v>0</v>
      </c>
      <c r="M596" s="7">
        <v>28.4</v>
      </c>
      <c r="N596">
        <v>214</v>
      </c>
      <c r="O596" s="15">
        <v>188</v>
      </c>
      <c r="P596" s="8">
        <v>0.65714285714285714</v>
      </c>
      <c r="Q596">
        <v>200</v>
      </c>
      <c r="R596" s="15">
        <v>175</v>
      </c>
      <c r="S596" s="8">
        <v>0.66400000000000003</v>
      </c>
      <c r="T596">
        <v>143</v>
      </c>
      <c r="U596" s="15">
        <v>123</v>
      </c>
      <c r="V596" s="8">
        <v>0.75294117647058822</v>
      </c>
      <c r="W596">
        <f t="shared" si="9"/>
        <v>557</v>
      </c>
    </row>
    <row r="597" spans="1:23">
      <c r="A597" s="6">
        <v>45522</v>
      </c>
      <c r="B597" t="s">
        <v>60</v>
      </c>
      <c r="C597">
        <v>6</v>
      </c>
      <c r="D597">
        <v>8</v>
      </c>
      <c r="E597">
        <v>1</v>
      </c>
      <c r="F597">
        <v>0</v>
      </c>
      <c r="H597">
        <v>0</v>
      </c>
      <c r="I597">
        <v>0</v>
      </c>
      <c r="J597">
        <v>0</v>
      </c>
      <c r="K597">
        <v>0</v>
      </c>
      <c r="L597" s="7">
        <v>3.5</v>
      </c>
      <c r="M597" s="7">
        <v>28.5</v>
      </c>
      <c r="N597">
        <v>201</v>
      </c>
      <c r="O597" s="15">
        <v>181</v>
      </c>
      <c r="P597" s="8">
        <v>0.62857142857142856</v>
      </c>
      <c r="Q597">
        <v>198</v>
      </c>
      <c r="R597" s="15">
        <v>169</v>
      </c>
      <c r="S597" s="8">
        <v>0.65600000000000003</v>
      </c>
      <c r="T597">
        <v>152</v>
      </c>
      <c r="U597" s="15">
        <v>126</v>
      </c>
      <c r="V597" s="8">
        <v>0.78823529411764703</v>
      </c>
      <c r="W597">
        <f t="shared" si="9"/>
        <v>551</v>
      </c>
    </row>
    <row r="598" spans="1:23">
      <c r="A598" s="6">
        <v>45523</v>
      </c>
      <c r="B598" t="s">
        <v>62</v>
      </c>
      <c r="C598">
        <v>0</v>
      </c>
      <c r="D598">
        <v>8</v>
      </c>
      <c r="E598">
        <v>0</v>
      </c>
      <c r="F598">
        <v>0</v>
      </c>
      <c r="H598">
        <v>0</v>
      </c>
      <c r="I598">
        <v>0</v>
      </c>
      <c r="J598">
        <v>0</v>
      </c>
      <c r="K598">
        <v>0</v>
      </c>
      <c r="L598" s="7">
        <v>0.8</v>
      </c>
      <c r="M598" s="7">
        <v>29.4</v>
      </c>
      <c r="N598">
        <v>185</v>
      </c>
      <c r="O598" s="15">
        <v>152</v>
      </c>
      <c r="P598" s="8">
        <v>0.55714285714285716</v>
      </c>
      <c r="Q598">
        <v>177</v>
      </c>
      <c r="R598" s="15">
        <v>150</v>
      </c>
      <c r="S598" s="8">
        <v>0.60799999999999998</v>
      </c>
      <c r="T598">
        <v>132</v>
      </c>
      <c r="U598" s="15">
        <v>120</v>
      </c>
      <c r="V598" s="8">
        <v>0.6705882352941176</v>
      </c>
      <c r="W598">
        <f t="shared" si="9"/>
        <v>494</v>
      </c>
    </row>
    <row r="599" spans="1:23">
      <c r="A599" s="6">
        <v>45524</v>
      </c>
      <c r="B599" t="s">
        <v>63</v>
      </c>
      <c r="C599">
        <v>1</v>
      </c>
      <c r="D599">
        <v>8</v>
      </c>
      <c r="E599">
        <v>0</v>
      </c>
      <c r="F599">
        <v>0</v>
      </c>
      <c r="H599">
        <v>0</v>
      </c>
      <c r="I599">
        <v>0</v>
      </c>
      <c r="J599">
        <v>0</v>
      </c>
      <c r="K599">
        <v>0</v>
      </c>
      <c r="L599" s="7">
        <v>0</v>
      </c>
      <c r="M599" s="7">
        <v>27.5</v>
      </c>
      <c r="N599">
        <v>200</v>
      </c>
      <c r="O599" s="15">
        <v>186</v>
      </c>
      <c r="P599" s="8">
        <v>0.57857142857142863</v>
      </c>
      <c r="Q599">
        <v>173</v>
      </c>
      <c r="R599" s="15">
        <v>150</v>
      </c>
      <c r="S599" s="8">
        <v>0.56000000000000005</v>
      </c>
      <c r="T599">
        <v>119</v>
      </c>
      <c r="U599" s="15">
        <v>101</v>
      </c>
      <c r="V599" s="8">
        <v>0.61176470588235299</v>
      </c>
      <c r="W599">
        <f t="shared" si="9"/>
        <v>492</v>
      </c>
    </row>
    <row r="600" spans="1:23">
      <c r="A600" s="6">
        <v>45525</v>
      </c>
      <c r="B600" t="s">
        <v>64</v>
      </c>
      <c r="C600">
        <v>2</v>
      </c>
      <c r="D600">
        <v>8</v>
      </c>
      <c r="E600">
        <v>0</v>
      </c>
      <c r="F600">
        <v>0</v>
      </c>
      <c r="H600">
        <v>0</v>
      </c>
      <c r="I600">
        <v>0</v>
      </c>
      <c r="J600">
        <v>0</v>
      </c>
      <c r="K600">
        <v>0</v>
      </c>
      <c r="L600" s="7">
        <v>1.4</v>
      </c>
      <c r="M600" s="7">
        <v>28.3</v>
      </c>
      <c r="N600">
        <v>192</v>
      </c>
      <c r="O600" s="15">
        <v>176</v>
      </c>
      <c r="P600" s="8">
        <v>0.5714285714285714</v>
      </c>
      <c r="Q600">
        <v>172</v>
      </c>
      <c r="R600" s="15">
        <v>145</v>
      </c>
      <c r="S600" s="8">
        <v>0.57599999999999996</v>
      </c>
      <c r="T600">
        <v>124</v>
      </c>
      <c r="U600" s="15">
        <v>115</v>
      </c>
      <c r="V600" s="8">
        <v>0.63529411764705879</v>
      </c>
      <c r="W600">
        <f t="shared" si="9"/>
        <v>488</v>
      </c>
    </row>
    <row r="601" spans="1:23">
      <c r="A601" s="6">
        <v>45526</v>
      </c>
      <c r="B601" t="s">
        <v>65</v>
      </c>
      <c r="C601">
        <v>3</v>
      </c>
      <c r="D601">
        <v>8</v>
      </c>
      <c r="E601">
        <v>0</v>
      </c>
      <c r="F601">
        <v>0</v>
      </c>
      <c r="H601">
        <v>0</v>
      </c>
      <c r="I601">
        <v>0</v>
      </c>
      <c r="J601">
        <v>0</v>
      </c>
      <c r="K601">
        <v>0</v>
      </c>
      <c r="L601" s="7">
        <v>2.8</v>
      </c>
      <c r="M601" s="7">
        <v>28.7</v>
      </c>
      <c r="N601">
        <v>190</v>
      </c>
      <c r="O601" s="15">
        <v>167</v>
      </c>
      <c r="P601" s="8">
        <v>0.59285714285714286</v>
      </c>
      <c r="Q601">
        <v>171</v>
      </c>
      <c r="R601" s="15">
        <v>141</v>
      </c>
      <c r="S601" s="8">
        <v>0.56799999999999995</v>
      </c>
      <c r="T601">
        <v>131</v>
      </c>
      <c r="U601" s="15">
        <v>105</v>
      </c>
      <c r="V601" s="8">
        <v>0.6705882352941176</v>
      </c>
      <c r="W601">
        <f t="shared" si="9"/>
        <v>492</v>
      </c>
    </row>
    <row r="602" spans="1:23">
      <c r="A602" s="6">
        <v>45527</v>
      </c>
      <c r="B602" t="s">
        <v>66</v>
      </c>
      <c r="C602">
        <v>4</v>
      </c>
      <c r="D602">
        <v>8</v>
      </c>
      <c r="E602">
        <v>0</v>
      </c>
      <c r="F602">
        <v>0</v>
      </c>
      <c r="H602">
        <v>0</v>
      </c>
      <c r="I602">
        <v>0</v>
      </c>
      <c r="J602">
        <v>0</v>
      </c>
      <c r="K602">
        <v>0</v>
      </c>
      <c r="L602" s="7">
        <v>1.7</v>
      </c>
      <c r="M602" s="7">
        <v>29.3</v>
      </c>
      <c r="N602">
        <v>190</v>
      </c>
      <c r="O602" s="15">
        <v>166</v>
      </c>
      <c r="P602" s="8">
        <v>0.57857142857142863</v>
      </c>
      <c r="Q602">
        <v>164</v>
      </c>
      <c r="R602" s="15">
        <v>149</v>
      </c>
      <c r="S602" s="8">
        <v>0.54400000000000004</v>
      </c>
      <c r="T602">
        <v>130</v>
      </c>
      <c r="U602" s="15">
        <v>115</v>
      </c>
      <c r="V602" s="8">
        <v>0.6588235294117647</v>
      </c>
      <c r="W602">
        <f t="shared" si="9"/>
        <v>484</v>
      </c>
    </row>
    <row r="603" spans="1:23">
      <c r="A603" s="6">
        <v>45528</v>
      </c>
      <c r="B603" t="s">
        <v>67</v>
      </c>
      <c r="C603">
        <v>5</v>
      </c>
      <c r="D603">
        <v>8</v>
      </c>
      <c r="E603">
        <v>1</v>
      </c>
      <c r="F603">
        <v>0</v>
      </c>
      <c r="H603">
        <v>0</v>
      </c>
      <c r="I603">
        <v>0</v>
      </c>
      <c r="J603">
        <v>0</v>
      </c>
      <c r="K603">
        <v>0</v>
      </c>
      <c r="L603" s="7">
        <v>0.9</v>
      </c>
      <c r="M603" s="7">
        <v>30.6</v>
      </c>
      <c r="N603">
        <v>220</v>
      </c>
      <c r="O603" s="15">
        <v>176</v>
      </c>
      <c r="P603" s="8">
        <v>0.66428571428571426</v>
      </c>
      <c r="Q603">
        <v>204</v>
      </c>
      <c r="R603" s="15">
        <v>179</v>
      </c>
      <c r="S603" s="8">
        <v>0.68</v>
      </c>
      <c r="T603">
        <v>148</v>
      </c>
      <c r="U603" s="15">
        <v>119</v>
      </c>
      <c r="V603" s="8">
        <v>0.75294117647058822</v>
      </c>
      <c r="W603">
        <f t="shared" si="9"/>
        <v>572</v>
      </c>
    </row>
    <row r="604" spans="1:23">
      <c r="A604" s="6">
        <v>45529</v>
      </c>
      <c r="B604" t="s">
        <v>60</v>
      </c>
      <c r="C604">
        <v>6</v>
      </c>
      <c r="D604">
        <v>8</v>
      </c>
      <c r="E604">
        <v>1</v>
      </c>
      <c r="F604">
        <v>0</v>
      </c>
      <c r="H604">
        <v>0</v>
      </c>
      <c r="I604">
        <v>0</v>
      </c>
      <c r="J604">
        <v>0</v>
      </c>
      <c r="K604">
        <v>0</v>
      </c>
      <c r="L604" s="7">
        <v>1.5</v>
      </c>
      <c r="M604" s="7">
        <v>29.8</v>
      </c>
      <c r="N604">
        <v>208</v>
      </c>
      <c r="O604" s="15">
        <v>171</v>
      </c>
      <c r="P604" s="8">
        <v>0.63571428571428568</v>
      </c>
      <c r="Q604">
        <v>194</v>
      </c>
      <c r="R604" s="15">
        <v>166</v>
      </c>
      <c r="S604" s="8">
        <v>0.65600000000000003</v>
      </c>
      <c r="T604">
        <v>139</v>
      </c>
      <c r="U604" s="15">
        <v>122</v>
      </c>
      <c r="V604" s="8">
        <v>0.72941176470588232</v>
      </c>
      <c r="W604">
        <f t="shared" si="9"/>
        <v>541</v>
      </c>
    </row>
    <row r="605" spans="1:23">
      <c r="A605" s="6">
        <v>45530</v>
      </c>
      <c r="B605" t="s">
        <v>62</v>
      </c>
      <c r="C605">
        <v>0</v>
      </c>
      <c r="D605">
        <v>8</v>
      </c>
      <c r="E605">
        <v>0</v>
      </c>
      <c r="F605">
        <v>0</v>
      </c>
      <c r="H605">
        <v>0</v>
      </c>
      <c r="I605">
        <v>0</v>
      </c>
      <c r="J605">
        <v>0</v>
      </c>
      <c r="K605">
        <v>0</v>
      </c>
      <c r="L605" s="7">
        <v>1.1000000000000001</v>
      </c>
      <c r="M605" s="7">
        <v>30.9</v>
      </c>
      <c r="N605">
        <v>175</v>
      </c>
      <c r="O605" s="15">
        <v>151</v>
      </c>
      <c r="P605" s="8">
        <v>0.5357142857142857</v>
      </c>
      <c r="Q605">
        <v>171</v>
      </c>
      <c r="R605" s="15">
        <v>143</v>
      </c>
      <c r="S605" s="8">
        <v>0.57599999999999996</v>
      </c>
      <c r="T605">
        <v>124</v>
      </c>
      <c r="U605" s="15">
        <v>113</v>
      </c>
      <c r="V605" s="8">
        <v>0.62352941176470589</v>
      </c>
      <c r="W605">
        <f t="shared" si="9"/>
        <v>470</v>
      </c>
    </row>
    <row r="606" spans="1:23">
      <c r="A606" s="6">
        <v>45531</v>
      </c>
      <c r="B606" t="s">
        <v>63</v>
      </c>
      <c r="C606">
        <v>1</v>
      </c>
      <c r="D606">
        <v>8</v>
      </c>
      <c r="E606">
        <v>0</v>
      </c>
      <c r="F606">
        <v>0</v>
      </c>
      <c r="H606">
        <v>0</v>
      </c>
      <c r="I606">
        <v>0</v>
      </c>
      <c r="J606">
        <v>0</v>
      </c>
      <c r="K606">
        <v>0</v>
      </c>
      <c r="L606" s="7">
        <v>1.4</v>
      </c>
      <c r="M606" s="7">
        <v>29.8</v>
      </c>
      <c r="N606">
        <v>193</v>
      </c>
      <c r="O606" s="15">
        <v>170</v>
      </c>
      <c r="P606" s="8">
        <v>0.5714285714285714</v>
      </c>
      <c r="Q606">
        <v>166</v>
      </c>
      <c r="R606" s="15">
        <v>136</v>
      </c>
      <c r="S606" s="8">
        <v>0.56799999999999995</v>
      </c>
      <c r="T606">
        <v>134</v>
      </c>
      <c r="U606" s="15">
        <v>115</v>
      </c>
      <c r="V606" s="8">
        <v>0.72941176470588232</v>
      </c>
      <c r="W606">
        <f t="shared" si="9"/>
        <v>493</v>
      </c>
    </row>
    <row r="607" spans="1:23">
      <c r="A607" s="6">
        <v>45532</v>
      </c>
      <c r="B607" t="s">
        <v>64</v>
      </c>
      <c r="C607">
        <v>2</v>
      </c>
      <c r="D607">
        <v>8</v>
      </c>
      <c r="E607">
        <v>0</v>
      </c>
      <c r="F607">
        <v>0</v>
      </c>
      <c r="H607">
        <v>0</v>
      </c>
      <c r="I607">
        <v>0</v>
      </c>
      <c r="J607">
        <v>0</v>
      </c>
      <c r="K607">
        <v>0</v>
      </c>
      <c r="L607" s="7">
        <v>0</v>
      </c>
      <c r="M607" s="7">
        <v>28.8</v>
      </c>
      <c r="N607">
        <v>175</v>
      </c>
      <c r="O607" s="15">
        <v>162</v>
      </c>
      <c r="P607" s="8">
        <v>0.5357142857142857</v>
      </c>
      <c r="Q607">
        <v>143</v>
      </c>
      <c r="R607" s="15">
        <v>126</v>
      </c>
      <c r="S607" s="8">
        <v>0.496</v>
      </c>
      <c r="T607">
        <v>106</v>
      </c>
      <c r="U607" s="15">
        <v>87</v>
      </c>
      <c r="V607" s="8">
        <v>0.61176470588235299</v>
      </c>
      <c r="W607">
        <f t="shared" si="9"/>
        <v>424</v>
      </c>
    </row>
    <row r="608" spans="1:23">
      <c r="A608" s="6">
        <v>45533</v>
      </c>
      <c r="B608" t="s">
        <v>65</v>
      </c>
      <c r="C608">
        <v>3</v>
      </c>
      <c r="D608">
        <v>8</v>
      </c>
      <c r="E608">
        <v>0</v>
      </c>
      <c r="F608">
        <v>0</v>
      </c>
      <c r="H608">
        <v>0</v>
      </c>
      <c r="I608">
        <v>0</v>
      </c>
      <c r="J608">
        <v>0</v>
      </c>
      <c r="K608">
        <v>0</v>
      </c>
      <c r="L608" s="7">
        <v>2.2000000000000002</v>
      </c>
      <c r="M608" s="7">
        <v>29.5</v>
      </c>
      <c r="N608">
        <v>188</v>
      </c>
      <c r="O608" s="15">
        <v>164</v>
      </c>
      <c r="P608" s="8">
        <v>0.58571428571428574</v>
      </c>
      <c r="Q608">
        <v>170</v>
      </c>
      <c r="R608" s="15">
        <v>156</v>
      </c>
      <c r="S608" s="8">
        <v>0.56000000000000005</v>
      </c>
      <c r="T608">
        <v>123</v>
      </c>
      <c r="U608" s="15">
        <v>107</v>
      </c>
      <c r="V608" s="8">
        <v>0.6588235294117647</v>
      </c>
      <c r="W608">
        <f t="shared" si="9"/>
        <v>481</v>
      </c>
    </row>
    <row r="609" spans="1:23">
      <c r="A609" s="6">
        <v>45534</v>
      </c>
      <c r="B609" t="s">
        <v>66</v>
      </c>
      <c r="C609">
        <v>4</v>
      </c>
      <c r="D609">
        <v>8</v>
      </c>
      <c r="E609">
        <v>0</v>
      </c>
      <c r="F609">
        <v>0</v>
      </c>
      <c r="H609">
        <v>0</v>
      </c>
      <c r="I609">
        <v>0</v>
      </c>
      <c r="J609">
        <v>0</v>
      </c>
      <c r="K609">
        <v>0</v>
      </c>
      <c r="L609" s="7">
        <v>1</v>
      </c>
      <c r="M609" s="7">
        <v>30.9</v>
      </c>
      <c r="N609">
        <v>207</v>
      </c>
      <c r="O609" s="15">
        <v>183</v>
      </c>
      <c r="P609" s="8">
        <v>0.6071428571428571</v>
      </c>
      <c r="Q609">
        <v>155</v>
      </c>
      <c r="R609" s="15">
        <v>138</v>
      </c>
      <c r="S609" s="8">
        <v>0.52800000000000002</v>
      </c>
      <c r="T609">
        <v>103</v>
      </c>
      <c r="U609" s="15">
        <v>95</v>
      </c>
      <c r="V609" s="8">
        <v>0.55294117647058827</v>
      </c>
      <c r="W609">
        <f t="shared" si="9"/>
        <v>465</v>
      </c>
    </row>
    <row r="610" spans="1:23">
      <c r="A610" s="6">
        <v>45535</v>
      </c>
      <c r="B610" t="s">
        <v>67</v>
      </c>
      <c r="C610">
        <v>5</v>
      </c>
      <c r="D610">
        <v>8</v>
      </c>
      <c r="E610">
        <v>1</v>
      </c>
      <c r="F610">
        <v>0</v>
      </c>
      <c r="H610">
        <v>0</v>
      </c>
      <c r="I610">
        <v>0</v>
      </c>
      <c r="J610">
        <v>0</v>
      </c>
      <c r="K610">
        <v>0</v>
      </c>
      <c r="L610" s="7">
        <v>3.1</v>
      </c>
      <c r="M610" s="7">
        <v>28.7</v>
      </c>
      <c r="N610">
        <v>207</v>
      </c>
      <c r="O610" s="15">
        <v>191</v>
      </c>
      <c r="P610" s="8">
        <v>0.62857142857142856</v>
      </c>
      <c r="Q610">
        <v>182</v>
      </c>
      <c r="R610" s="15">
        <v>160</v>
      </c>
      <c r="S610" s="8">
        <v>0.624</v>
      </c>
      <c r="T610">
        <v>136</v>
      </c>
      <c r="U610" s="15">
        <v>113</v>
      </c>
      <c r="V610" s="8">
        <v>0.70588235294117652</v>
      </c>
      <c r="W610">
        <f t="shared" si="9"/>
        <v>525</v>
      </c>
    </row>
    <row r="611" spans="1:23">
      <c r="A611" s="6">
        <v>45536</v>
      </c>
      <c r="B611" t="s">
        <v>60</v>
      </c>
      <c r="C611">
        <v>6</v>
      </c>
      <c r="D611">
        <v>9</v>
      </c>
      <c r="E611">
        <v>1</v>
      </c>
      <c r="F611">
        <v>0</v>
      </c>
      <c r="H611">
        <v>0</v>
      </c>
      <c r="I611">
        <v>0</v>
      </c>
      <c r="J611">
        <v>0</v>
      </c>
      <c r="K611">
        <v>0</v>
      </c>
      <c r="L611" s="7">
        <v>0</v>
      </c>
      <c r="M611" s="7">
        <v>30</v>
      </c>
      <c r="N611">
        <v>204</v>
      </c>
      <c r="O611" s="15">
        <v>168</v>
      </c>
      <c r="P611" s="8">
        <v>0.61428571428571432</v>
      </c>
      <c r="Q611">
        <v>203</v>
      </c>
      <c r="R611" s="15">
        <v>179</v>
      </c>
      <c r="S611" s="8">
        <v>0.65600000000000003</v>
      </c>
      <c r="T611">
        <v>129</v>
      </c>
      <c r="U611" s="15">
        <v>108</v>
      </c>
      <c r="V611" s="8">
        <v>0.70588235294117652</v>
      </c>
      <c r="W611">
        <f t="shared" si="9"/>
        <v>536</v>
      </c>
    </row>
    <row r="612" spans="1:23">
      <c r="A612" s="6">
        <v>45537</v>
      </c>
      <c r="B612" t="s">
        <v>62</v>
      </c>
      <c r="C612">
        <v>0</v>
      </c>
      <c r="D612">
        <v>9</v>
      </c>
      <c r="E612">
        <v>0</v>
      </c>
      <c r="F612">
        <v>0</v>
      </c>
      <c r="H612">
        <v>0</v>
      </c>
      <c r="I612">
        <v>0</v>
      </c>
      <c r="J612">
        <v>0</v>
      </c>
      <c r="K612">
        <v>0</v>
      </c>
      <c r="L612" s="7">
        <v>3.4</v>
      </c>
      <c r="M612" s="7">
        <v>29.7</v>
      </c>
      <c r="N612">
        <v>171</v>
      </c>
      <c r="O612" s="15">
        <v>149</v>
      </c>
      <c r="P612" s="8">
        <v>0.5357142857142857</v>
      </c>
      <c r="Q612">
        <v>153</v>
      </c>
      <c r="R612" s="15">
        <v>123</v>
      </c>
      <c r="S612" s="8">
        <v>0.48799999999999999</v>
      </c>
      <c r="T612">
        <v>109</v>
      </c>
      <c r="U612" s="15">
        <v>100</v>
      </c>
      <c r="V612" s="8">
        <v>0.58823529411764708</v>
      </c>
      <c r="W612">
        <f t="shared" si="9"/>
        <v>433</v>
      </c>
    </row>
    <row r="613" spans="1:23">
      <c r="A613" s="6">
        <v>45538</v>
      </c>
      <c r="B613" t="s">
        <v>63</v>
      </c>
      <c r="C613">
        <v>1</v>
      </c>
      <c r="D613">
        <v>9</v>
      </c>
      <c r="E613">
        <v>0</v>
      </c>
      <c r="F613">
        <v>0</v>
      </c>
      <c r="H613">
        <v>0</v>
      </c>
      <c r="I613">
        <v>0</v>
      </c>
      <c r="J613">
        <v>0</v>
      </c>
      <c r="K613">
        <v>0</v>
      </c>
      <c r="L613" s="7">
        <v>1.6</v>
      </c>
      <c r="M613" s="7">
        <v>26.7</v>
      </c>
      <c r="N613">
        <v>171</v>
      </c>
      <c r="O613" s="15">
        <v>158</v>
      </c>
      <c r="P613" s="8">
        <v>0.52857142857142858</v>
      </c>
      <c r="Q613">
        <v>173</v>
      </c>
      <c r="R613" s="15">
        <v>145</v>
      </c>
      <c r="S613" s="8">
        <v>0.57599999999999996</v>
      </c>
      <c r="T613">
        <v>113</v>
      </c>
      <c r="U613" s="15">
        <v>97</v>
      </c>
      <c r="V613" s="8">
        <v>0.58823529411764708</v>
      </c>
      <c r="W613">
        <f t="shared" si="9"/>
        <v>457</v>
      </c>
    </row>
    <row r="614" spans="1:23">
      <c r="A614" s="6">
        <v>45539</v>
      </c>
      <c r="B614" t="s">
        <v>64</v>
      </c>
      <c r="C614">
        <v>2</v>
      </c>
      <c r="D614">
        <v>9</v>
      </c>
      <c r="E614">
        <v>0</v>
      </c>
      <c r="F614">
        <v>0</v>
      </c>
      <c r="H614">
        <v>0</v>
      </c>
      <c r="I614">
        <v>0</v>
      </c>
      <c r="J614">
        <v>0</v>
      </c>
      <c r="K614">
        <v>0</v>
      </c>
      <c r="L614" s="7">
        <v>4.3</v>
      </c>
      <c r="M614" s="7">
        <v>29.3</v>
      </c>
      <c r="N614">
        <v>195</v>
      </c>
      <c r="O614" s="15">
        <v>167</v>
      </c>
      <c r="P614" s="8">
        <v>0.58571428571428574</v>
      </c>
      <c r="Q614">
        <v>134</v>
      </c>
      <c r="R614" s="15">
        <v>115</v>
      </c>
      <c r="S614" s="8">
        <v>0.45600000000000002</v>
      </c>
      <c r="T614">
        <v>121</v>
      </c>
      <c r="U614" s="15">
        <v>101</v>
      </c>
      <c r="V614" s="8">
        <v>0.63529411764705879</v>
      </c>
      <c r="W614">
        <f t="shared" si="9"/>
        <v>450</v>
      </c>
    </row>
    <row r="615" spans="1:23">
      <c r="A615" s="6">
        <v>45540</v>
      </c>
      <c r="B615" t="s">
        <v>65</v>
      </c>
      <c r="C615">
        <v>3</v>
      </c>
      <c r="D615">
        <v>9</v>
      </c>
      <c r="E615">
        <v>0</v>
      </c>
      <c r="F615">
        <v>0</v>
      </c>
      <c r="H615">
        <v>0</v>
      </c>
      <c r="I615">
        <v>0</v>
      </c>
      <c r="J615">
        <v>0</v>
      </c>
      <c r="K615">
        <v>0</v>
      </c>
      <c r="L615" s="7">
        <v>0</v>
      </c>
      <c r="M615" s="7">
        <v>28</v>
      </c>
      <c r="N615">
        <v>177</v>
      </c>
      <c r="O615" s="15">
        <v>142</v>
      </c>
      <c r="P615" s="8">
        <v>0.55000000000000004</v>
      </c>
      <c r="Q615">
        <v>147</v>
      </c>
      <c r="R615" s="15">
        <v>130</v>
      </c>
      <c r="S615" s="8">
        <v>0.51200000000000001</v>
      </c>
      <c r="T615">
        <v>106</v>
      </c>
      <c r="U615" s="15">
        <v>91</v>
      </c>
      <c r="V615" s="8">
        <v>0.55294117647058827</v>
      </c>
      <c r="W615">
        <f t="shared" si="9"/>
        <v>430</v>
      </c>
    </row>
    <row r="616" spans="1:23">
      <c r="A616" s="6">
        <v>45541</v>
      </c>
      <c r="B616" t="s">
        <v>66</v>
      </c>
      <c r="C616">
        <v>4</v>
      </c>
      <c r="D616">
        <v>9</v>
      </c>
      <c r="E616">
        <v>0</v>
      </c>
      <c r="F616">
        <v>0</v>
      </c>
      <c r="H616">
        <v>0</v>
      </c>
      <c r="I616">
        <v>0</v>
      </c>
      <c r="J616">
        <v>0</v>
      </c>
      <c r="K616">
        <v>0</v>
      </c>
      <c r="L616" s="7">
        <v>1.1000000000000001</v>
      </c>
      <c r="M616" s="7">
        <v>27.7</v>
      </c>
      <c r="N616">
        <v>163</v>
      </c>
      <c r="O616" s="15">
        <v>146</v>
      </c>
      <c r="P616" s="8">
        <v>0.49285714285714288</v>
      </c>
      <c r="Q616">
        <v>145</v>
      </c>
      <c r="R616" s="15">
        <v>125</v>
      </c>
      <c r="S616" s="8">
        <v>0.496</v>
      </c>
      <c r="T616">
        <v>120</v>
      </c>
      <c r="U616" s="15">
        <v>98</v>
      </c>
      <c r="V616" s="8">
        <v>0.61176470588235299</v>
      </c>
      <c r="W616">
        <f t="shared" si="9"/>
        <v>428</v>
      </c>
    </row>
    <row r="617" spans="1:23">
      <c r="A617" s="6">
        <v>45542</v>
      </c>
      <c r="B617" t="s">
        <v>67</v>
      </c>
      <c r="C617">
        <v>5</v>
      </c>
      <c r="D617">
        <v>9</v>
      </c>
      <c r="E617">
        <v>1</v>
      </c>
      <c r="F617">
        <v>1</v>
      </c>
      <c r="G617" t="s">
        <v>72</v>
      </c>
      <c r="H617">
        <v>0</v>
      </c>
      <c r="I617">
        <v>0</v>
      </c>
      <c r="J617">
        <v>0</v>
      </c>
      <c r="K617">
        <v>0</v>
      </c>
      <c r="L617" s="7">
        <v>0.2</v>
      </c>
      <c r="M617" s="7">
        <v>28.7</v>
      </c>
      <c r="N617">
        <v>245</v>
      </c>
      <c r="O617" s="15">
        <v>216</v>
      </c>
      <c r="P617" s="8">
        <v>0.73571428571428577</v>
      </c>
      <c r="Q617">
        <v>217</v>
      </c>
      <c r="R617" s="15">
        <v>186</v>
      </c>
      <c r="S617" s="8">
        <v>0.72799999999999998</v>
      </c>
      <c r="T617">
        <v>152</v>
      </c>
      <c r="U617" s="15">
        <v>137</v>
      </c>
      <c r="V617" s="8">
        <v>0.76470588235294112</v>
      </c>
      <c r="W617">
        <f t="shared" si="9"/>
        <v>614</v>
      </c>
    </row>
    <row r="618" spans="1:23">
      <c r="A618" s="6">
        <v>45543</v>
      </c>
      <c r="B618" t="s">
        <v>60</v>
      </c>
      <c r="C618">
        <v>6</v>
      </c>
      <c r="D618">
        <v>9</v>
      </c>
      <c r="E618">
        <v>1</v>
      </c>
      <c r="F618">
        <v>0</v>
      </c>
      <c r="H618">
        <v>0</v>
      </c>
      <c r="I618">
        <v>0</v>
      </c>
      <c r="J618">
        <v>0</v>
      </c>
      <c r="K618">
        <v>0</v>
      </c>
      <c r="L618" s="7">
        <v>0</v>
      </c>
      <c r="M618" s="7">
        <v>28.6</v>
      </c>
      <c r="N618">
        <v>190</v>
      </c>
      <c r="O618" s="15">
        <v>153</v>
      </c>
      <c r="P618" s="8">
        <v>0.58571428571428574</v>
      </c>
      <c r="Q618">
        <v>186</v>
      </c>
      <c r="R618" s="15">
        <v>157</v>
      </c>
      <c r="S618" s="8">
        <v>0.61599999999999999</v>
      </c>
      <c r="T618">
        <v>144</v>
      </c>
      <c r="U618" s="15">
        <v>135</v>
      </c>
      <c r="V618" s="8">
        <v>0.75294117647058822</v>
      </c>
      <c r="W618">
        <f t="shared" si="9"/>
        <v>520</v>
      </c>
    </row>
    <row r="619" spans="1:23">
      <c r="A619" s="6">
        <v>45544</v>
      </c>
      <c r="B619" t="s">
        <v>62</v>
      </c>
      <c r="C619">
        <v>0</v>
      </c>
      <c r="D619">
        <v>9</v>
      </c>
      <c r="E619">
        <v>0</v>
      </c>
      <c r="F619">
        <v>0</v>
      </c>
      <c r="H619">
        <v>0</v>
      </c>
      <c r="I619">
        <v>0</v>
      </c>
      <c r="J619">
        <v>0</v>
      </c>
      <c r="K619">
        <v>0</v>
      </c>
      <c r="L619" s="7">
        <v>0</v>
      </c>
      <c r="M619" s="7">
        <v>30.6</v>
      </c>
      <c r="N619">
        <v>164</v>
      </c>
      <c r="O619" s="15">
        <v>136</v>
      </c>
      <c r="P619" s="8">
        <v>0.5</v>
      </c>
      <c r="Q619">
        <v>146</v>
      </c>
      <c r="R619" s="15">
        <v>132</v>
      </c>
      <c r="S619" s="8">
        <v>0.504</v>
      </c>
      <c r="T619">
        <v>121</v>
      </c>
      <c r="U619" s="15">
        <v>98</v>
      </c>
      <c r="V619" s="8">
        <v>0.62352941176470589</v>
      </c>
      <c r="W619">
        <f t="shared" si="9"/>
        <v>431</v>
      </c>
    </row>
    <row r="620" spans="1:23">
      <c r="A620" s="6">
        <v>45545</v>
      </c>
      <c r="B620" t="s">
        <v>63</v>
      </c>
      <c r="C620">
        <v>1</v>
      </c>
      <c r="D620">
        <v>9</v>
      </c>
      <c r="E620">
        <v>0</v>
      </c>
      <c r="F620">
        <v>0</v>
      </c>
      <c r="H620">
        <v>0</v>
      </c>
      <c r="I620">
        <v>0</v>
      </c>
      <c r="J620">
        <v>0</v>
      </c>
      <c r="K620">
        <v>0</v>
      </c>
      <c r="L620" s="7">
        <v>0.1</v>
      </c>
      <c r="M620" s="7">
        <v>28.1</v>
      </c>
      <c r="N620">
        <v>179</v>
      </c>
      <c r="O620" s="15">
        <v>165</v>
      </c>
      <c r="P620" s="8">
        <v>0.5357142857142857</v>
      </c>
      <c r="Q620">
        <v>177</v>
      </c>
      <c r="R620" s="15">
        <v>150</v>
      </c>
      <c r="S620" s="8">
        <v>0.60799999999999998</v>
      </c>
      <c r="T620">
        <v>113</v>
      </c>
      <c r="U620" s="15">
        <v>99</v>
      </c>
      <c r="V620" s="8">
        <v>0.58823529411764708</v>
      </c>
      <c r="W620">
        <f t="shared" si="9"/>
        <v>469</v>
      </c>
    </row>
    <row r="621" spans="1:23">
      <c r="A621" s="6">
        <v>45546</v>
      </c>
      <c r="B621" t="s">
        <v>64</v>
      </c>
      <c r="C621">
        <v>2</v>
      </c>
      <c r="D621">
        <v>9</v>
      </c>
      <c r="E621">
        <v>0</v>
      </c>
      <c r="F621">
        <v>0</v>
      </c>
      <c r="H621">
        <v>0</v>
      </c>
      <c r="I621">
        <v>0</v>
      </c>
      <c r="J621">
        <v>0</v>
      </c>
      <c r="K621">
        <v>0</v>
      </c>
      <c r="L621" s="7">
        <v>3.5</v>
      </c>
      <c r="M621" s="7">
        <v>28.3</v>
      </c>
      <c r="N621">
        <v>186</v>
      </c>
      <c r="O621" s="15">
        <v>160</v>
      </c>
      <c r="P621" s="8">
        <v>0.55714285714285716</v>
      </c>
      <c r="Q621">
        <v>152</v>
      </c>
      <c r="R621" s="15">
        <v>136</v>
      </c>
      <c r="S621" s="8">
        <v>0.496</v>
      </c>
      <c r="T621">
        <v>106</v>
      </c>
      <c r="U621" s="15">
        <v>88</v>
      </c>
      <c r="V621" s="8">
        <v>0.55294117647058827</v>
      </c>
      <c r="W621">
        <f t="shared" si="9"/>
        <v>444</v>
      </c>
    </row>
    <row r="622" spans="1:23">
      <c r="A622" s="6">
        <v>45547</v>
      </c>
      <c r="B622" t="s">
        <v>65</v>
      </c>
      <c r="C622">
        <v>3</v>
      </c>
      <c r="D622">
        <v>9</v>
      </c>
      <c r="E622">
        <v>0</v>
      </c>
      <c r="F622">
        <v>0</v>
      </c>
      <c r="H622">
        <v>0</v>
      </c>
      <c r="I622">
        <v>0</v>
      </c>
      <c r="J622">
        <v>0</v>
      </c>
      <c r="K622">
        <v>0</v>
      </c>
      <c r="L622" s="7">
        <v>2.8</v>
      </c>
      <c r="M622" s="7">
        <v>29</v>
      </c>
      <c r="N622">
        <v>172</v>
      </c>
      <c r="O622" s="15">
        <v>146</v>
      </c>
      <c r="P622" s="8">
        <v>0.52142857142857146</v>
      </c>
      <c r="Q622">
        <v>154</v>
      </c>
      <c r="R622" s="15">
        <v>129</v>
      </c>
      <c r="S622" s="8">
        <v>0.52</v>
      </c>
      <c r="T622">
        <v>123</v>
      </c>
      <c r="U622" s="15">
        <v>110</v>
      </c>
      <c r="V622" s="8">
        <v>0.61176470588235299</v>
      </c>
      <c r="W622">
        <f t="shared" si="9"/>
        <v>449</v>
      </c>
    </row>
    <row r="623" spans="1:23">
      <c r="A623" s="6">
        <v>45548</v>
      </c>
      <c r="B623" t="s">
        <v>66</v>
      </c>
      <c r="C623">
        <v>4</v>
      </c>
      <c r="D623">
        <v>9</v>
      </c>
      <c r="E623">
        <v>0</v>
      </c>
      <c r="F623">
        <v>0</v>
      </c>
      <c r="H623">
        <v>0</v>
      </c>
      <c r="I623">
        <v>0</v>
      </c>
      <c r="J623">
        <v>0</v>
      </c>
      <c r="K623">
        <v>0</v>
      </c>
      <c r="L623" s="7">
        <v>4.0999999999999996</v>
      </c>
      <c r="M623" s="7">
        <v>30.2</v>
      </c>
      <c r="N623">
        <v>178</v>
      </c>
      <c r="O623" s="15">
        <v>156</v>
      </c>
      <c r="P623" s="8">
        <v>0.55714285714285716</v>
      </c>
      <c r="Q623">
        <v>174</v>
      </c>
      <c r="R623" s="15">
        <v>148</v>
      </c>
      <c r="S623" s="8">
        <v>0.55200000000000005</v>
      </c>
      <c r="T623">
        <v>109</v>
      </c>
      <c r="U623" s="15">
        <v>97</v>
      </c>
      <c r="V623" s="8">
        <v>0.55294117647058827</v>
      </c>
      <c r="W623">
        <f t="shared" si="9"/>
        <v>461</v>
      </c>
    </row>
    <row r="624" spans="1:23">
      <c r="A624" s="6">
        <v>45549</v>
      </c>
      <c r="B624" t="s">
        <v>67</v>
      </c>
      <c r="C624">
        <v>5</v>
      </c>
      <c r="D624">
        <v>9</v>
      </c>
      <c r="E624">
        <v>1</v>
      </c>
      <c r="F624">
        <v>0</v>
      </c>
      <c r="H624">
        <v>0</v>
      </c>
      <c r="I624">
        <v>0</v>
      </c>
      <c r="J624">
        <v>0</v>
      </c>
      <c r="K624">
        <v>0</v>
      </c>
      <c r="L624" s="7">
        <v>1.1000000000000001</v>
      </c>
      <c r="M624" s="7">
        <v>29.8</v>
      </c>
      <c r="N624">
        <v>212</v>
      </c>
      <c r="O624" s="15">
        <v>184</v>
      </c>
      <c r="P624" s="8">
        <v>0.6428571428571429</v>
      </c>
      <c r="Q624">
        <v>179</v>
      </c>
      <c r="R624" s="15">
        <v>159</v>
      </c>
      <c r="S624" s="8">
        <v>0.6</v>
      </c>
      <c r="T624">
        <v>136</v>
      </c>
      <c r="U624" s="15">
        <v>125</v>
      </c>
      <c r="V624" s="8">
        <v>0.69411764705882351</v>
      </c>
      <c r="W624">
        <f t="shared" si="9"/>
        <v>527</v>
      </c>
    </row>
    <row r="625" spans="1:23">
      <c r="A625" s="6">
        <v>45550</v>
      </c>
      <c r="B625" t="s">
        <v>60</v>
      </c>
      <c r="C625">
        <v>6</v>
      </c>
      <c r="D625">
        <v>9</v>
      </c>
      <c r="E625">
        <v>1</v>
      </c>
      <c r="F625">
        <v>0</v>
      </c>
      <c r="H625">
        <v>0</v>
      </c>
      <c r="I625">
        <v>0</v>
      </c>
      <c r="J625">
        <v>0</v>
      </c>
      <c r="K625">
        <v>0</v>
      </c>
      <c r="L625" s="7">
        <v>2</v>
      </c>
      <c r="M625" s="7">
        <v>29.4</v>
      </c>
      <c r="N625">
        <v>211</v>
      </c>
      <c r="O625" s="15">
        <v>189</v>
      </c>
      <c r="P625" s="8">
        <v>0.6428571428571429</v>
      </c>
      <c r="Q625">
        <v>202</v>
      </c>
      <c r="R625" s="15">
        <v>172</v>
      </c>
      <c r="S625" s="8">
        <v>0.67200000000000004</v>
      </c>
      <c r="T625">
        <v>126</v>
      </c>
      <c r="U625" s="15">
        <v>111</v>
      </c>
      <c r="V625" s="8">
        <v>0.6705882352941176</v>
      </c>
      <c r="W625">
        <f t="shared" si="9"/>
        <v>539</v>
      </c>
    </row>
    <row r="626" spans="1:23">
      <c r="A626" s="6">
        <v>45551</v>
      </c>
      <c r="B626" t="s">
        <v>62</v>
      </c>
      <c r="C626">
        <v>0</v>
      </c>
      <c r="D626">
        <v>9</v>
      </c>
      <c r="E626">
        <v>0</v>
      </c>
      <c r="F626">
        <v>0</v>
      </c>
      <c r="H626">
        <v>0</v>
      </c>
      <c r="I626">
        <v>0</v>
      </c>
      <c r="J626">
        <v>0</v>
      </c>
      <c r="K626">
        <v>0</v>
      </c>
      <c r="L626" s="7">
        <v>0</v>
      </c>
      <c r="M626" s="7">
        <v>29.3</v>
      </c>
      <c r="N626">
        <v>166</v>
      </c>
      <c r="O626" s="15">
        <v>150</v>
      </c>
      <c r="P626" s="8">
        <v>0.51428571428571423</v>
      </c>
      <c r="Q626">
        <v>166</v>
      </c>
      <c r="R626" s="15">
        <v>142</v>
      </c>
      <c r="S626" s="8">
        <v>0.56000000000000005</v>
      </c>
      <c r="T626">
        <v>110</v>
      </c>
      <c r="U626" s="15">
        <v>103</v>
      </c>
      <c r="V626" s="8">
        <v>0.56470588235294117</v>
      </c>
      <c r="W626">
        <f t="shared" si="9"/>
        <v>442</v>
      </c>
    </row>
    <row r="627" spans="1:23">
      <c r="A627" s="6">
        <v>45552</v>
      </c>
      <c r="B627" t="s">
        <v>63</v>
      </c>
      <c r="C627">
        <v>1</v>
      </c>
      <c r="D627">
        <v>9</v>
      </c>
      <c r="E627">
        <v>0</v>
      </c>
      <c r="F627">
        <v>0</v>
      </c>
      <c r="H627">
        <v>0</v>
      </c>
      <c r="I627">
        <v>0</v>
      </c>
      <c r="J627">
        <v>0</v>
      </c>
      <c r="K627">
        <v>0</v>
      </c>
      <c r="L627" s="7">
        <v>4.7</v>
      </c>
      <c r="M627" s="7">
        <v>28.6</v>
      </c>
      <c r="N627">
        <v>200</v>
      </c>
      <c r="O627" s="15">
        <v>164</v>
      </c>
      <c r="P627" s="8">
        <v>0.62142857142857144</v>
      </c>
      <c r="Q627">
        <v>148</v>
      </c>
      <c r="R627" s="15">
        <v>120</v>
      </c>
      <c r="S627" s="8">
        <v>0.48799999999999999</v>
      </c>
      <c r="T627">
        <v>106</v>
      </c>
      <c r="U627" s="15">
        <v>96</v>
      </c>
      <c r="V627" s="8">
        <v>0.54117647058823526</v>
      </c>
      <c r="W627">
        <f t="shared" si="9"/>
        <v>454</v>
      </c>
    </row>
    <row r="628" spans="1:23">
      <c r="A628" s="6">
        <v>45553</v>
      </c>
      <c r="B628" t="s">
        <v>64</v>
      </c>
      <c r="C628">
        <v>2</v>
      </c>
      <c r="D628">
        <v>9</v>
      </c>
      <c r="E628">
        <v>0</v>
      </c>
      <c r="F628">
        <v>0</v>
      </c>
      <c r="H628">
        <v>0</v>
      </c>
      <c r="I628">
        <v>0</v>
      </c>
      <c r="J628">
        <v>0</v>
      </c>
      <c r="K628">
        <v>0</v>
      </c>
      <c r="L628" s="7">
        <v>0</v>
      </c>
      <c r="M628" s="7">
        <v>29.9</v>
      </c>
      <c r="N628">
        <v>179</v>
      </c>
      <c r="O628" s="15">
        <v>160</v>
      </c>
      <c r="P628" s="8">
        <v>0.5357142857142857</v>
      </c>
      <c r="Q628">
        <v>154</v>
      </c>
      <c r="R628" s="15">
        <v>142</v>
      </c>
      <c r="S628" s="8">
        <v>0.52800000000000002</v>
      </c>
      <c r="T628">
        <v>108</v>
      </c>
      <c r="U628" s="15">
        <v>91</v>
      </c>
      <c r="V628" s="8">
        <v>0.55294117647058827</v>
      </c>
      <c r="W628">
        <f t="shared" si="9"/>
        <v>441</v>
      </c>
    </row>
    <row r="629" spans="1:23">
      <c r="A629" s="6">
        <v>45554</v>
      </c>
      <c r="B629" t="s">
        <v>65</v>
      </c>
      <c r="C629">
        <v>3</v>
      </c>
      <c r="D629">
        <v>9</v>
      </c>
      <c r="E629">
        <v>0</v>
      </c>
      <c r="F629">
        <v>0</v>
      </c>
      <c r="H629">
        <v>0</v>
      </c>
      <c r="I629">
        <v>0</v>
      </c>
      <c r="J629">
        <v>0</v>
      </c>
      <c r="K629">
        <v>0</v>
      </c>
      <c r="L629" s="7">
        <v>4</v>
      </c>
      <c r="M629" s="7">
        <v>28.1</v>
      </c>
      <c r="N629">
        <v>182</v>
      </c>
      <c r="O629" s="15">
        <v>156</v>
      </c>
      <c r="P629" s="8">
        <v>0.52857142857142858</v>
      </c>
      <c r="Q629">
        <v>160</v>
      </c>
      <c r="R629" s="15">
        <v>141</v>
      </c>
      <c r="S629" s="8">
        <v>0.54400000000000004</v>
      </c>
      <c r="T629">
        <v>120</v>
      </c>
      <c r="U629" s="15">
        <v>107</v>
      </c>
      <c r="V629" s="8">
        <v>0.62352941176470589</v>
      </c>
      <c r="W629">
        <f t="shared" si="9"/>
        <v>462</v>
      </c>
    </row>
    <row r="630" spans="1:23">
      <c r="A630" s="6">
        <v>45555</v>
      </c>
      <c r="B630" t="s">
        <v>66</v>
      </c>
      <c r="C630">
        <v>4</v>
      </c>
      <c r="D630">
        <v>9</v>
      </c>
      <c r="E630">
        <v>0</v>
      </c>
      <c r="F630">
        <v>0</v>
      </c>
      <c r="H630">
        <v>0</v>
      </c>
      <c r="I630">
        <v>0</v>
      </c>
      <c r="J630">
        <v>0</v>
      </c>
      <c r="K630">
        <v>0</v>
      </c>
      <c r="L630" s="7">
        <v>1.8</v>
      </c>
      <c r="M630" s="7">
        <v>29.9</v>
      </c>
      <c r="N630">
        <v>164</v>
      </c>
      <c r="O630" s="15">
        <v>145</v>
      </c>
      <c r="P630" s="8">
        <v>0.52142857142857146</v>
      </c>
      <c r="Q630">
        <v>158</v>
      </c>
      <c r="R630" s="15">
        <v>131</v>
      </c>
      <c r="S630" s="8">
        <v>0.51200000000000001</v>
      </c>
      <c r="T630">
        <v>127</v>
      </c>
      <c r="U630" s="15">
        <v>112</v>
      </c>
      <c r="V630" s="8">
        <v>0.68235294117647061</v>
      </c>
      <c r="W630">
        <f t="shared" si="9"/>
        <v>449</v>
      </c>
    </row>
    <row r="631" spans="1:23">
      <c r="A631" s="6">
        <v>45556</v>
      </c>
      <c r="B631" t="s">
        <v>67</v>
      </c>
      <c r="C631">
        <v>5</v>
      </c>
      <c r="D631">
        <v>9</v>
      </c>
      <c r="E631">
        <v>1</v>
      </c>
      <c r="F631">
        <v>0</v>
      </c>
      <c r="H631">
        <v>0</v>
      </c>
      <c r="I631">
        <v>0</v>
      </c>
      <c r="J631">
        <v>0</v>
      </c>
      <c r="K631">
        <v>0</v>
      </c>
      <c r="L631" s="7">
        <v>4</v>
      </c>
      <c r="M631" s="7">
        <v>29.7</v>
      </c>
      <c r="N631">
        <v>201</v>
      </c>
      <c r="O631" s="15">
        <v>180</v>
      </c>
      <c r="P631" s="8">
        <v>0.59285714285714286</v>
      </c>
      <c r="Q631">
        <v>196</v>
      </c>
      <c r="R631" s="15">
        <v>158</v>
      </c>
      <c r="S631" s="8">
        <v>0.64</v>
      </c>
      <c r="T631">
        <v>145</v>
      </c>
      <c r="U631" s="15">
        <v>133</v>
      </c>
      <c r="V631" s="8">
        <v>0.75294117647058822</v>
      </c>
      <c r="W631">
        <f t="shared" si="9"/>
        <v>542</v>
      </c>
    </row>
    <row r="632" spans="1:23">
      <c r="A632" s="6">
        <v>45557</v>
      </c>
      <c r="B632" t="s">
        <v>60</v>
      </c>
      <c r="C632">
        <v>6</v>
      </c>
      <c r="D632">
        <v>9</v>
      </c>
      <c r="E632">
        <v>1</v>
      </c>
      <c r="F632">
        <v>0</v>
      </c>
      <c r="H632">
        <v>0</v>
      </c>
      <c r="I632">
        <v>0</v>
      </c>
      <c r="J632">
        <v>0</v>
      </c>
      <c r="K632">
        <v>0</v>
      </c>
      <c r="L632" s="7">
        <v>3.1</v>
      </c>
      <c r="M632" s="7">
        <v>29.3</v>
      </c>
      <c r="N632">
        <v>215</v>
      </c>
      <c r="O632" s="15">
        <v>173</v>
      </c>
      <c r="P632" s="8">
        <v>0.65714285714285714</v>
      </c>
      <c r="Q632">
        <v>199</v>
      </c>
      <c r="R632" s="15">
        <v>173</v>
      </c>
      <c r="S632" s="8">
        <v>0.64800000000000002</v>
      </c>
      <c r="T632">
        <v>141</v>
      </c>
      <c r="U632" s="15">
        <v>120</v>
      </c>
      <c r="V632" s="8">
        <v>0.71764705882352942</v>
      </c>
      <c r="W632">
        <f t="shared" si="9"/>
        <v>555</v>
      </c>
    </row>
    <row r="633" spans="1:23">
      <c r="A633" s="6">
        <v>45558</v>
      </c>
      <c r="B633" t="s">
        <v>62</v>
      </c>
      <c r="C633">
        <v>0</v>
      </c>
      <c r="D633">
        <v>9</v>
      </c>
      <c r="E633">
        <v>0</v>
      </c>
      <c r="F633">
        <v>0</v>
      </c>
      <c r="H633">
        <v>0</v>
      </c>
      <c r="I633">
        <v>0</v>
      </c>
      <c r="J633">
        <v>0</v>
      </c>
      <c r="K633">
        <v>0</v>
      </c>
      <c r="L633" s="7">
        <v>0.5</v>
      </c>
      <c r="M633" s="7">
        <v>29.5</v>
      </c>
      <c r="N633">
        <v>183</v>
      </c>
      <c r="O633" s="15">
        <v>158</v>
      </c>
      <c r="P633" s="8">
        <v>0.56428571428571428</v>
      </c>
      <c r="Q633">
        <v>158</v>
      </c>
      <c r="R633" s="15">
        <v>142</v>
      </c>
      <c r="S633" s="8">
        <v>0.54400000000000004</v>
      </c>
      <c r="T633">
        <v>107</v>
      </c>
      <c r="U633" s="15">
        <v>86</v>
      </c>
      <c r="V633" s="8">
        <v>0.56470588235294117</v>
      </c>
      <c r="W633">
        <f t="shared" si="9"/>
        <v>448</v>
      </c>
    </row>
    <row r="634" spans="1:23">
      <c r="A634" s="6">
        <v>45559</v>
      </c>
      <c r="B634" t="s">
        <v>63</v>
      </c>
      <c r="C634">
        <v>1</v>
      </c>
      <c r="D634">
        <v>9</v>
      </c>
      <c r="E634">
        <v>0</v>
      </c>
      <c r="F634">
        <v>0</v>
      </c>
      <c r="H634">
        <v>0</v>
      </c>
      <c r="I634">
        <v>0</v>
      </c>
      <c r="J634">
        <v>0</v>
      </c>
      <c r="K634">
        <v>0</v>
      </c>
      <c r="L634" s="7">
        <v>0</v>
      </c>
      <c r="M634" s="7">
        <v>28.9</v>
      </c>
      <c r="N634">
        <v>187</v>
      </c>
      <c r="O634" s="15">
        <v>170</v>
      </c>
      <c r="P634" s="8">
        <v>0.55714285714285716</v>
      </c>
      <c r="Q634">
        <v>161</v>
      </c>
      <c r="R634" s="15">
        <v>148</v>
      </c>
      <c r="S634" s="8">
        <v>0.53600000000000003</v>
      </c>
      <c r="T634">
        <v>118</v>
      </c>
      <c r="U634" s="15">
        <v>98</v>
      </c>
      <c r="V634" s="8">
        <v>0.6</v>
      </c>
      <c r="W634">
        <f t="shared" si="9"/>
        <v>466</v>
      </c>
    </row>
    <row r="635" spans="1:23">
      <c r="A635" s="6">
        <v>45560</v>
      </c>
      <c r="B635" t="s">
        <v>64</v>
      </c>
      <c r="C635">
        <v>2</v>
      </c>
      <c r="D635">
        <v>9</v>
      </c>
      <c r="E635">
        <v>0</v>
      </c>
      <c r="F635">
        <v>0</v>
      </c>
      <c r="H635">
        <v>0</v>
      </c>
      <c r="I635">
        <v>0</v>
      </c>
      <c r="J635">
        <v>0</v>
      </c>
      <c r="K635">
        <v>0</v>
      </c>
      <c r="L635" s="7">
        <v>2.4</v>
      </c>
      <c r="M635" s="7">
        <v>29</v>
      </c>
      <c r="N635">
        <v>153</v>
      </c>
      <c r="O635" s="15">
        <v>136</v>
      </c>
      <c r="P635" s="8">
        <v>0.49285714285714288</v>
      </c>
      <c r="Q635">
        <v>142</v>
      </c>
      <c r="R635" s="15">
        <v>121</v>
      </c>
      <c r="S635" s="8">
        <v>0.47199999999999998</v>
      </c>
      <c r="T635">
        <v>116</v>
      </c>
      <c r="U635" s="15">
        <v>102</v>
      </c>
      <c r="V635" s="8">
        <v>0.56470588235294117</v>
      </c>
      <c r="W635">
        <f t="shared" si="9"/>
        <v>411</v>
      </c>
    </row>
    <row r="636" spans="1:23">
      <c r="A636" s="6">
        <v>45561</v>
      </c>
      <c r="B636" t="s">
        <v>65</v>
      </c>
      <c r="C636">
        <v>3</v>
      </c>
      <c r="D636">
        <v>9</v>
      </c>
      <c r="E636">
        <v>0</v>
      </c>
      <c r="F636">
        <v>0</v>
      </c>
      <c r="H636">
        <v>0</v>
      </c>
      <c r="I636">
        <v>0</v>
      </c>
      <c r="J636">
        <v>0</v>
      </c>
      <c r="K636">
        <v>0</v>
      </c>
      <c r="L636" s="7">
        <v>0</v>
      </c>
      <c r="M636" s="7">
        <v>28.8</v>
      </c>
      <c r="N636">
        <v>193</v>
      </c>
      <c r="O636" s="15">
        <v>174</v>
      </c>
      <c r="P636" s="8">
        <v>0.57857142857142863</v>
      </c>
      <c r="Q636">
        <v>143</v>
      </c>
      <c r="R636" s="15">
        <v>120</v>
      </c>
      <c r="S636" s="8">
        <v>0.47199999999999998</v>
      </c>
      <c r="T636">
        <v>117</v>
      </c>
      <c r="U636" s="15">
        <v>96</v>
      </c>
      <c r="V636" s="8">
        <v>0.6470588235294118</v>
      </c>
      <c r="W636">
        <f t="shared" si="9"/>
        <v>453</v>
      </c>
    </row>
    <row r="637" spans="1:23">
      <c r="A637" s="6">
        <v>45562</v>
      </c>
      <c r="B637" t="s">
        <v>66</v>
      </c>
      <c r="C637">
        <v>4</v>
      </c>
      <c r="D637">
        <v>9</v>
      </c>
      <c r="E637">
        <v>0</v>
      </c>
      <c r="F637">
        <v>0</v>
      </c>
      <c r="H637">
        <v>0</v>
      </c>
      <c r="I637">
        <v>0</v>
      </c>
      <c r="J637">
        <v>0</v>
      </c>
      <c r="K637">
        <v>0</v>
      </c>
      <c r="L637" s="7">
        <v>0</v>
      </c>
      <c r="M637" s="7">
        <v>29.6</v>
      </c>
      <c r="N637">
        <v>173</v>
      </c>
      <c r="O637" s="15">
        <v>154</v>
      </c>
      <c r="P637" s="8">
        <v>0.51428571428571423</v>
      </c>
      <c r="Q637">
        <v>142</v>
      </c>
      <c r="R637" s="15">
        <v>126</v>
      </c>
      <c r="S637" s="8">
        <v>0.496</v>
      </c>
      <c r="T637">
        <v>116</v>
      </c>
      <c r="U637" s="15">
        <v>93</v>
      </c>
      <c r="V637" s="8">
        <v>0.6</v>
      </c>
      <c r="W637">
        <f t="shared" si="9"/>
        <v>431</v>
      </c>
    </row>
    <row r="638" spans="1:23">
      <c r="A638" s="6">
        <v>45563</v>
      </c>
      <c r="B638" t="s">
        <v>67</v>
      </c>
      <c r="C638">
        <v>5</v>
      </c>
      <c r="D638">
        <v>9</v>
      </c>
      <c r="E638">
        <v>1</v>
      </c>
      <c r="F638">
        <v>0</v>
      </c>
      <c r="H638">
        <v>0</v>
      </c>
      <c r="I638">
        <v>0</v>
      </c>
      <c r="J638">
        <v>0</v>
      </c>
      <c r="K638">
        <v>0</v>
      </c>
      <c r="L638" s="7">
        <v>0</v>
      </c>
      <c r="M638" s="7">
        <v>29.1</v>
      </c>
      <c r="N638">
        <v>193</v>
      </c>
      <c r="O638" s="15">
        <v>156</v>
      </c>
      <c r="P638" s="8">
        <v>0.58571428571428574</v>
      </c>
      <c r="Q638">
        <v>186</v>
      </c>
      <c r="R638" s="15">
        <v>157</v>
      </c>
      <c r="S638" s="8">
        <v>0.60799999999999998</v>
      </c>
      <c r="T638">
        <v>131</v>
      </c>
      <c r="U638" s="15">
        <v>108</v>
      </c>
      <c r="V638" s="8">
        <v>0.68235294117647061</v>
      </c>
      <c r="W638">
        <f t="shared" si="9"/>
        <v>510</v>
      </c>
    </row>
    <row r="639" spans="1:23">
      <c r="A639" s="6">
        <v>45564</v>
      </c>
      <c r="B639" t="s">
        <v>60</v>
      </c>
      <c r="C639">
        <v>6</v>
      </c>
      <c r="D639">
        <v>9</v>
      </c>
      <c r="E639">
        <v>1</v>
      </c>
      <c r="F639">
        <v>0</v>
      </c>
      <c r="H639">
        <v>0</v>
      </c>
      <c r="I639">
        <v>0</v>
      </c>
      <c r="J639">
        <v>0</v>
      </c>
      <c r="K639">
        <v>0</v>
      </c>
      <c r="L639" s="7">
        <v>1.9</v>
      </c>
      <c r="M639" s="7">
        <v>29.8</v>
      </c>
      <c r="N639">
        <v>183</v>
      </c>
      <c r="O639" s="15">
        <v>161</v>
      </c>
      <c r="P639" s="8">
        <v>0.55714285714285716</v>
      </c>
      <c r="Q639">
        <v>204</v>
      </c>
      <c r="R639" s="15">
        <v>190</v>
      </c>
      <c r="S639" s="8">
        <v>0.66400000000000003</v>
      </c>
      <c r="T639">
        <v>135</v>
      </c>
      <c r="U639" s="15">
        <v>113</v>
      </c>
      <c r="V639" s="8">
        <v>0.71764705882352942</v>
      </c>
      <c r="W639">
        <f t="shared" si="9"/>
        <v>522</v>
      </c>
    </row>
    <row r="640" spans="1:23">
      <c r="A640" s="6">
        <v>45565</v>
      </c>
      <c r="B640" t="s">
        <v>62</v>
      </c>
      <c r="C640">
        <v>0</v>
      </c>
      <c r="D640">
        <v>9</v>
      </c>
      <c r="E640">
        <v>0</v>
      </c>
      <c r="F640">
        <v>0</v>
      </c>
      <c r="H640">
        <v>0</v>
      </c>
      <c r="I640">
        <v>0</v>
      </c>
      <c r="J640">
        <v>0</v>
      </c>
      <c r="K640">
        <v>0</v>
      </c>
      <c r="L640" s="7">
        <v>0.3</v>
      </c>
      <c r="M640" s="7">
        <v>29.4</v>
      </c>
      <c r="N640">
        <v>168</v>
      </c>
      <c r="O640" s="15">
        <v>140</v>
      </c>
      <c r="P640" s="8">
        <v>0.52857142857142858</v>
      </c>
      <c r="Q640">
        <v>155</v>
      </c>
      <c r="R640" s="15">
        <v>127</v>
      </c>
      <c r="S640" s="8">
        <v>0.51200000000000001</v>
      </c>
      <c r="T640">
        <v>118</v>
      </c>
      <c r="U640" s="15">
        <v>95</v>
      </c>
      <c r="V640" s="8">
        <v>0.58823529411764708</v>
      </c>
      <c r="W640">
        <f t="shared" si="9"/>
        <v>441</v>
      </c>
    </row>
    <row r="641" spans="1:23">
      <c r="A641" s="6">
        <v>45566</v>
      </c>
      <c r="B641" t="s">
        <v>63</v>
      </c>
      <c r="C641">
        <v>1</v>
      </c>
      <c r="D641">
        <v>10</v>
      </c>
      <c r="E641">
        <v>0</v>
      </c>
      <c r="F641">
        <v>0</v>
      </c>
      <c r="H641">
        <v>0</v>
      </c>
      <c r="I641">
        <v>0</v>
      </c>
      <c r="J641">
        <v>0</v>
      </c>
      <c r="K641">
        <v>0</v>
      </c>
      <c r="L641" s="7">
        <v>1.8</v>
      </c>
      <c r="M641" s="7">
        <v>29.7</v>
      </c>
      <c r="N641">
        <v>175</v>
      </c>
      <c r="O641" s="15">
        <v>150</v>
      </c>
      <c r="P641" s="8">
        <v>0.54285714285714282</v>
      </c>
      <c r="Q641">
        <v>160</v>
      </c>
      <c r="R641" s="15">
        <v>148</v>
      </c>
      <c r="S641" s="8">
        <v>0.55200000000000005</v>
      </c>
      <c r="T641">
        <v>121</v>
      </c>
      <c r="U641" s="15">
        <v>99</v>
      </c>
      <c r="V641" s="8">
        <v>0.63529411764705879</v>
      </c>
      <c r="W641">
        <f t="shared" si="9"/>
        <v>456</v>
      </c>
    </row>
    <row r="642" spans="1:23">
      <c r="A642" s="6">
        <v>45567</v>
      </c>
      <c r="B642" t="s">
        <v>64</v>
      </c>
      <c r="C642">
        <v>2</v>
      </c>
      <c r="D642">
        <v>10</v>
      </c>
      <c r="E642">
        <v>0</v>
      </c>
      <c r="F642">
        <v>0</v>
      </c>
      <c r="H642">
        <v>0</v>
      </c>
      <c r="I642">
        <v>0</v>
      </c>
      <c r="J642">
        <v>0</v>
      </c>
      <c r="K642">
        <v>0</v>
      </c>
      <c r="L642" s="7">
        <v>1.7</v>
      </c>
      <c r="M642" s="7">
        <v>30.2</v>
      </c>
      <c r="N642">
        <v>170</v>
      </c>
      <c r="O642" s="15">
        <v>143</v>
      </c>
      <c r="P642" s="8">
        <v>0.51428571428571423</v>
      </c>
      <c r="Q642">
        <v>157</v>
      </c>
      <c r="R642" s="15">
        <v>142</v>
      </c>
      <c r="S642" s="8">
        <v>0.52</v>
      </c>
      <c r="T642">
        <v>103</v>
      </c>
      <c r="U642" s="15">
        <v>84</v>
      </c>
      <c r="V642" s="8">
        <v>0.56470588235294117</v>
      </c>
      <c r="W642">
        <f t="shared" ref="W642:W705" si="10">N642+Q642+T642</f>
        <v>430</v>
      </c>
    </row>
    <row r="643" spans="1:23">
      <c r="A643" s="6">
        <v>45568</v>
      </c>
      <c r="B643" t="s">
        <v>65</v>
      </c>
      <c r="C643">
        <v>3</v>
      </c>
      <c r="D643">
        <v>10</v>
      </c>
      <c r="E643">
        <v>0</v>
      </c>
      <c r="F643">
        <v>0</v>
      </c>
      <c r="H643">
        <v>0</v>
      </c>
      <c r="I643">
        <v>0</v>
      </c>
      <c r="J643">
        <v>0</v>
      </c>
      <c r="K643">
        <v>0</v>
      </c>
      <c r="L643" s="7">
        <v>0</v>
      </c>
      <c r="M643" s="7">
        <v>28.1</v>
      </c>
      <c r="N643">
        <v>192</v>
      </c>
      <c r="O643" s="15">
        <v>169</v>
      </c>
      <c r="P643" s="8">
        <v>0.59285714285714286</v>
      </c>
      <c r="Q643">
        <v>167</v>
      </c>
      <c r="R643" s="15">
        <v>149</v>
      </c>
      <c r="S643" s="8">
        <v>0.55200000000000005</v>
      </c>
      <c r="T643">
        <v>120</v>
      </c>
      <c r="U643" s="15">
        <v>110</v>
      </c>
      <c r="V643" s="8">
        <v>0.62352941176470589</v>
      </c>
      <c r="W643">
        <f t="shared" si="10"/>
        <v>479</v>
      </c>
    </row>
    <row r="644" spans="1:23">
      <c r="A644" s="6">
        <v>45569</v>
      </c>
      <c r="B644" t="s">
        <v>66</v>
      </c>
      <c r="C644">
        <v>4</v>
      </c>
      <c r="D644">
        <v>10</v>
      </c>
      <c r="E644">
        <v>0</v>
      </c>
      <c r="F644">
        <v>0</v>
      </c>
      <c r="H644">
        <v>0</v>
      </c>
      <c r="I644">
        <v>0</v>
      </c>
      <c r="J644">
        <v>0</v>
      </c>
      <c r="K644">
        <v>0</v>
      </c>
      <c r="L644" s="7">
        <v>0</v>
      </c>
      <c r="M644" s="7">
        <v>30.6</v>
      </c>
      <c r="N644">
        <v>176</v>
      </c>
      <c r="O644" s="15">
        <v>156</v>
      </c>
      <c r="P644" s="8">
        <v>0.52857142857142858</v>
      </c>
      <c r="Q644">
        <v>137</v>
      </c>
      <c r="R644" s="15">
        <v>116</v>
      </c>
      <c r="S644" s="8">
        <v>0.48799999999999999</v>
      </c>
      <c r="T644">
        <v>118</v>
      </c>
      <c r="U644" s="15">
        <v>98</v>
      </c>
      <c r="V644" s="8">
        <v>0.63529411764705879</v>
      </c>
      <c r="W644">
        <f t="shared" si="10"/>
        <v>431</v>
      </c>
    </row>
    <row r="645" spans="1:23">
      <c r="A645" s="6">
        <v>45570</v>
      </c>
      <c r="B645" t="s">
        <v>67</v>
      </c>
      <c r="C645">
        <v>5</v>
      </c>
      <c r="D645">
        <v>10</v>
      </c>
      <c r="E645">
        <v>1</v>
      </c>
      <c r="F645">
        <v>0</v>
      </c>
      <c r="H645">
        <v>0</v>
      </c>
      <c r="I645">
        <v>0</v>
      </c>
      <c r="J645">
        <v>0</v>
      </c>
      <c r="K645">
        <v>0</v>
      </c>
      <c r="L645" s="7">
        <v>0</v>
      </c>
      <c r="M645" s="7">
        <v>29.9</v>
      </c>
      <c r="N645">
        <v>198</v>
      </c>
      <c r="O645" s="15">
        <v>180</v>
      </c>
      <c r="P645" s="8">
        <v>0.61428571428571432</v>
      </c>
      <c r="Q645">
        <v>192</v>
      </c>
      <c r="R645" s="15">
        <v>172</v>
      </c>
      <c r="S645" s="8">
        <v>0.66400000000000003</v>
      </c>
      <c r="T645">
        <v>135</v>
      </c>
      <c r="U645" s="15">
        <v>112</v>
      </c>
      <c r="V645" s="8">
        <v>0.71764705882352942</v>
      </c>
      <c r="W645">
        <f t="shared" si="10"/>
        <v>525</v>
      </c>
    </row>
    <row r="646" spans="1:23">
      <c r="A646" s="6">
        <v>45571</v>
      </c>
      <c r="B646" t="s">
        <v>60</v>
      </c>
      <c r="C646">
        <v>6</v>
      </c>
      <c r="D646">
        <v>10</v>
      </c>
      <c r="E646">
        <v>1</v>
      </c>
      <c r="F646">
        <v>0</v>
      </c>
      <c r="H646">
        <v>0</v>
      </c>
      <c r="I646">
        <v>0</v>
      </c>
      <c r="J646">
        <v>0</v>
      </c>
      <c r="K646">
        <v>0</v>
      </c>
      <c r="L646" s="7">
        <v>0</v>
      </c>
      <c r="M646" s="7">
        <v>29.3</v>
      </c>
      <c r="N646">
        <v>194</v>
      </c>
      <c r="O646" s="15">
        <v>180</v>
      </c>
      <c r="P646" s="8">
        <v>0.6071428571428571</v>
      </c>
      <c r="Q646">
        <v>200</v>
      </c>
      <c r="R646" s="15">
        <v>175</v>
      </c>
      <c r="S646" s="8">
        <v>0.65600000000000003</v>
      </c>
      <c r="T646">
        <v>143</v>
      </c>
      <c r="U646" s="15">
        <v>122</v>
      </c>
      <c r="V646" s="8">
        <v>0.69411764705882351</v>
      </c>
      <c r="W646">
        <f t="shared" si="10"/>
        <v>537</v>
      </c>
    </row>
    <row r="647" spans="1:23">
      <c r="A647" s="6">
        <v>45572</v>
      </c>
      <c r="B647" t="s">
        <v>62</v>
      </c>
      <c r="C647">
        <v>0</v>
      </c>
      <c r="D647">
        <v>10</v>
      </c>
      <c r="E647">
        <v>0</v>
      </c>
      <c r="F647">
        <v>0</v>
      </c>
      <c r="H647">
        <v>0</v>
      </c>
      <c r="I647">
        <v>0</v>
      </c>
      <c r="J647">
        <v>0</v>
      </c>
      <c r="K647">
        <v>0</v>
      </c>
      <c r="L647" s="7">
        <v>0</v>
      </c>
      <c r="M647" s="7">
        <v>28.5</v>
      </c>
      <c r="N647">
        <v>185</v>
      </c>
      <c r="O647" s="15">
        <v>161</v>
      </c>
      <c r="P647" s="8">
        <v>0.56428571428571428</v>
      </c>
      <c r="Q647">
        <v>151</v>
      </c>
      <c r="R647" s="15">
        <v>134</v>
      </c>
      <c r="S647" s="8">
        <v>0.48</v>
      </c>
      <c r="T647">
        <v>103</v>
      </c>
      <c r="U647" s="15">
        <v>88</v>
      </c>
      <c r="V647" s="8">
        <v>0.56470588235294117</v>
      </c>
      <c r="W647">
        <f t="shared" si="10"/>
        <v>439</v>
      </c>
    </row>
    <row r="648" spans="1:23">
      <c r="A648" s="6">
        <v>45573</v>
      </c>
      <c r="B648" t="s">
        <v>63</v>
      </c>
      <c r="C648">
        <v>1</v>
      </c>
      <c r="D648">
        <v>10</v>
      </c>
      <c r="E648">
        <v>0</v>
      </c>
      <c r="F648">
        <v>0</v>
      </c>
      <c r="H648">
        <v>0</v>
      </c>
      <c r="I648">
        <v>0</v>
      </c>
      <c r="J648">
        <v>0</v>
      </c>
      <c r="K648">
        <v>0</v>
      </c>
      <c r="L648" s="7">
        <v>0.8</v>
      </c>
      <c r="M648" s="7">
        <v>30.2</v>
      </c>
      <c r="N648">
        <v>176</v>
      </c>
      <c r="O648" s="15">
        <v>161</v>
      </c>
      <c r="P648" s="8">
        <v>0.54285714285714282</v>
      </c>
      <c r="Q648">
        <v>170</v>
      </c>
      <c r="R648" s="15">
        <v>156</v>
      </c>
      <c r="S648" s="8">
        <v>0.56000000000000005</v>
      </c>
      <c r="T648">
        <v>132</v>
      </c>
      <c r="U648" s="15">
        <v>112</v>
      </c>
      <c r="V648" s="8">
        <v>0.6470588235294118</v>
      </c>
      <c r="W648">
        <f t="shared" si="10"/>
        <v>478</v>
      </c>
    </row>
    <row r="649" spans="1:23">
      <c r="A649" s="6">
        <v>45574</v>
      </c>
      <c r="B649" t="s">
        <v>64</v>
      </c>
      <c r="C649">
        <v>2</v>
      </c>
      <c r="D649">
        <v>10</v>
      </c>
      <c r="E649">
        <v>0</v>
      </c>
      <c r="F649">
        <v>0</v>
      </c>
      <c r="H649">
        <v>0</v>
      </c>
      <c r="I649">
        <v>0</v>
      </c>
      <c r="J649">
        <v>0</v>
      </c>
      <c r="K649">
        <v>0</v>
      </c>
      <c r="L649" s="7">
        <v>5.4</v>
      </c>
      <c r="M649" s="7">
        <v>29.4</v>
      </c>
      <c r="N649">
        <v>171</v>
      </c>
      <c r="O649" s="15">
        <v>144</v>
      </c>
      <c r="P649" s="8">
        <v>0.52142857142857146</v>
      </c>
      <c r="Q649">
        <v>161</v>
      </c>
      <c r="R649" s="15">
        <v>137</v>
      </c>
      <c r="S649" s="8">
        <v>0.54400000000000004</v>
      </c>
      <c r="T649">
        <v>116</v>
      </c>
      <c r="U649" s="15">
        <v>101</v>
      </c>
      <c r="V649" s="8">
        <v>0.62352941176470589</v>
      </c>
      <c r="W649">
        <f t="shared" si="10"/>
        <v>448</v>
      </c>
    </row>
    <row r="650" spans="1:23">
      <c r="A650" s="6">
        <v>45575</v>
      </c>
      <c r="B650" t="s">
        <v>65</v>
      </c>
      <c r="C650">
        <v>3</v>
      </c>
      <c r="D650">
        <v>10</v>
      </c>
      <c r="E650">
        <v>0</v>
      </c>
      <c r="F650">
        <v>0</v>
      </c>
      <c r="H650">
        <v>0</v>
      </c>
      <c r="I650">
        <v>0</v>
      </c>
      <c r="J650">
        <v>0</v>
      </c>
      <c r="K650">
        <v>0</v>
      </c>
      <c r="L650" s="7">
        <v>4.9000000000000004</v>
      </c>
      <c r="M650" s="7">
        <v>28.9</v>
      </c>
      <c r="N650">
        <v>166</v>
      </c>
      <c r="O650" s="15">
        <v>142</v>
      </c>
      <c r="P650" s="8">
        <v>0.51428571428571423</v>
      </c>
      <c r="Q650">
        <v>162</v>
      </c>
      <c r="R650" s="15">
        <v>137</v>
      </c>
      <c r="S650" s="8">
        <v>0.55200000000000005</v>
      </c>
      <c r="T650">
        <v>121</v>
      </c>
      <c r="U650" s="15">
        <v>107</v>
      </c>
      <c r="V650" s="8">
        <v>0.58823529411764708</v>
      </c>
      <c r="W650">
        <f t="shared" si="10"/>
        <v>449</v>
      </c>
    </row>
    <row r="651" spans="1:23">
      <c r="A651" s="6">
        <v>45576</v>
      </c>
      <c r="B651" t="s">
        <v>66</v>
      </c>
      <c r="C651">
        <v>4</v>
      </c>
      <c r="D651">
        <v>10</v>
      </c>
      <c r="E651">
        <v>0</v>
      </c>
      <c r="F651">
        <v>0</v>
      </c>
      <c r="H651">
        <v>0</v>
      </c>
      <c r="I651">
        <v>0</v>
      </c>
      <c r="J651">
        <v>0</v>
      </c>
      <c r="K651">
        <v>0</v>
      </c>
      <c r="L651" s="7">
        <v>0</v>
      </c>
      <c r="M651" s="7">
        <v>29.1</v>
      </c>
      <c r="N651">
        <v>157</v>
      </c>
      <c r="O651" s="15">
        <v>140</v>
      </c>
      <c r="P651" s="8">
        <v>0.47142857142857142</v>
      </c>
      <c r="Q651">
        <v>165</v>
      </c>
      <c r="R651" s="15">
        <v>139</v>
      </c>
      <c r="S651" s="8">
        <v>0.52800000000000002</v>
      </c>
      <c r="T651">
        <v>112</v>
      </c>
      <c r="U651" s="15">
        <v>94</v>
      </c>
      <c r="V651" s="8">
        <v>0.61176470588235299</v>
      </c>
      <c r="W651">
        <f t="shared" si="10"/>
        <v>434</v>
      </c>
    </row>
    <row r="652" spans="1:23">
      <c r="A652" s="6">
        <v>45577</v>
      </c>
      <c r="B652" t="s">
        <v>67</v>
      </c>
      <c r="C652">
        <v>5</v>
      </c>
      <c r="D652">
        <v>10</v>
      </c>
      <c r="E652">
        <v>1</v>
      </c>
      <c r="F652">
        <v>1</v>
      </c>
      <c r="G652" t="s">
        <v>73</v>
      </c>
      <c r="H652">
        <v>0</v>
      </c>
      <c r="I652">
        <v>0</v>
      </c>
      <c r="J652">
        <v>0</v>
      </c>
      <c r="K652">
        <v>0</v>
      </c>
      <c r="L652" s="7">
        <v>0</v>
      </c>
      <c r="M652" s="7">
        <v>28.1</v>
      </c>
      <c r="N652">
        <v>242</v>
      </c>
      <c r="O652" s="15">
        <v>222</v>
      </c>
      <c r="P652" s="8">
        <v>0.72857142857142854</v>
      </c>
      <c r="Q652">
        <v>205</v>
      </c>
      <c r="R652" s="15">
        <v>168</v>
      </c>
      <c r="S652" s="8">
        <v>0.67200000000000004</v>
      </c>
      <c r="T652">
        <v>155</v>
      </c>
      <c r="U652" s="15">
        <v>133</v>
      </c>
      <c r="V652" s="8">
        <v>0.81176470588235294</v>
      </c>
      <c r="W652">
        <f t="shared" si="10"/>
        <v>602</v>
      </c>
    </row>
    <row r="653" spans="1:23">
      <c r="A653" s="6">
        <v>45578</v>
      </c>
      <c r="B653" t="s">
        <v>60</v>
      </c>
      <c r="C653">
        <v>6</v>
      </c>
      <c r="D653">
        <v>10</v>
      </c>
      <c r="E653">
        <v>1</v>
      </c>
      <c r="F653">
        <v>0</v>
      </c>
      <c r="H653">
        <v>0</v>
      </c>
      <c r="I653">
        <v>0</v>
      </c>
      <c r="J653">
        <v>0</v>
      </c>
      <c r="K653">
        <v>0</v>
      </c>
      <c r="L653" s="7">
        <v>4.2</v>
      </c>
      <c r="M653" s="7">
        <v>29.2</v>
      </c>
      <c r="N653">
        <v>207</v>
      </c>
      <c r="O653" s="15">
        <v>176</v>
      </c>
      <c r="P653" s="8">
        <v>0.61428571428571432</v>
      </c>
      <c r="Q653">
        <v>180</v>
      </c>
      <c r="R653" s="15">
        <v>153</v>
      </c>
      <c r="S653" s="8">
        <v>0.61599999999999999</v>
      </c>
      <c r="T653">
        <v>140</v>
      </c>
      <c r="U653" s="15">
        <v>120</v>
      </c>
      <c r="V653" s="8">
        <v>0.72941176470588232</v>
      </c>
      <c r="W653">
        <f t="shared" si="10"/>
        <v>527</v>
      </c>
    </row>
    <row r="654" spans="1:23">
      <c r="A654" s="6">
        <v>45579</v>
      </c>
      <c r="B654" t="s">
        <v>62</v>
      </c>
      <c r="C654">
        <v>0</v>
      </c>
      <c r="D654">
        <v>10</v>
      </c>
      <c r="E654">
        <v>0</v>
      </c>
      <c r="F654">
        <v>0</v>
      </c>
      <c r="H654">
        <v>0</v>
      </c>
      <c r="I654">
        <v>0</v>
      </c>
      <c r="J654">
        <v>0</v>
      </c>
      <c r="K654">
        <v>0</v>
      </c>
      <c r="L654" s="7">
        <v>3.5</v>
      </c>
      <c r="M654" s="7">
        <v>31.2</v>
      </c>
      <c r="N654">
        <v>182</v>
      </c>
      <c r="O654" s="15">
        <v>163</v>
      </c>
      <c r="P654" s="8">
        <v>0.55714285714285716</v>
      </c>
      <c r="Q654">
        <v>142</v>
      </c>
      <c r="R654" s="15">
        <v>129</v>
      </c>
      <c r="S654" s="8">
        <v>0.46400000000000002</v>
      </c>
      <c r="T654">
        <v>106</v>
      </c>
      <c r="U654" s="15">
        <v>88</v>
      </c>
      <c r="V654" s="8">
        <v>0.52941176470588236</v>
      </c>
      <c r="W654">
        <f t="shared" si="10"/>
        <v>430</v>
      </c>
    </row>
    <row r="655" spans="1:23">
      <c r="A655" s="6">
        <v>45580</v>
      </c>
      <c r="B655" t="s">
        <v>63</v>
      </c>
      <c r="C655">
        <v>1</v>
      </c>
      <c r="D655">
        <v>10</v>
      </c>
      <c r="E655">
        <v>0</v>
      </c>
      <c r="F655">
        <v>0</v>
      </c>
      <c r="H655">
        <v>0</v>
      </c>
      <c r="I655">
        <v>0</v>
      </c>
      <c r="J655">
        <v>0</v>
      </c>
      <c r="K655">
        <v>0</v>
      </c>
      <c r="L655" s="7">
        <v>5.8</v>
      </c>
      <c r="M655" s="7">
        <v>29.5</v>
      </c>
      <c r="N655">
        <v>165</v>
      </c>
      <c r="O655" s="15">
        <v>151</v>
      </c>
      <c r="P655" s="8">
        <v>0.50714285714285712</v>
      </c>
      <c r="Q655">
        <v>165</v>
      </c>
      <c r="R655" s="15">
        <v>151</v>
      </c>
      <c r="S655" s="8">
        <v>0.52800000000000002</v>
      </c>
      <c r="T655">
        <v>121</v>
      </c>
      <c r="U655" s="15">
        <v>108</v>
      </c>
      <c r="V655" s="8">
        <v>0.62352941176470589</v>
      </c>
      <c r="W655">
        <f t="shared" si="10"/>
        <v>451</v>
      </c>
    </row>
    <row r="656" spans="1:23">
      <c r="A656" s="6">
        <v>45581</v>
      </c>
      <c r="B656" t="s">
        <v>64</v>
      </c>
      <c r="C656">
        <v>2</v>
      </c>
      <c r="D656">
        <v>10</v>
      </c>
      <c r="E656">
        <v>0</v>
      </c>
      <c r="F656">
        <v>0</v>
      </c>
      <c r="H656">
        <v>0</v>
      </c>
      <c r="I656">
        <v>0</v>
      </c>
      <c r="J656">
        <v>0</v>
      </c>
      <c r="K656">
        <v>0</v>
      </c>
      <c r="L656" s="7">
        <v>0.2</v>
      </c>
      <c r="M656" s="7">
        <v>28.7</v>
      </c>
      <c r="N656">
        <v>201</v>
      </c>
      <c r="O656" s="15">
        <v>168</v>
      </c>
      <c r="P656" s="8">
        <v>0.6</v>
      </c>
      <c r="Q656">
        <v>149</v>
      </c>
      <c r="R656" s="15">
        <v>125</v>
      </c>
      <c r="S656" s="8">
        <v>0.48799999999999999</v>
      </c>
      <c r="T656">
        <v>100</v>
      </c>
      <c r="U656" s="15">
        <v>91</v>
      </c>
      <c r="V656" s="8">
        <v>0.55294117647058827</v>
      </c>
      <c r="W656">
        <f t="shared" si="10"/>
        <v>450</v>
      </c>
    </row>
    <row r="657" spans="1:23">
      <c r="A657" s="6">
        <v>45582</v>
      </c>
      <c r="B657" t="s">
        <v>65</v>
      </c>
      <c r="C657">
        <v>3</v>
      </c>
      <c r="D657">
        <v>10</v>
      </c>
      <c r="E657">
        <v>0</v>
      </c>
      <c r="F657">
        <v>0</v>
      </c>
      <c r="H657">
        <v>0</v>
      </c>
      <c r="I657">
        <v>0</v>
      </c>
      <c r="J657">
        <v>0</v>
      </c>
      <c r="K657">
        <v>0</v>
      </c>
      <c r="L657" s="7">
        <v>2.1</v>
      </c>
      <c r="M657" s="7">
        <v>30.9</v>
      </c>
      <c r="N657">
        <v>173</v>
      </c>
      <c r="O657" s="15">
        <v>151</v>
      </c>
      <c r="P657" s="8">
        <v>0.50714285714285712</v>
      </c>
      <c r="Q657">
        <v>156</v>
      </c>
      <c r="R657" s="15">
        <v>130</v>
      </c>
      <c r="S657" s="8">
        <v>0.52800000000000002</v>
      </c>
      <c r="T657">
        <v>108</v>
      </c>
      <c r="U657" s="15">
        <v>102</v>
      </c>
      <c r="V657" s="8">
        <v>0.61176470588235299</v>
      </c>
      <c r="W657">
        <f t="shared" si="10"/>
        <v>437</v>
      </c>
    </row>
    <row r="658" spans="1:23">
      <c r="A658" s="6">
        <v>45583</v>
      </c>
      <c r="B658" t="s">
        <v>66</v>
      </c>
      <c r="C658">
        <v>4</v>
      </c>
      <c r="D658">
        <v>10</v>
      </c>
      <c r="E658">
        <v>0</v>
      </c>
      <c r="F658">
        <v>0</v>
      </c>
      <c r="H658">
        <v>0</v>
      </c>
      <c r="I658">
        <v>0</v>
      </c>
      <c r="J658">
        <v>0</v>
      </c>
      <c r="K658">
        <v>0</v>
      </c>
      <c r="L658" s="7">
        <v>0</v>
      </c>
      <c r="M658" s="7">
        <v>29.6</v>
      </c>
      <c r="N658">
        <v>172</v>
      </c>
      <c r="O658" s="15">
        <v>161</v>
      </c>
      <c r="P658" s="8">
        <v>0.54285714285714282</v>
      </c>
      <c r="Q658">
        <v>167</v>
      </c>
      <c r="R658" s="15">
        <v>152</v>
      </c>
      <c r="S658" s="8">
        <v>0.54400000000000004</v>
      </c>
      <c r="T658">
        <v>111</v>
      </c>
      <c r="U658" s="15">
        <v>91</v>
      </c>
      <c r="V658" s="8">
        <v>0.56470588235294117</v>
      </c>
      <c r="W658">
        <f t="shared" si="10"/>
        <v>450</v>
      </c>
    </row>
    <row r="659" spans="1:23">
      <c r="A659" s="6">
        <v>45584</v>
      </c>
      <c r="B659" t="s">
        <v>67</v>
      </c>
      <c r="C659">
        <v>5</v>
      </c>
      <c r="D659">
        <v>10</v>
      </c>
      <c r="E659">
        <v>1</v>
      </c>
      <c r="F659">
        <v>0</v>
      </c>
      <c r="H659">
        <v>0</v>
      </c>
      <c r="I659">
        <v>0</v>
      </c>
      <c r="J659">
        <v>0</v>
      </c>
      <c r="K659">
        <v>0</v>
      </c>
      <c r="L659" s="7">
        <v>0</v>
      </c>
      <c r="M659" s="7">
        <v>29</v>
      </c>
      <c r="N659">
        <v>209</v>
      </c>
      <c r="O659" s="15">
        <v>188</v>
      </c>
      <c r="P659" s="8">
        <v>0.63571428571428568</v>
      </c>
      <c r="Q659">
        <v>182</v>
      </c>
      <c r="R659" s="15">
        <v>153</v>
      </c>
      <c r="S659" s="8">
        <v>0.624</v>
      </c>
      <c r="T659">
        <v>136</v>
      </c>
      <c r="U659" s="15">
        <v>120</v>
      </c>
      <c r="V659" s="8">
        <v>0.70588235294117652</v>
      </c>
      <c r="W659">
        <f t="shared" si="10"/>
        <v>527</v>
      </c>
    </row>
    <row r="660" spans="1:23">
      <c r="A660" s="6">
        <v>45585</v>
      </c>
      <c r="B660" t="s">
        <v>60</v>
      </c>
      <c r="C660">
        <v>6</v>
      </c>
      <c r="D660">
        <v>10</v>
      </c>
      <c r="E660">
        <v>1</v>
      </c>
      <c r="F660">
        <v>0</v>
      </c>
      <c r="H660">
        <v>0</v>
      </c>
      <c r="I660">
        <v>0</v>
      </c>
      <c r="J660">
        <v>0</v>
      </c>
      <c r="K660">
        <v>0</v>
      </c>
      <c r="L660" s="7">
        <v>2.8</v>
      </c>
      <c r="M660" s="7">
        <v>29.9</v>
      </c>
      <c r="N660">
        <v>210</v>
      </c>
      <c r="O660" s="15">
        <v>176</v>
      </c>
      <c r="P660" s="8">
        <v>0.63571428571428568</v>
      </c>
      <c r="Q660">
        <v>177</v>
      </c>
      <c r="R660" s="15">
        <v>144</v>
      </c>
      <c r="S660" s="8">
        <v>0.59199999999999997</v>
      </c>
      <c r="T660">
        <v>140</v>
      </c>
      <c r="U660" s="15">
        <v>125</v>
      </c>
      <c r="V660" s="8">
        <v>0.72941176470588232</v>
      </c>
      <c r="W660">
        <f t="shared" si="10"/>
        <v>527</v>
      </c>
    </row>
    <row r="661" spans="1:23">
      <c r="A661" s="6">
        <v>45586</v>
      </c>
      <c r="B661" t="s">
        <v>62</v>
      </c>
      <c r="C661">
        <v>0</v>
      </c>
      <c r="D661">
        <v>10</v>
      </c>
      <c r="E661">
        <v>0</v>
      </c>
      <c r="F661">
        <v>0</v>
      </c>
      <c r="H661">
        <v>0</v>
      </c>
      <c r="I661">
        <v>0</v>
      </c>
      <c r="J661">
        <v>0</v>
      </c>
      <c r="K661">
        <v>0</v>
      </c>
      <c r="L661" s="7">
        <v>0.5</v>
      </c>
      <c r="M661" s="7">
        <v>29.6</v>
      </c>
      <c r="N661">
        <v>180</v>
      </c>
      <c r="O661" s="15">
        <v>160</v>
      </c>
      <c r="P661" s="8">
        <v>0.54285714285714282</v>
      </c>
      <c r="Q661">
        <v>151</v>
      </c>
      <c r="R661" s="15">
        <v>125</v>
      </c>
      <c r="S661" s="8">
        <v>0.51200000000000001</v>
      </c>
      <c r="T661">
        <v>96</v>
      </c>
      <c r="U661" s="15">
        <v>82</v>
      </c>
      <c r="V661" s="8">
        <v>0.49411764705882355</v>
      </c>
      <c r="W661">
        <f t="shared" si="10"/>
        <v>427</v>
      </c>
    </row>
    <row r="662" spans="1:23">
      <c r="A662" s="6">
        <v>45587</v>
      </c>
      <c r="B662" t="s">
        <v>63</v>
      </c>
      <c r="C662">
        <v>1</v>
      </c>
      <c r="D662">
        <v>10</v>
      </c>
      <c r="E662">
        <v>0</v>
      </c>
      <c r="F662">
        <v>0</v>
      </c>
      <c r="H662">
        <v>0</v>
      </c>
      <c r="I662">
        <v>0</v>
      </c>
      <c r="J662">
        <v>0</v>
      </c>
      <c r="K662">
        <v>0</v>
      </c>
      <c r="L662" s="7">
        <v>0.8</v>
      </c>
      <c r="M662" s="7">
        <v>30.3</v>
      </c>
      <c r="N662">
        <v>188</v>
      </c>
      <c r="O662" s="15">
        <v>170</v>
      </c>
      <c r="P662" s="8">
        <v>0.58571428571428574</v>
      </c>
      <c r="Q662">
        <v>167</v>
      </c>
      <c r="R662" s="15">
        <v>149</v>
      </c>
      <c r="S662" s="8">
        <v>0.54400000000000004</v>
      </c>
      <c r="T662">
        <v>114</v>
      </c>
      <c r="U662" s="15">
        <v>95</v>
      </c>
      <c r="V662" s="8">
        <v>0.56470588235294117</v>
      </c>
      <c r="W662">
        <f t="shared" si="10"/>
        <v>469</v>
      </c>
    </row>
    <row r="663" spans="1:23">
      <c r="A663" s="6">
        <v>45588</v>
      </c>
      <c r="B663" t="s">
        <v>64</v>
      </c>
      <c r="C663">
        <v>2</v>
      </c>
      <c r="D663">
        <v>10</v>
      </c>
      <c r="E663">
        <v>0</v>
      </c>
      <c r="F663">
        <v>0</v>
      </c>
      <c r="H663">
        <v>0</v>
      </c>
      <c r="I663">
        <v>0</v>
      </c>
      <c r="J663">
        <v>0</v>
      </c>
      <c r="K663">
        <v>0</v>
      </c>
      <c r="L663" s="7">
        <v>1.2</v>
      </c>
      <c r="M663" s="7">
        <v>31.5</v>
      </c>
      <c r="N663">
        <v>188</v>
      </c>
      <c r="O663" s="15">
        <v>161</v>
      </c>
      <c r="P663" s="8">
        <v>0.56428571428571428</v>
      </c>
      <c r="Q663">
        <v>162</v>
      </c>
      <c r="R663" s="15">
        <v>142</v>
      </c>
      <c r="S663" s="8">
        <v>0.54400000000000004</v>
      </c>
      <c r="T663">
        <v>109</v>
      </c>
      <c r="U663" s="15">
        <v>89</v>
      </c>
      <c r="V663" s="8">
        <v>0.56470588235294117</v>
      </c>
      <c r="W663">
        <f t="shared" si="10"/>
        <v>459</v>
      </c>
    </row>
    <row r="664" spans="1:23">
      <c r="A664" s="6">
        <v>45589</v>
      </c>
      <c r="B664" t="s">
        <v>65</v>
      </c>
      <c r="C664">
        <v>3</v>
      </c>
      <c r="D664">
        <v>10</v>
      </c>
      <c r="E664">
        <v>0</v>
      </c>
      <c r="F664">
        <v>0</v>
      </c>
      <c r="H664">
        <v>0</v>
      </c>
      <c r="I664">
        <v>0</v>
      </c>
      <c r="J664">
        <v>0</v>
      </c>
      <c r="K664">
        <v>0</v>
      </c>
      <c r="L664" s="7">
        <v>0.8</v>
      </c>
      <c r="M664" s="7">
        <v>29.3</v>
      </c>
      <c r="N664">
        <v>178</v>
      </c>
      <c r="O664" s="15">
        <v>146</v>
      </c>
      <c r="P664" s="8">
        <v>0.54285714285714282</v>
      </c>
      <c r="Q664">
        <v>148</v>
      </c>
      <c r="R664" s="15">
        <v>129</v>
      </c>
      <c r="S664" s="8">
        <v>0.496</v>
      </c>
      <c r="T664">
        <v>104</v>
      </c>
      <c r="U664" s="15">
        <v>93</v>
      </c>
      <c r="V664" s="8">
        <v>0.61176470588235299</v>
      </c>
      <c r="W664">
        <f t="shared" si="10"/>
        <v>430</v>
      </c>
    </row>
    <row r="665" spans="1:23">
      <c r="A665" s="6">
        <v>45590</v>
      </c>
      <c r="B665" t="s">
        <v>66</v>
      </c>
      <c r="C665">
        <v>4</v>
      </c>
      <c r="D665">
        <v>10</v>
      </c>
      <c r="E665">
        <v>0</v>
      </c>
      <c r="F665">
        <v>0</v>
      </c>
      <c r="H665">
        <v>0</v>
      </c>
      <c r="I665">
        <v>0</v>
      </c>
      <c r="J665">
        <v>0</v>
      </c>
      <c r="K665">
        <v>0</v>
      </c>
      <c r="L665" s="7">
        <v>0.9</v>
      </c>
      <c r="M665" s="7">
        <v>30.4</v>
      </c>
      <c r="N665">
        <v>176</v>
      </c>
      <c r="O665" s="15">
        <v>156</v>
      </c>
      <c r="P665" s="8">
        <v>0.5357142857142857</v>
      </c>
      <c r="Q665">
        <v>136</v>
      </c>
      <c r="R665" s="15">
        <v>124</v>
      </c>
      <c r="S665" s="8">
        <v>0.46400000000000002</v>
      </c>
      <c r="T665">
        <v>99</v>
      </c>
      <c r="U665" s="15">
        <v>84</v>
      </c>
      <c r="V665" s="8">
        <v>0.55294117647058827</v>
      </c>
      <c r="W665">
        <f t="shared" si="10"/>
        <v>411</v>
      </c>
    </row>
    <row r="666" spans="1:23">
      <c r="A666" s="6">
        <v>45591</v>
      </c>
      <c r="B666" t="s">
        <v>67</v>
      </c>
      <c r="C666">
        <v>5</v>
      </c>
      <c r="D666">
        <v>10</v>
      </c>
      <c r="E666">
        <v>1</v>
      </c>
      <c r="F666">
        <v>0</v>
      </c>
      <c r="H666">
        <v>0</v>
      </c>
      <c r="I666">
        <v>0</v>
      </c>
      <c r="J666">
        <v>0</v>
      </c>
      <c r="K666">
        <v>0</v>
      </c>
      <c r="L666" s="7">
        <v>0</v>
      </c>
      <c r="M666" s="7">
        <v>29.2</v>
      </c>
      <c r="N666">
        <v>189</v>
      </c>
      <c r="O666" s="15">
        <v>160</v>
      </c>
      <c r="P666" s="8">
        <v>0.57857142857142863</v>
      </c>
      <c r="Q666">
        <v>178</v>
      </c>
      <c r="R666" s="15">
        <v>149</v>
      </c>
      <c r="S666" s="8">
        <v>0.58399999999999996</v>
      </c>
      <c r="T666">
        <v>133</v>
      </c>
      <c r="U666" s="15">
        <v>113</v>
      </c>
      <c r="V666" s="8">
        <v>0.6705882352941176</v>
      </c>
      <c r="W666">
        <f t="shared" si="10"/>
        <v>500</v>
      </c>
    </row>
    <row r="667" spans="1:23">
      <c r="A667" s="6">
        <v>45592</v>
      </c>
      <c r="B667" t="s">
        <v>60</v>
      </c>
      <c r="C667">
        <v>6</v>
      </c>
      <c r="D667">
        <v>10</v>
      </c>
      <c r="E667">
        <v>1</v>
      </c>
      <c r="F667">
        <v>0</v>
      </c>
      <c r="H667">
        <v>0</v>
      </c>
      <c r="I667">
        <v>0</v>
      </c>
      <c r="J667">
        <v>0</v>
      </c>
      <c r="K667">
        <v>0</v>
      </c>
      <c r="L667" s="7">
        <v>1.1000000000000001</v>
      </c>
      <c r="M667" s="7">
        <v>30.9</v>
      </c>
      <c r="N667">
        <v>202</v>
      </c>
      <c r="O667" s="15">
        <v>181</v>
      </c>
      <c r="P667" s="8">
        <v>0.62142857142857144</v>
      </c>
      <c r="Q667">
        <v>188</v>
      </c>
      <c r="R667" s="15">
        <v>166</v>
      </c>
      <c r="S667" s="8">
        <v>0.65600000000000003</v>
      </c>
      <c r="T667">
        <v>130</v>
      </c>
      <c r="U667" s="15">
        <v>118</v>
      </c>
      <c r="V667" s="8">
        <v>0.68235294117647061</v>
      </c>
      <c r="W667">
        <f t="shared" si="10"/>
        <v>520</v>
      </c>
    </row>
    <row r="668" spans="1:23">
      <c r="A668" s="6">
        <v>45593</v>
      </c>
      <c r="B668" t="s">
        <v>62</v>
      </c>
      <c r="C668">
        <v>0</v>
      </c>
      <c r="D668">
        <v>10</v>
      </c>
      <c r="E668">
        <v>0</v>
      </c>
      <c r="F668">
        <v>0</v>
      </c>
      <c r="H668">
        <v>0</v>
      </c>
      <c r="I668">
        <v>0</v>
      </c>
      <c r="J668">
        <v>0</v>
      </c>
      <c r="K668">
        <v>0</v>
      </c>
      <c r="L668" s="7">
        <v>0</v>
      </c>
      <c r="M668" s="7">
        <v>30.2</v>
      </c>
      <c r="N668">
        <v>198</v>
      </c>
      <c r="O668" s="15">
        <v>172</v>
      </c>
      <c r="P668" s="8">
        <v>0.61428571428571432</v>
      </c>
      <c r="Q668">
        <v>155</v>
      </c>
      <c r="R668" s="15">
        <v>132</v>
      </c>
      <c r="S668" s="8">
        <v>0.52</v>
      </c>
      <c r="T668">
        <v>132</v>
      </c>
      <c r="U668" s="15">
        <v>122</v>
      </c>
      <c r="V668" s="8">
        <v>0.70588235294117652</v>
      </c>
      <c r="W668">
        <f t="shared" si="10"/>
        <v>485</v>
      </c>
    </row>
    <row r="669" spans="1:23">
      <c r="A669" s="6">
        <v>45594</v>
      </c>
      <c r="B669" t="s">
        <v>63</v>
      </c>
      <c r="C669">
        <v>1</v>
      </c>
      <c r="D669">
        <v>10</v>
      </c>
      <c r="E669">
        <v>0</v>
      </c>
      <c r="F669">
        <v>0</v>
      </c>
      <c r="H669">
        <v>0</v>
      </c>
      <c r="I669">
        <v>0</v>
      </c>
      <c r="J669">
        <v>0</v>
      </c>
      <c r="K669">
        <v>0</v>
      </c>
      <c r="L669" s="7">
        <v>2.8</v>
      </c>
      <c r="M669" s="7">
        <v>30.5</v>
      </c>
      <c r="N669">
        <v>161</v>
      </c>
      <c r="O669" s="15">
        <v>140</v>
      </c>
      <c r="P669" s="8">
        <v>0.50714285714285712</v>
      </c>
      <c r="Q669">
        <v>143</v>
      </c>
      <c r="R669" s="15">
        <v>134</v>
      </c>
      <c r="S669" s="8">
        <v>0.47199999999999998</v>
      </c>
      <c r="T669">
        <v>108</v>
      </c>
      <c r="U669" s="15">
        <v>88</v>
      </c>
      <c r="V669" s="8">
        <v>0.57647058823529407</v>
      </c>
      <c r="W669">
        <f t="shared" si="10"/>
        <v>412</v>
      </c>
    </row>
    <row r="670" spans="1:23">
      <c r="A670" s="6">
        <v>45595</v>
      </c>
      <c r="B670" t="s">
        <v>64</v>
      </c>
      <c r="C670">
        <v>2</v>
      </c>
      <c r="D670">
        <v>10</v>
      </c>
      <c r="E670">
        <v>0</v>
      </c>
      <c r="F670">
        <v>0</v>
      </c>
      <c r="H670">
        <v>0</v>
      </c>
      <c r="I670">
        <v>0</v>
      </c>
      <c r="J670">
        <v>0</v>
      </c>
      <c r="K670">
        <v>0</v>
      </c>
      <c r="L670" s="7">
        <v>0</v>
      </c>
      <c r="M670" s="7">
        <v>28.8</v>
      </c>
      <c r="N670">
        <v>193</v>
      </c>
      <c r="O670" s="15">
        <v>155</v>
      </c>
      <c r="P670" s="8">
        <v>0.6071428571428571</v>
      </c>
      <c r="Q670">
        <v>165</v>
      </c>
      <c r="R670" s="15">
        <v>135</v>
      </c>
      <c r="S670" s="8">
        <v>0.52800000000000002</v>
      </c>
      <c r="T670">
        <v>125</v>
      </c>
      <c r="U670" s="15">
        <v>115</v>
      </c>
      <c r="V670" s="8">
        <v>0.63529411764705879</v>
      </c>
      <c r="W670">
        <f t="shared" si="10"/>
        <v>483</v>
      </c>
    </row>
    <row r="671" spans="1:23">
      <c r="A671" s="6">
        <v>45596</v>
      </c>
      <c r="B671" t="s">
        <v>65</v>
      </c>
      <c r="C671">
        <v>3</v>
      </c>
      <c r="D671">
        <v>10</v>
      </c>
      <c r="E671">
        <v>0</v>
      </c>
      <c r="F671">
        <v>0</v>
      </c>
      <c r="H671">
        <v>0</v>
      </c>
      <c r="I671">
        <v>0</v>
      </c>
      <c r="J671">
        <v>0</v>
      </c>
      <c r="K671">
        <v>0</v>
      </c>
      <c r="L671" s="7">
        <v>1</v>
      </c>
      <c r="M671" s="7">
        <v>28.8</v>
      </c>
      <c r="N671">
        <v>178</v>
      </c>
      <c r="O671" s="15">
        <v>167</v>
      </c>
      <c r="P671" s="8">
        <v>0.52857142857142858</v>
      </c>
      <c r="Q671">
        <v>144</v>
      </c>
      <c r="R671" s="15">
        <v>124</v>
      </c>
      <c r="S671" s="8">
        <v>0.48799999999999999</v>
      </c>
      <c r="T671">
        <v>117</v>
      </c>
      <c r="U671" s="15">
        <v>107</v>
      </c>
      <c r="V671" s="8">
        <v>0.61176470588235299</v>
      </c>
      <c r="W671">
        <f t="shared" si="10"/>
        <v>439</v>
      </c>
    </row>
    <row r="672" spans="1:23">
      <c r="A672" s="6">
        <v>45597</v>
      </c>
      <c r="B672" t="s">
        <v>66</v>
      </c>
      <c r="C672">
        <v>4</v>
      </c>
      <c r="D672">
        <v>11</v>
      </c>
      <c r="E672">
        <v>0</v>
      </c>
      <c r="F672">
        <v>0</v>
      </c>
      <c r="H672">
        <v>0</v>
      </c>
      <c r="I672">
        <v>0</v>
      </c>
      <c r="J672">
        <v>0</v>
      </c>
      <c r="K672">
        <v>0</v>
      </c>
      <c r="L672" s="7">
        <v>0</v>
      </c>
      <c r="M672" s="7">
        <v>30.4</v>
      </c>
      <c r="N672">
        <v>210</v>
      </c>
      <c r="O672" s="15">
        <v>171</v>
      </c>
      <c r="P672" s="8">
        <v>0.65</v>
      </c>
      <c r="Q672">
        <v>161</v>
      </c>
      <c r="R672" s="15">
        <v>147</v>
      </c>
      <c r="S672" s="8">
        <v>0.53600000000000003</v>
      </c>
      <c r="T672">
        <v>118</v>
      </c>
      <c r="U672" s="15">
        <v>106</v>
      </c>
      <c r="V672" s="8">
        <v>0.61176470588235299</v>
      </c>
      <c r="W672">
        <f t="shared" si="10"/>
        <v>489</v>
      </c>
    </row>
    <row r="673" spans="1:23">
      <c r="A673" s="6">
        <v>45598</v>
      </c>
      <c r="B673" t="s">
        <v>67</v>
      </c>
      <c r="C673">
        <v>5</v>
      </c>
      <c r="D673">
        <v>11</v>
      </c>
      <c r="E673">
        <v>1</v>
      </c>
      <c r="F673">
        <v>1</v>
      </c>
      <c r="G673" t="s">
        <v>74</v>
      </c>
      <c r="H673">
        <v>0</v>
      </c>
      <c r="I673">
        <v>0</v>
      </c>
      <c r="J673">
        <v>0</v>
      </c>
      <c r="K673">
        <v>0</v>
      </c>
      <c r="L673" s="7">
        <v>0</v>
      </c>
      <c r="M673" s="7">
        <v>29</v>
      </c>
      <c r="N673">
        <v>233</v>
      </c>
      <c r="O673" s="15">
        <v>211</v>
      </c>
      <c r="P673" s="8">
        <v>0.68571428571428572</v>
      </c>
      <c r="Q673">
        <v>226</v>
      </c>
      <c r="R673" s="15">
        <v>201</v>
      </c>
      <c r="S673" s="8">
        <v>0.74399999999999999</v>
      </c>
      <c r="T673">
        <v>148</v>
      </c>
      <c r="U673" s="15">
        <v>129</v>
      </c>
      <c r="V673" s="8">
        <v>0.76470588235294112</v>
      </c>
      <c r="W673">
        <f t="shared" si="10"/>
        <v>607</v>
      </c>
    </row>
    <row r="674" spans="1:23">
      <c r="A674" s="6">
        <v>45599</v>
      </c>
      <c r="B674" t="s">
        <v>60</v>
      </c>
      <c r="C674">
        <v>6</v>
      </c>
      <c r="D674">
        <v>11</v>
      </c>
      <c r="E674">
        <v>1</v>
      </c>
      <c r="F674">
        <v>0</v>
      </c>
      <c r="H674">
        <v>0</v>
      </c>
      <c r="I674">
        <v>0</v>
      </c>
      <c r="J674">
        <v>0</v>
      </c>
      <c r="K674">
        <v>0</v>
      </c>
      <c r="L674" s="7">
        <v>3.2</v>
      </c>
      <c r="M674" s="7">
        <v>28.8</v>
      </c>
      <c r="N674">
        <v>194</v>
      </c>
      <c r="O674" s="15">
        <v>163</v>
      </c>
      <c r="P674" s="8">
        <v>0.6</v>
      </c>
      <c r="Q674">
        <v>192</v>
      </c>
      <c r="R674" s="15">
        <v>165</v>
      </c>
      <c r="S674" s="8">
        <v>0.61599999999999999</v>
      </c>
      <c r="T674">
        <v>133</v>
      </c>
      <c r="U674" s="15">
        <v>117</v>
      </c>
      <c r="V674" s="8">
        <v>0.68235294117647061</v>
      </c>
      <c r="W674">
        <f t="shared" si="10"/>
        <v>519</v>
      </c>
    </row>
    <row r="675" spans="1:23">
      <c r="A675" s="6">
        <v>45600</v>
      </c>
      <c r="B675" t="s">
        <v>62</v>
      </c>
      <c r="C675">
        <v>0</v>
      </c>
      <c r="D675">
        <v>11</v>
      </c>
      <c r="E675">
        <v>0</v>
      </c>
      <c r="F675">
        <v>0</v>
      </c>
      <c r="H675">
        <v>0</v>
      </c>
      <c r="I675">
        <v>0</v>
      </c>
      <c r="J675">
        <v>0</v>
      </c>
      <c r="K675">
        <v>0</v>
      </c>
      <c r="L675" s="7">
        <v>4.5999999999999996</v>
      </c>
      <c r="M675" s="7">
        <v>28.4</v>
      </c>
      <c r="N675">
        <v>179</v>
      </c>
      <c r="O675" s="15">
        <v>157</v>
      </c>
      <c r="P675" s="8">
        <v>0.55714285714285716</v>
      </c>
      <c r="Q675">
        <v>149</v>
      </c>
      <c r="R675" s="15">
        <v>137</v>
      </c>
      <c r="S675" s="8">
        <v>0.48</v>
      </c>
      <c r="T675">
        <v>110</v>
      </c>
      <c r="U675" s="15">
        <v>100</v>
      </c>
      <c r="V675" s="8">
        <v>0.56470588235294117</v>
      </c>
      <c r="W675">
        <f t="shared" si="10"/>
        <v>438</v>
      </c>
    </row>
    <row r="676" spans="1:23">
      <c r="A676" s="6">
        <v>45601</v>
      </c>
      <c r="B676" t="s">
        <v>63</v>
      </c>
      <c r="C676">
        <v>1</v>
      </c>
      <c r="D676">
        <v>11</v>
      </c>
      <c r="E676">
        <v>0</v>
      </c>
      <c r="F676">
        <v>0</v>
      </c>
      <c r="H676">
        <v>0</v>
      </c>
      <c r="I676">
        <v>0</v>
      </c>
      <c r="J676">
        <v>0</v>
      </c>
      <c r="K676">
        <v>0</v>
      </c>
      <c r="L676" s="7">
        <v>3.3</v>
      </c>
      <c r="M676" s="7">
        <v>29.6</v>
      </c>
      <c r="N676">
        <v>177</v>
      </c>
      <c r="O676" s="15">
        <v>156</v>
      </c>
      <c r="P676" s="8">
        <v>0.55714285714285716</v>
      </c>
      <c r="Q676">
        <v>145</v>
      </c>
      <c r="R676" s="15">
        <v>125</v>
      </c>
      <c r="S676" s="8">
        <v>0.48799999999999999</v>
      </c>
      <c r="T676">
        <v>105</v>
      </c>
      <c r="U676" s="15">
        <v>91</v>
      </c>
      <c r="V676" s="8">
        <v>0.56470588235294117</v>
      </c>
      <c r="W676">
        <f t="shared" si="10"/>
        <v>427</v>
      </c>
    </row>
    <row r="677" spans="1:23">
      <c r="A677" s="6">
        <v>45602</v>
      </c>
      <c r="B677" t="s">
        <v>64</v>
      </c>
      <c r="C677">
        <v>2</v>
      </c>
      <c r="D677">
        <v>11</v>
      </c>
      <c r="E677">
        <v>0</v>
      </c>
      <c r="F677">
        <v>0</v>
      </c>
      <c r="H677">
        <v>0</v>
      </c>
      <c r="I677">
        <v>0</v>
      </c>
      <c r="J677">
        <v>0</v>
      </c>
      <c r="K677">
        <v>0</v>
      </c>
      <c r="L677" s="7">
        <v>1.6</v>
      </c>
      <c r="M677" s="7">
        <v>29.7</v>
      </c>
      <c r="N677">
        <v>183</v>
      </c>
      <c r="O677" s="15">
        <v>153</v>
      </c>
      <c r="P677" s="8">
        <v>0.55000000000000004</v>
      </c>
      <c r="Q677">
        <v>151</v>
      </c>
      <c r="R677" s="15">
        <v>122</v>
      </c>
      <c r="S677" s="8">
        <v>0.504</v>
      </c>
      <c r="T677">
        <v>116</v>
      </c>
      <c r="U677" s="15">
        <v>99</v>
      </c>
      <c r="V677" s="8">
        <v>0.62352941176470589</v>
      </c>
      <c r="W677">
        <f t="shared" si="10"/>
        <v>450</v>
      </c>
    </row>
    <row r="678" spans="1:23">
      <c r="A678" s="6">
        <v>45603</v>
      </c>
      <c r="B678" t="s">
        <v>65</v>
      </c>
      <c r="C678">
        <v>3</v>
      </c>
      <c r="D678">
        <v>11</v>
      </c>
      <c r="E678">
        <v>0</v>
      </c>
      <c r="F678">
        <v>0</v>
      </c>
      <c r="H678">
        <v>0</v>
      </c>
      <c r="I678">
        <v>0</v>
      </c>
      <c r="J678">
        <v>0</v>
      </c>
      <c r="K678">
        <v>0</v>
      </c>
      <c r="L678" s="7">
        <v>0</v>
      </c>
      <c r="M678" s="7">
        <v>29.9</v>
      </c>
      <c r="N678">
        <v>175</v>
      </c>
      <c r="O678" s="15">
        <v>156</v>
      </c>
      <c r="P678" s="8">
        <v>0.51428571428571423</v>
      </c>
      <c r="Q678">
        <v>154</v>
      </c>
      <c r="R678" s="15">
        <v>142</v>
      </c>
      <c r="S678" s="8">
        <v>0.52800000000000002</v>
      </c>
      <c r="T678">
        <v>108</v>
      </c>
      <c r="U678" s="15">
        <v>94</v>
      </c>
      <c r="V678" s="8">
        <v>0.57647058823529407</v>
      </c>
      <c r="W678">
        <f t="shared" si="10"/>
        <v>437</v>
      </c>
    </row>
    <row r="679" spans="1:23">
      <c r="A679" s="6">
        <v>45604</v>
      </c>
      <c r="B679" t="s">
        <v>66</v>
      </c>
      <c r="C679">
        <v>4</v>
      </c>
      <c r="D679">
        <v>11</v>
      </c>
      <c r="E679">
        <v>0</v>
      </c>
      <c r="F679">
        <v>0</v>
      </c>
      <c r="H679">
        <v>0</v>
      </c>
      <c r="I679">
        <v>0</v>
      </c>
      <c r="J679">
        <v>0</v>
      </c>
      <c r="K679">
        <v>0</v>
      </c>
      <c r="L679" s="7">
        <v>3.7</v>
      </c>
      <c r="M679" s="7">
        <v>30</v>
      </c>
      <c r="N679">
        <v>197</v>
      </c>
      <c r="O679" s="15">
        <v>164</v>
      </c>
      <c r="P679" s="8">
        <v>0.58571428571428574</v>
      </c>
      <c r="Q679">
        <v>160</v>
      </c>
      <c r="R679" s="15">
        <v>149</v>
      </c>
      <c r="S679" s="8">
        <v>0.52800000000000002</v>
      </c>
      <c r="T679">
        <v>116</v>
      </c>
      <c r="U679" s="15">
        <v>108</v>
      </c>
      <c r="V679" s="8">
        <v>0.61176470588235299</v>
      </c>
      <c r="W679">
        <f t="shared" si="10"/>
        <v>473</v>
      </c>
    </row>
    <row r="680" spans="1:23">
      <c r="A680" s="6">
        <v>45605</v>
      </c>
      <c r="B680" t="s">
        <v>67</v>
      </c>
      <c r="C680">
        <v>5</v>
      </c>
      <c r="D680">
        <v>11</v>
      </c>
      <c r="E680">
        <v>1</v>
      </c>
      <c r="F680">
        <v>0</v>
      </c>
      <c r="H680">
        <v>0</v>
      </c>
      <c r="I680">
        <v>0</v>
      </c>
      <c r="J680">
        <v>0</v>
      </c>
      <c r="K680">
        <v>0</v>
      </c>
      <c r="L680" s="7">
        <v>1.8</v>
      </c>
      <c r="M680" s="7">
        <v>29.5</v>
      </c>
      <c r="N680">
        <v>215</v>
      </c>
      <c r="O680" s="15">
        <v>201</v>
      </c>
      <c r="P680" s="8">
        <v>0.65714285714285714</v>
      </c>
      <c r="Q680">
        <v>190</v>
      </c>
      <c r="R680" s="15">
        <v>162</v>
      </c>
      <c r="S680" s="8">
        <v>0.624</v>
      </c>
      <c r="T680">
        <v>125</v>
      </c>
      <c r="U680" s="15">
        <v>105</v>
      </c>
      <c r="V680" s="8">
        <v>0.68235294117647061</v>
      </c>
      <c r="W680">
        <f t="shared" si="10"/>
        <v>530</v>
      </c>
    </row>
    <row r="681" spans="1:23">
      <c r="A681" s="6">
        <v>45606</v>
      </c>
      <c r="B681" t="s">
        <v>60</v>
      </c>
      <c r="C681">
        <v>6</v>
      </c>
      <c r="D681">
        <v>11</v>
      </c>
      <c r="E681">
        <v>1</v>
      </c>
      <c r="F681">
        <v>0</v>
      </c>
      <c r="H681">
        <v>0</v>
      </c>
      <c r="I681">
        <v>0</v>
      </c>
      <c r="J681">
        <v>0</v>
      </c>
      <c r="K681">
        <v>0</v>
      </c>
      <c r="L681" s="7">
        <v>0</v>
      </c>
      <c r="M681" s="7">
        <v>27.9</v>
      </c>
      <c r="N681">
        <v>219</v>
      </c>
      <c r="O681" s="15">
        <v>200</v>
      </c>
      <c r="P681" s="8">
        <v>0.66428571428571426</v>
      </c>
      <c r="Q681">
        <v>192</v>
      </c>
      <c r="R681" s="15">
        <v>175</v>
      </c>
      <c r="S681" s="8">
        <v>0.624</v>
      </c>
      <c r="T681">
        <v>139</v>
      </c>
      <c r="U681" s="15">
        <v>112</v>
      </c>
      <c r="V681" s="8">
        <v>0.76470588235294112</v>
      </c>
      <c r="W681">
        <f t="shared" si="10"/>
        <v>550</v>
      </c>
    </row>
    <row r="682" spans="1:23">
      <c r="A682" s="6">
        <v>45607</v>
      </c>
      <c r="B682" t="s">
        <v>62</v>
      </c>
      <c r="C682">
        <v>0</v>
      </c>
      <c r="D682">
        <v>11</v>
      </c>
      <c r="E682">
        <v>0</v>
      </c>
      <c r="F682">
        <v>0</v>
      </c>
      <c r="H682">
        <v>0</v>
      </c>
      <c r="I682">
        <v>0</v>
      </c>
      <c r="J682">
        <v>0</v>
      </c>
      <c r="K682">
        <v>0</v>
      </c>
      <c r="L682" s="7">
        <v>4.5</v>
      </c>
      <c r="M682" s="7">
        <v>29.5</v>
      </c>
      <c r="N682">
        <v>172</v>
      </c>
      <c r="O682" s="15">
        <v>141</v>
      </c>
      <c r="P682" s="8">
        <v>0.52142857142857146</v>
      </c>
      <c r="Q682">
        <v>148</v>
      </c>
      <c r="R682" s="15">
        <v>133</v>
      </c>
      <c r="S682" s="8">
        <v>0.496</v>
      </c>
      <c r="T682">
        <v>125</v>
      </c>
      <c r="U682" s="15">
        <v>108</v>
      </c>
      <c r="V682" s="8">
        <v>0.6470588235294118</v>
      </c>
      <c r="W682">
        <f t="shared" si="10"/>
        <v>445</v>
      </c>
    </row>
    <row r="683" spans="1:23">
      <c r="A683" s="6">
        <v>45608</v>
      </c>
      <c r="B683" t="s">
        <v>63</v>
      </c>
      <c r="C683">
        <v>1</v>
      </c>
      <c r="D683">
        <v>11</v>
      </c>
      <c r="E683">
        <v>0</v>
      </c>
      <c r="F683">
        <v>0</v>
      </c>
      <c r="H683">
        <v>0</v>
      </c>
      <c r="I683">
        <v>0</v>
      </c>
      <c r="J683">
        <v>0</v>
      </c>
      <c r="K683">
        <v>0</v>
      </c>
      <c r="L683" s="7">
        <v>1.6</v>
      </c>
      <c r="M683" s="7">
        <v>30</v>
      </c>
      <c r="N683">
        <v>200</v>
      </c>
      <c r="O683" s="15">
        <v>172</v>
      </c>
      <c r="P683" s="8">
        <v>0.6071428571428571</v>
      </c>
      <c r="Q683">
        <v>165</v>
      </c>
      <c r="R683" s="15">
        <v>151</v>
      </c>
      <c r="S683" s="8">
        <v>0.56000000000000005</v>
      </c>
      <c r="T683">
        <v>125</v>
      </c>
      <c r="U683" s="15">
        <v>103</v>
      </c>
      <c r="V683" s="8">
        <v>0.6588235294117647</v>
      </c>
      <c r="W683">
        <f t="shared" si="10"/>
        <v>490</v>
      </c>
    </row>
    <row r="684" spans="1:23">
      <c r="A684" s="6">
        <v>45609</v>
      </c>
      <c r="B684" t="s">
        <v>64</v>
      </c>
      <c r="C684">
        <v>2</v>
      </c>
      <c r="D684">
        <v>11</v>
      </c>
      <c r="E684">
        <v>0</v>
      </c>
      <c r="F684">
        <v>0</v>
      </c>
      <c r="H684">
        <v>0</v>
      </c>
      <c r="I684">
        <v>0</v>
      </c>
      <c r="J684">
        <v>0</v>
      </c>
      <c r="K684">
        <v>0</v>
      </c>
      <c r="L684" s="7">
        <v>2.6</v>
      </c>
      <c r="M684" s="7">
        <v>29.9</v>
      </c>
      <c r="N684">
        <v>179</v>
      </c>
      <c r="O684" s="15">
        <v>155</v>
      </c>
      <c r="P684" s="8">
        <v>0.54285714285714282</v>
      </c>
      <c r="Q684">
        <v>152</v>
      </c>
      <c r="R684" s="15">
        <v>133</v>
      </c>
      <c r="S684" s="8">
        <v>0.53600000000000003</v>
      </c>
      <c r="T684">
        <v>135</v>
      </c>
      <c r="U684" s="15">
        <v>115</v>
      </c>
      <c r="V684" s="8">
        <v>0.6705882352941176</v>
      </c>
      <c r="W684">
        <f t="shared" si="10"/>
        <v>466</v>
      </c>
    </row>
    <row r="685" spans="1:23">
      <c r="A685" s="6">
        <v>45610</v>
      </c>
      <c r="B685" t="s">
        <v>65</v>
      </c>
      <c r="C685">
        <v>3</v>
      </c>
      <c r="D685">
        <v>11</v>
      </c>
      <c r="E685">
        <v>0</v>
      </c>
      <c r="F685">
        <v>0</v>
      </c>
      <c r="H685">
        <v>0</v>
      </c>
      <c r="I685">
        <v>0</v>
      </c>
      <c r="J685">
        <v>0</v>
      </c>
      <c r="K685">
        <v>0</v>
      </c>
      <c r="L685" s="7">
        <v>2.2999999999999998</v>
      </c>
      <c r="M685" s="7">
        <v>29</v>
      </c>
      <c r="N685">
        <v>181</v>
      </c>
      <c r="O685" s="15">
        <v>158</v>
      </c>
      <c r="P685" s="8">
        <v>0.55714285714285716</v>
      </c>
      <c r="Q685">
        <v>152</v>
      </c>
      <c r="R685" s="15">
        <v>130</v>
      </c>
      <c r="S685" s="8">
        <v>0.496</v>
      </c>
      <c r="T685">
        <v>123</v>
      </c>
      <c r="U685" s="15">
        <v>112</v>
      </c>
      <c r="V685" s="8">
        <v>0.6470588235294118</v>
      </c>
      <c r="W685">
        <f t="shared" si="10"/>
        <v>456</v>
      </c>
    </row>
    <row r="686" spans="1:23">
      <c r="A686" s="6">
        <v>45611</v>
      </c>
      <c r="B686" t="s">
        <v>66</v>
      </c>
      <c r="C686">
        <v>4</v>
      </c>
      <c r="D686">
        <v>11</v>
      </c>
      <c r="E686">
        <v>0</v>
      </c>
      <c r="F686">
        <v>1</v>
      </c>
      <c r="G686" t="s">
        <v>75</v>
      </c>
      <c r="H686">
        <v>0</v>
      </c>
      <c r="I686">
        <v>0</v>
      </c>
      <c r="J686">
        <v>0</v>
      </c>
      <c r="K686">
        <v>0</v>
      </c>
      <c r="L686" s="7">
        <v>2.7</v>
      </c>
      <c r="M686" s="7">
        <v>30.7</v>
      </c>
      <c r="N686">
        <v>192</v>
      </c>
      <c r="O686" s="15">
        <v>155</v>
      </c>
      <c r="P686" s="8">
        <v>0.58571428571428574</v>
      </c>
      <c r="Q686">
        <v>190</v>
      </c>
      <c r="R686" s="15">
        <v>153</v>
      </c>
      <c r="S686" s="8">
        <v>0.624</v>
      </c>
      <c r="T686">
        <v>134</v>
      </c>
      <c r="U686" s="15">
        <v>124</v>
      </c>
      <c r="V686" s="8">
        <v>0.72941176470588232</v>
      </c>
      <c r="W686">
        <f t="shared" si="10"/>
        <v>516</v>
      </c>
    </row>
    <row r="687" spans="1:23">
      <c r="A687" s="6">
        <v>45612</v>
      </c>
      <c r="B687" t="s">
        <v>67</v>
      </c>
      <c r="C687">
        <v>5</v>
      </c>
      <c r="D687">
        <v>11</v>
      </c>
      <c r="E687">
        <v>1</v>
      </c>
      <c r="F687">
        <v>0</v>
      </c>
      <c r="H687">
        <v>0</v>
      </c>
      <c r="I687">
        <v>0</v>
      </c>
      <c r="J687">
        <v>0</v>
      </c>
      <c r="K687">
        <v>0</v>
      </c>
      <c r="L687" s="7">
        <v>3.2</v>
      </c>
      <c r="M687" s="7">
        <v>28.6</v>
      </c>
      <c r="N687">
        <v>229</v>
      </c>
      <c r="O687" s="15">
        <v>192</v>
      </c>
      <c r="P687" s="8">
        <v>0.69285714285714284</v>
      </c>
      <c r="Q687">
        <v>210</v>
      </c>
      <c r="R687" s="15">
        <v>188</v>
      </c>
      <c r="S687" s="8">
        <v>0.70399999999999996</v>
      </c>
      <c r="T687">
        <v>151</v>
      </c>
      <c r="U687" s="15">
        <v>131</v>
      </c>
      <c r="V687" s="8">
        <v>0.77647058823529413</v>
      </c>
      <c r="W687">
        <f t="shared" si="10"/>
        <v>590</v>
      </c>
    </row>
    <row r="688" spans="1:23">
      <c r="A688" s="6">
        <v>45613</v>
      </c>
      <c r="B688" t="s">
        <v>60</v>
      </c>
      <c r="C688">
        <v>6</v>
      </c>
      <c r="D688">
        <v>11</v>
      </c>
      <c r="E688">
        <v>1</v>
      </c>
      <c r="F688">
        <v>0</v>
      </c>
      <c r="H688">
        <v>0</v>
      </c>
      <c r="I688">
        <v>0</v>
      </c>
      <c r="J688">
        <v>0</v>
      </c>
      <c r="K688">
        <v>0</v>
      </c>
      <c r="L688" s="7">
        <v>0</v>
      </c>
      <c r="M688" s="7">
        <v>29.9</v>
      </c>
      <c r="N688">
        <v>206</v>
      </c>
      <c r="O688" s="15">
        <v>188</v>
      </c>
      <c r="P688" s="8">
        <v>0.61428571428571432</v>
      </c>
      <c r="Q688">
        <v>193</v>
      </c>
      <c r="R688" s="15">
        <v>176</v>
      </c>
      <c r="S688" s="8">
        <v>0.64800000000000002</v>
      </c>
      <c r="T688">
        <v>152</v>
      </c>
      <c r="U688" s="15">
        <v>130</v>
      </c>
      <c r="V688" s="8">
        <v>0.77647058823529413</v>
      </c>
      <c r="W688">
        <f t="shared" si="10"/>
        <v>551</v>
      </c>
    </row>
    <row r="689" spans="1:23">
      <c r="A689" s="6">
        <v>45614</v>
      </c>
      <c r="B689" t="s">
        <v>62</v>
      </c>
      <c r="C689">
        <v>0</v>
      </c>
      <c r="D689">
        <v>11</v>
      </c>
      <c r="E689">
        <v>0</v>
      </c>
      <c r="F689">
        <v>0</v>
      </c>
      <c r="H689">
        <v>0</v>
      </c>
      <c r="I689">
        <v>0</v>
      </c>
      <c r="J689">
        <v>0</v>
      </c>
      <c r="K689">
        <v>0</v>
      </c>
      <c r="L689" s="7">
        <v>0</v>
      </c>
      <c r="M689" s="7">
        <v>28.7</v>
      </c>
      <c r="N689">
        <v>176</v>
      </c>
      <c r="O689" s="15">
        <v>152</v>
      </c>
      <c r="P689" s="8">
        <v>0.55000000000000004</v>
      </c>
      <c r="Q689">
        <v>156</v>
      </c>
      <c r="R689" s="15">
        <v>136</v>
      </c>
      <c r="S689" s="8">
        <v>0.51200000000000001</v>
      </c>
      <c r="T689">
        <v>119</v>
      </c>
      <c r="U689" s="15">
        <v>101</v>
      </c>
      <c r="V689" s="8">
        <v>0.6</v>
      </c>
      <c r="W689">
        <f t="shared" si="10"/>
        <v>451</v>
      </c>
    </row>
    <row r="690" spans="1:23">
      <c r="A690" s="6">
        <v>45615</v>
      </c>
      <c r="B690" t="s">
        <v>63</v>
      </c>
      <c r="C690">
        <v>1</v>
      </c>
      <c r="D690">
        <v>11</v>
      </c>
      <c r="E690">
        <v>0</v>
      </c>
      <c r="F690">
        <v>0</v>
      </c>
      <c r="H690">
        <v>0</v>
      </c>
      <c r="I690">
        <v>0</v>
      </c>
      <c r="J690">
        <v>0</v>
      </c>
      <c r="K690">
        <v>0</v>
      </c>
      <c r="L690" s="7">
        <v>0</v>
      </c>
      <c r="M690" s="7">
        <v>28.9</v>
      </c>
      <c r="N690">
        <v>181</v>
      </c>
      <c r="O690" s="15">
        <v>145</v>
      </c>
      <c r="P690" s="8">
        <v>0.54285714285714282</v>
      </c>
      <c r="Q690">
        <v>181</v>
      </c>
      <c r="R690" s="15">
        <v>163</v>
      </c>
      <c r="S690" s="8">
        <v>0.59199999999999997</v>
      </c>
      <c r="T690">
        <v>122</v>
      </c>
      <c r="U690" s="15">
        <v>107</v>
      </c>
      <c r="V690" s="8">
        <v>0.62352941176470589</v>
      </c>
      <c r="W690">
        <f t="shared" si="10"/>
        <v>484</v>
      </c>
    </row>
    <row r="691" spans="1:23">
      <c r="A691" s="6">
        <v>45616</v>
      </c>
      <c r="B691" t="s">
        <v>64</v>
      </c>
      <c r="C691">
        <v>2</v>
      </c>
      <c r="D691">
        <v>11</v>
      </c>
      <c r="E691">
        <v>0</v>
      </c>
      <c r="F691">
        <v>0</v>
      </c>
      <c r="H691">
        <v>0</v>
      </c>
      <c r="I691">
        <v>0</v>
      </c>
      <c r="J691">
        <v>0</v>
      </c>
      <c r="K691">
        <v>0</v>
      </c>
      <c r="L691" s="7">
        <v>0</v>
      </c>
      <c r="M691" s="7">
        <v>29.1</v>
      </c>
      <c r="N691">
        <v>185</v>
      </c>
      <c r="O691" s="15">
        <v>153</v>
      </c>
      <c r="P691" s="8">
        <v>0.56428571428571428</v>
      </c>
      <c r="Q691">
        <v>154</v>
      </c>
      <c r="R691" s="15">
        <v>144</v>
      </c>
      <c r="S691" s="8">
        <v>0.51200000000000001</v>
      </c>
      <c r="T691">
        <v>108</v>
      </c>
      <c r="U691" s="15">
        <v>93</v>
      </c>
      <c r="V691" s="8">
        <v>0.58823529411764708</v>
      </c>
      <c r="W691">
        <f t="shared" si="10"/>
        <v>447</v>
      </c>
    </row>
    <row r="692" spans="1:23">
      <c r="A692" s="6">
        <v>45617</v>
      </c>
      <c r="B692" t="s">
        <v>65</v>
      </c>
      <c r="C692">
        <v>3</v>
      </c>
      <c r="D692">
        <v>11</v>
      </c>
      <c r="E692">
        <v>0</v>
      </c>
      <c r="F692">
        <v>0</v>
      </c>
      <c r="H692">
        <v>0</v>
      </c>
      <c r="I692">
        <v>0</v>
      </c>
      <c r="J692">
        <v>0</v>
      </c>
      <c r="K692">
        <v>0</v>
      </c>
      <c r="L692" s="7">
        <v>1.6</v>
      </c>
      <c r="M692" s="7">
        <v>30.2</v>
      </c>
      <c r="N692">
        <v>182</v>
      </c>
      <c r="O692" s="15">
        <v>160</v>
      </c>
      <c r="P692" s="8">
        <v>0.56428571428571428</v>
      </c>
      <c r="Q692">
        <v>163</v>
      </c>
      <c r="R692" s="15">
        <v>151</v>
      </c>
      <c r="S692" s="8">
        <v>0.54400000000000004</v>
      </c>
      <c r="T692">
        <v>137</v>
      </c>
      <c r="U692" s="15">
        <v>116</v>
      </c>
      <c r="V692" s="8">
        <v>0.69411764705882351</v>
      </c>
      <c r="W692">
        <f t="shared" si="10"/>
        <v>482</v>
      </c>
    </row>
    <row r="693" spans="1:23">
      <c r="A693" s="6">
        <v>45618</v>
      </c>
      <c r="B693" t="s">
        <v>66</v>
      </c>
      <c r="C693">
        <v>4</v>
      </c>
      <c r="D693">
        <v>11</v>
      </c>
      <c r="E693">
        <v>0</v>
      </c>
      <c r="F693">
        <v>0</v>
      </c>
      <c r="H693">
        <v>0</v>
      </c>
      <c r="I693">
        <v>0</v>
      </c>
      <c r="J693">
        <v>0</v>
      </c>
      <c r="K693">
        <v>0</v>
      </c>
      <c r="L693" s="7">
        <v>0</v>
      </c>
      <c r="M693" s="7">
        <v>29.9</v>
      </c>
      <c r="N693">
        <v>197</v>
      </c>
      <c r="O693" s="15">
        <v>183</v>
      </c>
      <c r="P693" s="8">
        <v>0.6071428571428571</v>
      </c>
      <c r="Q693">
        <v>166</v>
      </c>
      <c r="R693" s="15">
        <v>151</v>
      </c>
      <c r="S693" s="8">
        <v>0.55200000000000005</v>
      </c>
      <c r="T693">
        <v>108</v>
      </c>
      <c r="U693" s="15">
        <v>88</v>
      </c>
      <c r="V693" s="8">
        <v>0.6</v>
      </c>
      <c r="W693">
        <f t="shared" si="10"/>
        <v>471</v>
      </c>
    </row>
    <row r="694" spans="1:23">
      <c r="A694" s="6">
        <v>45619</v>
      </c>
      <c r="B694" t="s">
        <v>67</v>
      </c>
      <c r="C694">
        <v>5</v>
      </c>
      <c r="D694">
        <v>11</v>
      </c>
      <c r="E694">
        <v>1</v>
      </c>
      <c r="F694">
        <v>0</v>
      </c>
      <c r="H694">
        <v>0</v>
      </c>
      <c r="I694">
        <v>0</v>
      </c>
      <c r="J694">
        <v>0</v>
      </c>
      <c r="K694">
        <v>0</v>
      </c>
      <c r="L694" s="7">
        <v>0.1</v>
      </c>
      <c r="M694" s="7">
        <v>28.5</v>
      </c>
      <c r="N694">
        <v>197</v>
      </c>
      <c r="O694" s="15">
        <v>161</v>
      </c>
      <c r="P694" s="8">
        <v>0.6071428571428571</v>
      </c>
      <c r="Q694">
        <v>194</v>
      </c>
      <c r="R694" s="15">
        <v>163</v>
      </c>
      <c r="S694" s="8">
        <v>0.66400000000000003</v>
      </c>
      <c r="T694">
        <v>138</v>
      </c>
      <c r="U694" s="15">
        <v>127</v>
      </c>
      <c r="V694" s="8">
        <v>0.72941176470588232</v>
      </c>
      <c r="W694">
        <f t="shared" si="10"/>
        <v>529</v>
      </c>
    </row>
    <row r="695" spans="1:23">
      <c r="A695" s="6">
        <v>45620</v>
      </c>
      <c r="B695" t="s">
        <v>60</v>
      </c>
      <c r="C695">
        <v>6</v>
      </c>
      <c r="D695">
        <v>11</v>
      </c>
      <c r="E695">
        <v>1</v>
      </c>
      <c r="F695">
        <v>0</v>
      </c>
      <c r="H695">
        <v>0</v>
      </c>
      <c r="I695">
        <v>0</v>
      </c>
      <c r="J695">
        <v>0</v>
      </c>
      <c r="K695">
        <v>0</v>
      </c>
      <c r="L695" s="7">
        <v>2.2000000000000002</v>
      </c>
      <c r="M695" s="7">
        <v>29.4</v>
      </c>
      <c r="N695">
        <v>212</v>
      </c>
      <c r="O695" s="15">
        <v>191</v>
      </c>
      <c r="P695" s="8">
        <v>0.63571428571428568</v>
      </c>
      <c r="Q695">
        <v>201</v>
      </c>
      <c r="R695" s="15">
        <v>182</v>
      </c>
      <c r="S695" s="8">
        <v>0.67200000000000004</v>
      </c>
      <c r="T695">
        <v>147</v>
      </c>
      <c r="U695" s="15">
        <v>125</v>
      </c>
      <c r="V695" s="8">
        <v>0.76470588235294112</v>
      </c>
      <c r="W695">
        <f t="shared" si="10"/>
        <v>560</v>
      </c>
    </row>
    <row r="696" spans="1:23">
      <c r="A696" s="6">
        <v>45621</v>
      </c>
      <c r="B696" t="s">
        <v>62</v>
      </c>
      <c r="C696">
        <v>0</v>
      </c>
      <c r="D696">
        <v>11</v>
      </c>
      <c r="E696">
        <v>0</v>
      </c>
      <c r="F696">
        <v>0</v>
      </c>
      <c r="H696">
        <v>0</v>
      </c>
      <c r="I696">
        <v>0</v>
      </c>
      <c r="J696">
        <v>0</v>
      </c>
      <c r="K696">
        <v>0</v>
      </c>
      <c r="L696" s="7">
        <v>0.3</v>
      </c>
      <c r="M696" s="7">
        <v>29.8</v>
      </c>
      <c r="N696">
        <v>187</v>
      </c>
      <c r="O696" s="15">
        <v>157</v>
      </c>
      <c r="P696" s="8">
        <v>0.55000000000000004</v>
      </c>
      <c r="Q696">
        <v>172</v>
      </c>
      <c r="R696" s="15">
        <v>146</v>
      </c>
      <c r="S696" s="8">
        <v>0.56799999999999995</v>
      </c>
      <c r="T696">
        <v>129</v>
      </c>
      <c r="U696" s="15">
        <v>107</v>
      </c>
      <c r="V696" s="8">
        <v>0.6470588235294118</v>
      </c>
      <c r="W696">
        <f t="shared" si="10"/>
        <v>488</v>
      </c>
    </row>
    <row r="697" spans="1:23">
      <c r="A697" s="6">
        <v>45622</v>
      </c>
      <c r="B697" t="s">
        <v>63</v>
      </c>
      <c r="C697">
        <v>1</v>
      </c>
      <c r="D697">
        <v>11</v>
      </c>
      <c r="E697">
        <v>0</v>
      </c>
      <c r="F697">
        <v>0</v>
      </c>
      <c r="H697">
        <v>0</v>
      </c>
      <c r="I697">
        <v>0</v>
      </c>
      <c r="J697">
        <v>0</v>
      </c>
      <c r="K697">
        <v>0</v>
      </c>
      <c r="L697" s="7">
        <v>3.3</v>
      </c>
      <c r="M697" s="7">
        <v>29.3</v>
      </c>
      <c r="N697">
        <v>157</v>
      </c>
      <c r="O697" s="15">
        <v>140</v>
      </c>
      <c r="P697" s="8">
        <v>0.4642857142857143</v>
      </c>
      <c r="Q697">
        <v>160</v>
      </c>
      <c r="R697" s="15">
        <v>129</v>
      </c>
      <c r="S697" s="8">
        <v>0.52800000000000002</v>
      </c>
      <c r="T697">
        <v>121</v>
      </c>
      <c r="U697" s="15">
        <v>98</v>
      </c>
      <c r="V697" s="8">
        <v>0.6</v>
      </c>
      <c r="W697">
        <f t="shared" si="10"/>
        <v>438</v>
      </c>
    </row>
    <row r="698" spans="1:23">
      <c r="A698" s="6">
        <v>45623</v>
      </c>
      <c r="B698" t="s">
        <v>64</v>
      </c>
      <c r="C698">
        <v>2</v>
      </c>
      <c r="D698">
        <v>11</v>
      </c>
      <c r="E698">
        <v>0</v>
      </c>
      <c r="F698">
        <v>0</v>
      </c>
      <c r="H698">
        <v>0</v>
      </c>
      <c r="I698">
        <v>0</v>
      </c>
      <c r="J698">
        <v>0</v>
      </c>
      <c r="K698">
        <v>0</v>
      </c>
      <c r="L698" s="7">
        <v>3.3</v>
      </c>
      <c r="M698" s="7">
        <v>29.2</v>
      </c>
      <c r="N698">
        <v>170</v>
      </c>
      <c r="O698" s="15">
        <v>149</v>
      </c>
      <c r="P698" s="8">
        <v>0.51428571428571423</v>
      </c>
      <c r="Q698">
        <v>176</v>
      </c>
      <c r="R698" s="15">
        <v>149</v>
      </c>
      <c r="S698" s="8">
        <v>0.58399999999999996</v>
      </c>
      <c r="T698">
        <v>119</v>
      </c>
      <c r="U698" s="15">
        <v>101</v>
      </c>
      <c r="V698" s="8">
        <v>0.63529411764705879</v>
      </c>
      <c r="W698">
        <f t="shared" si="10"/>
        <v>465</v>
      </c>
    </row>
    <row r="699" spans="1:23">
      <c r="A699" s="6">
        <v>45624</v>
      </c>
      <c r="B699" t="s">
        <v>65</v>
      </c>
      <c r="C699">
        <v>3</v>
      </c>
      <c r="D699">
        <v>11</v>
      </c>
      <c r="E699">
        <v>0</v>
      </c>
      <c r="F699">
        <v>0</v>
      </c>
      <c r="H699">
        <v>0</v>
      </c>
      <c r="I699">
        <v>0</v>
      </c>
      <c r="J699">
        <v>0</v>
      </c>
      <c r="K699">
        <v>0</v>
      </c>
      <c r="L699" s="7">
        <v>0</v>
      </c>
      <c r="M699" s="7">
        <v>29</v>
      </c>
      <c r="N699">
        <v>193</v>
      </c>
      <c r="O699" s="15">
        <v>157</v>
      </c>
      <c r="P699" s="8">
        <v>0.6</v>
      </c>
      <c r="Q699">
        <v>169</v>
      </c>
      <c r="R699" s="15">
        <v>145</v>
      </c>
      <c r="S699" s="8">
        <v>0.56000000000000005</v>
      </c>
      <c r="T699">
        <v>127</v>
      </c>
      <c r="U699" s="15">
        <v>111</v>
      </c>
      <c r="V699" s="8">
        <v>0.6588235294117647</v>
      </c>
      <c r="W699">
        <f t="shared" si="10"/>
        <v>489</v>
      </c>
    </row>
    <row r="700" spans="1:23">
      <c r="A700" s="6">
        <v>45625</v>
      </c>
      <c r="B700" t="s">
        <v>66</v>
      </c>
      <c r="C700">
        <v>4</v>
      </c>
      <c r="D700">
        <v>11</v>
      </c>
      <c r="E700">
        <v>0</v>
      </c>
      <c r="F700">
        <v>0</v>
      </c>
      <c r="H700">
        <v>0</v>
      </c>
      <c r="I700">
        <v>0</v>
      </c>
      <c r="J700">
        <v>0</v>
      </c>
      <c r="K700">
        <v>0</v>
      </c>
      <c r="L700" s="7">
        <v>0.3</v>
      </c>
      <c r="M700" s="7">
        <v>29.3</v>
      </c>
      <c r="N700">
        <v>206</v>
      </c>
      <c r="O700" s="15">
        <v>171</v>
      </c>
      <c r="P700" s="8">
        <v>0.62142857142857144</v>
      </c>
      <c r="Q700">
        <v>160</v>
      </c>
      <c r="R700" s="15">
        <v>144</v>
      </c>
      <c r="S700" s="8">
        <v>0.54400000000000004</v>
      </c>
      <c r="T700">
        <v>128</v>
      </c>
      <c r="U700" s="15">
        <v>111</v>
      </c>
      <c r="V700" s="8">
        <v>0.6470588235294118</v>
      </c>
      <c r="W700">
        <f t="shared" si="10"/>
        <v>494</v>
      </c>
    </row>
    <row r="701" spans="1:23">
      <c r="A701" s="6">
        <v>45626</v>
      </c>
      <c r="B701" t="s">
        <v>67</v>
      </c>
      <c r="C701">
        <v>5</v>
      </c>
      <c r="D701">
        <v>11</v>
      </c>
      <c r="E701">
        <v>1</v>
      </c>
      <c r="F701">
        <v>0</v>
      </c>
      <c r="H701">
        <v>0</v>
      </c>
      <c r="I701">
        <v>0</v>
      </c>
      <c r="J701">
        <v>0</v>
      </c>
      <c r="K701">
        <v>0</v>
      </c>
      <c r="L701" s="7">
        <v>1</v>
      </c>
      <c r="M701" s="7">
        <v>29.6</v>
      </c>
      <c r="N701">
        <v>207</v>
      </c>
      <c r="O701" s="15">
        <v>191</v>
      </c>
      <c r="P701" s="8">
        <v>0.62142857142857144</v>
      </c>
      <c r="Q701">
        <v>200</v>
      </c>
      <c r="R701" s="15">
        <v>188</v>
      </c>
      <c r="S701" s="8">
        <v>0.67200000000000004</v>
      </c>
      <c r="T701">
        <v>145</v>
      </c>
      <c r="U701" s="15">
        <v>130</v>
      </c>
      <c r="V701" s="8">
        <v>0.76470588235294112</v>
      </c>
      <c r="W701">
        <f t="shared" si="10"/>
        <v>552</v>
      </c>
    </row>
    <row r="702" spans="1:23">
      <c r="A702" s="6">
        <v>45627</v>
      </c>
      <c r="B702" t="s">
        <v>60</v>
      </c>
      <c r="C702">
        <v>6</v>
      </c>
      <c r="D702">
        <v>12</v>
      </c>
      <c r="E702">
        <v>1</v>
      </c>
      <c r="F702">
        <v>0</v>
      </c>
      <c r="H702">
        <v>0</v>
      </c>
      <c r="I702">
        <v>0</v>
      </c>
      <c r="J702">
        <v>0</v>
      </c>
      <c r="K702">
        <v>0</v>
      </c>
      <c r="L702" s="7">
        <v>1.3</v>
      </c>
      <c r="M702" s="7">
        <v>28.6</v>
      </c>
      <c r="N702">
        <v>220</v>
      </c>
      <c r="O702" s="15">
        <v>199</v>
      </c>
      <c r="P702" s="8">
        <v>0.67142857142857137</v>
      </c>
      <c r="Q702">
        <v>197</v>
      </c>
      <c r="R702" s="15">
        <v>171</v>
      </c>
      <c r="S702" s="8">
        <v>0.64800000000000002</v>
      </c>
      <c r="T702">
        <v>158</v>
      </c>
      <c r="U702" s="15">
        <v>144</v>
      </c>
      <c r="V702" s="8">
        <v>0.8</v>
      </c>
      <c r="W702">
        <f t="shared" si="10"/>
        <v>575</v>
      </c>
    </row>
    <row r="703" spans="1:23">
      <c r="A703" s="6">
        <v>45628</v>
      </c>
      <c r="B703" t="s">
        <v>62</v>
      </c>
      <c r="C703">
        <v>0</v>
      </c>
      <c r="D703">
        <v>12</v>
      </c>
      <c r="E703">
        <v>0</v>
      </c>
      <c r="F703">
        <v>0</v>
      </c>
      <c r="H703">
        <v>0</v>
      </c>
      <c r="I703">
        <v>0</v>
      </c>
      <c r="J703">
        <v>0</v>
      </c>
      <c r="K703">
        <v>0</v>
      </c>
      <c r="L703" s="7">
        <v>2.8</v>
      </c>
      <c r="M703" s="7">
        <v>29.2</v>
      </c>
      <c r="N703">
        <v>208</v>
      </c>
      <c r="O703" s="15">
        <v>167</v>
      </c>
      <c r="P703" s="8">
        <v>0.63571428571428568</v>
      </c>
      <c r="Q703">
        <v>191</v>
      </c>
      <c r="R703" s="15">
        <v>170</v>
      </c>
      <c r="S703" s="8">
        <v>0.64</v>
      </c>
      <c r="T703">
        <v>119</v>
      </c>
      <c r="U703" s="15">
        <v>104</v>
      </c>
      <c r="V703" s="8">
        <v>0.63529411764705879</v>
      </c>
      <c r="W703">
        <f t="shared" si="10"/>
        <v>518</v>
      </c>
    </row>
    <row r="704" spans="1:23">
      <c r="A704" s="6">
        <v>45629</v>
      </c>
      <c r="B704" t="s">
        <v>63</v>
      </c>
      <c r="C704">
        <v>1</v>
      </c>
      <c r="D704">
        <v>12</v>
      </c>
      <c r="E704">
        <v>0</v>
      </c>
      <c r="F704">
        <v>0</v>
      </c>
      <c r="H704">
        <v>0</v>
      </c>
      <c r="I704">
        <v>0</v>
      </c>
      <c r="J704">
        <v>0</v>
      </c>
      <c r="K704">
        <v>0</v>
      </c>
      <c r="L704" s="7">
        <v>0</v>
      </c>
      <c r="M704" s="7">
        <v>29.4</v>
      </c>
      <c r="N704">
        <v>215</v>
      </c>
      <c r="O704" s="15">
        <v>176</v>
      </c>
      <c r="P704" s="8">
        <v>0.63571428571428568</v>
      </c>
      <c r="Q704">
        <v>185</v>
      </c>
      <c r="R704" s="15">
        <v>171</v>
      </c>
      <c r="S704" s="8">
        <v>0.61599999999999999</v>
      </c>
      <c r="T704">
        <v>127</v>
      </c>
      <c r="U704" s="15">
        <v>118</v>
      </c>
      <c r="V704" s="8">
        <v>0.63529411764705879</v>
      </c>
      <c r="W704">
        <f t="shared" si="10"/>
        <v>527</v>
      </c>
    </row>
    <row r="705" spans="1:23">
      <c r="A705" s="6">
        <v>45630</v>
      </c>
      <c r="B705" t="s">
        <v>64</v>
      </c>
      <c r="C705">
        <v>2</v>
      </c>
      <c r="D705">
        <v>12</v>
      </c>
      <c r="E705">
        <v>0</v>
      </c>
      <c r="F705">
        <v>0</v>
      </c>
      <c r="H705">
        <v>0</v>
      </c>
      <c r="I705">
        <v>0</v>
      </c>
      <c r="J705">
        <v>0</v>
      </c>
      <c r="K705">
        <v>0</v>
      </c>
      <c r="L705" s="7">
        <v>2.6</v>
      </c>
      <c r="M705" s="7">
        <v>29.8</v>
      </c>
      <c r="N705">
        <v>198</v>
      </c>
      <c r="O705" s="15">
        <v>166</v>
      </c>
      <c r="P705" s="8">
        <v>0.57857142857142863</v>
      </c>
      <c r="Q705">
        <v>177</v>
      </c>
      <c r="R705" s="15">
        <v>158</v>
      </c>
      <c r="S705" s="8">
        <v>0.6</v>
      </c>
      <c r="T705">
        <v>130</v>
      </c>
      <c r="U705" s="15">
        <v>110</v>
      </c>
      <c r="V705" s="8">
        <v>0.6588235294117647</v>
      </c>
      <c r="W705">
        <f t="shared" si="10"/>
        <v>505</v>
      </c>
    </row>
    <row r="706" spans="1:23">
      <c r="A706" s="6">
        <v>45631</v>
      </c>
      <c r="B706" t="s">
        <v>65</v>
      </c>
      <c r="C706">
        <v>3</v>
      </c>
      <c r="D706">
        <v>12</v>
      </c>
      <c r="E706">
        <v>0</v>
      </c>
      <c r="F706">
        <v>0</v>
      </c>
      <c r="H706">
        <v>0</v>
      </c>
      <c r="I706">
        <v>0</v>
      </c>
      <c r="J706">
        <v>0</v>
      </c>
      <c r="K706">
        <v>0</v>
      </c>
      <c r="L706" s="7">
        <v>0</v>
      </c>
      <c r="M706" s="7">
        <v>28.8</v>
      </c>
      <c r="N706">
        <v>208</v>
      </c>
      <c r="O706" s="15">
        <v>179</v>
      </c>
      <c r="P706" s="8">
        <v>0.61428571428571432</v>
      </c>
      <c r="Q706">
        <v>182</v>
      </c>
      <c r="R706" s="15">
        <v>154</v>
      </c>
      <c r="S706" s="8">
        <v>0.59199999999999997</v>
      </c>
      <c r="T706">
        <v>114</v>
      </c>
      <c r="U706" s="15">
        <v>92</v>
      </c>
      <c r="V706" s="8">
        <v>0.62352941176470589</v>
      </c>
      <c r="W706">
        <f t="shared" ref="W706:W769" si="11">N706+Q706+T706</f>
        <v>504</v>
      </c>
    </row>
    <row r="707" spans="1:23">
      <c r="A707" s="6">
        <v>45632</v>
      </c>
      <c r="B707" t="s">
        <v>66</v>
      </c>
      <c r="C707">
        <v>4</v>
      </c>
      <c r="D707">
        <v>12</v>
      </c>
      <c r="E707">
        <v>0</v>
      </c>
      <c r="F707">
        <v>0</v>
      </c>
      <c r="H707">
        <v>0</v>
      </c>
      <c r="I707">
        <v>0</v>
      </c>
      <c r="J707">
        <v>0</v>
      </c>
      <c r="K707">
        <v>0</v>
      </c>
      <c r="L707" s="7">
        <v>0</v>
      </c>
      <c r="M707" s="7">
        <v>28.7</v>
      </c>
      <c r="N707">
        <v>207</v>
      </c>
      <c r="O707" s="15">
        <v>169</v>
      </c>
      <c r="P707" s="8">
        <v>0.63571428571428568</v>
      </c>
      <c r="Q707">
        <v>151</v>
      </c>
      <c r="R707" s="15">
        <v>121</v>
      </c>
      <c r="S707" s="8">
        <v>0.504</v>
      </c>
      <c r="T707">
        <v>132</v>
      </c>
      <c r="U707" s="15">
        <v>114</v>
      </c>
      <c r="V707" s="8">
        <v>0.68235294117647061</v>
      </c>
      <c r="W707">
        <f t="shared" si="11"/>
        <v>490</v>
      </c>
    </row>
    <row r="708" spans="1:23">
      <c r="A708" s="6">
        <v>45633</v>
      </c>
      <c r="B708" t="s">
        <v>67</v>
      </c>
      <c r="C708">
        <v>5</v>
      </c>
      <c r="D708">
        <v>12</v>
      </c>
      <c r="E708">
        <v>1</v>
      </c>
      <c r="F708">
        <v>0</v>
      </c>
      <c r="H708">
        <v>0</v>
      </c>
      <c r="I708">
        <v>0</v>
      </c>
      <c r="J708">
        <v>0</v>
      </c>
      <c r="K708">
        <v>0</v>
      </c>
      <c r="L708" s="7">
        <v>3.6</v>
      </c>
      <c r="M708" s="7">
        <v>29.7</v>
      </c>
      <c r="N708">
        <v>218</v>
      </c>
      <c r="O708" s="15">
        <v>178</v>
      </c>
      <c r="P708" s="8">
        <v>0.65</v>
      </c>
      <c r="Q708">
        <v>195</v>
      </c>
      <c r="R708" s="15">
        <v>174</v>
      </c>
      <c r="S708" s="8">
        <v>0.65600000000000003</v>
      </c>
      <c r="T708">
        <v>145</v>
      </c>
      <c r="U708" s="15">
        <v>126</v>
      </c>
      <c r="V708" s="8">
        <v>0.76470588235294112</v>
      </c>
      <c r="W708">
        <f t="shared" si="11"/>
        <v>558</v>
      </c>
    </row>
    <row r="709" spans="1:23">
      <c r="A709" s="6">
        <v>45634</v>
      </c>
      <c r="B709" t="s">
        <v>60</v>
      </c>
      <c r="C709">
        <v>6</v>
      </c>
      <c r="D709">
        <v>12</v>
      </c>
      <c r="E709">
        <v>1</v>
      </c>
      <c r="F709">
        <v>0</v>
      </c>
      <c r="H709">
        <v>0</v>
      </c>
      <c r="I709">
        <v>0</v>
      </c>
      <c r="J709">
        <v>0</v>
      </c>
      <c r="K709">
        <v>0</v>
      </c>
      <c r="L709" s="7">
        <v>0</v>
      </c>
      <c r="M709" s="7">
        <v>28.9</v>
      </c>
      <c r="N709">
        <v>230</v>
      </c>
      <c r="O709" s="15">
        <v>195</v>
      </c>
      <c r="P709" s="8">
        <v>0.68571428571428572</v>
      </c>
      <c r="Q709">
        <v>188</v>
      </c>
      <c r="R709" s="15">
        <v>161</v>
      </c>
      <c r="S709" s="8">
        <v>0.64</v>
      </c>
      <c r="T709">
        <v>154</v>
      </c>
      <c r="U709" s="15">
        <v>138</v>
      </c>
      <c r="V709" s="8">
        <v>0.77647058823529413</v>
      </c>
      <c r="W709">
        <f t="shared" si="11"/>
        <v>572</v>
      </c>
    </row>
    <row r="710" spans="1:23">
      <c r="A710" s="6">
        <v>45635</v>
      </c>
      <c r="B710" t="s">
        <v>62</v>
      </c>
      <c r="C710">
        <v>0</v>
      </c>
      <c r="D710">
        <v>12</v>
      </c>
      <c r="E710">
        <v>0</v>
      </c>
      <c r="F710">
        <v>0</v>
      </c>
      <c r="H710">
        <v>0</v>
      </c>
      <c r="I710">
        <v>0</v>
      </c>
      <c r="J710">
        <v>0</v>
      </c>
      <c r="K710">
        <v>0</v>
      </c>
      <c r="L710" s="7">
        <v>0.6</v>
      </c>
      <c r="M710" s="7">
        <v>29.4</v>
      </c>
      <c r="N710">
        <v>198</v>
      </c>
      <c r="O710" s="15">
        <v>167</v>
      </c>
      <c r="P710" s="8">
        <v>0.61428571428571432</v>
      </c>
      <c r="Q710">
        <v>155</v>
      </c>
      <c r="R710" s="15">
        <v>139</v>
      </c>
      <c r="S710" s="8">
        <v>0.53600000000000003</v>
      </c>
      <c r="T710">
        <v>142</v>
      </c>
      <c r="U710" s="15">
        <v>128</v>
      </c>
      <c r="V710" s="8">
        <v>0.74117647058823533</v>
      </c>
      <c r="W710">
        <f t="shared" si="11"/>
        <v>495</v>
      </c>
    </row>
    <row r="711" spans="1:23">
      <c r="A711" s="6">
        <v>45636</v>
      </c>
      <c r="B711" t="s">
        <v>63</v>
      </c>
      <c r="C711">
        <v>1</v>
      </c>
      <c r="D711">
        <v>12</v>
      </c>
      <c r="E711">
        <v>0</v>
      </c>
      <c r="F711">
        <v>0</v>
      </c>
      <c r="H711">
        <v>0</v>
      </c>
      <c r="I711">
        <v>0</v>
      </c>
      <c r="J711">
        <v>0</v>
      </c>
      <c r="K711">
        <v>0</v>
      </c>
      <c r="L711" s="7">
        <v>1.5</v>
      </c>
      <c r="M711" s="7">
        <v>28.4</v>
      </c>
      <c r="N711">
        <v>206</v>
      </c>
      <c r="O711" s="15">
        <v>167</v>
      </c>
      <c r="P711" s="8">
        <v>0.63571428571428568</v>
      </c>
      <c r="Q711">
        <v>171</v>
      </c>
      <c r="R711" s="15">
        <v>141</v>
      </c>
      <c r="S711" s="8">
        <v>0.56000000000000005</v>
      </c>
      <c r="T711">
        <v>139</v>
      </c>
      <c r="U711" s="15">
        <v>112</v>
      </c>
      <c r="V711" s="8">
        <v>0.70588235294117652</v>
      </c>
      <c r="W711">
        <f t="shared" si="11"/>
        <v>516</v>
      </c>
    </row>
    <row r="712" spans="1:23">
      <c r="A712" s="6">
        <v>45637</v>
      </c>
      <c r="B712" t="s">
        <v>64</v>
      </c>
      <c r="C712">
        <v>2</v>
      </c>
      <c r="D712">
        <v>12</v>
      </c>
      <c r="E712">
        <v>0</v>
      </c>
      <c r="F712">
        <v>0</v>
      </c>
      <c r="H712">
        <v>0</v>
      </c>
      <c r="I712">
        <v>0</v>
      </c>
      <c r="J712">
        <v>0</v>
      </c>
      <c r="K712">
        <v>0</v>
      </c>
      <c r="L712" s="7">
        <v>3.2</v>
      </c>
      <c r="M712" s="7">
        <v>29.9</v>
      </c>
      <c r="N712">
        <v>205</v>
      </c>
      <c r="O712" s="15">
        <v>175</v>
      </c>
      <c r="P712" s="8">
        <v>0.6</v>
      </c>
      <c r="Q712">
        <v>188</v>
      </c>
      <c r="R712" s="15">
        <v>163</v>
      </c>
      <c r="S712" s="8">
        <v>0.60799999999999998</v>
      </c>
      <c r="T712">
        <v>124</v>
      </c>
      <c r="U712" s="15">
        <v>101</v>
      </c>
      <c r="V712" s="8">
        <v>0.6705882352941176</v>
      </c>
      <c r="W712">
        <f t="shared" si="11"/>
        <v>517</v>
      </c>
    </row>
    <row r="713" spans="1:23">
      <c r="A713" s="6">
        <v>45638</v>
      </c>
      <c r="B713" t="s">
        <v>65</v>
      </c>
      <c r="C713">
        <v>3</v>
      </c>
      <c r="D713">
        <v>12</v>
      </c>
      <c r="E713">
        <v>0</v>
      </c>
      <c r="F713">
        <v>0</v>
      </c>
      <c r="H713">
        <v>0</v>
      </c>
      <c r="I713">
        <v>0</v>
      </c>
      <c r="J713">
        <v>0</v>
      </c>
      <c r="K713">
        <v>0</v>
      </c>
      <c r="L713" s="7">
        <v>2.9</v>
      </c>
      <c r="M713" s="7">
        <v>29.7</v>
      </c>
      <c r="N713">
        <v>207</v>
      </c>
      <c r="O713" s="15">
        <v>186</v>
      </c>
      <c r="P713" s="8">
        <v>0.6428571428571429</v>
      </c>
      <c r="Q713">
        <v>185</v>
      </c>
      <c r="R713" s="15">
        <v>161</v>
      </c>
      <c r="S713" s="8">
        <v>0.60799999999999998</v>
      </c>
      <c r="T713">
        <v>128</v>
      </c>
      <c r="U713" s="15">
        <v>120</v>
      </c>
      <c r="V713" s="8">
        <v>0.6705882352941176</v>
      </c>
      <c r="W713">
        <f t="shared" si="11"/>
        <v>520</v>
      </c>
    </row>
    <row r="714" spans="1:23">
      <c r="A714" s="6">
        <v>45639</v>
      </c>
      <c r="B714" t="s">
        <v>66</v>
      </c>
      <c r="C714">
        <v>4</v>
      </c>
      <c r="D714">
        <v>12</v>
      </c>
      <c r="E714">
        <v>0</v>
      </c>
      <c r="F714">
        <v>0</v>
      </c>
      <c r="H714">
        <v>0</v>
      </c>
      <c r="I714">
        <v>0</v>
      </c>
      <c r="J714">
        <v>0</v>
      </c>
      <c r="K714">
        <v>0</v>
      </c>
      <c r="L714" s="7">
        <v>0</v>
      </c>
      <c r="M714" s="7">
        <v>27.7</v>
      </c>
      <c r="N714">
        <v>184</v>
      </c>
      <c r="O714" s="15">
        <v>149</v>
      </c>
      <c r="P714" s="8">
        <v>0.54285714285714282</v>
      </c>
      <c r="Q714">
        <v>162</v>
      </c>
      <c r="R714" s="15">
        <v>140</v>
      </c>
      <c r="S714" s="8">
        <v>0.56000000000000005</v>
      </c>
      <c r="T714">
        <v>121</v>
      </c>
      <c r="U714" s="15">
        <v>100</v>
      </c>
      <c r="V714" s="8">
        <v>0.63529411764705879</v>
      </c>
      <c r="W714">
        <f t="shared" si="11"/>
        <v>467</v>
      </c>
    </row>
    <row r="715" spans="1:23">
      <c r="A715" s="6">
        <v>45640</v>
      </c>
      <c r="B715" t="s">
        <v>67</v>
      </c>
      <c r="C715">
        <v>5</v>
      </c>
      <c r="D715">
        <v>12</v>
      </c>
      <c r="E715">
        <v>1</v>
      </c>
      <c r="F715">
        <v>0</v>
      </c>
      <c r="H715">
        <v>0</v>
      </c>
      <c r="I715">
        <v>0</v>
      </c>
      <c r="J715">
        <v>0</v>
      </c>
      <c r="K715">
        <v>0</v>
      </c>
      <c r="L715" s="7">
        <v>1.8</v>
      </c>
      <c r="M715" s="7">
        <v>28.2</v>
      </c>
      <c r="N715">
        <v>230</v>
      </c>
      <c r="O715" s="15">
        <v>202</v>
      </c>
      <c r="P715" s="8">
        <v>0.72142857142857142</v>
      </c>
      <c r="Q715">
        <v>195</v>
      </c>
      <c r="R715" s="15">
        <v>172</v>
      </c>
      <c r="S715" s="8">
        <v>0.65600000000000003</v>
      </c>
      <c r="T715">
        <v>152</v>
      </c>
      <c r="U715" s="15">
        <v>140</v>
      </c>
      <c r="V715" s="8">
        <v>0.78823529411764703</v>
      </c>
      <c r="W715">
        <f t="shared" si="11"/>
        <v>577</v>
      </c>
    </row>
    <row r="716" spans="1:23">
      <c r="A716" s="6">
        <v>45641</v>
      </c>
      <c r="B716" t="s">
        <v>60</v>
      </c>
      <c r="C716">
        <v>6</v>
      </c>
      <c r="D716">
        <v>12</v>
      </c>
      <c r="E716">
        <v>1</v>
      </c>
      <c r="F716">
        <v>0</v>
      </c>
      <c r="H716">
        <v>1</v>
      </c>
      <c r="I716">
        <v>0</v>
      </c>
      <c r="J716">
        <v>0</v>
      </c>
      <c r="K716">
        <v>0</v>
      </c>
      <c r="L716" s="7">
        <v>0</v>
      </c>
      <c r="M716" s="7">
        <v>28.6</v>
      </c>
      <c r="N716">
        <v>243</v>
      </c>
      <c r="O716" s="15">
        <v>207</v>
      </c>
      <c r="P716" s="8">
        <v>0.75</v>
      </c>
      <c r="Q716">
        <v>244</v>
      </c>
      <c r="R716" s="15">
        <v>223</v>
      </c>
      <c r="S716" s="8">
        <v>0.81599999999999995</v>
      </c>
      <c r="T716">
        <v>187</v>
      </c>
      <c r="U716" s="15">
        <v>159</v>
      </c>
      <c r="V716" s="8">
        <v>0.96470588235294119</v>
      </c>
      <c r="W716">
        <f t="shared" si="11"/>
        <v>674</v>
      </c>
    </row>
    <row r="717" spans="1:23">
      <c r="A717" s="6">
        <v>45642</v>
      </c>
      <c r="B717" t="s">
        <v>62</v>
      </c>
      <c r="C717">
        <v>0</v>
      </c>
      <c r="D717">
        <v>12</v>
      </c>
      <c r="E717">
        <v>0</v>
      </c>
      <c r="F717">
        <v>0</v>
      </c>
      <c r="H717">
        <v>1</v>
      </c>
      <c r="I717">
        <v>0</v>
      </c>
      <c r="J717">
        <v>0</v>
      </c>
      <c r="K717">
        <v>0</v>
      </c>
      <c r="L717" s="7">
        <v>0</v>
      </c>
      <c r="M717" s="7">
        <v>29.5</v>
      </c>
      <c r="N717">
        <v>228</v>
      </c>
      <c r="O717" s="15">
        <v>187</v>
      </c>
      <c r="P717" s="8">
        <v>0.68571428571428572</v>
      </c>
      <c r="Q717">
        <v>221</v>
      </c>
      <c r="R717" s="15">
        <v>206</v>
      </c>
      <c r="S717" s="8">
        <v>0.752</v>
      </c>
      <c r="T717">
        <v>160</v>
      </c>
      <c r="U717" s="15">
        <v>129</v>
      </c>
      <c r="V717" s="8">
        <v>0.84705882352941175</v>
      </c>
      <c r="W717">
        <f t="shared" si="11"/>
        <v>609</v>
      </c>
    </row>
    <row r="718" spans="1:23">
      <c r="A718" s="6">
        <v>45643</v>
      </c>
      <c r="B718" t="s">
        <v>63</v>
      </c>
      <c r="C718">
        <v>1</v>
      </c>
      <c r="D718">
        <v>12</v>
      </c>
      <c r="E718">
        <v>0</v>
      </c>
      <c r="F718">
        <v>0</v>
      </c>
      <c r="H718">
        <v>1</v>
      </c>
      <c r="I718">
        <v>0</v>
      </c>
      <c r="J718">
        <v>0</v>
      </c>
      <c r="K718">
        <v>0</v>
      </c>
      <c r="L718" s="7">
        <v>0.7</v>
      </c>
      <c r="M718" s="7">
        <v>28.8</v>
      </c>
      <c r="N718">
        <v>219</v>
      </c>
      <c r="O718" s="15">
        <v>185</v>
      </c>
      <c r="P718" s="8">
        <v>0.6785714285714286</v>
      </c>
      <c r="Q718">
        <v>239</v>
      </c>
      <c r="R718" s="15">
        <v>197</v>
      </c>
      <c r="S718" s="8">
        <v>0.80800000000000005</v>
      </c>
      <c r="T718">
        <v>163</v>
      </c>
      <c r="U718" s="15">
        <v>138</v>
      </c>
      <c r="V718" s="8">
        <v>0.85882352941176465</v>
      </c>
      <c r="W718">
        <f t="shared" si="11"/>
        <v>621</v>
      </c>
    </row>
    <row r="719" spans="1:23">
      <c r="A719" s="6">
        <v>45644</v>
      </c>
      <c r="B719" t="s">
        <v>64</v>
      </c>
      <c r="C719">
        <v>2</v>
      </c>
      <c r="D719">
        <v>12</v>
      </c>
      <c r="E719">
        <v>0</v>
      </c>
      <c r="F719">
        <v>0</v>
      </c>
      <c r="H719">
        <v>1</v>
      </c>
      <c r="I719">
        <v>0</v>
      </c>
      <c r="J719">
        <v>0</v>
      </c>
      <c r="K719">
        <v>0</v>
      </c>
      <c r="L719" s="7">
        <v>0</v>
      </c>
      <c r="M719" s="7">
        <v>28.3</v>
      </c>
      <c r="N719">
        <v>228</v>
      </c>
      <c r="O719" s="15">
        <v>213</v>
      </c>
      <c r="P719" s="8">
        <v>0.7</v>
      </c>
      <c r="Q719">
        <v>244</v>
      </c>
      <c r="R719" s="15">
        <v>203</v>
      </c>
      <c r="S719" s="8">
        <v>0.8</v>
      </c>
      <c r="T719">
        <v>154</v>
      </c>
      <c r="U719" s="15">
        <v>144</v>
      </c>
      <c r="V719" s="8">
        <v>0.82352941176470584</v>
      </c>
      <c r="W719">
        <f t="shared" si="11"/>
        <v>626</v>
      </c>
    </row>
    <row r="720" spans="1:23">
      <c r="A720" s="6">
        <v>45645</v>
      </c>
      <c r="B720" t="s">
        <v>65</v>
      </c>
      <c r="C720">
        <v>3</v>
      </c>
      <c r="D720">
        <v>12</v>
      </c>
      <c r="E720">
        <v>0</v>
      </c>
      <c r="F720">
        <v>0</v>
      </c>
      <c r="H720">
        <v>1</v>
      </c>
      <c r="I720">
        <v>0</v>
      </c>
      <c r="J720">
        <v>0</v>
      </c>
      <c r="K720">
        <v>0</v>
      </c>
      <c r="L720" s="7">
        <v>1.2</v>
      </c>
      <c r="M720" s="7">
        <v>29.1</v>
      </c>
      <c r="N720">
        <v>228</v>
      </c>
      <c r="O720" s="15">
        <v>195</v>
      </c>
      <c r="P720" s="8">
        <v>0.7</v>
      </c>
      <c r="Q720">
        <v>228</v>
      </c>
      <c r="R720" s="15">
        <v>209</v>
      </c>
      <c r="S720" s="8">
        <v>0.752</v>
      </c>
      <c r="T720">
        <v>164</v>
      </c>
      <c r="U720" s="15">
        <v>145</v>
      </c>
      <c r="V720" s="8">
        <v>0.87058823529411766</v>
      </c>
      <c r="W720">
        <f t="shared" si="11"/>
        <v>620</v>
      </c>
    </row>
    <row r="721" spans="1:23">
      <c r="A721" s="6">
        <v>45646</v>
      </c>
      <c r="B721" t="s">
        <v>66</v>
      </c>
      <c r="C721">
        <v>4</v>
      </c>
      <c r="D721">
        <v>12</v>
      </c>
      <c r="E721">
        <v>0</v>
      </c>
      <c r="F721">
        <v>0</v>
      </c>
      <c r="H721">
        <v>1</v>
      </c>
      <c r="I721">
        <v>0</v>
      </c>
      <c r="J721">
        <v>0</v>
      </c>
      <c r="K721">
        <v>0</v>
      </c>
      <c r="L721" s="7">
        <v>3.7</v>
      </c>
      <c r="M721" s="7">
        <v>29.2</v>
      </c>
      <c r="N721">
        <v>233</v>
      </c>
      <c r="O721" s="15">
        <v>212</v>
      </c>
      <c r="P721" s="8">
        <v>0.73571428571428577</v>
      </c>
      <c r="Q721">
        <v>218</v>
      </c>
      <c r="R721" s="15">
        <v>181</v>
      </c>
      <c r="S721" s="8">
        <v>0.73599999999999999</v>
      </c>
      <c r="T721">
        <v>150</v>
      </c>
      <c r="U721" s="15">
        <v>120</v>
      </c>
      <c r="V721" s="8">
        <v>0.8</v>
      </c>
      <c r="W721">
        <f t="shared" si="11"/>
        <v>601</v>
      </c>
    </row>
    <row r="722" spans="1:23">
      <c r="A722" s="6">
        <v>45647</v>
      </c>
      <c r="B722" t="s">
        <v>67</v>
      </c>
      <c r="C722">
        <v>5</v>
      </c>
      <c r="D722">
        <v>12</v>
      </c>
      <c r="E722">
        <v>1</v>
      </c>
      <c r="F722">
        <v>0</v>
      </c>
      <c r="H722">
        <v>1</v>
      </c>
      <c r="I722">
        <v>0</v>
      </c>
      <c r="J722">
        <v>0</v>
      </c>
      <c r="K722">
        <v>0</v>
      </c>
      <c r="L722" s="7">
        <v>0</v>
      </c>
      <c r="M722" s="7">
        <v>28.7</v>
      </c>
      <c r="N722">
        <v>245</v>
      </c>
      <c r="O722" s="15">
        <v>212</v>
      </c>
      <c r="P722" s="8">
        <v>0.73571428571428577</v>
      </c>
      <c r="Q722">
        <v>256</v>
      </c>
      <c r="R722" s="15">
        <v>231</v>
      </c>
      <c r="S722" s="8">
        <v>0.84</v>
      </c>
      <c r="T722">
        <v>167</v>
      </c>
      <c r="U722" s="15">
        <v>149</v>
      </c>
      <c r="V722" s="8">
        <v>0.91764705882352937</v>
      </c>
      <c r="W722">
        <f t="shared" si="11"/>
        <v>668</v>
      </c>
    </row>
    <row r="723" spans="1:23">
      <c r="A723" s="6">
        <v>45648</v>
      </c>
      <c r="B723" t="s">
        <v>60</v>
      </c>
      <c r="C723">
        <v>6</v>
      </c>
      <c r="D723">
        <v>12</v>
      </c>
      <c r="E723">
        <v>1</v>
      </c>
      <c r="F723">
        <v>0</v>
      </c>
      <c r="H723">
        <v>1</v>
      </c>
      <c r="I723">
        <v>0</v>
      </c>
      <c r="J723">
        <v>0</v>
      </c>
      <c r="K723">
        <v>0</v>
      </c>
      <c r="L723" s="7">
        <v>0.4</v>
      </c>
      <c r="M723" s="7">
        <v>29</v>
      </c>
      <c r="N723">
        <v>235</v>
      </c>
      <c r="O723" s="15">
        <v>217</v>
      </c>
      <c r="P723" s="8">
        <v>0.72142857142857142</v>
      </c>
      <c r="Q723">
        <v>264</v>
      </c>
      <c r="R723" s="15">
        <v>226</v>
      </c>
      <c r="S723" s="8">
        <v>0.872</v>
      </c>
      <c r="T723">
        <v>183</v>
      </c>
      <c r="U723" s="15">
        <v>163</v>
      </c>
      <c r="V723" s="8">
        <v>0.95294117647058818</v>
      </c>
      <c r="W723">
        <f t="shared" si="11"/>
        <v>682</v>
      </c>
    </row>
    <row r="724" spans="1:23">
      <c r="A724" s="6">
        <v>45649</v>
      </c>
      <c r="B724" t="s">
        <v>62</v>
      </c>
      <c r="C724">
        <v>0</v>
      </c>
      <c r="D724">
        <v>12</v>
      </c>
      <c r="E724">
        <v>0</v>
      </c>
      <c r="F724">
        <v>0</v>
      </c>
      <c r="H724">
        <v>1</v>
      </c>
      <c r="I724">
        <v>0</v>
      </c>
      <c r="J724">
        <v>0</v>
      </c>
      <c r="K724">
        <v>0</v>
      </c>
      <c r="L724" s="7">
        <v>1.9</v>
      </c>
      <c r="M724" s="7">
        <v>28.5</v>
      </c>
      <c r="N724">
        <v>224</v>
      </c>
      <c r="O724" s="15">
        <v>192</v>
      </c>
      <c r="P724" s="8">
        <v>0.6785714285714286</v>
      </c>
      <c r="Q724">
        <v>220</v>
      </c>
      <c r="R724" s="15">
        <v>193</v>
      </c>
      <c r="S724" s="8">
        <v>0.74399999999999999</v>
      </c>
      <c r="T724">
        <v>162</v>
      </c>
      <c r="U724" s="15">
        <v>133</v>
      </c>
      <c r="V724" s="8">
        <v>0.83529411764705885</v>
      </c>
      <c r="W724">
        <f t="shared" si="11"/>
        <v>606</v>
      </c>
    </row>
    <row r="725" spans="1:23">
      <c r="A725" s="6">
        <v>45650</v>
      </c>
      <c r="B725" t="s">
        <v>63</v>
      </c>
      <c r="C725">
        <v>1</v>
      </c>
      <c r="D725">
        <v>12</v>
      </c>
      <c r="E725">
        <v>0</v>
      </c>
      <c r="F725">
        <v>0</v>
      </c>
      <c r="H725">
        <v>1</v>
      </c>
      <c r="I725">
        <v>0</v>
      </c>
      <c r="J725">
        <v>0</v>
      </c>
      <c r="K725">
        <v>0</v>
      </c>
      <c r="L725" s="7">
        <v>0.4</v>
      </c>
      <c r="M725" s="7">
        <v>30.4</v>
      </c>
      <c r="N725">
        <v>223</v>
      </c>
      <c r="O725" s="15">
        <v>191</v>
      </c>
      <c r="P725" s="8">
        <v>0.65714285714285714</v>
      </c>
      <c r="Q725">
        <v>227</v>
      </c>
      <c r="R725" s="15">
        <v>195</v>
      </c>
      <c r="S725" s="8">
        <v>0.76</v>
      </c>
      <c r="T725">
        <v>158</v>
      </c>
      <c r="U725" s="15">
        <v>147</v>
      </c>
      <c r="V725" s="8">
        <v>0.83529411764705885</v>
      </c>
      <c r="W725">
        <f t="shared" si="11"/>
        <v>608</v>
      </c>
    </row>
    <row r="726" spans="1:23">
      <c r="A726" s="6">
        <v>45651</v>
      </c>
      <c r="B726" t="s">
        <v>64</v>
      </c>
      <c r="C726">
        <v>2</v>
      </c>
      <c r="D726">
        <v>12</v>
      </c>
      <c r="E726">
        <v>0</v>
      </c>
      <c r="F726">
        <v>1</v>
      </c>
      <c r="G726" t="s">
        <v>76</v>
      </c>
      <c r="H726">
        <v>1</v>
      </c>
      <c r="I726">
        <v>0</v>
      </c>
      <c r="J726">
        <v>0</v>
      </c>
      <c r="K726">
        <v>0</v>
      </c>
      <c r="L726" s="7">
        <v>1.9</v>
      </c>
      <c r="M726" s="7">
        <v>29.3</v>
      </c>
      <c r="N726">
        <v>275</v>
      </c>
      <c r="O726" s="15">
        <v>234</v>
      </c>
      <c r="P726" s="8">
        <v>0.84285714285714286</v>
      </c>
      <c r="Q726">
        <v>249</v>
      </c>
      <c r="R726" s="15">
        <v>230</v>
      </c>
      <c r="S726" s="8">
        <v>0.81599999999999995</v>
      </c>
      <c r="T726">
        <v>181</v>
      </c>
      <c r="U726" s="15">
        <v>148</v>
      </c>
      <c r="V726" s="8">
        <v>0.90588235294117647</v>
      </c>
      <c r="W726">
        <f t="shared" si="11"/>
        <v>705</v>
      </c>
    </row>
    <row r="727" spans="1:23">
      <c r="A727" s="6">
        <v>45652</v>
      </c>
      <c r="B727" t="s">
        <v>65</v>
      </c>
      <c r="C727">
        <v>3</v>
      </c>
      <c r="D727">
        <v>12</v>
      </c>
      <c r="E727">
        <v>0</v>
      </c>
      <c r="F727">
        <v>0</v>
      </c>
      <c r="H727">
        <v>1</v>
      </c>
      <c r="I727">
        <v>0</v>
      </c>
      <c r="J727">
        <v>0</v>
      </c>
      <c r="K727">
        <v>0</v>
      </c>
      <c r="L727" s="7">
        <v>3</v>
      </c>
      <c r="M727" s="7">
        <v>28.6</v>
      </c>
      <c r="N727">
        <v>235</v>
      </c>
      <c r="O727" s="15">
        <v>215</v>
      </c>
      <c r="P727" s="8">
        <v>0.70714285714285718</v>
      </c>
      <c r="Q727">
        <v>258</v>
      </c>
      <c r="R727" s="15">
        <v>219</v>
      </c>
      <c r="S727" s="8">
        <v>0.84</v>
      </c>
      <c r="T727">
        <v>156</v>
      </c>
      <c r="U727" s="15">
        <v>132</v>
      </c>
      <c r="V727" s="8">
        <v>0.81176470588235294</v>
      </c>
      <c r="W727">
        <f t="shared" si="11"/>
        <v>649</v>
      </c>
    </row>
    <row r="728" spans="1:23">
      <c r="A728" s="6">
        <v>45653</v>
      </c>
      <c r="B728" t="s">
        <v>66</v>
      </c>
      <c r="C728">
        <v>4</v>
      </c>
      <c r="D728">
        <v>12</v>
      </c>
      <c r="E728">
        <v>0</v>
      </c>
      <c r="F728">
        <v>0</v>
      </c>
      <c r="H728">
        <v>1</v>
      </c>
      <c r="I728">
        <v>0</v>
      </c>
      <c r="J728">
        <v>0</v>
      </c>
      <c r="K728">
        <v>0</v>
      </c>
      <c r="L728" s="7">
        <v>2.2999999999999998</v>
      </c>
      <c r="M728" s="7">
        <v>29.5</v>
      </c>
      <c r="N728">
        <v>247</v>
      </c>
      <c r="O728" s="15">
        <v>212</v>
      </c>
      <c r="P728" s="8">
        <v>0.76428571428571423</v>
      </c>
      <c r="Q728">
        <v>215</v>
      </c>
      <c r="R728" s="15">
        <v>179</v>
      </c>
      <c r="S728" s="8">
        <v>0.71199999999999997</v>
      </c>
      <c r="T728">
        <v>155</v>
      </c>
      <c r="U728" s="15">
        <v>146</v>
      </c>
      <c r="V728" s="8">
        <v>0.77647058823529413</v>
      </c>
      <c r="W728">
        <f t="shared" si="11"/>
        <v>617</v>
      </c>
    </row>
    <row r="729" spans="1:23">
      <c r="A729" s="6">
        <v>45654</v>
      </c>
      <c r="B729" t="s">
        <v>67</v>
      </c>
      <c r="C729">
        <v>5</v>
      </c>
      <c r="D729">
        <v>12</v>
      </c>
      <c r="E729">
        <v>1</v>
      </c>
      <c r="F729">
        <v>0</v>
      </c>
      <c r="H729">
        <v>1</v>
      </c>
      <c r="I729">
        <v>0</v>
      </c>
      <c r="J729">
        <v>1</v>
      </c>
      <c r="K729">
        <v>0</v>
      </c>
      <c r="L729" s="7">
        <v>0</v>
      </c>
      <c r="M729" s="7">
        <v>28.3</v>
      </c>
      <c r="N729">
        <v>301</v>
      </c>
      <c r="O729" s="15">
        <v>271</v>
      </c>
      <c r="P729" s="8">
        <v>0.91428571428571426</v>
      </c>
      <c r="Q729">
        <v>294</v>
      </c>
      <c r="R729" s="15">
        <v>274</v>
      </c>
      <c r="S729" s="8">
        <v>0.96799999999999997</v>
      </c>
      <c r="T729">
        <v>182</v>
      </c>
      <c r="U729" s="15">
        <v>169</v>
      </c>
      <c r="V729" s="8">
        <v>0.96470588235294119</v>
      </c>
      <c r="W729">
        <f t="shared" si="11"/>
        <v>777</v>
      </c>
    </row>
    <row r="730" spans="1:23">
      <c r="A730" s="6">
        <v>45655</v>
      </c>
      <c r="B730" t="s">
        <v>60</v>
      </c>
      <c r="C730">
        <v>6</v>
      </c>
      <c r="D730">
        <v>12</v>
      </c>
      <c r="E730">
        <v>1</v>
      </c>
      <c r="F730">
        <v>0</v>
      </c>
      <c r="H730">
        <v>1</v>
      </c>
      <c r="I730">
        <v>0</v>
      </c>
      <c r="J730">
        <v>1</v>
      </c>
      <c r="K730">
        <v>0</v>
      </c>
      <c r="L730" s="7">
        <v>1.3</v>
      </c>
      <c r="M730" s="7">
        <v>27.7</v>
      </c>
      <c r="N730">
        <v>286</v>
      </c>
      <c r="O730" s="15">
        <v>229</v>
      </c>
      <c r="P730" s="8">
        <v>0.87142857142857144</v>
      </c>
      <c r="Q730">
        <v>292</v>
      </c>
      <c r="R730" s="15">
        <v>248</v>
      </c>
      <c r="S730" s="8">
        <v>0.96</v>
      </c>
      <c r="T730">
        <v>189</v>
      </c>
      <c r="U730" s="15">
        <v>157</v>
      </c>
      <c r="V730" s="8">
        <v>0.96470588235294119</v>
      </c>
      <c r="W730">
        <f t="shared" si="11"/>
        <v>767</v>
      </c>
    </row>
    <row r="731" spans="1:23">
      <c r="A731" s="6">
        <v>45656</v>
      </c>
      <c r="B731" t="s">
        <v>62</v>
      </c>
      <c r="C731">
        <v>0</v>
      </c>
      <c r="D731">
        <v>12</v>
      </c>
      <c r="E731">
        <v>0</v>
      </c>
      <c r="F731">
        <v>0</v>
      </c>
      <c r="H731">
        <v>1</v>
      </c>
      <c r="I731">
        <v>0</v>
      </c>
      <c r="J731">
        <v>1</v>
      </c>
      <c r="K731">
        <v>0</v>
      </c>
      <c r="L731" s="7">
        <v>0</v>
      </c>
      <c r="M731" s="7">
        <v>30</v>
      </c>
      <c r="N731">
        <v>254</v>
      </c>
      <c r="O731" s="15">
        <v>207</v>
      </c>
      <c r="P731" s="8">
        <v>0.8</v>
      </c>
      <c r="Q731">
        <v>268</v>
      </c>
      <c r="R731" s="15">
        <v>239</v>
      </c>
      <c r="S731" s="8">
        <v>0.89600000000000002</v>
      </c>
      <c r="T731">
        <v>179</v>
      </c>
      <c r="U731" s="15">
        <v>167</v>
      </c>
      <c r="V731" s="8">
        <v>0.94117647058823528</v>
      </c>
      <c r="W731">
        <f t="shared" si="11"/>
        <v>701</v>
      </c>
    </row>
    <row r="732" spans="1:23">
      <c r="A732" s="6">
        <v>45657</v>
      </c>
      <c r="B732" t="s">
        <v>63</v>
      </c>
      <c r="C732">
        <v>1</v>
      </c>
      <c r="D732">
        <v>12</v>
      </c>
      <c r="E732">
        <v>0</v>
      </c>
      <c r="F732">
        <v>0</v>
      </c>
      <c r="H732">
        <v>1</v>
      </c>
      <c r="I732">
        <v>0</v>
      </c>
      <c r="J732">
        <v>1</v>
      </c>
      <c r="K732">
        <v>0</v>
      </c>
      <c r="L732" s="7">
        <v>1.6</v>
      </c>
      <c r="M732" s="7">
        <v>29.4</v>
      </c>
      <c r="N732">
        <v>252</v>
      </c>
      <c r="O732" s="15">
        <v>221</v>
      </c>
      <c r="P732" s="8">
        <v>0.75</v>
      </c>
      <c r="Q732">
        <v>266</v>
      </c>
      <c r="R732" s="15">
        <v>232</v>
      </c>
      <c r="S732" s="8">
        <v>0.88</v>
      </c>
      <c r="T732">
        <v>185</v>
      </c>
      <c r="U732" s="15">
        <v>158</v>
      </c>
      <c r="V732" s="8">
        <v>0.95294117647058818</v>
      </c>
      <c r="W732">
        <f t="shared" si="11"/>
        <v>703</v>
      </c>
    </row>
    <row r="733" spans="1:23">
      <c r="A733" s="6">
        <v>45658</v>
      </c>
      <c r="B733" t="s">
        <v>64</v>
      </c>
      <c r="C733">
        <v>2</v>
      </c>
      <c r="D733">
        <v>1</v>
      </c>
      <c r="E733">
        <v>0</v>
      </c>
      <c r="F733">
        <v>1</v>
      </c>
      <c r="G733" t="s">
        <v>61</v>
      </c>
      <c r="H733">
        <v>1</v>
      </c>
      <c r="I733">
        <v>0</v>
      </c>
      <c r="J733">
        <v>1</v>
      </c>
      <c r="K733">
        <v>0</v>
      </c>
      <c r="L733" s="7">
        <v>5.9</v>
      </c>
      <c r="M733" s="7">
        <v>29.6</v>
      </c>
      <c r="N733">
        <v>283</v>
      </c>
      <c r="O733" s="15">
        <v>261</v>
      </c>
      <c r="P733" s="8">
        <v>0.86428571428571432</v>
      </c>
      <c r="Q733">
        <v>289</v>
      </c>
      <c r="R733" s="15">
        <v>271</v>
      </c>
      <c r="S733" s="8">
        <v>0.96799999999999997</v>
      </c>
      <c r="T733">
        <v>189</v>
      </c>
      <c r="U733" s="15">
        <v>172</v>
      </c>
      <c r="V733" s="8">
        <v>0.96470588235294119</v>
      </c>
      <c r="W733">
        <f t="shared" si="11"/>
        <v>761</v>
      </c>
    </row>
    <row r="734" spans="1:23">
      <c r="A734" s="6">
        <v>45659</v>
      </c>
      <c r="B734" t="s">
        <v>65</v>
      </c>
      <c r="C734">
        <v>3</v>
      </c>
      <c r="D734">
        <v>1</v>
      </c>
      <c r="E734">
        <v>0</v>
      </c>
      <c r="F734">
        <v>0</v>
      </c>
      <c r="H734">
        <v>1</v>
      </c>
      <c r="I734">
        <v>0</v>
      </c>
      <c r="J734">
        <v>1</v>
      </c>
      <c r="K734">
        <v>0</v>
      </c>
      <c r="L734" s="7">
        <v>16.100000000000001</v>
      </c>
      <c r="M734" s="7">
        <v>29.5</v>
      </c>
      <c r="N734">
        <v>239</v>
      </c>
      <c r="O734" s="15">
        <v>203</v>
      </c>
      <c r="P734" s="8">
        <v>0.75714285714285712</v>
      </c>
      <c r="Q734">
        <v>275</v>
      </c>
      <c r="R734" s="15">
        <v>237</v>
      </c>
      <c r="S734" s="8">
        <v>0.91200000000000003</v>
      </c>
      <c r="T734">
        <v>187</v>
      </c>
      <c r="U734" s="15">
        <v>167</v>
      </c>
      <c r="V734" s="8">
        <v>0.94117647058823528</v>
      </c>
      <c r="W734">
        <f t="shared" si="11"/>
        <v>701</v>
      </c>
    </row>
    <row r="735" spans="1:23">
      <c r="A735" s="6">
        <v>45660</v>
      </c>
      <c r="B735" t="s">
        <v>66</v>
      </c>
      <c r="C735">
        <v>4</v>
      </c>
      <c r="D735">
        <v>1</v>
      </c>
      <c r="E735">
        <v>0</v>
      </c>
      <c r="F735">
        <v>0</v>
      </c>
      <c r="H735">
        <v>1</v>
      </c>
      <c r="I735">
        <v>0</v>
      </c>
      <c r="J735">
        <v>0</v>
      </c>
      <c r="K735">
        <v>0</v>
      </c>
      <c r="L735" s="7">
        <v>6.6</v>
      </c>
      <c r="M735" s="7">
        <v>28.2</v>
      </c>
      <c r="N735">
        <v>218</v>
      </c>
      <c r="O735" s="15">
        <v>183</v>
      </c>
      <c r="P735" s="8">
        <v>0.65714285714285714</v>
      </c>
      <c r="Q735">
        <v>236</v>
      </c>
      <c r="R735" s="15">
        <v>201</v>
      </c>
      <c r="S735" s="8">
        <v>0.77600000000000002</v>
      </c>
      <c r="T735">
        <v>154</v>
      </c>
      <c r="U735" s="15">
        <v>134</v>
      </c>
      <c r="V735" s="8">
        <v>0.83529411764705885</v>
      </c>
      <c r="W735">
        <f t="shared" si="11"/>
        <v>608</v>
      </c>
    </row>
    <row r="736" spans="1:23">
      <c r="A736" s="6">
        <v>45661</v>
      </c>
      <c r="B736" t="s">
        <v>67</v>
      </c>
      <c r="C736">
        <v>5</v>
      </c>
      <c r="D736">
        <v>1</v>
      </c>
      <c r="E736">
        <v>1</v>
      </c>
      <c r="F736">
        <v>0</v>
      </c>
      <c r="H736">
        <v>1</v>
      </c>
      <c r="I736">
        <v>0</v>
      </c>
      <c r="J736">
        <v>0</v>
      </c>
      <c r="K736">
        <v>0</v>
      </c>
      <c r="L736" s="7">
        <v>5.0999999999999996</v>
      </c>
      <c r="M736" s="7">
        <v>28.2</v>
      </c>
      <c r="N736">
        <v>231</v>
      </c>
      <c r="O736" s="15">
        <v>207</v>
      </c>
      <c r="P736" s="8">
        <v>0.69285714285714284</v>
      </c>
      <c r="Q736">
        <v>241</v>
      </c>
      <c r="R736" s="15">
        <v>195</v>
      </c>
      <c r="S736" s="8">
        <v>0.82399999999999995</v>
      </c>
      <c r="T736">
        <v>172</v>
      </c>
      <c r="U736" s="15">
        <v>138</v>
      </c>
      <c r="V736" s="8">
        <v>0.90588235294117647</v>
      </c>
      <c r="W736">
        <f t="shared" si="11"/>
        <v>644</v>
      </c>
    </row>
    <row r="737" spans="1:23">
      <c r="A737" s="6">
        <v>45662</v>
      </c>
      <c r="B737" t="s">
        <v>60</v>
      </c>
      <c r="C737">
        <v>6</v>
      </c>
      <c r="D737">
        <v>1</v>
      </c>
      <c r="E737">
        <v>1</v>
      </c>
      <c r="F737">
        <v>0</v>
      </c>
      <c r="H737">
        <v>1</v>
      </c>
      <c r="I737">
        <v>0</v>
      </c>
      <c r="J737">
        <v>0</v>
      </c>
      <c r="K737">
        <v>0</v>
      </c>
      <c r="L737" s="7">
        <v>0</v>
      </c>
      <c r="M737" s="7">
        <v>27.8</v>
      </c>
      <c r="N737">
        <v>267</v>
      </c>
      <c r="O737" s="15">
        <v>234</v>
      </c>
      <c r="P737" s="8">
        <v>0.8</v>
      </c>
      <c r="Q737">
        <v>238</v>
      </c>
      <c r="R737" s="15">
        <v>204</v>
      </c>
      <c r="S737" s="8">
        <v>0.79200000000000004</v>
      </c>
      <c r="T737">
        <v>175</v>
      </c>
      <c r="U737" s="15">
        <v>148</v>
      </c>
      <c r="V737" s="8">
        <v>0.91764705882352937</v>
      </c>
      <c r="W737">
        <f t="shared" si="11"/>
        <v>680</v>
      </c>
    </row>
    <row r="738" spans="1:23">
      <c r="A738" s="6">
        <v>45663</v>
      </c>
      <c r="B738" t="s">
        <v>62</v>
      </c>
      <c r="C738">
        <v>0</v>
      </c>
      <c r="D738">
        <v>1</v>
      </c>
      <c r="E738">
        <v>0</v>
      </c>
      <c r="F738">
        <v>0</v>
      </c>
      <c r="H738">
        <v>1</v>
      </c>
      <c r="I738">
        <v>0</v>
      </c>
      <c r="J738">
        <v>0</v>
      </c>
      <c r="K738">
        <v>0</v>
      </c>
      <c r="L738" s="7">
        <v>0.6</v>
      </c>
      <c r="M738" s="7">
        <v>28.7</v>
      </c>
      <c r="N738">
        <v>217</v>
      </c>
      <c r="O738" s="15">
        <v>196</v>
      </c>
      <c r="P738" s="8">
        <v>0.66428571428571426</v>
      </c>
      <c r="Q738">
        <v>242</v>
      </c>
      <c r="R738" s="15">
        <v>215</v>
      </c>
      <c r="S738" s="8">
        <v>0.78400000000000003</v>
      </c>
      <c r="T738">
        <v>153</v>
      </c>
      <c r="U738" s="15">
        <v>124</v>
      </c>
      <c r="V738" s="8">
        <v>0.8</v>
      </c>
      <c r="W738">
        <f t="shared" si="11"/>
        <v>612</v>
      </c>
    </row>
    <row r="739" spans="1:23">
      <c r="A739" s="6">
        <v>45664</v>
      </c>
      <c r="B739" t="s">
        <v>63</v>
      </c>
      <c r="C739">
        <v>1</v>
      </c>
      <c r="D739">
        <v>1</v>
      </c>
      <c r="E739">
        <v>0</v>
      </c>
      <c r="F739">
        <v>0</v>
      </c>
      <c r="H739">
        <v>1</v>
      </c>
      <c r="I739">
        <v>0</v>
      </c>
      <c r="J739">
        <v>0</v>
      </c>
      <c r="K739">
        <v>0</v>
      </c>
      <c r="L739" s="7">
        <v>6.2</v>
      </c>
      <c r="M739" s="7">
        <v>28.2</v>
      </c>
      <c r="N739">
        <v>229</v>
      </c>
      <c r="O739" s="15">
        <v>209</v>
      </c>
      <c r="P739" s="8">
        <v>0.69285714285714284</v>
      </c>
      <c r="Q739">
        <v>215</v>
      </c>
      <c r="R739" s="15">
        <v>184</v>
      </c>
      <c r="S739" s="8">
        <v>0.72</v>
      </c>
      <c r="T739">
        <v>156</v>
      </c>
      <c r="U739" s="15">
        <v>138</v>
      </c>
      <c r="V739" s="8">
        <v>0.84705882352941175</v>
      </c>
      <c r="W739">
        <f t="shared" si="11"/>
        <v>600</v>
      </c>
    </row>
    <row r="740" spans="1:23">
      <c r="A740" s="6">
        <v>45665</v>
      </c>
      <c r="B740" t="s">
        <v>64</v>
      </c>
      <c r="C740">
        <v>2</v>
      </c>
      <c r="D740">
        <v>1</v>
      </c>
      <c r="E740">
        <v>0</v>
      </c>
      <c r="F740">
        <v>0</v>
      </c>
      <c r="H740">
        <v>1</v>
      </c>
      <c r="I740">
        <v>0</v>
      </c>
      <c r="J740">
        <v>0</v>
      </c>
      <c r="K740">
        <v>0</v>
      </c>
      <c r="L740" s="7">
        <v>20.5</v>
      </c>
      <c r="M740" s="7">
        <v>28.6</v>
      </c>
      <c r="N740">
        <v>219</v>
      </c>
      <c r="O740" s="15">
        <v>177</v>
      </c>
      <c r="P740" s="8">
        <v>0.65</v>
      </c>
      <c r="Q740">
        <v>226</v>
      </c>
      <c r="R740" s="15">
        <v>192</v>
      </c>
      <c r="S740" s="8">
        <v>0.74399999999999999</v>
      </c>
      <c r="T740">
        <v>154</v>
      </c>
      <c r="U740" s="15">
        <v>124</v>
      </c>
      <c r="V740" s="8">
        <v>0.78823529411764703</v>
      </c>
      <c r="W740">
        <f t="shared" si="11"/>
        <v>599</v>
      </c>
    </row>
    <row r="741" spans="1:23">
      <c r="A741" s="6">
        <v>45666</v>
      </c>
      <c r="B741" t="s">
        <v>65</v>
      </c>
      <c r="C741">
        <v>3</v>
      </c>
      <c r="D741">
        <v>1</v>
      </c>
      <c r="E741">
        <v>0</v>
      </c>
      <c r="F741">
        <v>0</v>
      </c>
      <c r="H741">
        <v>1</v>
      </c>
      <c r="I741">
        <v>0</v>
      </c>
      <c r="J741">
        <v>0</v>
      </c>
      <c r="K741">
        <v>0</v>
      </c>
      <c r="L741" s="7">
        <v>0</v>
      </c>
      <c r="M741" s="7">
        <v>28.3</v>
      </c>
      <c r="N741">
        <v>222</v>
      </c>
      <c r="O741" s="15">
        <v>180</v>
      </c>
      <c r="P741" s="8">
        <v>0.67142857142857137</v>
      </c>
      <c r="Q741">
        <v>223</v>
      </c>
      <c r="R741" s="15">
        <v>193</v>
      </c>
      <c r="S741" s="8">
        <v>0.74399999999999999</v>
      </c>
      <c r="T741">
        <v>156</v>
      </c>
      <c r="U741" s="15">
        <v>146</v>
      </c>
      <c r="V741" s="8">
        <v>0.81176470588235294</v>
      </c>
      <c r="W741">
        <f t="shared" si="11"/>
        <v>601</v>
      </c>
    </row>
    <row r="742" spans="1:23">
      <c r="A742" s="6">
        <v>45667</v>
      </c>
      <c r="B742" t="s">
        <v>66</v>
      </c>
      <c r="C742">
        <v>4</v>
      </c>
      <c r="D742">
        <v>1</v>
      </c>
      <c r="E742">
        <v>0</v>
      </c>
      <c r="F742">
        <v>0</v>
      </c>
      <c r="H742">
        <v>1</v>
      </c>
      <c r="I742">
        <v>0</v>
      </c>
      <c r="J742">
        <v>0</v>
      </c>
      <c r="K742">
        <v>0</v>
      </c>
      <c r="L742" s="7">
        <v>3.3</v>
      </c>
      <c r="M742" s="7">
        <v>27.4</v>
      </c>
      <c r="N742">
        <v>225</v>
      </c>
      <c r="O742" s="15">
        <v>202</v>
      </c>
      <c r="P742" s="8">
        <v>0.67142857142857137</v>
      </c>
      <c r="Q742">
        <v>227</v>
      </c>
      <c r="R742" s="15">
        <v>209</v>
      </c>
      <c r="S742" s="8">
        <v>0.76</v>
      </c>
      <c r="T742">
        <v>166</v>
      </c>
      <c r="U742" s="15">
        <v>143</v>
      </c>
      <c r="V742" s="8">
        <v>0.85882352941176465</v>
      </c>
      <c r="W742">
        <f t="shared" si="11"/>
        <v>618</v>
      </c>
    </row>
    <row r="743" spans="1:23">
      <c r="A743" s="6">
        <v>45668</v>
      </c>
      <c r="B743" t="s">
        <v>67</v>
      </c>
      <c r="C743">
        <v>5</v>
      </c>
      <c r="D743">
        <v>1</v>
      </c>
      <c r="E743">
        <v>1</v>
      </c>
      <c r="F743">
        <v>0</v>
      </c>
      <c r="H743">
        <v>1</v>
      </c>
      <c r="I743">
        <v>0</v>
      </c>
      <c r="J743">
        <v>0</v>
      </c>
      <c r="K743">
        <v>0</v>
      </c>
      <c r="L743" s="7">
        <v>8.4</v>
      </c>
      <c r="M743" s="7">
        <v>29.5</v>
      </c>
      <c r="N743">
        <v>241</v>
      </c>
      <c r="O743" s="15">
        <v>204</v>
      </c>
      <c r="P743" s="8">
        <v>0.73571428571428577</v>
      </c>
      <c r="Q743">
        <v>269</v>
      </c>
      <c r="R743" s="15">
        <v>242</v>
      </c>
      <c r="S743" s="8">
        <v>0.88</v>
      </c>
      <c r="T743">
        <v>188</v>
      </c>
      <c r="U743" s="15">
        <v>174</v>
      </c>
      <c r="V743" s="8">
        <v>0.95294117647058818</v>
      </c>
      <c r="W743">
        <f t="shared" si="11"/>
        <v>698</v>
      </c>
    </row>
    <row r="744" spans="1:23">
      <c r="A744" s="6">
        <v>45669</v>
      </c>
      <c r="B744" t="s">
        <v>60</v>
      </c>
      <c r="C744">
        <v>6</v>
      </c>
      <c r="D744">
        <v>1</v>
      </c>
      <c r="E744">
        <v>1</v>
      </c>
      <c r="F744">
        <v>0</v>
      </c>
      <c r="H744">
        <v>1</v>
      </c>
      <c r="I744">
        <v>0</v>
      </c>
      <c r="J744">
        <v>0</v>
      </c>
      <c r="K744">
        <v>0</v>
      </c>
      <c r="L744" s="7">
        <v>8.6999999999999993</v>
      </c>
      <c r="M744" s="7">
        <v>29</v>
      </c>
      <c r="N744">
        <v>231</v>
      </c>
      <c r="O744" s="15">
        <v>212</v>
      </c>
      <c r="P744" s="8">
        <v>0.70714285714285718</v>
      </c>
      <c r="Q744">
        <v>251</v>
      </c>
      <c r="R744" s="15">
        <v>229</v>
      </c>
      <c r="S744" s="8">
        <v>0.83199999999999996</v>
      </c>
      <c r="T744">
        <v>178</v>
      </c>
      <c r="U744" s="15">
        <v>154</v>
      </c>
      <c r="V744" s="8">
        <v>0.96470588235294119</v>
      </c>
      <c r="W744">
        <f t="shared" si="11"/>
        <v>660</v>
      </c>
    </row>
    <row r="745" spans="1:23">
      <c r="A745" s="6">
        <v>45670</v>
      </c>
      <c r="B745" t="s">
        <v>62</v>
      </c>
      <c r="C745">
        <v>0</v>
      </c>
      <c r="D745">
        <v>1</v>
      </c>
      <c r="E745">
        <v>0</v>
      </c>
      <c r="F745">
        <v>0</v>
      </c>
      <c r="H745">
        <v>1</v>
      </c>
      <c r="I745">
        <v>0</v>
      </c>
      <c r="J745">
        <v>0</v>
      </c>
      <c r="K745">
        <v>0</v>
      </c>
      <c r="L745" s="7">
        <v>9.1</v>
      </c>
      <c r="M745" s="7">
        <v>28.2</v>
      </c>
      <c r="N745">
        <v>244</v>
      </c>
      <c r="O745" s="15">
        <v>199</v>
      </c>
      <c r="P745" s="8">
        <v>0.73571428571428577</v>
      </c>
      <c r="Q745">
        <v>218</v>
      </c>
      <c r="R745" s="15">
        <v>197</v>
      </c>
      <c r="S745" s="8">
        <v>0.72</v>
      </c>
      <c r="T745">
        <v>159</v>
      </c>
      <c r="U745" s="15">
        <v>130</v>
      </c>
      <c r="V745" s="8">
        <v>0.82352941176470584</v>
      </c>
      <c r="W745">
        <f t="shared" si="11"/>
        <v>621</v>
      </c>
    </row>
    <row r="746" spans="1:23">
      <c r="A746" s="6">
        <v>45671</v>
      </c>
      <c r="B746" t="s">
        <v>63</v>
      </c>
      <c r="C746">
        <v>1</v>
      </c>
      <c r="D746">
        <v>1</v>
      </c>
      <c r="E746">
        <v>0</v>
      </c>
      <c r="F746">
        <v>0</v>
      </c>
      <c r="H746">
        <v>1</v>
      </c>
      <c r="I746">
        <v>0</v>
      </c>
      <c r="J746">
        <v>0</v>
      </c>
      <c r="K746">
        <v>0</v>
      </c>
      <c r="L746" s="7">
        <v>0</v>
      </c>
      <c r="M746" s="7">
        <v>28.6</v>
      </c>
      <c r="N746">
        <v>232</v>
      </c>
      <c r="O746" s="15">
        <v>190</v>
      </c>
      <c r="P746" s="8">
        <v>0.7142857142857143</v>
      </c>
      <c r="Q746">
        <v>233</v>
      </c>
      <c r="R746" s="15">
        <v>198</v>
      </c>
      <c r="S746" s="8">
        <v>0.78400000000000003</v>
      </c>
      <c r="T746">
        <v>160</v>
      </c>
      <c r="U746" s="15">
        <v>137</v>
      </c>
      <c r="V746" s="8">
        <v>0.82352941176470584</v>
      </c>
      <c r="W746">
        <f t="shared" si="11"/>
        <v>625</v>
      </c>
    </row>
    <row r="747" spans="1:23">
      <c r="A747" s="6">
        <v>45672</v>
      </c>
      <c r="B747" t="s">
        <v>64</v>
      </c>
      <c r="C747">
        <v>2</v>
      </c>
      <c r="D747">
        <v>1</v>
      </c>
      <c r="E747">
        <v>0</v>
      </c>
      <c r="F747">
        <v>0</v>
      </c>
      <c r="H747">
        <v>1</v>
      </c>
      <c r="I747">
        <v>0</v>
      </c>
      <c r="J747">
        <v>0</v>
      </c>
      <c r="K747">
        <v>0</v>
      </c>
      <c r="L747" s="7">
        <v>2.5</v>
      </c>
      <c r="M747" s="7">
        <v>28.1</v>
      </c>
      <c r="N747">
        <v>228</v>
      </c>
      <c r="O747" s="15">
        <v>184</v>
      </c>
      <c r="P747" s="8">
        <v>0.69285714285714284</v>
      </c>
      <c r="Q747">
        <v>229</v>
      </c>
      <c r="R747" s="15">
        <v>215</v>
      </c>
      <c r="S747" s="8">
        <v>0.76</v>
      </c>
      <c r="T747">
        <v>164</v>
      </c>
      <c r="U747" s="15">
        <v>136</v>
      </c>
      <c r="V747" s="8">
        <v>0.84705882352941175</v>
      </c>
      <c r="W747">
        <f t="shared" si="11"/>
        <v>621</v>
      </c>
    </row>
    <row r="748" spans="1:23">
      <c r="A748" s="6">
        <v>45673</v>
      </c>
      <c r="B748" t="s">
        <v>65</v>
      </c>
      <c r="C748">
        <v>3</v>
      </c>
      <c r="D748">
        <v>1</v>
      </c>
      <c r="E748">
        <v>0</v>
      </c>
      <c r="F748">
        <v>0</v>
      </c>
      <c r="H748">
        <v>1</v>
      </c>
      <c r="I748">
        <v>0</v>
      </c>
      <c r="J748">
        <v>0</v>
      </c>
      <c r="K748">
        <v>0</v>
      </c>
      <c r="L748" s="7">
        <v>0</v>
      </c>
      <c r="M748" s="7">
        <v>29.3</v>
      </c>
      <c r="N748">
        <v>221</v>
      </c>
      <c r="O748" s="15">
        <v>178</v>
      </c>
      <c r="P748" s="8">
        <v>0.6785714285714286</v>
      </c>
      <c r="Q748">
        <v>246</v>
      </c>
      <c r="R748" s="15">
        <v>226</v>
      </c>
      <c r="S748" s="8">
        <v>0.82399999999999995</v>
      </c>
      <c r="T748">
        <v>147</v>
      </c>
      <c r="U748" s="15">
        <v>123</v>
      </c>
      <c r="V748" s="8">
        <v>0.78823529411764703</v>
      </c>
      <c r="W748">
        <f t="shared" si="11"/>
        <v>614</v>
      </c>
    </row>
    <row r="749" spans="1:23">
      <c r="A749" s="6">
        <v>45674</v>
      </c>
      <c r="B749" t="s">
        <v>66</v>
      </c>
      <c r="C749">
        <v>4</v>
      </c>
      <c r="D749">
        <v>1</v>
      </c>
      <c r="E749">
        <v>0</v>
      </c>
      <c r="F749">
        <v>0</v>
      </c>
      <c r="H749">
        <v>1</v>
      </c>
      <c r="I749">
        <v>0</v>
      </c>
      <c r="J749">
        <v>0</v>
      </c>
      <c r="K749">
        <v>0</v>
      </c>
      <c r="L749" s="7">
        <v>5.2</v>
      </c>
      <c r="M749" s="7">
        <v>27.8</v>
      </c>
      <c r="N749">
        <v>215</v>
      </c>
      <c r="O749" s="15">
        <v>199</v>
      </c>
      <c r="P749" s="8">
        <v>0.65</v>
      </c>
      <c r="Q749">
        <v>222</v>
      </c>
      <c r="R749" s="15">
        <v>178</v>
      </c>
      <c r="S749" s="8">
        <v>0.74399999999999999</v>
      </c>
      <c r="T749">
        <v>166</v>
      </c>
      <c r="U749" s="15">
        <v>137</v>
      </c>
      <c r="V749" s="8">
        <v>0.83529411764705885</v>
      </c>
      <c r="W749">
        <f t="shared" si="11"/>
        <v>603</v>
      </c>
    </row>
    <row r="750" spans="1:23">
      <c r="A750" s="6">
        <v>45675</v>
      </c>
      <c r="B750" t="s">
        <v>67</v>
      </c>
      <c r="C750">
        <v>5</v>
      </c>
      <c r="D750">
        <v>1</v>
      </c>
      <c r="E750">
        <v>1</v>
      </c>
      <c r="F750">
        <v>0</v>
      </c>
      <c r="H750">
        <v>1</v>
      </c>
      <c r="I750">
        <v>0</v>
      </c>
      <c r="J750">
        <v>0</v>
      </c>
      <c r="K750">
        <v>0</v>
      </c>
      <c r="L750" s="7">
        <v>0</v>
      </c>
      <c r="M750" s="7">
        <v>29</v>
      </c>
      <c r="N750">
        <v>263</v>
      </c>
      <c r="O750" s="15">
        <v>213</v>
      </c>
      <c r="P750" s="8">
        <v>0.8</v>
      </c>
      <c r="Q750">
        <v>259</v>
      </c>
      <c r="R750" s="15">
        <v>207</v>
      </c>
      <c r="S750" s="8">
        <v>0.84</v>
      </c>
      <c r="T750">
        <v>178</v>
      </c>
      <c r="U750" s="15">
        <v>166</v>
      </c>
      <c r="V750" s="8">
        <v>0.91764705882352937</v>
      </c>
      <c r="W750">
        <f t="shared" si="11"/>
        <v>700</v>
      </c>
    </row>
    <row r="751" spans="1:23">
      <c r="A751" s="6">
        <v>45676</v>
      </c>
      <c r="B751" t="s">
        <v>60</v>
      </c>
      <c r="C751">
        <v>6</v>
      </c>
      <c r="D751">
        <v>1</v>
      </c>
      <c r="E751">
        <v>1</v>
      </c>
      <c r="F751">
        <v>0</v>
      </c>
      <c r="H751">
        <v>1</v>
      </c>
      <c r="I751">
        <v>0</v>
      </c>
      <c r="J751">
        <v>0</v>
      </c>
      <c r="K751">
        <v>0</v>
      </c>
      <c r="L751" s="7">
        <v>0</v>
      </c>
      <c r="M751" s="7">
        <v>29.4</v>
      </c>
      <c r="N751">
        <v>263</v>
      </c>
      <c r="O751" s="15">
        <v>229</v>
      </c>
      <c r="P751" s="8">
        <v>0.79285714285714282</v>
      </c>
      <c r="Q751">
        <v>257</v>
      </c>
      <c r="R751" s="15">
        <v>241</v>
      </c>
      <c r="S751" s="8">
        <v>0.86399999999999999</v>
      </c>
      <c r="T751">
        <v>193</v>
      </c>
      <c r="U751" s="15">
        <v>175</v>
      </c>
      <c r="V751" s="8">
        <v>0.96470588235294119</v>
      </c>
      <c r="W751">
        <f t="shared" si="11"/>
        <v>713</v>
      </c>
    </row>
    <row r="752" spans="1:23">
      <c r="A752" s="6">
        <v>45677</v>
      </c>
      <c r="B752" t="s">
        <v>62</v>
      </c>
      <c r="C752">
        <v>0</v>
      </c>
      <c r="D752">
        <v>1</v>
      </c>
      <c r="E752">
        <v>0</v>
      </c>
      <c r="F752">
        <v>0</v>
      </c>
      <c r="H752">
        <v>1</v>
      </c>
      <c r="I752">
        <v>0</v>
      </c>
      <c r="J752">
        <v>0</v>
      </c>
      <c r="K752">
        <v>0</v>
      </c>
      <c r="L752" s="7">
        <v>0</v>
      </c>
      <c r="M752" s="7">
        <v>28.9</v>
      </c>
      <c r="N752">
        <v>201</v>
      </c>
      <c r="O752" s="15">
        <v>180</v>
      </c>
      <c r="P752" s="8">
        <v>0.62857142857142856</v>
      </c>
      <c r="Q752">
        <v>222</v>
      </c>
      <c r="R752" s="15">
        <v>188</v>
      </c>
      <c r="S752" s="8">
        <v>0.74399999999999999</v>
      </c>
      <c r="T752">
        <v>158</v>
      </c>
      <c r="U752" s="15">
        <v>143</v>
      </c>
      <c r="V752" s="8">
        <v>0.82352941176470584</v>
      </c>
      <c r="W752">
        <f t="shared" si="11"/>
        <v>581</v>
      </c>
    </row>
    <row r="753" spans="1:23">
      <c r="A753" s="6">
        <v>45678</v>
      </c>
      <c r="B753" t="s">
        <v>63</v>
      </c>
      <c r="C753">
        <v>1</v>
      </c>
      <c r="D753">
        <v>1</v>
      </c>
      <c r="E753">
        <v>0</v>
      </c>
      <c r="F753">
        <v>0</v>
      </c>
      <c r="H753">
        <v>1</v>
      </c>
      <c r="I753">
        <v>0</v>
      </c>
      <c r="J753">
        <v>0</v>
      </c>
      <c r="K753">
        <v>0</v>
      </c>
      <c r="L753" s="7">
        <v>0</v>
      </c>
      <c r="M753" s="7">
        <v>28.4</v>
      </c>
      <c r="N753">
        <v>224</v>
      </c>
      <c r="O753" s="15">
        <v>196</v>
      </c>
      <c r="P753" s="8">
        <v>0.68571428571428572</v>
      </c>
      <c r="Q753">
        <v>241</v>
      </c>
      <c r="R753" s="15">
        <v>200</v>
      </c>
      <c r="S753" s="8">
        <v>0.80800000000000005</v>
      </c>
      <c r="T753">
        <v>163</v>
      </c>
      <c r="U753" s="15">
        <v>142</v>
      </c>
      <c r="V753" s="8">
        <v>0.84705882352941175</v>
      </c>
      <c r="W753">
        <f t="shared" si="11"/>
        <v>628</v>
      </c>
    </row>
    <row r="754" spans="1:23">
      <c r="A754" s="6">
        <v>45679</v>
      </c>
      <c r="B754" t="s">
        <v>64</v>
      </c>
      <c r="C754">
        <v>2</v>
      </c>
      <c r="D754">
        <v>1</v>
      </c>
      <c r="E754">
        <v>0</v>
      </c>
      <c r="F754">
        <v>0</v>
      </c>
      <c r="H754">
        <v>1</v>
      </c>
      <c r="I754">
        <v>0</v>
      </c>
      <c r="J754">
        <v>0</v>
      </c>
      <c r="K754">
        <v>0</v>
      </c>
      <c r="L754" s="7">
        <v>0</v>
      </c>
      <c r="M754" s="7">
        <v>27.4</v>
      </c>
      <c r="N754">
        <v>217</v>
      </c>
      <c r="O754" s="15">
        <v>177</v>
      </c>
      <c r="P754" s="8">
        <v>0.6428571428571429</v>
      </c>
      <c r="Q754">
        <v>216</v>
      </c>
      <c r="R754" s="15">
        <v>193</v>
      </c>
      <c r="S754" s="8">
        <v>0.73599999999999999</v>
      </c>
      <c r="T754">
        <v>164</v>
      </c>
      <c r="U754" s="15">
        <v>141</v>
      </c>
      <c r="V754" s="8">
        <v>0.84705882352941175</v>
      </c>
      <c r="W754">
        <f t="shared" si="11"/>
        <v>597</v>
      </c>
    </row>
    <row r="755" spans="1:23">
      <c r="A755" s="6">
        <v>45680</v>
      </c>
      <c r="B755" t="s">
        <v>65</v>
      </c>
      <c r="C755">
        <v>3</v>
      </c>
      <c r="D755">
        <v>1</v>
      </c>
      <c r="E755">
        <v>0</v>
      </c>
      <c r="F755">
        <v>0</v>
      </c>
      <c r="H755">
        <v>1</v>
      </c>
      <c r="I755">
        <v>0</v>
      </c>
      <c r="J755">
        <v>0</v>
      </c>
      <c r="K755">
        <v>0</v>
      </c>
      <c r="L755" s="7">
        <v>2.8</v>
      </c>
      <c r="M755" s="7">
        <v>28.6</v>
      </c>
      <c r="N755">
        <v>227</v>
      </c>
      <c r="O755" s="15">
        <v>199</v>
      </c>
      <c r="P755" s="8">
        <v>0.6785714285714286</v>
      </c>
      <c r="Q755">
        <v>239</v>
      </c>
      <c r="R755" s="15">
        <v>199</v>
      </c>
      <c r="S755" s="8">
        <v>0.79200000000000004</v>
      </c>
      <c r="T755">
        <v>149</v>
      </c>
      <c r="U755" s="15">
        <v>136</v>
      </c>
      <c r="V755" s="8">
        <v>0.8</v>
      </c>
      <c r="W755">
        <f t="shared" si="11"/>
        <v>615</v>
      </c>
    </row>
    <row r="756" spans="1:23">
      <c r="A756" s="6">
        <v>45681</v>
      </c>
      <c r="B756" t="s">
        <v>66</v>
      </c>
      <c r="C756">
        <v>4</v>
      </c>
      <c r="D756">
        <v>1</v>
      </c>
      <c r="E756">
        <v>0</v>
      </c>
      <c r="F756">
        <v>0</v>
      </c>
      <c r="H756">
        <v>1</v>
      </c>
      <c r="I756">
        <v>0</v>
      </c>
      <c r="J756">
        <v>0</v>
      </c>
      <c r="K756">
        <v>0</v>
      </c>
      <c r="L756" s="7">
        <v>0</v>
      </c>
      <c r="M756" s="7">
        <v>29.3</v>
      </c>
      <c r="N756">
        <v>239</v>
      </c>
      <c r="O756" s="15">
        <v>221</v>
      </c>
      <c r="P756" s="8">
        <v>0.7</v>
      </c>
      <c r="Q756">
        <v>241</v>
      </c>
      <c r="R756" s="15">
        <v>205</v>
      </c>
      <c r="S756" s="8">
        <v>0.79200000000000004</v>
      </c>
      <c r="T756">
        <v>157</v>
      </c>
      <c r="U756" s="15">
        <v>138</v>
      </c>
      <c r="V756" s="8">
        <v>0.83529411764705885</v>
      </c>
      <c r="W756">
        <f t="shared" si="11"/>
        <v>637</v>
      </c>
    </row>
    <row r="757" spans="1:23">
      <c r="A757" s="6">
        <v>45682</v>
      </c>
      <c r="B757" t="s">
        <v>67</v>
      </c>
      <c r="C757">
        <v>5</v>
      </c>
      <c r="D757">
        <v>1</v>
      </c>
      <c r="E757">
        <v>1</v>
      </c>
      <c r="F757">
        <v>0</v>
      </c>
      <c r="H757">
        <v>1</v>
      </c>
      <c r="I757">
        <v>0</v>
      </c>
      <c r="J757">
        <v>0</v>
      </c>
      <c r="K757">
        <v>0</v>
      </c>
      <c r="L757" s="7">
        <v>10.3</v>
      </c>
      <c r="M757" s="7">
        <v>28</v>
      </c>
      <c r="N757">
        <v>230</v>
      </c>
      <c r="O757" s="15">
        <v>205</v>
      </c>
      <c r="P757" s="8">
        <v>0.7</v>
      </c>
      <c r="Q757">
        <v>274</v>
      </c>
      <c r="R757" s="15">
        <v>237</v>
      </c>
      <c r="S757" s="8">
        <v>0.92</v>
      </c>
      <c r="T757">
        <v>166</v>
      </c>
      <c r="U757" s="15">
        <v>133</v>
      </c>
      <c r="V757" s="8">
        <v>0.87058823529411766</v>
      </c>
      <c r="W757">
        <f t="shared" si="11"/>
        <v>670</v>
      </c>
    </row>
    <row r="758" spans="1:23">
      <c r="A758" s="6">
        <v>45683</v>
      </c>
      <c r="B758" t="s">
        <v>60</v>
      </c>
      <c r="C758">
        <v>6</v>
      </c>
      <c r="D758">
        <v>1</v>
      </c>
      <c r="E758">
        <v>1</v>
      </c>
      <c r="F758">
        <v>0</v>
      </c>
      <c r="H758">
        <v>1</v>
      </c>
      <c r="I758">
        <v>0</v>
      </c>
      <c r="J758">
        <v>0</v>
      </c>
      <c r="K758">
        <v>0</v>
      </c>
      <c r="L758" s="7">
        <v>0</v>
      </c>
      <c r="M758" s="7">
        <v>29</v>
      </c>
      <c r="N758">
        <v>254</v>
      </c>
      <c r="O758" s="15">
        <v>226</v>
      </c>
      <c r="P758" s="8">
        <v>0.75</v>
      </c>
      <c r="Q758">
        <v>255</v>
      </c>
      <c r="R758" s="15">
        <v>212</v>
      </c>
      <c r="S758" s="8">
        <v>0.84</v>
      </c>
      <c r="T758">
        <v>183</v>
      </c>
      <c r="U758" s="15">
        <v>168</v>
      </c>
      <c r="V758" s="8">
        <v>0.94117647058823528</v>
      </c>
      <c r="W758">
        <f t="shared" si="11"/>
        <v>692</v>
      </c>
    </row>
    <row r="759" spans="1:23">
      <c r="A759" s="6">
        <v>45684</v>
      </c>
      <c r="B759" t="s">
        <v>62</v>
      </c>
      <c r="C759">
        <v>0</v>
      </c>
      <c r="D759">
        <v>1</v>
      </c>
      <c r="E759">
        <v>0</v>
      </c>
      <c r="F759">
        <v>0</v>
      </c>
      <c r="H759">
        <v>1</v>
      </c>
      <c r="I759">
        <v>0</v>
      </c>
      <c r="J759">
        <v>0</v>
      </c>
      <c r="K759">
        <v>0</v>
      </c>
      <c r="L759" s="7">
        <v>11</v>
      </c>
      <c r="M759" s="7">
        <v>27.7</v>
      </c>
      <c r="N759">
        <v>208</v>
      </c>
      <c r="O759" s="15">
        <v>172</v>
      </c>
      <c r="P759" s="8">
        <v>0.65</v>
      </c>
      <c r="Q759">
        <v>231</v>
      </c>
      <c r="R759" s="15">
        <v>211</v>
      </c>
      <c r="S759" s="8">
        <v>0.76</v>
      </c>
      <c r="T759">
        <v>154</v>
      </c>
      <c r="U759" s="15">
        <v>144</v>
      </c>
      <c r="V759" s="8">
        <v>0.82352941176470584</v>
      </c>
      <c r="W759">
        <f t="shared" si="11"/>
        <v>593</v>
      </c>
    </row>
    <row r="760" spans="1:23">
      <c r="A760" s="6">
        <v>45685</v>
      </c>
      <c r="B760" t="s">
        <v>63</v>
      </c>
      <c r="C760">
        <v>1</v>
      </c>
      <c r="D760">
        <v>1</v>
      </c>
      <c r="E760">
        <v>0</v>
      </c>
      <c r="F760">
        <v>0</v>
      </c>
      <c r="H760">
        <v>1</v>
      </c>
      <c r="I760">
        <v>0</v>
      </c>
      <c r="J760">
        <v>0</v>
      </c>
      <c r="K760">
        <v>0</v>
      </c>
      <c r="L760" s="7">
        <v>0</v>
      </c>
      <c r="M760" s="7">
        <v>27.7</v>
      </c>
      <c r="N760">
        <v>222</v>
      </c>
      <c r="O760" s="15">
        <v>188</v>
      </c>
      <c r="P760" s="8">
        <v>0.68571428571428572</v>
      </c>
      <c r="Q760">
        <v>217</v>
      </c>
      <c r="R760" s="15">
        <v>186</v>
      </c>
      <c r="S760" s="8">
        <v>0.70399999999999996</v>
      </c>
      <c r="T760">
        <v>150</v>
      </c>
      <c r="U760" s="15">
        <v>132</v>
      </c>
      <c r="V760" s="8">
        <v>0.78823529411764703</v>
      </c>
      <c r="W760">
        <f t="shared" si="11"/>
        <v>589</v>
      </c>
    </row>
    <row r="761" spans="1:23">
      <c r="A761" s="6">
        <v>45686</v>
      </c>
      <c r="B761" t="s">
        <v>64</v>
      </c>
      <c r="C761">
        <v>2</v>
      </c>
      <c r="D761">
        <v>1</v>
      </c>
      <c r="E761">
        <v>0</v>
      </c>
      <c r="F761">
        <v>0</v>
      </c>
      <c r="H761">
        <v>1</v>
      </c>
      <c r="I761">
        <v>0</v>
      </c>
      <c r="J761">
        <v>0</v>
      </c>
      <c r="K761">
        <v>0</v>
      </c>
      <c r="L761" s="7">
        <v>17</v>
      </c>
      <c r="M761" s="7">
        <v>27.7</v>
      </c>
      <c r="N761">
        <v>223</v>
      </c>
      <c r="O761" s="15">
        <v>183</v>
      </c>
      <c r="P761" s="8">
        <v>0.6785714285714286</v>
      </c>
      <c r="Q761">
        <v>233</v>
      </c>
      <c r="R761" s="15">
        <v>207</v>
      </c>
      <c r="S761" s="8">
        <v>0.77600000000000002</v>
      </c>
      <c r="T761">
        <v>163</v>
      </c>
      <c r="U761" s="15">
        <v>140</v>
      </c>
      <c r="V761" s="8">
        <v>0.85882352941176465</v>
      </c>
      <c r="W761">
        <f t="shared" si="11"/>
        <v>619</v>
      </c>
    </row>
    <row r="762" spans="1:23">
      <c r="A762" s="6">
        <v>45687</v>
      </c>
      <c r="B762" t="s">
        <v>65</v>
      </c>
      <c r="C762">
        <v>3</v>
      </c>
      <c r="D762">
        <v>1</v>
      </c>
      <c r="E762">
        <v>0</v>
      </c>
      <c r="F762">
        <v>0</v>
      </c>
      <c r="H762">
        <v>1</v>
      </c>
      <c r="I762">
        <v>0</v>
      </c>
      <c r="J762">
        <v>0</v>
      </c>
      <c r="K762">
        <v>0</v>
      </c>
      <c r="L762" s="7">
        <v>19.399999999999999</v>
      </c>
      <c r="M762" s="7">
        <v>27.4</v>
      </c>
      <c r="N762">
        <v>225</v>
      </c>
      <c r="O762" s="15">
        <v>183</v>
      </c>
      <c r="P762" s="8">
        <v>0.6785714285714286</v>
      </c>
      <c r="Q762">
        <v>224</v>
      </c>
      <c r="R762" s="15">
        <v>185</v>
      </c>
      <c r="S762" s="8">
        <v>0.72799999999999998</v>
      </c>
      <c r="T762">
        <v>151</v>
      </c>
      <c r="U762" s="15">
        <v>125</v>
      </c>
      <c r="V762" s="8">
        <v>0.81176470588235294</v>
      </c>
      <c r="W762">
        <f t="shared" si="11"/>
        <v>600</v>
      </c>
    </row>
    <row r="763" spans="1:23">
      <c r="A763" s="6">
        <v>45688</v>
      </c>
      <c r="B763" t="s">
        <v>66</v>
      </c>
      <c r="C763">
        <v>4</v>
      </c>
      <c r="D763">
        <v>1</v>
      </c>
      <c r="E763">
        <v>0</v>
      </c>
      <c r="F763">
        <v>0</v>
      </c>
      <c r="H763">
        <v>1</v>
      </c>
      <c r="I763">
        <v>0</v>
      </c>
      <c r="J763">
        <v>0</v>
      </c>
      <c r="K763">
        <v>0</v>
      </c>
      <c r="L763" s="7">
        <v>0</v>
      </c>
      <c r="M763" s="7">
        <v>27.8</v>
      </c>
      <c r="N763">
        <v>233</v>
      </c>
      <c r="O763" s="15">
        <v>213</v>
      </c>
      <c r="P763" s="8">
        <v>0.70714285714285718</v>
      </c>
      <c r="Q763">
        <v>224</v>
      </c>
      <c r="R763" s="15">
        <v>189</v>
      </c>
      <c r="S763" s="8">
        <v>0.74399999999999999</v>
      </c>
      <c r="T763">
        <v>170</v>
      </c>
      <c r="U763" s="15">
        <v>141</v>
      </c>
      <c r="V763" s="8">
        <v>0.88235294117647056</v>
      </c>
      <c r="W763">
        <f t="shared" si="11"/>
        <v>627</v>
      </c>
    </row>
    <row r="764" spans="1:23">
      <c r="A764" s="6">
        <v>45689</v>
      </c>
      <c r="B764" t="s">
        <v>67</v>
      </c>
      <c r="C764">
        <v>5</v>
      </c>
      <c r="D764">
        <v>2</v>
      </c>
      <c r="E764">
        <v>1</v>
      </c>
      <c r="F764">
        <v>0</v>
      </c>
      <c r="H764">
        <v>0</v>
      </c>
      <c r="I764">
        <v>0</v>
      </c>
      <c r="J764">
        <v>0</v>
      </c>
      <c r="K764">
        <v>0</v>
      </c>
      <c r="L764" s="7">
        <v>2.2999999999999998</v>
      </c>
      <c r="M764" s="7">
        <v>27.7</v>
      </c>
      <c r="N764">
        <v>232</v>
      </c>
      <c r="O764" s="15">
        <v>200</v>
      </c>
      <c r="P764" s="8">
        <v>0.7142857142857143</v>
      </c>
      <c r="Q764">
        <v>223</v>
      </c>
      <c r="R764" s="15">
        <v>188</v>
      </c>
      <c r="S764" s="8">
        <v>0.752</v>
      </c>
      <c r="T764">
        <v>159</v>
      </c>
      <c r="U764" s="15">
        <v>145</v>
      </c>
      <c r="V764" s="8">
        <v>0.77647058823529413</v>
      </c>
      <c r="W764">
        <f t="shared" si="11"/>
        <v>614</v>
      </c>
    </row>
    <row r="765" spans="1:23">
      <c r="A765" s="6">
        <v>45690</v>
      </c>
      <c r="B765" t="s">
        <v>60</v>
      </c>
      <c r="C765">
        <v>6</v>
      </c>
      <c r="D765">
        <v>2</v>
      </c>
      <c r="E765">
        <v>1</v>
      </c>
      <c r="F765">
        <v>0</v>
      </c>
      <c r="H765">
        <v>0</v>
      </c>
      <c r="I765">
        <v>0</v>
      </c>
      <c r="J765">
        <v>0</v>
      </c>
      <c r="K765">
        <v>0</v>
      </c>
      <c r="L765" s="7">
        <v>1.2</v>
      </c>
      <c r="M765" s="7">
        <v>27.6</v>
      </c>
      <c r="N765">
        <v>242</v>
      </c>
      <c r="O765" s="15">
        <v>199</v>
      </c>
      <c r="P765" s="8">
        <v>0.72857142857142854</v>
      </c>
      <c r="Q765">
        <v>221</v>
      </c>
      <c r="R765" s="15">
        <v>180</v>
      </c>
      <c r="S765" s="8">
        <v>0.72799999999999998</v>
      </c>
      <c r="T765">
        <v>150</v>
      </c>
      <c r="U765" s="15">
        <v>126</v>
      </c>
      <c r="V765" s="8">
        <v>0.75294117647058822</v>
      </c>
      <c r="W765">
        <f t="shared" si="11"/>
        <v>613</v>
      </c>
    </row>
    <row r="766" spans="1:23">
      <c r="A766" s="6">
        <v>45691</v>
      </c>
      <c r="B766" t="s">
        <v>62</v>
      </c>
      <c r="C766">
        <v>0</v>
      </c>
      <c r="D766">
        <v>2</v>
      </c>
      <c r="E766">
        <v>0</v>
      </c>
      <c r="F766">
        <v>0</v>
      </c>
      <c r="H766">
        <v>0</v>
      </c>
      <c r="I766">
        <v>0</v>
      </c>
      <c r="J766">
        <v>0</v>
      </c>
      <c r="K766">
        <v>0</v>
      </c>
      <c r="L766" s="7">
        <v>0.9</v>
      </c>
      <c r="M766" s="7">
        <v>27</v>
      </c>
      <c r="N766">
        <v>214</v>
      </c>
      <c r="O766" s="15">
        <v>184</v>
      </c>
      <c r="P766" s="8">
        <v>0.63571428571428568</v>
      </c>
      <c r="Q766">
        <v>191</v>
      </c>
      <c r="R766" s="15">
        <v>165</v>
      </c>
      <c r="S766" s="8">
        <v>0.64800000000000002</v>
      </c>
      <c r="T766">
        <v>139</v>
      </c>
      <c r="U766" s="15">
        <v>115</v>
      </c>
      <c r="V766" s="8">
        <v>0.70588235294117652</v>
      </c>
      <c r="W766">
        <f t="shared" si="11"/>
        <v>544</v>
      </c>
    </row>
    <row r="767" spans="1:23">
      <c r="A767" s="6">
        <v>45692</v>
      </c>
      <c r="B767" t="s">
        <v>63</v>
      </c>
      <c r="C767">
        <v>1</v>
      </c>
      <c r="D767">
        <v>2</v>
      </c>
      <c r="E767">
        <v>0</v>
      </c>
      <c r="F767">
        <v>0</v>
      </c>
      <c r="H767">
        <v>0</v>
      </c>
      <c r="I767">
        <v>0</v>
      </c>
      <c r="J767">
        <v>0</v>
      </c>
      <c r="K767">
        <v>0</v>
      </c>
      <c r="L767" s="7">
        <v>3.5</v>
      </c>
      <c r="M767" s="7">
        <v>27.5</v>
      </c>
      <c r="N767">
        <v>222</v>
      </c>
      <c r="O767" s="15">
        <v>200</v>
      </c>
      <c r="P767" s="8">
        <v>0.68571428571428572</v>
      </c>
      <c r="Q767">
        <v>182</v>
      </c>
      <c r="R767" s="15">
        <v>156</v>
      </c>
      <c r="S767" s="8">
        <v>0.60799999999999998</v>
      </c>
      <c r="T767">
        <v>133</v>
      </c>
      <c r="U767" s="15">
        <v>116</v>
      </c>
      <c r="V767" s="8">
        <v>0.69411764705882351</v>
      </c>
      <c r="W767">
        <f t="shared" si="11"/>
        <v>537</v>
      </c>
    </row>
    <row r="768" spans="1:23">
      <c r="A768" s="6">
        <v>45693</v>
      </c>
      <c r="B768" t="s">
        <v>64</v>
      </c>
      <c r="C768">
        <v>2</v>
      </c>
      <c r="D768">
        <v>2</v>
      </c>
      <c r="E768">
        <v>0</v>
      </c>
      <c r="F768">
        <v>0</v>
      </c>
      <c r="H768">
        <v>0</v>
      </c>
      <c r="I768">
        <v>0</v>
      </c>
      <c r="J768">
        <v>0</v>
      </c>
      <c r="K768">
        <v>0</v>
      </c>
      <c r="L768" s="7">
        <v>15.1</v>
      </c>
      <c r="M768" s="7">
        <v>28</v>
      </c>
      <c r="N768">
        <v>197</v>
      </c>
      <c r="O768" s="15">
        <v>165</v>
      </c>
      <c r="P768" s="8">
        <v>0.6</v>
      </c>
      <c r="Q768">
        <v>192</v>
      </c>
      <c r="R768" s="15">
        <v>154</v>
      </c>
      <c r="S768" s="8">
        <v>0.64</v>
      </c>
      <c r="T768">
        <v>129</v>
      </c>
      <c r="U768" s="15">
        <v>121</v>
      </c>
      <c r="V768" s="8">
        <v>0.6705882352941176</v>
      </c>
      <c r="W768">
        <f t="shared" si="11"/>
        <v>518</v>
      </c>
    </row>
    <row r="769" spans="1:23">
      <c r="A769" s="6">
        <v>45694</v>
      </c>
      <c r="B769" t="s">
        <v>65</v>
      </c>
      <c r="C769">
        <v>3</v>
      </c>
      <c r="D769">
        <v>2</v>
      </c>
      <c r="E769">
        <v>0</v>
      </c>
      <c r="F769">
        <v>0</v>
      </c>
      <c r="H769">
        <v>0</v>
      </c>
      <c r="I769">
        <v>0</v>
      </c>
      <c r="J769">
        <v>0</v>
      </c>
      <c r="K769">
        <v>0</v>
      </c>
      <c r="L769" s="7">
        <v>0</v>
      </c>
      <c r="M769" s="7">
        <v>27.5</v>
      </c>
      <c r="N769">
        <v>205</v>
      </c>
      <c r="O769" s="15">
        <v>183</v>
      </c>
      <c r="P769" s="8">
        <v>0.63571428571428568</v>
      </c>
      <c r="Q769">
        <v>179</v>
      </c>
      <c r="R769" s="15">
        <v>153</v>
      </c>
      <c r="S769" s="8">
        <v>0.60799999999999998</v>
      </c>
      <c r="T769">
        <v>129</v>
      </c>
      <c r="U769" s="15">
        <v>105</v>
      </c>
      <c r="V769" s="8">
        <v>0.68235294117647061</v>
      </c>
      <c r="W769">
        <f t="shared" si="11"/>
        <v>513</v>
      </c>
    </row>
    <row r="770" spans="1:23">
      <c r="A770" s="6">
        <v>45695</v>
      </c>
      <c r="B770" t="s">
        <v>66</v>
      </c>
      <c r="C770">
        <v>4</v>
      </c>
      <c r="D770">
        <v>2</v>
      </c>
      <c r="E770">
        <v>0</v>
      </c>
      <c r="F770">
        <v>0</v>
      </c>
      <c r="H770">
        <v>0</v>
      </c>
      <c r="I770">
        <v>0</v>
      </c>
      <c r="J770">
        <v>0</v>
      </c>
      <c r="K770">
        <v>0</v>
      </c>
      <c r="L770" s="7">
        <v>0</v>
      </c>
      <c r="M770" s="7">
        <v>28.6</v>
      </c>
      <c r="N770">
        <v>236</v>
      </c>
      <c r="O770" s="15">
        <v>193</v>
      </c>
      <c r="P770" s="8">
        <v>0.70714285714285718</v>
      </c>
      <c r="Q770">
        <v>194</v>
      </c>
      <c r="R770" s="15">
        <v>161</v>
      </c>
      <c r="S770" s="8">
        <v>0.64800000000000002</v>
      </c>
      <c r="T770">
        <v>132</v>
      </c>
      <c r="U770" s="15">
        <v>121</v>
      </c>
      <c r="V770" s="8">
        <v>0.6705882352941176</v>
      </c>
      <c r="W770">
        <f t="shared" ref="W770:W833" si="12">N770+Q770+T770</f>
        <v>562</v>
      </c>
    </row>
    <row r="771" spans="1:23">
      <c r="A771" s="6">
        <v>45696</v>
      </c>
      <c r="B771" t="s">
        <v>67</v>
      </c>
      <c r="C771">
        <v>5</v>
      </c>
      <c r="D771">
        <v>2</v>
      </c>
      <c r="E771">
        <v>1</v>
      </c>
      <c r="F771">
        <v>0</v>
      </c>
      <c r="H771">
        <v>0</v>
      </c>
      <c r="I771">
        <v>0</v>
      </c>
      <c r="J771">
        <v>0</v>
      </c>
      <c r="K771">
        <v>0</v>
      </c>
      <c r="L771" s="7">
        <v>0.8</v>
      </c>
      <c r="M771" s="7">
        <v>27.6</v>
      </c>
      <c r="N771">
        <v>219</v>
      </c>
      <c r="O771" s="15">
        <v>196</v>
      </c>
      <c r="P771" s="8">
        <v>0.66428571428571426</v>
      </c>
      <c r="Q771">
        <v>194</v>
      </c>
      <c r="R771" s="15">
        <v>176</v>
      </c>
      <c r="S771" s="8">
        <v>0.66400000000000003</v>
      </c>
      <c r="T771">
        <v>156</v>
      </c>
      <c r="U771" s="15">
        <v>125</v>
      </c>
      <c r="V771" s="8">
        <v>0.83529411764705885</v>
      </c>
      <c r="W771">
        <f t="shared" si="12"/>
        <v>569</v>
      </c>
    </row>
    <row r="772" spans="1:23">
      <c r="A772" s="6">
        <v>45697</v>
      </c>
      <c r="B772" t="s">
        <v>60</v>
      </c>
      <c r="C772">
        <v>6</v>
      </c>
      <c r="D772">
        <v>2</v>
      </c>
      <c r="E772">
        <v>1</v>
      </c>
      <c r="F772">
        <v>0</v>
      </c>
      <c r="H772">
        <v>0</v>
      </c>
      <c r="I772">
        <v>0</v>
      </c>
      <c r="J772">
        <v>0</v>
      </c>
      <c r="K772">
        <v>0</v>
      </c>
      <c r="L772" s="7">
        <v>3.5</v>
      </c>
      <c r="M772" s="7">
        <v>27.2</v>
      </c>
      <c r="N772">
        <v>218</v>
      </c>
      <c r="O772" s="15">
        <v>176</v>
      </c>
      <c r="P772" s="8">
        <v>0.65</v>
      </c>
      <c r="Q772">
        <v>220</v>
      </c>
      <c r="R772" s="15">
        <v>181</v>
      </c>
      <c r="S772" s="8">
        <v>0.73599999999999999</v>
      </c>
      <c r="T772">
        <v>144</v>
      </c>
      <c r="U772" s="15">
        <v>117</v>
      </c>
      <c r="V772" s="8">
        <v>0.8</v>
      </c>
      <c r="W772">
        <f t="shared" si="12"/>
        <v>582</v>
      </c>
    </row>
    <row r="773" spans="1:23">
      <c r="A773" s="6">
        <v>45698</v>
      </c>
      <c r="B773" t="s">
        <v>62</v>
      </c>
      <c r="C773">
        <v>0</v>
      </c>
      <c r="D773">
        <v>2</v>
      </c>
      <c r="E773">
        <v>0</v>
      </c>
      <c r="F773">
        <v>0</v>
      </c>
      <c r="H773">
        <v>0</v>
      </c>
      <c r="I773">
        <v>0</v>
      </c>
      <c r="J773">
        <v>0</v>
      </c>
      <c r="K773">
        <v>0</v>
      </c>
      <c r="L773" s="7">
        <v>0</v>
      </c>
      <c r="M773" s="7">
        <v>28.3</v>
      </c>
      <c r="N773">
        <v>218</v>
      </c>
      <c r="O773" s="15">
        <v>195</v>
      </c>
      <c r="P773" s="8">
        <v>0.66428571428571426</v>
      </c>
      <c r="Q773">
        <v>202</v>
      </c>
      <c r="R773" s="15">
        <v>179</v>
      </c>
      <c r="S773" s="8">
        <v>0.66400000000000003</v>
      </c>
      <c r="T773">
        <v>132</v>
      </c>
      <c r="U773" s="15">
        <v>117</v>
      </c>
      <c r="V773" s="8">
        <v>0.68235294117647061</v>
      </c>
      <c r="W773">
        <f t="shared" si="12"/>
        <v>552</v>
      </c>
    </row>
    <row r="774" spans="1:23">
      <c r="A774" s="6">
        <v>45699</v>
      </c>
      <c r="B774" t="s">
        <v>63</v>
      </c>
      <c r="C774">
        <v>1</v>
      </c>
      <c r="D774">
        <v>2</v>
      </c>
      <c r="E774">
        <v>0</v>
      </c>
      <c r="F774">
        <v>0</v>
      </c>
      <c r="H774">
        <v>0</v>
      </c>
      <c r="I774">
        <v>0</v>
      </c>
      <c r="J774">
        <v>0</v>
      </c>
      <c r="K774">
        <v>0</v>
      </c>
      <c r="L774" s="7">
        <v>0</v>
      </c>
      <c r="M774" s="7">
        <v>26.5</v>
      </c>
      <c r="N774">
        <v>215</v>
      </c>
      <c r="O774" s="15">
        <v>175</v>
      </c>
      <c r="P774" s="8">
        <v>0.6428571428571429</v>
      </c>
      <c r="Q774">
        <v>175</v>
      </c>
      <c r="R774" s="15">
        <v>152</v>
      </c>
      <c r="S774" s="8">
        <v>0.59199999999999997</v>
      </c>
      <c r="T774">
        <v>129</v>
      </c>
      <c r="U774" s="15">
        <v>112</v>
      </c>
      <c r="V774" s="8">
        <v>0.6470588235294118</v>
      </c>
      <c r="W774">
        <f t="shared" si="12"/>
        <v>519</v>
      </c>
    </row>
    <row r="775" spans="1:23">
      <c r="A775" s="6">
        <v>45700</v>
      </c>
      <c r="B775" t="s">
        <v>64</v>
      </c>
      <c r="C775">
        <v>2</v>
      </c>
      <c r="D775">
        <v>2</v>
      </c>
      <c r="E775">
        <v>0</v>
      </c>
      <c r="F775">
        <v>0</v>
      </c>
      <c r="H775">
        <v>0</v>
      </c>
      <c r="I775">
        <v>0</v>
      </c>
      <c r="J775">
        <v>0</v>
      </c>
      <c r="K775">
        <v>0</v>
      </c>
      <c r="L775" s="7">
        <v>7</v>
      </c>
      <c r="M775" s="7">
        <v>27.3</v>
      </c>
      <c r="N775">
        <v>221</v>
      </c>
      <c r="O775" s="15">
        <v>203</v>
      </c>
      <c r="P775" s="8">
        <v>0.66428571428571426</v>
      </c>
      <c r="Q775">
        <v>162</v>
      </c>
      <c r="R775" s="15">
        <v>142</v>
      </c>
      <c r="S775" s="8">
        <v>0.52800000000000002</v>
      </c>
      <c r="T775">
        <v>142</v>
      </c>
      <c r="U775" s="15">
        <v>123</v>
      </c>
      <c r="V775" s="8">
        <v>0.74117647058823533</v>
      </c>
      <c r="W775">
        <f t="shared" si="12"/>
        <v>525</v>
      </c>
    </row>
    <row r="776" spans="1:23">
      <c r="A776" s="6">
        <v>45701</v>
      </c>
      <c r="B776" t="s">
        <v>65</v>
      </c>
      <c r="C776">
        <v>3</v>
      </c>
      <c r="D776">
        <v>2</v>
      </c>
      <c r="E776">
        <v>0</v>
      </c>
      <c r="F776">
        <v>0</v>
      </c>
      <c r="H776">
        <v>0</v>
      </c>
      <c r="I776">
        <v>0</v>
      </c>
      <c r="J776">
        <v>0</v>
      </c>
      <c r="K776">
        <v>0</v>
      </c>
      <c r="L776" s="7">
        <v>11</v>
      </c>
      <c r="M776" s="7">
        <v>26.8</v>
      </c>
      <c r="N776">
        <v>212</v>
      </c>
      <c r="O776" s="15">
        <v>184</v>
      </c>
      <c r="P776" s="8">
        <v>0.62857142857142856</v>
      </c>
      <c r="Q776">
        <v>177</v>
      </c>
      <c r="R776" s="15">
        <v>146</v>
      </c>
      <c r="S776" s="8">
        <v>0.59199999999999997</v>
      </c>
      <c r="T776">
        <v>128</v>
      </c>
      <c r="U776" s="15">
        <v>111</v>
      </c>
      <c r="V776" s="8">
        <v>0.6705882352941176</v>
      </c>
      <c r="W776">
        <f t="shared" si="12"/>
        <v>517</v>
      </c>
    </row>
    <row r="777" spans="1:23">
      <c r="A777" s="6">
        <v>45702</v>
      </c>
      <c r="B777" t="s">
        <v>66</v>
      </c>
      <c r="C777">
        <v>4</v>
      </c>
      <c r="D777">
        <v>2</v>
      </c>
      <c r="E777">
        <v>0</v>
      </c>
      <c r="F777">
        <v>0</v>
      </c>
      <c r="H777">
        <v>0</v>
      </c>
      <c r="I777">
        <v>0</v>
      </c>
      <c r="J777">
        <v>0</v>
      </c>
      <c r="K777">
        <v>0</v>
      </c>
      <c r="L777" s="7">
        <v>5.5</v>
      </c>
      <c r="M777" s="7">
        <v>28.5</v>
      </c>
      <c r="N777">
        <v>200</v>
      </c>
      <c r="O777" s="15">
        <v>187</v>
      </c>
      <c r="P777" s="8">
        <v>0.61428571428571432</v>
      </c>
      <c r="Q777">
        <v>194</v>
      </c>
      <c r="R777" s="15">
        <v>165</v>
      </c>
      <c r="S777" s="8">
        <v>0.63200000000000001</v>
      </c>
      <c r="T777">
        <v>137</v>
      </c>
      <c r="U777" s="15">
        <v>112</v>
      </c>
      <c r="V777" s="8">
        <v>0.70588235294117652</v>
      </c>
      <c r="W777">
        <f t="shared" si="12"/>
        <v>531</v>
      </c>
    </row>
    <row r="778" spans="1:23">
      <c r="A778" s="6">
        <v>45703</v>
      </c>
      <c r="B778" t="s">
        <v>67</v>
      </c>
      <c r="C778">
        <v>5</v>
      </c>
      <c r="D778">
        <v>2</v>
      </c>
      <c r="E778">
        <v>1</v>
      </c>
      <c r="F778">
        <v>0</v>
      </c>
      <c r="H778">
        <v>0</v>
      </c>
      <c r="I778">
        <v>0</v>
      </c>
      <c r="J778">
        <v>0</v>
      </c>
      <c r="K778">
        <v>0</v>
      </c>
      <c r="L778" s="7">
        <v>5.5</v>
      </c>
      <c r="M778" s="7">
        <v>26.5</v>
      </c>
      <c r="N778">
        <v>198</v>
      </c>
      <c r="O778" s="15">
        <v>185</v>
      </c>
      <c r="P778" s="8">
        <v>0.61428571428571432</v>
      </c>
      <c r="Q778">
        <v>215</v>
      </c>
      <c r="R778" s="15">
        <v>190</v>
      </c>
      <c r="S778" s="8">
        <v>0.72</v>
      </c>
      <c r="T778">
        <v>153</v>
      </c>
      <c r="U778" s="15">
        <v>140</v>
      </c>
      <c r="V778" s="8">
        <v>0.82352941176470584</v>
      </c>
      <c r="W778">
        <f t="shared" si="12"/>
        <v>566</v>
      </c>
    </row>
    <row r="779" spans="1:23">
      <c r="A779" s="6">
        <v>45704</v>
      </c>
      <c r="B779" t="s">
        <v>60</v>
      </c>
      <c r="C779">
        <v>6</v>
      </c>
      <c r="D779">
        <v>2</v>
      </c>
      <c r="E779">
        <v>1</v>
      </c>
      <c r="F779">
        <v>0</v>
      </c>
      <c r="H779">
        <v>0</v>
      </c>
      <c r="I779">
        <v>0</v>
      </c>
      <c r="J779">
        <v>0</v>
      </c>
      <c r="K779">
        <v>0</v>
      </c>
      <c r="L779" s="7">
        <v>7</v>
      </c>
      <c r="M779" s="7">
        <v>27</v>
      </c>
      <c r="N779">
        <v>252</v>
      </c>
      <c r="O779" s="15">
        <v>215</v>
      </c>
      <c r="P779" s="8">
        <v>0.77142857142857146</v>
      </c>
      <c r="Q779">
        <v>199</v>
      </c>
      <c r="R779" s="15">
        <v>174</v>
      </c>
      <c r="S779" s="8">
        <v>0.66400000000000003</v>
      </c>
      <c r="T779">
        <v>156</v>
      </c>
      <c r="U779" s="15">
        <v>136</v>
      </c>
      <c r="V779" s="8">
        <v>0.81176470588235294</v>
      </c>
      <c r="W779">
        <f t="shared" si="12"/>
        <v>607</v>
      </c>
    </row>
    <row r="780" spans="1:23">
      <c r="A780" s="6">
        <v>45705</v>
      </c>
      <c r="B780" t="s">
        <v>62</v>
      </c>
      <c r="C780">
        <v>0</v>
      </c>
      <c r="D780">
        <v>2</v>
      </c>
      <c r="E780">
        <v>0</v>
      </c>
      <c r="F780">
        <v>0</v>
      </c>
      <c r="H780">
        <v>0</v>
      </c>
      <c r="I780">
        <v>0</v>
      </c>
      <c r="J780">
        <v>0</v>
      </c>
      <c r="K780">
        <v>0</v>
      </c>
      <c r="L780" s="7">
        <v>5.5</v>
      </c>
      <c r="M780" s="7">
        <v>27.8</v>
      </c>
      <c r="N780">
        <v>208</v>
      </c>
      <c r="O780" s="15">
        <v>190</v>
      </c>
      <c r="P780" s="8">
        <v>0.62857142857142856</v>
      </c>
      <c r="Q780">
        <v>195</v>
      </c>
      <c r="R780" s="15">
        <v>170</v>
      </c>
      <c r="S780" s="8">
        <v>0.65600000000000003</v>
      </c>
      <c r="T780">
        <v>121</v>
      </c>
      <c r="U780" s="15">
        <v>104</v>
      </c>
      <c r="V780" s="8">
        <v>0.6588235294117647</v>
      </c>
      <c r="W780">
        <f t="shared" si="12"/>
        <v>524</v>
      </c>
    </row>
    <row r="781" spans="1:23">
      <c r="A781" s="6">
        <v>45706</v>
      </c>
      <c r="B781" t="s">
        <v>63</v>
      </c>
      <c r="C781">
        <v>1</v>
      </c>
      <c r="D781">
        <v>2</v>
      </c>
      <c r="E781">
        <v>0</v>
      </c>
      <c r="F781">
        <v>0</v>
      </c>
      <c r="H781">
        <v>0</v>
      </c>
      <c r="I781">
        <v>0</v>
      </c>
      <c r="J781">
        <v>0</v>
      </c>
      <c r="K781">
        <v>0</v>
      </c>
      <c r="L781" s="7">
        <v>6.3</v>
      </c>
      <c r="M781" s="7">
        <v>27.7</v>
      </c>
      <c r="N781">
        <v>205</v>
      </c>
      <c r="O781" s="15">
        <v>164</v>
      </c>
      <c r="P781" s="8">
        <v>0.62857142857142856</v>
      </c>
      <c r="Q781">
        <v>192</v>
      </c>
      <c r="R781" s="15">
        <v>165</v>
      </c>
      <c r="S781" s="8">
        <v>0.64</v>
      </c>
      <c r="T781">
        <v>128</v>
      </c>
      <c r="U781" s="15">
        <v>115</v>
      </c>
      <c r="V781" s="8">
        <v>0.6588235294117647</v>
      </c>
      <c r="W781">
        <f t="shared" si="12"/>
        <v>525</v>
      </c>
    </row>
    <row r="782" spans="1:23">
      <c r="A782" s="6">
        <v>45707</v>
      </c>
      <c r="B782" t="s">
        <v>64</v>
      </c>
      <c r="C782">
        <v>2</v>
      </c>
      <c r="D782">
        <v>2</v>
      </c>
      <c r="E782">
        <v>0</v>
      </c>
      <c r="F782">
        <v>0</v>
      </c>
      <c r="H782">
        <v>0</v>
      </c>
      <c r="I782">
        <v>0</v>
      </c>
      <c r="J782">
        <v>0</v>
      </c>
      <c r="K782">
        <v>0</v>
      </c>
      <c r="L782" s="7">
        <v>14.1</v>
      </c>
      <c r="M782" s="7">
        <v>26.4</v>
      </c>
      <c r="N782">
        <v>207</v>
      </c>
      <c r="O782" s="15">
        <v>186</v>
      </c>
      <c r="P782" s="8">
        <v>0.62857142857142856</v>
      </c>
      <c r="Q782">
        <v>183</v>
      </c>
      <c r="R782" s="15">
        <v>146</v>
      </c>
      <c r="S782" s="8">
        <v>0.624</v>
      </c>
      <c r="T782">
        <v>114</v>
      </c>
      <c r="U782" s="15">
        <v>103</v>
      </c>
      <c r="V782" s="8">
        <v>0.61176470588235299</v>
      </c>
      <c r="W782">
        <f t="shared" si="12"/>
        <v>504</v>
      </c>
    </row>
    <row r="783" spans="1:23">
      <c r="A783" s="6">
        <v>45708</v>
      </c>
      <c r="B783" t="s">
        <v>65</v>
      </c>
      <c r="C783">
        <v>3</v>
      </c>
      <c r="D783">
        <v>2</v>
      </c>
      <c r="E783">
        <v>0</v>
      </c>
      <c r="F783">
        <v>0</v>
      </c>
      <c r="H783">
        <v>0</v>
      </c>
      <c r="I783">
        <v>0</v>
      </c>
      <c r="J783">
        <v>0</v>
      </c>
      <c r="K783">
        <v>0</v>
      </c>
      <c r="L783" s="7">
        <v>0</v>
      </c>
      <c r="M783" s="7">
        <v>27.3</v>
      </c>
      <c r="N783">
        <v>199</v>
      </c>
      <c r="O783" s="15">
        <v>165</v>
      </c>
      <c r="P783" s="8">
        <v>0.58571428571428574</v>
      </c>
      <c r="Q783">
        <v>157</v>
      </c>
      <c r="R783" s="15">
        <v>127</v>
      </c>
      <c r="S783" s="8">
        <v>0.53600000000000003</v>
      </c>
      <c r="T783">
        <v>130</v>
      </c>
      <c r="U783" s="15">
        <v>116</v>
      </c>
      <c r="V783" s="8">
        <v>0.6588235294117647</v>
      </c>
      <c r="W783">
        <f t="shared" si="12"/>
        <v>486</v>
      </c>
    </row>
    <row r="784" spans="1:23">
      <c r="A784" s="6">
        <v>45709</v>
      </c>
      <c r="B784" t="s">
        <v>66</v>
      </c>
      <c r="C784">
        <v>4</v>
      </c>
      <c r="D784">
        <v>2</v>
      </c>
      <c r="E784">
        <v>0</v>
      </c>
      <c r="F784">
        <v>0</v>
      </c>
      <c r="H784">
        <v>0</v>
      </c>
      <c r="I784">
        <v>0</v>
      </c>
      <c r="J784">
        <v>0</v>
      </c>
      <c r="K784">
        <v>0</v>
      </c>
      <c r="L784" s="7">
        <v>0.3</v>
      </c>
      <c r="M784" s="7">
        <v>28.8</v>
      </c>
      <c r="N784">
        <v>198</v>
      </c>
      <c r="O784" s="15">
        <v>178</v>
      </c>
      <c r="P784" s="8">
        <v>0.58571428571428574</v>
      </c>
      <c r="Q784">
        <v>184</v>
      </c>
      <c r="R784" s="15">
        <v>165</v>
      </c>
      <c r="S784" s="8">
        <v>0.61599999999999999</v>
      </c>
      <c r="T784">
        <v>116</v>
      </c>
      <c r="U784" s="15">
        <v>97</v>
      </c>
      <c r="V784" s="8">
        <v>0.62352941176470589</v>
      </c>
      <c r="W784">
        <f t="shared" si="12"/>
        <v>498</v>
      </c>
    </row>
    <row r="785" spans="1:23">
      <c r="A785" s="6">
        <v>45710</v>
      </c>
      <c r="B785" t="s">
        <v>67</v>
      </c>
      <c r="C785">
        <v>5</v>
      </c>
      <c r="D785">
        <v>2</v>
      </c>
      <c r="E785">
        <v>1</v>
      </c>
      <c r="F785">
        <v>0</v>
      </c>
      <c r="H785">
        <v>0</v>
      </c>
      <c r="I785">
        <v>0</v>
      </c>
      <c r="J785">
        <v>0</v>
      </c>
      <c r="K785">
        <v>0</v>
      </c>
      <c r="L785" s="7">
        <v>8.1999999999999993</v>
      </c>
      <c r="M785" s="7">
        <v>26.9</v>
      </c>
      <c r="N785">
        <v>217</v>
      </c>
      <c r="O785" s="15">
        <v>175</v>
      </c>
      <c r="P785" s="8">
        <v>0.65714285714285714</v>
      </c>
      <c r="Q785">
        <v>201</v>
      </c>
      <c r="R785" s="15">
        <v>165</v>
      </c>
      <c r="S785" s="8">
        <v>0.68</v>
      </c>
      <c r="T785">
        <v>153</v>
      </c>
      <c r="U785" s="15">
        <v>128</v>
      </c>
      <c r="V785" s="8">
        <v>0.78823529411764703</v>
      </c>
      <c r="W785">
        <f t="shared" si="12"/>
        <v>571</v>
      </c>
    </row>
    <row r="786" spans="1:23">
      <c r="A786" s="6">
        <v>45711</v>
      </c>
      <c r="B786" t="s">
        <v>60</v>
      </c>
      <c r="C786">
        <v>6</v>
      </c>
      <c r="D786">
        <v>2</v>
      </c>
      <c r="E786">
        <v>1</v>
      </c>
      <c r="F786">
        <v>0</v>
      </c>
      <c r="H786">
        <v>0</v>
      </c>
      <c r="I786">
        <v>0</v>
      </c>
      <c r="J786">
        <v>0</v>
      </c>
      <c r="K786">
        <v>0</v>
      </c>
      <c r="L786" s="7">
        <v>1.1000000000000001</v>
      </c>
      <c r="M786" s="7">
        <v>27.6</v>
      </c>
      <c r="N786">
        <v>218</v>
      </c>
      <c r="O786" s="15">
        <v>188</v>
      </c>
      <c r="P786" s="8">
        <v>0.67142857142857137</v>
      </c>
      <c r="Q786">
        <v>206</v>
      </c>
      <c r="R786" s="15">
        <v>176</v>
      </c>
      <c r="S786" s="8">
        <v>0.67200000000000004</v>
      </c>
      <c r="T786">
        <v>151</v>
      </c>
      <c r="U786" s="15">
        <v>140</v>
      </c>
      <c r="V786" s="8">
        <v>0.74117647058823533</v>
      </c>
      <c r="W786">
        <f t="shared" si="12"/>
        <v>575</v>
      </c>
    </row>
    <row r="787" spans="1:23">
      <c r="A787" s="6">
        <v>45712</v>
      </c>
      <c r="B787" t="s">
        <v>62</v>
      </c>
      <c r="C787">
        <v>0</v>
      </c>
      <c r="D787">
        <v>2</v>
      </c>
      <c r="E787">
        <v>0</v>
      </c>
      <c r="F787">
        <v>0</v>
      </c>
      <c r="H787">
        <v>0</v>
      </c>
      <c r="I787">
        <v>0</v>
      </c>
      <c r="J787">
        <v>0</v>
      </c>
      <c r="K787">
        <v>0</v>
      </c>
      <c r="L787" s="7">
        <v>0</v>
      </c>
      <c r="M787" s="7">
        <v>26.8</v>
      </c>
      <c r="N787">
        <v>196</v>
      </c>
      <c r="O787" s="15">
        <v>177</v>
      </c>
      <c r="P787" s="8">
        <v>0.58571428571428574</v>
      </c>
      <c r="Q787">
        <v>175</v>
      </c>
      <c r="R787" s="15">
        <v>146</v>
      </c>
      <c r="S787" s="8">
        <v>0.57599999999999996</v>
      </c>
      <c r="T787">
        <v>128</v>
      </c>
      <c r="U787" s="15">
        <v>108</v>
      </c>
      <c r="V787" s="8">
        <v>0.63529411764705879</v>
      </c>
      <c r="W787">
        <f t="shared" si="12"/>
        <v>499</v>
      </c>
    </row>
    <row r="788" spans="1:23">
      <c r="A788" s="6">
        <v>45713</v>
      </c>
      <c r="B788" t="s">
        <v>63</v>
      </c>
      <c r="C788">
        <v>1</v>
      </c>
      <c r="D788">
        <v>2</v>
      </c>
      <c r="E788">
        <v>0</v>
      </c>
      <c r="F788">
        <v>0</v>
      </c>
      <c r="H788">
        <v>0</v>
      </c>
      <c r="I788">
        <v>0</v>
      </c>
      <c r="J788">
        <v>0</v>
      </c>
      <c r="K788">
        <v>0</v>
      </c>
      <c r="L788" s="7">
        <v>17.100000000000001</v>
      </c>
      <c r="M788" s="7">
        <v>27.1</v>
      </c>
      <c r="N788">
        <v>197</v>
      </c>
      <c r="O788" s="15">
        <v>185</v>
      </c>
      <c r="P788" s="8">
        <v>0.57857142857142863</v>
      </c>
      <c r="Q788">
        <v>183</v>
      </c>
      <c r="R788" s="15">
        <v>149</v>
      </c>
      <c r="S788" s="8">
        <v>0.58399999999999996</v>
      </c>
      <c r="T788">
        <v>108</v>
      </c>
      <c r="U788" s="15">
        <v>91</v>
      </c>
      <c r="V788" s="8">
        <v>0.56470588235294117</v>
      </c>
      <c r="W788">
        <f t="shared" si="12"/>
        <v>488</v>
      </c>
    </row>
    <row r="789" spans="1:23">
      <c r="A789" s="6">
        <v>45714</v>
      </c>
      <c r="B789" t="s">
        <v>64</v>
      </c>
      <c r="C789">
        <v>2</v>
      </c>
      <c r="D789">
        <v>2</v>
      </c>
      <c r="E789">
        <v>0</v>
      </c>
      <c r="F789">
        <v>0</v>
      </c>
      <c r="H789">
        <v>0</v>
      </c>
      <c r="I789">
        <v>0</v>
      </c>
      <c r="J789">
        <v>0</v>
      </c>
      <c r="K789">
        <v>0</v>
      </c>
      <c r="L789" s="7">
        <v>18.100000000000001</v>
      </c>
      <c r="M789" s="7">
        <v>26.4</v>
      </c>
      <c r="N789">
        <v>191</v>
      </c>
      <c r="O789" s="15">
        <v>176</v>
      </c>
      <c r="P789" s="8">
        <v>0.6</v>
      </c>
      <c r="Q789">
        <v>174</v>
      </c>
      <c r="R789" s="15">
        <v>151</v>
      </c>
      <c r="S789" s="8">
        <v>0.58399999999999996</v>
      </c>
      <c r="T789">
        <v>128</v>
      </c>
      <c r="U789" s="15">
        <v>111</v>
      </c>
      <c r="V789" s="8">
        <v>0.6705882352941176</v>
      </c>
      <c r="W789">
        <f t="shared" si="12"/>
        <v>493</v>
      </c>
    </row>
    <row r="790" spans="1:23">
      <c r="A790" s="6">
        <v>45715</v>
      </c>
      <c r="B790" t="s">
        <v>65</v>
      </c>
      <c r="C790">
        <v>3</v>
      </c>
      <c r="D790">
        <v>2</v>
      </c>
      <c r="E790">
        <v>0</v>
      </c>
      <c r="F790">
        <v>0</v>
      </c>
      <c r="H790">
        <v>0</v>
      </c>
      <c r="I790">
        <v>0</v>
      </c>
      <c r="J790">
        <v>0</v>
      </c>
      <c r="K790">
        <v>0</v>
      </c>
      <c r="L790" s="7">
        <v>9.4</v>
      </c>
      <c r="M790" s="7">
        <v>28</v>
      </c>
      <c r="N790">
        <v>194</v>
      </c>
      <c r="O790" s="15">
        <v>168</v>
      </c>
      <c r="P790" s="8">
        <v>0.57857142857142863</v>
      </c>
      <c r="Q790">
        <v>152</v>
      </c>
      <c r="R790" s="15">
        <v>135</v>
      </c>
      <c r="S790" s="8">
        <v>0.52</v>
      </c>
      <c r="T790">
        <v>121</v>
      </c>
      <c r="U790" s="15">
        <v>104</v>
      </c>
      <c r="V790" s="8">
        <v>0.6470588235294118</v>
      </c>
      <c r="W790">
        <f t="shared" si="12"/>
        <v>467</v>
      </c>
    </row>
    <row r="791" spans="1:23">
      <c r="A791" s="6">
        <v>45716</v>
      </c>
      <c r="B791" t="s">
        <v>66</v>
      </c>
      <c r="C791">
        <v>4</v>
      </c>
      <c r="D791">
        <v>2</v>
      </c>
      <c r="E791">
        <v>0</v>
      </c>
      <c r="F791">
        <v>0</v>
      </c>
      <c r="H791">
        <v>0</v>
      </c>
      <c r="I791">
        <v>1</v>
      </c>
      <c r="J791">
        <v>0</v>
      </c>
      <c r="K791">
        <v>0</v>
      </c>
      <c r="L791" s="7">
        <v>0</v>
      </c>
      <c r="M791" s="7">
        <v>28.2</v>
      </c>
      <c r="N791">
        <v>197</v>
      </c>
      <c r="O791" s="15">
        <v>159</v>
      </c>
      <c r="P791" s="8">
        <v>0.6</v>
      </c>
      <c r="Q791">
        <v>190</v>
      </c>
      <c r="R791" s="15">
        <v>170</v>
      </c>
      <c r="S791" s="8">
        <v>0.63200000000000001</v>
      </c>
      <c r="T791">
        <v>126</v>
      </c>
      <c r="U791" s="15">
        <v>107</v>
      </c>
      <c r="V791" s="8">
        <v>0.70588235294117652</v>
      </c>
      <c r="W791">
        <f t="shared" si="12"/>
        <v>513</v>
      </c>
    </row>
    <row r="792" spans="1:23">
      <c r="A792" s="6">
        <v>45717</v>
      </c>
      <c r="B792" t="s">
        <v>67</v>
      </c>
      <c r="C792">
        <v>5</v>
      </c>
      <c r="D792">
        <v>3</v>
      </c>
      <c r="E792">
        <v>1</v>
      </c>
      <c r="F792">
        <v>0</v>
      </c>
      <c r="H792">
        <v>0</v>
      </c>
      <c r="I792">
        <v>1</v>
      </c>
      <c r="J792">
        <v>0</v>
      </c>
      <c r="K792">
        <v>0</v>
      </c>
      <c r="L792" s="7">
        <v>18.899999999999999</v>
      </c>
      <c r="M792" s="7">
        <v>28.4</v>
      </c>
      <c r="N792">
        <v>226</v>
      </c>
      <c r="O792" s="15">
        <v>208</v>
      </c>
      <c r="P792" s="8">
        <v>0.69285714285714284</v>
      </c>
      <c r="Q792">
        <v>222</v>
      </c>
      <c r="R792" s="15">
        <v>194</v>
      </c>
      <c r="S792" s="8">
        <v>0.752</v>
      </c>
      <c r="T792">
        <v>159</v>
      </c>
      <c r="U792" s="15">
        <v>146</v>
      </c>
      <c r="V792" s="8">
        <v>0.81176470588235294</v>
      </c>
      <c r="W792">
        <f t="shared" si="12"/>
        <v>607</v>
      </c>
    </row>
    <row r="793" spans="1:23">
      <c r="A793" s="6">
        <v>45718</v>
      </c>
      <c r="B793" t="s">
        <v>60</v>
      </c>
      <c r="C793">
        <v>6</v>
      </c>
      <c r="D793">
        <v>3</v>
      </c>
      <c r="E793">
        <v>1</v>
      </c>
      <c r="F793">
        <v>0</v>
      </c>
      <c r="H793">
        <v>0</v>
      </c>
      <c r="I793">
        <v>1</v>
      </c>
      <c r="J793">
        <v>0</v>
      </c>
      <c r="K793">
        <v>0</v>
      </c>
      <c r="L793" s="7">
        <v>8.3000000000000007</v>
      </c>
      <c r="M793" s="7">
        <v>26.9</v>
      </c>
      <c r="N793">
        <v>253</v>
      </c>
      <c r="O793" s="15">
        <v>230</v>
      </c>
      <c r="P793" s="8">
        <v>0.75714285714285712</v>
      </c>
      <c r="Q793">
        <v>220</v>
      </c>
      <c r="R793" s="15">
        <v>185</v>
      </c>
      <c r="S793" s="8">
        <v>0.73599999999999999</v>
      </c>
      <c r="T793">
        <v>160</v>
      </c>
      <c r="U793" s="15">
        <v>138</v>
      </c>
      <c r="V793" s="8">
        <v>0.84705882352941175</v>
      </c>
      <c r="W793">
        <f t="shared" si="12"/>
        <v>633</v>
      </c>
    </row>
    <row r="794" spans="1:23">
      <c r="A794" s="6">
        <v>45719</v>
      </c>
      <c r="B794" t="s">
        <v>62</v>
      </c>
      <c r="C794">
        <v>0</v>
      </c>
      <c r="D794">
        <v>3</v>
      </c>
      <c r="E794">
        <v>0</v>
      </c>
      <c r="F794">
        <v>0</v>
      </c>
      <c r="H794">
        <v>0</v>
      </c>
      <c r="I794">
        <v>1</v>
      </c>
      <c r="J794">
        <v>0</v>
      </c>
      <c r="K794">
        <v>0</v>
      </c>
      <c r="L794" s="7">
        <v>6.9</v>
      </c>
      <c r="M794" s="7">
        <v>27.5</v>
      </c>
      <c r="N794">
        <v>205</v>
      </c>
      <c r="O794" s="15">
        <v>180</v>
      </c>
      <c r="P794" s="8">
        <v>0.6071428571428571</v>
      </c>
      <c r="Q794">
        <v>198</v>
      </c>
      <c r="R794" s="15">
        <v>159</v>
      </c>
      <c r="S794" s="8">
        <v>0.66400000000000003</v>
      </c>
      <c r="T794">
        <v>144</v>
      </c>
      <c r="U794" s="15">
        <v>116</v>
      </c>
      <c r="V794" s="8">
        <v>0.76470588235294112</v>
      </c>
      <c r="W794">
        <f t="shared" si="12"/>
        <v>547</v>
      </c>
    </row>
    <row r="795" spans="1:23">
      <c r="A795" s="6">
        <v>45720</v>
      </c>
      <c r="B795" t="s">
        <v>63</v>
      </c>
      <c r="C795">
        <v>1</v>
      </c>
      <c r="D795">
        <v>3</v>
      </c>
      <c r="E795">
        <v>0</v>
      </c>
      <c r="F795">
        <v>0</v>
      </c>
      <c r="H795">
        <v>0</v>
      </c>
      <c r="I795">
        <v>1</v>
      </c>
      <c r="J795">
        <v>0</v>
      </c>
      <c r="K795">
        <v>0</v>
      </c>
      <c r="L795" s="7">
        <v>12.9</v>
      </c>
      <c r="M795" s="7">
        <v>27.2</v>
      </c>
      <c r="N795">
        <v>208</v>
      </c>
      <c r="O795" s="15">
        <v>190</v>
      </c>
      <c r="P795" s="8">
        <v>0.62857142857142856</v>
      </c>
      <c r="Q795">
        <v>190</v>
      </c>
      <c r="R795" s="15">
        <v>153</v>
      </c>
      <c r="S795" s="8">
        <v>0.63200000000000001</v>
      </c>
      <c r="T795">
        <v>131</v>
      </c>
      <c r="U795" s="15">
        <v>113</v>
      </c>
      <c r="V795" s="8">
        <v>0.69411764705882351</v>
      </c>
      <c r="W795">
        <f t="shared" si="12"/>
        <v>529</v>
      </c>
    </row>
    <row r="796" spans="1:23">
      <c r="A796" s="6">
        <v>45721</v>
      </c>
      <c r="B796" t="s">
        <v>64</v>
      </c>
      <c r="C796">
        <v>2</v>
      </c>
      <c r="D796">
        <v>3</v>
      </c>
      <c r="E796">
        <v>0</v>
      </c>
      <c r="F796">
        <v>0</v>
      </c>
      <c r="H796">
        <v>0</v>
      </c>
      <c r="I796">
        <v>0</v>
      </c>
      <c r="J796">
        <v>0</v>
      </c>
      <c r="K796">
        <v>0</v>
      </c>
      <c r="L796" s="7">
        <v>0</v>
      </c>
      <c r="M796" s="7">
        <v>28.5</v>
      </c>
      <c r="N796">
        <v>187</v>
      </c>
      <c r="O796" s="15">
        <v>169</v>
      </c>
      <c r="P796" s="8">
        <v>0.56428571428571428</v>
      </c>
      <c r="Q796">
        <v>167</v>
      </c>
      <c r="R796" s="15">
        <v>137</v>
      </c>
      <c r="S796" s="8">
        <v>0.56000000000000005</v>
      </c>
      <c r="T796">
        <v>109</v>
      </c>
      <c r="U796" s="15">
        <v>94</v>
      </c>
      <c r="V796" s="8">
        <v>0.58823529411764708</v>
      </c>
      <c r="W796">
        <f t="shared" si="12"/>
        <v>463</v>
      </c>
    </row>
    <row r="797" spans="1:23">
      <c r="A797" s="6">
        <v>45722</v>
      </c>
      <c r="B797" t="s">
        <v>65</v>
      </c>
      <c r="C797">
        <v>3</v>
      </c>
      <c r="D797">
        <v>3</v>
      </c>
      <c r="E797">
        <v>0</v>
      </c>
      <c r="F797">
        <v>0</v>
      </c>
      <c r="H797">
        <v>0</v>
      </c>
      <c r="I797">
        <v>0</v>
      </c>
      <c r="J797">
        <v>0</v>
      </c>
      <c r="K797">
        <v>0</v>
      </c>
      <c r="L797" s="7">
        <v>6</v>
      </c>
      <c r="M797" s="7">
        <v>27.9</v>
      </c>
      <c r="N797">
        <v>171</v>
      </c>
      <c r="O797" s="15">
        <v>157</v>
      </c>
      <c r="P797" s="8">
        <v>0.51428571428571423</v>
      </c>
      <c r="Q797">
        <v>153</v>
      </c>
      <c r="R797" s="15">
        <v>129</v>
      </c>
      <c r="S797" s="8">
        <v>0.52</v>
      </c>
      <c r="T797">
        <v>114</v>
      </c>
      <c r="U797" s="15">
        <v>100</v>
      </c>
      <c r="V797" s="8">
        <v>0.58823529411764708</v>
      </c>
      <c r="W797">
        <f t="shared" si="12"/>
        <v>438</v>
      </c>
    </row>
    <row r="798" spans="1:23">
      <c r="A798" s="6">
        <v>45723</v>
      </c>
      <c r="B798" t="s">
        <v>66</v>
      </c>
      <c r="C798">
        <v>4</v>
      </c>
      <c r="D798">
        <v>3</v>
      </c>
      <c r="E798">
        <v>0</v>
      </c>
      <c r="F798">
        <v>0</v>
      </c>
      <c r="H798">
        <v>0</v>
      </c>
      <c r="I798">
        <v>0</v>
      </c>
      <c r="J798">
        <v>0</v>
      </c>
      <c r="K798">
        <v>0</v>
      </c>
      <c r="L798" s="7">
        <v>12.7</v>
      </c>
      <c r="M798" s="7">
        <v>27.6</v>
      </c>
      <c r="N798">
        <v>173</v>
      </c>
      <c r="O798" s="15">
        <v>157</v>
      </c>
      <c r="P798" s="8">
        <v>0.52857142857142858</v>
      </c>
      <c r="Q798">
        <v>165</v>
      </c>
      <c r="R798" s="15">
        <v>147</v>
      </c>
      <c r="S798" s="8">
        <v>0.54400000000000004</v>
      </c>
      <c r="T798">
        <v>118</v>
      </c>
      <c r="U798" s="15">
        <v>103</v>
      </c>
      <c r="V798" s="8">
        <v>0.63529411764705879</v>
      </c>
      <c r="W798">
        <f t="shared" si="12"/>
        <v>456</v>
      </c>
    </row>
    <row r="799" spans="1:23">
      <c r="A799" s="6">
        <v>45724</v>
      </c>
      <c r="B799" t="s">
        <v>67</v>
      </c>
      <c r="C799">
        <v>5</v>
      </c>
      <c r="D799">
        <v>3</v>
      </c>
      <c r="E799">
        <v>1</v>
      </c>
      <c r="F799">
        <v>0</v>
      </c>
      <c r="H799">
        <v>0</v>
      </c>
      <c r="I799">
        <v>0</v>
      </c>
      <c r="J799">
        <v>0</v>
      </c>
      <c r="K799">
        <v>0</v>
      </c>
      <c r="L799" s="7">
        <v>16.8</v>
      </c>
      <c r="M799" s="7">
        <v>28.1</v>
      </c>
      <c r="N799">
        <v>218</v>
      </c>
      <c r="O799" s="15">
        <v>186</v>
      </c>
      <c r="P799" s="8">
        <v>0.65714285714285714</v>
      </c>
      <c r="Q799">
        <v>200</v>
      </c>
      <c r="R799" s="15">
        <v>171</v>
      </c>
      <c r="S799" s="8">
        <v>0.68</v>
      </c>
      <c r="T799">
        <v>141</v>
      </c>
      <c r="U799" s="15">
        <v>126</v>
      </c>
      <c r="V799" s="8">
        <v>0.74117647058823533</v>
      </c>
      <c r="W799">
        <f t="shared" si="12"/>
        <v>559</v>
      </c>
    </row>
    <row r="800" spans="1:23">
      <c r="A800" s="6">
        <v>45725</v>
      </c>
      <c r="B800" t="s">
        <v>60</v>
      </c>
      <c r="C800">
        <v>6</v>
      </c>
      <c r="D800">
        <v>3</v>
      </c>
      <c r="E800">
        <v>1</v>
      </c>
      <c r="F800">
        <v>0</v>
      </c>
      <c r="H800">
        <v>0</v>
      </c>
      <c r="I800">
        <v>0</v>
      </c>
      <c r="J800">
        <v>0</v>
      </c>
      <c r="K800">
        <v>0</v>
      </c>
      <c r="L800" s="7">
        <v>13.2</v>
      </c>
      <c r="M800" s="7">
        <v>28.3</v>
      </c>
      <c r="N800">
        <v>192</v>
      </c>
      <c r="O800" s="15">
        <v>159</v>
      </c>
      <c r="P800" s="8">
        <v>0.58571428571428574</v>
      </c>
      <c r="Q800">
        <v>199</v>
      </c>
      <c r="R800" s="15">
        <v>174</v>
      </c>
      <c r="S800" s="8">
        <v>0.67200000000000004</v>
      </c>
      <c r="T800">
        <v>144</v>
      </c>
      <c r="U800" s="15">
        <v>128</v>
      </c>
      <c r="V800" s="8">
        <v>0.74117647058823533</v>
      </c>
      <c r="W800">
        <f t="shared" si="12"/>
        <v>535</v>
      </c>
    </row>
    <row r="801" spans="1:23">
      <c r="A801" s="6">
        <v>45726</v>
      </c>
      <c r="B801" t="s">
        <v>62</v>
      </c>
      <c r="C801">
        <v>0</v>
      </c>
      <c r="D801">
        <v>3</v>
      </c>
      <c r="E801">
        <v>0</v>
      </c>
      <c r="F801">
        <v>0</v>
      </c>
      <c r="H801">
        <v>0</v>
      </c>
      <c r="I801">
        <v>0</v>
      </c>
      <c r="J801">
        <v>0</v>
      </c>
      <c r="K801">
        <v>0</v>
      </c>
      <c r="L801" s="7">
        <v>8.6</v>
      </c>
      <c r="M801" s="7">
        <v>26.8</v>
      </c>
      <c r="N801">
        <v>200</v>
      </c>
      <c r="O801" s="15">
        <v>179</v>
      </c>
      <c r="P801" s="8">
        <v>0.6</v>
      </c>
      <c r="Q801">
        <v>173</v>
      </c>
      <c r="R801" s="15">
        <v>156</v>
      </c>
      <c r="S801" s="8">
        <v>0.59199999999999997</v>
      </c>
      <c r="T801">
        <v>110</v>
      </c>
      <c r="U801" s="15">
        <v>91</v>
      </c>
      <c r="V801" s="8">
        <v>0.6</v>
      </c>
      <c r="W801">
        <f t="shared" si="12"/>
        <v>483</v>
      </c>
    </row>
    <row r="802" spans="1:23">
      <c r="A802" s="6">
        <v>45727</v>
      </c>
      <c r="B802" t="s">
        <v>63</v>
      </c>
      <c r="C802">
        <v>1</v>
      </c>
      <c r="D802">
        <v>3</v>
      </c>
      <c r="E802">
        <v>0</v>
      </c>
      <c r="F802">
        <v>0</v>
      </c>
      <c r="H802">
        <v>0</v>
      </c>
      <c r="I802">
        <v>0</v>
      </c>
      <c r="J802">
        <v>0</v>
      </c>
      <c r="K802">
        <v>0</v>
      </c>
      <c r="L802" s="7">
        <v>6.4</v>
      </c>
      <c r="M802" s="7">
        <v>28.1</v>
      </c>
      <c r="N802">
        <v>195</v>
      </c>
      <c r="O802" s="15">
        <v>166</v>
      </c>
      <c r="P802" s="8">
        <v>0.58571428571428574</v>
      </c>
      <c r="Q802">
        <v>145</v>
      </c>
      <c r="R802" s="15">
        <v>131</v>
      </c>
      <c r="S802" s="8">
        <v>0.48799999999999999</v>
      </c>
      <c r="T802">
        <v>128</v>
      </c>
      <c r="U802" s="15">
        <v>115</v>
      </c>
      <c r="V802" s="8">
        <v>0.69411764705882351</v>
      </c>
      <c r="W802">
        <f t="shared" si="12"/>
        <v>468</v>
      </c>
    </row>
    <row r="803" spans="1:23">
      <c r="A803" s="6">
        <v>45728</v>
      </c>
      <c r="B803" t="s">
        <v>64</v>
      </c>
      <c r="C803">
        <v>2</v>
      </c>
      <c r="D803">
        <v>3</v>
      </c>
      <c r="E803">
        <v>0</v>
      </c>
      <c r="F803">
        <v>0</v>
      </c>
      <c r="H803">
        <v>0</v>
      </c>
      <c r="I803">
        <v>0</v>
      </c>
      <c r="J803">
        <v>0</v>
      </c>
      <c r="K803">
        <v>0</v>
      </c>
      <c r="L803" s="7">
        <v>9.6</v>
      </c>
      <c r="M803" s="7">
        <v>28.1</v>
      </c>
      <c r="N803">
        <v>162</v>
      </c>
      <c r="O803" s="15">
        <v>138</v>
      </c>
      <c r="P803" s="8">
        <v>0.51428571428571423</v>
      </c>
      <c r="Q803">
        <v>167</v>
      </c>
      <c r="R803" s="15">
        <v>154</v>
      </c>
      <c r="S803" s="8">
        <v>0.56799999999999995</v>
      </c>
      <c r="T803">
        <v>116</v>
      </c>
      <c r="U803" s="15">
        <v>108</v>
      </c>
      <c r="V803" s="8">
        <v>0.62352941176470589</v>
      </c>
      <c r="W803">
        <f t="shared" si="12"/>
        <v>445</v>
      </c>
    </row>
    <row r="804" spans="1:23">
      <c r="A804" s="6">
        <v>45729</v>
      </c>
      <c r="B804" t="s">
        <v>65</v>
      </c>
      <c r="C804">
        <v>3</v>
      </c>
      <c r="D804">
        <v>3</v>
      </c>
      <c r="E804">
        <v>0</v>
      </c>
      <c r="F804">
        <v>0</v>
      </c>
      <c r="H804">
        <v>0</v>
      </c>
      <c r="I804">
        <v>0</v>
      </c>
      <c r="J804">
        <v>0</v>
      </c>
      <c r="K804">
        <v>0</v>
      </c>
      <c r="L804" s="7">
        <v>21.3</v>
      </c>
      <c r="M804" s="7">
        <v>28.1</v>
      </c>
      <c r="N804">
        <v>172</v>
      </c>
      <c r="O804" s="15">
        <v>160</v>
      </c>
      <c r="P804" s="8">
        <v>0.52857142857142858</v>
      </c>
      <c r="Q804">
        <v>142</v>
      </c>
      <c r="R804" s="15">
        <v>128</v>
      </c>
      <c r="S804" s="8">
        <v>0.47199999999999998</v>
      </c>
      <c r="T804">
        <v>115</v>
      </c>
      <c r="U804" s="15">
        <v>107</v>
      </c>
      <c r="V804" s="8">
        <v>0.63529411764705879</v>
      </c>
      <c r="W804">
        <f t="shared" si="12"/>
        <v>429</v>
      </c>
    </row>
    <row r="805" spans="1:23">
      <c r="A805" s="6">
        <v>45730</v>
      </c>
      <c r="B805" t="s">
        <v>66</v>
      </c>
      <c r="C805">
        <v>4</v>
      </c>
      <c r="D805">
        <v>3</v>
      </c>
      <c r="E805">
        <v>0</v>
      </c>
      <c r="F805">
        <v>0</v>
      </c>
      <c r="H805">
        <v>0</v>
      </c>
      <c r="I805">
        <v>0</v>
      </c>
      <c r="J805">
        <v>0</v>
      </c>
      <c r="K805">
        <v>0</v>
      </c>
      <c r="L805" s="7">
        <v>14.2</v>
      </c>
      <c r="M805" s="7">
        <v>26.8</v>
      </c>
      <c r="N805">
        <v>193</v>
      </c>
      <c r="O805" s="15">
        <v>159</v>
      </c>
      <c r="P805" s="8">
        <v>0.59285714285714286</v>
      </c>
      <c r="Q805">
        <v>176</v>
      </c>
      <c r="R805" s="15">
        <v>151</v>
      </c>
      <c r="S805" s="8">
        <v>0.56000000000000005</v>
      </c>
      <c r="T805">
        <v>116</v>
      </c>
      <c r="U805" s="15">
        <v>106</v>
      </c>
      <c r="V805" s="8">
        <v>0.6</v>
      </c>
      <c r="W805">
        <f t="shared" si="12"/>
        <v>485</v>
      </c>
    </row>
    <row r="806" spans="1:23">
      <c r="A806" s="6">
        <v>45731</v>
      </c>
      <c r="B806" t="s">
        <v>67</v>
      </c>
      <c r="C806">
        <v>5</v>
      </c>
      <c r="D806">
        <v>3</v>
      </c>
      <c r="E806">
        <v>1</v>
      </c>
      <c r="F806">
        <v>0</v>
      </c>
      <c r="H806">
        <v>0</v>
      </c>
      <c r="I806">
        <v>0</v>
      </c>
      <c r="J806">
        <v>0</v>
      </c>
      <c r="K806">
        <v>0</v>
      </c>
      <c r="L806" s="7">
        <v>0</v>
      </c>
      <c r="M806" s="7">
        <v>27</v>
      </c>
      <c r="N806">
        <v>194</v>
      </c>
      <c r="O806" s="15">
        <v>181</v>
      </c>
      <c r="P806" s="8">
        <v>0.6</v>
      </c>
      <c r="Q806">
        <v>183</v>
      </c>
      <c r="R806" s="15">
        <v>169</v>
      </c>
      <c r="S806" s="8">
        <v>0.60799999999999998</v>
      </c>
      <c r="T806">
        <v>150</v>
      </c>
      <c r="U806" s="15">
        <v>135</v>
      </c>
      <c r="V806" s="8">
        <v>0.78823529411764703</v>
      </c>
      <c r="W806">
        <f t="shared" si="12"/>
        <v>527</v>
      </c>
    </row>
    <row r="807" spans="1:23">
      <c r="A807" s="6">
        <v>45732</v>
      </c>
      <c r="B807" t="s">
        <v>60</v>
      </c>
      <c r="C807">
        <v>6</v>
      </c>
      <c r="D807">
        <v>3</v>
      </c>
      <c r="E807">
        <v>1</v>
      </c>
      <c r="F807">
        <v>0</v>
      </c>
      <c r="H807">
        <v>0</v>
      </c>
      <c r="I807">
        <v>0</v>
      </c>
      <c r="J807">
        <v>0</v>
      </c>
      <c r="K807">
        <v>0</v>
      </c>
      <c r="L807" s="7">
        <v>16</v>
      </c>
      <c r="M807" s="7">
        <v>27.4</v>
      </c>
      <c r="N807">
        <v>220</v>
      </c>
      <c r="O807" s="15">
        <v>191</v>
      </c>
      <c r="P807" s="8">
        <v>0.65714285714285714</v>
      </c>
      <c r="Q807">
        <v>187</v>
      </c>
      <c r="R807" s="15">
        <v>159</v>
      </c>
      <c r="S807" s="8">
        <v>0.60799999999999998</v>
      </c>
      <c r="T807">
        <v>139</v>
      </c>
      <c r="U807" s="15">
        <v>121</v>
      </c>
      <c r="V807" s="8">
        <v>0.74117647058823533</v>
      </c>
      <c r="W807">
        <f t="shared" si="12"/>
        <v>546</v>
      </c>
    </row>
    <row r="808" spans="1:23">
      <c r="A808" s="6">
        <v>45733</v>
      </c>
      <c r="B808" t="s">
        <v>62</v>
      </c>
      <c r="C808">
        <v>0</v>
      </c>
      <c r="D808">
        <v>3</v>
      </c>
      <c r="E808">
        <v>0</v>
      </c>
      <c r="F808">
        <v>0</v>
      </c>
      <c r="H808">
        <v>0</v>
      </c>
      <c r="I808">
        <v>0</v>
      </c>
      <c r="J808">
        <v>0</v>
      </c>
      <c r="K808">
        <v>0</v>
      </c>
      <c r="L808" s="7">
        <v>14.5</v>
      </c>
      <c r="M808" s="7">
        <v>26.7</v>
      </c>
      <c r="N808">
        <v>184</v>
      </c>
      <c r="O808" s="15">
        <v>172</v>
      </c>
      <c r="P808" s="8">
        <v>0.55000000000000004</v>
      </c>
      <c r="Q808">
        <v>165</v>
      </c>
      <c r="R808" s="15">
        <v>150</v>
      </c>
      <c r="S808" s="8">
        <v>0.55200000000000005</v>
      </c>
      <c r="T808">
        <v>122</v>
      </c>
      <c r="U808" s="15">
        <v>114</v>
      </c>
      <c r="V808" s="8">
        <v>0.6</v>
      </c>
      <c r="W808">
        <f t="shared" si="12"/>
        <v>471</v>
      </c>
    </row>
    <row r="809" spans="1:23">
      <c r="A809" s="6">
        <v>45734</v>
      </c>
      <c r="B809" t="s">
        <v>63</v>
      </c>
      <c r="C809">
        <v>1</v>
      </c>
      <c r="D809">
        <v>3</v>
      </c>
      <c r="E809">
        <v>0</v>
      </c>
      <c r="F809">
        <v>0</v>
      </c>
      <c r="H809">
        <v>0</v>
      </c>
      <c r="I809">
        <v>0</v>
      </c>
      <c r="J809">
        <v>0</v>
      </c>
      <c r="K809">
        <v>0</v>
      </c>
      <c r="L809" s="7">
        <v>12.5</v>
      </c>
      <c r="M809" s="7">
        <v>27.6</v>
      </c>
      <c r="N809">
        <v>202</v>
      </c>
      <c r="O809" s="15">
        <v>162</v>
      </c>
      <c r="P809" s="8">
        <v>0.63571428571428568</v>
      </c>
      <c r="Q809">
        <v>138</v>
      </c>
      <c r="R809" s="15">
        <v>115</v>
      </c>
      <c r="S809" s="8">
        <v>0.44800000000000001</v>
      </c>
      <c r="T809">
        <v>115</v>
      </c>
      <c r="U809" s="15">
        <v>104</v>
      </c>
      <c r="V809" s="8">
        <v>0.63529411764705879</v>
      </c>
      <c r="W809">
        <f t="shared" si="12"/>
        <v>455</v>
      </c>
    </row>
    <row r="810" spans="1:23">
      <c r="A810" s="6">
        <v>45735</v>
      </c>
      <c r="B810" t="s">
        <v>64</v>
      </c>
      <c r="C810">
        <v>2</v>
      </c>
      <c r="D810">
        <v>3</v>
      </c>
      <c r="E810">
        <v>0</v>
      </c>
      <c r="F810">
        <v>1</v>
      </c>
      <c r="G810" t="s">
        <v>68</v>
      </c>
      <c r="H810">
        <v>0</v>
      </c>
      <c r="I810">
        <v>0</v>
      </c>
      <c r="J810">
        <v>0</v>
      </c>
      <c r="K810">
        <v>0</v>
      </c>
      <c r="L810" s="7">
        <v>7.3</v>
      </c>
      <c r="M810" s="7">
        <v>27.8</v>
      </c>
      <c r="N810">
        <v>205</v>
      </c>
      <c r="O810" s="15">
        <v>192</v>
      </c>
      <c r="P810" s="8">
        <v>0.61428571428571432</v>
      </c>
      <c r="Q810">
        <v>197</v>
      </c>
      <c r="R810" s="15">
        <v>167</v>
      </c>
      <c r="S810" s="8">
        <v>0.65600000000000003</v>
      </c>
      <c r="T810">
        <v>143</v>
      </c>
      <c r="U810" s="15">
        <v>115</v>
      </c>
      <c r="V810" s="8">
        <v>0.72941176470588232</v>
      </c>
      <c r="W810">
        <f t="shared" si="12"/>
        <v>545</v>
      </c>
    </row>
    <row r="811" spans="1:23">
      <c r="A811" s="6">
        <v>45736</v>
      </c>
      <c r="B811" t="s">
        <v>65</v>
      </c>
      <c r="C811">
        <v>3</v>
      </c>
      <c r="D811">
        <v>3</v>
      </c>
      <c r="E811">
        <v>0</v>
      </c>
      <c r="F811">
        <v>0</v>
      </c>
      <c r="H811">
        <v>0</v>
      </c>
      <c r="I811">
        <v>0</v>
      </c>
      <c r="J811">
        <v>0</v>
      </c>
      <c r="K811">
        <v>0</v>
      </c>
      <c r="L811" s="7">
        <v>9.1999999999999993</v>
      </c>
      <c r="M811" s="7">
        <v>28.6</v>
      </c>
      <c r="N811">
        <v>185</v>
      </c>
      <c r="O811" s="15">
        <v>170</v>
      </c>
      <c r="P811" s="8">
        <v>0.56428571428571428</v>
      </c>
      <c r="Q811">
        <v>179</v>
      </c>
      <c r="R811" s="15">
        <v>155</v>
      </c>
      <c r="S811" s="8">
        <v>0.61599999999999999</v>
      </c>
      <c r="T811">
        <v>111</v>
      </c>
      <c r="U811" s="15">
        <v>102</v>
      </c>
      <c r="V811" s="8">
        <v>0.6</v>
      </c>
      <c r="W811">
        <f t="shared" si="12"/>
        <v>475</v>
      </c>
    </row>
    <row r="812" spans="1:23">
      <c r="A812" s="6">
        <v>45737</v>
      </c>
      <c r="B812" t="s">
        <v>66</v>
      </c>
      <c r="C812">
        <v>4</v>
      </c>
      <c r="D812">
        <v>3</v>
      </c>
      <c r="E812">
        <v>0</v>
      </c>
      <c r="F812">
        <v>0</v>
      </c>
      <c r="H812">
        <v>0</v>
      </c>
      <c r="I812">
        <v>0</v>
      </c>
      <c r="J812">
        <v>0</v>
      </c>
      <c r="K812">
        <v>0</v>
      </c>
      <c r="L812" s="7">
        <v>8.8000000000000007</v>
      </c>
      <c r="M812" s="7">
        <v>26</v>
      </c>
      <c r="N812">
        <v>199</v>
      </c>
      <c r="O812" s="15">
        <v>187</v>
      </c>
      <c r="P812" s="8">
        <v>0.59285714285714286</v>
      </c>
      <c r="Q812">
        <v>159</v>
      </c>
      <c r="R812" s="15">
        <v>141</v>
      </c>
      <c r="S812" s="8">
        <v>0.53600000000000003</v>
      </c>
      <c r="T812">
        <v>112</v>
      </c>
      <c r="U812" s="15">
        <v>104</v>
      </c>
      <c r="V812" s="8">
        <v>0.6</v>
      </c>
      <c r="W812">
        <f t="shared" si="12"/>
        <v>470</v>
      </c>
    </row>
    <row r="813" spans="1:23">
      <c r="A813" s="6">
        <v>45738</v>
      </c>
      <c r="B813" t="s">
        <v>67</v>
      </c>
      <c r="C813">
        <v>5</v>
      </c>
      <c r="D813">
        <v>3</v>
      </c>
      <c r="E813">
        <v>1</v>
      </c>
      <c r="F813">
        <v>0</v>
      </c>
      <c r="H813">
        <v>0</v>
      </c>
      <c r="I813">
        <v>0</v>
      </c>
      <c r="J813">
        <v>0</v>
      </c>
      <c r="K813">
        <v>0</v>
      </c>
      <c r="L813" s="7">
        <v>11.4</v>
      </c>
      <c r="M813" s="7">
        <v>27.3</v>
      </c>
      <c r="N813">
        <v>202</v>
      </c>
      <c r="O813" s="15">
        <v>184</v>
      </c>
      <c r="P813" s="8">
        <v>0.59285714285714286</v>
      </c>
      <c r="Q813">
        <v>191</v>
      </c>
      <c r="R813" s="15">
        <v>167</v>
      </c>
      <c r="S813" s="8">
        <v>0.64800000000000002</v>
      </c>
      <c r="T813">
        <v>153</v>
      </c>
      <c r="U813" s="15">
        <v>129</v>
      </c>
      <c r="V813" s="8">
        <v>0.75294117647058822</v>
      </c>
      <c r="W813">
        <f t="shared" si="12"/>
        <v>546</v>
      </c>
    </row>
    <row r="814" spans="1:23">
      <c r="A814" s="6">
        <v>45739</v>
      </c>
      <c r="B814" t="s">
        <v>60</v>
      </c>
      <c r="C814">
        <v>6</v>
      </c>
      <c r="D814">
        <v>3</v>
      </c>
      <c r="E814">
        <v>1</v>
      </c>
      <c r="F814">
        <v>0</v>
      </c>
      <c r="H814">
        <v>0</v>
      </c>
      <c r="I814">
        <v>0</v>
      </c>
      <c r="J814">
        <v>0</v>
      </c>
      <c r="K814">
        <v>0</v>
      </c>
      <c r="L814" s="7">
        <v>6.5</v>
      </c>
      <c r="M814" s="7">
        <v>27.5</v>
      </c>
      <c r="N814">
        <v>210</v>
      </c>
      <c r="O814" s="15">
        <v>181</v>
      </c>
      <c r="P814" s="8">
        <v>0.63571428571428568</v>
      </c>
      <c r="Q814">
        <v>187</v>
      </c>
      <c r="R814" s="15">
        <v>174</v>
      </c>
      <c r="S814" s="8">
        <v>0.61599999999999999</v>
      </c>
      <c r="T814">
        <v>128</v>
      </c>
      <c r="U814" s="15">
        <v>113</v>
      </c>
      <c r="V814" s="8">
        <v>0.72941176470588232</v>
      </c>
      <c r="W814">
        <f t="shared" si="12"/>
        <v>525</v>
      </c>
    </row>
    <row r="815" spans="1:23">
      <c r="A815" s="6">
        <v>45740</v>
      </c>
      <c r="B815" t="s">
        <v>62</v>
      </c>
      <c r="C815">
        <v>0</v>
      </c>
      <c r="D815">
        <v>3</v>
      </c>
      <c r="E815">
        <v>0</v>
      </c>
      <c r="F815">
        <v>0</v>
      </c>
      <c r="H815">
        <v>0</v>
      </c>
      <c r="I815">
        <v>0</v>
      </c>
      <c r="J815">
        <v>0</v>
      </c>
      <c r="K815">
        <v>0</v>
      </c>
      <c r="L815" s="7">
        <v>0</v>
      </c>
      <c r="M815" s="7">
        <v>28.1</v>
      </c>
      <c r="N815">
        <v>197</v>
      </c>
      <c r="O815" s="15">
        <v>180</v>
      </c>
      <c r="P815" s="8">
        <v>0.58571428571428574</v>
      </c>
      <c r="Q815">
        <v>150</v>
      </c>
      <c r="R815" s="15">
        <v>132</v>
      </c>
      <c r="S815" s="8">
        <v>0.52800000000000002</v>
      </c>
      <c r="T815">
        <v>117</v>
      </c>
      <c r="U815" s="15">
        <v>100</v>
      </c>
      <c r="V815" s="8">
        <v>0.6</v>
      </c>
      <c r="W815">
        <f t="shared" si="12"/>
        <v>464</v>
      </c>
    </row>
    <row r="816" spans="1:23">
      <c r="A816" s="6">
        <v>45741</v>
      </c>
      <c r="B816" t="s">
        <v>63</v>
      </c>
      <c r="C816">
        <v>1</v>
      </c>
      <c r="D816">
        <v>3</v>
      </c>
      <c r="E816">
        <v>0</v>
      </c>
      <c r="F816">
        <v>1</v>
      </c>
      <c r="G816" t="s">
        <v>69</v>
      </c>
      <c r="H816">
        <v>0</v>
      </c>
      <c r="I816">
        <v>0</v>
      </c>
      <c r="J816">
        <v>0</v>
      </c>
      <c r="K816">
        <v>0</v>
      </c>
      <c r="L816" s="7">
        <v>13.3</v>
      </c>
      <c r="M816" s="7">
        <v>26.7</v>
      </c>
      <c r="N816">
        <v>229</v>
      </c>
      <c r="O816" s="15">
        <v>196</v>
      </c>
      <c r="P816" s="8">
        <v>0.70714285714285718</v>
      </c>
      <c r="Q816">
        <v>184</v>
      </c>
      <c r="R816" s="15">
        <v>157</v>
      </c>
      <c r="S816" s="8">
        <v>0.60799999999999998</v>
      </c>
      <c r="T816">
        <v>129</v>
      </c>
      <c r="U816" s="15">
        <v>114</v>
      </c>
      <c r="V816" s="8">
        <v>0.6705882352941176</v>
      </c>
      <c r="W816">
        <f t="shared" si="12"/>
        <v>542</v>
      </c>
    </row>
    <row r="817" spans="1:23">
      <c r="A817" s="6">
        <v>45742</v>
      </c>
      <c r="B817" t="s">
        <v>64</v>
      </c>
      <c r="C817">
        <v>2</v>
      </c>
      <c r="D817">
        <v>3</v>
      </c>
      <c r="E817">
        <v>0</v>
      </c>
      <c r="F817">
        <v>0</v>
      </c>
      <c r="H817">
        <v>0</v>
      </c>
      <c r="I817">
        <v>0</v>
      </c>
      <c r="J817">
        <v>0</v>
      </c>
      <c r="K817">
        <v>0</v>
      </c>
      <c r="L817" s="7">
        <v>7</v>
      </c>
      <c r="M817" s="7">
        <v>26.4</v>
      </c>
      <c r="N817">
        <v>157</v>
      </c>
      <c r="O817" s="15">
        <v>128</v>
      </c>
      <c r="P817" s="8">
        <v>0.49285714285714288</v>
      </c>
      <c r="Q817">
        <v>135</v>
      </c>
      <c r="R817" s="15">
        <v>115</v>
      </c>
      <c r="S817" s="8">
        <v>0.47199999999999998</v>
      </c>
      <c r="T817">
        <v>111</v>
      </c>
      <c r="U817" s="15">
        <v>98</v>
      </c>
      <c r="V817" s="8">
        <v>0.58823529411764708</v>
      </c>
      <c r="W817">
        <f t="shared" si="12"/>
        <v>403</v>
      </c>
    </row>
    <row r="818" spans="1:23">
      <c r="A818" s="6">
        <v>45743</v>
      </c>
      <c r="B818" t="s">
        <v>65</v>
      </c>
      <c r="C818">
        <v>3</v>
      </c>
      <c r="D818">
        <v>3</v>
      </c>
      <c r="E818">
        <v>0</v>
      </c>
      <c r="F818">
        <v>0</v>
      </c>
      <c r="H818">
        <v>0</v>
      </c>
      <c r="I818">
        <v>0</v>
      </c>
      <c r="J818">
        <v>0</v>
      </c>
      <c r="K818">
        <v>0</v>
      </c>
      <c r="L818" s="7">
        <v>0</v>
      </c>
      <c r="M818" s="7">
        <v>28.5</v>
      </c>
      <c r="N818">
        <v>192</v>
      </c>
      <c r="O818" s="15">
        <v>175</v>
      </c>
      <c r="P818" s="8">
        <v>0.5714285714285714</v>
      </c>
      <c r="Q818">
        <v>166</v>
      </c>
      <c r="R818" s="15">
        <v>149</v>
      </c>
      <c r="S818" s="8">
        <v>0.51200000000000001</v>
      </c>
      <c r="T818">
        <v>115</v>
      </c>
      <c r="U818" s="15">
        <v>93</v>
      </c>
      <c r="V818" s="8">
        <v>0.6</v>
      </c>
      <c r="W818">
        <f t="shared" si="12"/>
        <v>473</v>
      </c>
    </row>
    <row r="819" spans="1:23">
      <c r="A819" s="6">
        <v>45744</v>
      </c>
      <c r="B819" t="s">
        <v>66</v>
      </c>
      <c r="C819">
        <v>4</v>
      </c>
      <c r="D819">
        <v>3</v>
      </c>
      <c r="E819">
        <v>0</v>
      </c>
      <c r="F819">
        <v>0</v>
      </c>
      <c r="H819">
        <v>0</v>
      </c>
      <c r="I819">
        <v>0</v>
      </c>
      <c r="J819">
        <v>0</v>
      </c>
      <c r="K819">
        <v>0</v>
      </c>
      <c r="L819" s="7">
        <v>9.9</v>
      </c>
      <c r="M819" s="7">
        <v>27</v>
      </c>
      <c r="N819">
        <v>173</v>
      </c>
      <c r="O819" s="15">
        <v>147</v>
      </c>
      <c r="P819" s="8">
        <v>0.52142857142857146</v>
      </c>
      <c r="Q819">
        <v>153</v>
      </c>
      <c r="R819" s="15">
        <v>134</v>
      </c>
      <c r="S819" s="8">
        <v>0.504</v>
      </c>
      <c r="T819">
        <v>105</v>
      </c>
      <c r="U819" s="15">
        <v>94</v>
      </c>
      <c r="V819" s="8">
        <v>0.56470588235294117</v>
      </c>
      <c r="W819">
        <f t="shared" si="12"/>
        <v>431</v>
      </c>
    </row>
    <row r="820" spans="1:23">
      <c r="A820" s="6">
        <v>45745</v>
      </c>
      <c r="B820" t="s">
        <v>67</v>
      </c>
      <c r="C820">
        <v>5</v>
      </c>
      <c r="D820">
        <v>3</v>
      </c>
      <c r="E820">
        <v>1</v>
      </c>
      <c r="F820">
        <v>0</v>
      </c>
      <c r="H820">
        <v>0</v>
      </c>
      <c r="I820">
        <v>0</v>
      </c>
      <c r="J820">
        <v>0</v>
      </c>
      <c r="K820">
        <v>0</v>
      </c>
      <c r="L820" s="7">
        <v>2.8</v>
      </c>
      <c r="M820" s="7">
        <v>28.2</v>
      </c>
      <c r="N820">
        <v>223</v>
      </c>
      <c r="O820" s="15">
        <v>201</v>
      </c>
      <c r="P820" s="8">
        <v>0.67142857142857137</v>
      </c>
      <c r="Q820">
        <v>201</v>
      </c>
      <c r="R820" s="15">
        <v>178</v>
      </c>
      <c r="S820" s="8">
        <v>0.66400000000000003</v>
      </c>
      <c r="T820">
        <v>148</v>
      </c>
      <c r="U820" s="15">
        <v>119</v>
      </c>
      <c r="V820" s="8">
        <v>0.71764705882352942</v>
      </c>
      <c r="W820">
        <f t="shared" si="12"/>
        <v>572</v>
      </c>
    </row>
    <row r="821" spans="1:23">
      <c r="A821" s="6">
        <v>45746</v>
      </c>
      <c r="B821" t="s">
        <v>60</v>
      </c>
      <c r="C821">
        <v>6</v>
      </c>
      <c r="D821">
        <v>3</v>
      </c>
      <c r="E821">
        <v>1</v>
      </c>
      <c r="F821">
        <v>0</v>
      </c>
      <c r="H821">
        <v>0</v>
      </c>
      <c r="I821">
        <v>0</v>
      </c>
      <c r="J821">
        <v>0</v>
      </c>
      <c r="K821">
        <v>0</v>
      </c>
      <c r="L821" s="7">
        <v>16.600000000000001</v>
      </c>
      <c r="M821" s="7">
        <v>26.5</v>
      </c>
      <c r="N821">
        <v>192</v>
      </c>
      <c r="O821" s="15">
        <v>166</v>
      </c>
      <c r="P821" s="8">
        <v>0.6071428571428571</v>
      </c>
      <c r="Q821">
        <v>180</v>
      </c>
      <c r="R821" s="15">
        <v>152</v>
      </c>
      <c r="S821" s="8">
        <v>0.58399999999999996</v>
      </c>
      <c r="T821">
        <v>137</v>
      </c>
      <c r="U821" s="15">
        <v>126</v>
      </c>
      <c r="V821" s="8">
        <v>0.72941176470588232</v>
      </c>
      <c r="W821">
        <f t="shared" si="12"/>
        <v>509</v>
      </c>
    </row>
    <row r="822" spans="1:23">
      <c r="A822" s="6">
        <v>45747</v>
      </c>
      <c r="B822" t="s">
        <v>62</v>
      </c>
      <c r="C822">
        <v>0</v>
      </c>
      <c r="D822">
        <v>3</v>
      </c>
      <c r="E822">
        <v>0</v>
      </c>
      <c r="F822">
        <v>0</v>
      </c>
      <c r="H822">
        <v>0</v>
      </c>
      <c r="I822">
        <v>0</v>
      </c>
      <c r="J822">
        <v>0</v>
      </c>
      <c r="K822">
        <v>0</v>
      </c>
      <c r="L822" s="7">
        <v>5.2</v>
      </c>
      <c r="M822" s="7">
        <v>27.7</v>
      </c>
      <c r="N822">
        <v>152</v>
      </c>
      <c r="O822" s="15">
        <v>136</v>
      </c>
      <c r="P822" s="8">
        <v>0.47857142857142859</v>
      </c>
      <c r="Q822">
        <v>165</v>
      </c>
      <c r="R822" s="15">
        <v>153</v>
      </c>
      <c r="S822" s="8">
        <v>0.54400000000000004</v>
      </c>
      <c r="T822">
        <v>124</v>
      </c>
      <c r="U822" s="15">
        <v>106</v>
      </c>
      <c r="V822" s="8">
        <v>0.61176470588235299</v>
      </c>
      <c r="W822">
        <f t="shared" si="12"/>
        <v>441</v>
      </c>
    </row>
    <row r="823" spans="1:23">
      <c r="A823" s="6">
        <v>45748</v>
      </c>
      <c r="B823" t="s">
        <v>63</v>
      </c>
      <c r="C823">
        <v>1</v>
      </c>
      <c r="D823">
        <v>4</v>
      </c>
      <c r="E823">
        <v>0</v>
      </c>
      <c r="F823">
        <v>0</v>
      </c>
      <c r="H823">
        <v>0</v>
      </c>
      <c r="I823">
        <v>0</v>
      </c>
      <c r="J823">
        <v>0</v>
      </c>
      <c r="K823">
        <v>0</v>
      </c>
      <c r="L823" s="7">
        <v>5.7</v>
      </c>
      <c r="M823" s="7">
        <v>27.6</v>
      </c>
      <c r="N823">
        <v>185</v>
      </c>
      <c r="O823" s="15">
        <v>161</v>
      </c>
      <c r="P823" s="8">
        <v>0.55000000000000004</v>
      </c>
      <c r="Q823">
        <v>140</v>
      </c>
      <c r="R823" s="15">
        <v>118</v>
      </c>
      <c r="S823" s="8">
        <v>0.48</v>
      </c>
      <c r="T823">
        <v>110</v>
      </c>
      <c r="U823" s="15">
        <v>92</v>
      </c>
      <c r="V823" s="8">
        <v>0.58823529411764708</v>
      </c>
      <c r="W823">
        <f t="shared" si="12"/>
        <v>435</v>
      </c>
    </row>
    <row r="824" spans="1:23">
      <c r="A824" s="6">
        <v>45749</v>
      </c>
      <c r="B824" t="s">
        <v>64</v>
      </c>
      <c r="C824">
        <v>2</v>
      </c>
      <c r="D824">
        <v>4</v>
      </c>
      <c r="E824">
        <v>0</v>
      </c>
      <c r="F824">
        <v>0</v>
      </c>
      <c r="H824">
        <v>0</v>
      </c>
      <c r="I824">
        <v>0</v>
      </c>
      <c r="J824">
        <v>0</v>
      </c>
      <c r="K824">
        <v>0</v>
      </c>
      <c r="L824" s="7">
        <v>17.399999999999999</v>
      </c>
      <c r="M824" s="7">
        <v>26.4</v>
      </c>
      <c r="N824">
        <v>186</v>
      </c>
      <c r="O824" s="15">
        <v>157</v>
      </c>
      <c r="P824" s="8">
        <v>0.54285714285714282</v>
      </c>
      <c r="Q824">
        <v>157</v>
      </c>
      <c r="R824" s="15">
        <v>140</v>
      </c>
      <c r="S824" s="8">
        <v>0.53600000000000003</v>
      </c>
      <c r="T824">
        <v>133</v>
      </c>
      <c r="U824" s="15">
        <v>122</v>
      </c>
      <c r="V824" s="8">
        <v>0.6470588235294118</v>
      </c>
      <c r="W824">
        <f t="shared" si="12"/>
        <v>476</v>
      </c>
    </row>
    <row r="825" spans="1:23">
      <c r="A825" s="6">
        <v>45750</v>
      </c>
      <c r="B825" t="s">
        <v>65</v>
      </c>
      <c r="C825">
        <v>3</v>
      </c>
      <c r="D825">
        <v>4</v>
      </c>
      <c r="E825">
        <v>0</v>
      </c>
      <c r="F825">
        <v>0</v>
      </c>
      <c r="H825">
        <v>0</v>
      </c>
      <c r="I825">
        <v>0</v>
      </c>
      <c r="J825">
        <v>0</v>
      </c>
      <c r="K825">
        <v>0</v>
      </c>
      <c r="L825" s="7">
        <v>9.5</v>
      </c>
      <c r="M825" s="7">
        <v>26.7</v>
      </c>
      <c r="N825">
        <v>164</v>
      </c>
      <c r="O825" s="15">
        <v>134</v>
      </c>
      <c r="P825" s="8">
        <v>0.49285714285714288</v>
      </c>
      <c r="Q825">
        <v>146</v>
      </c>
      <c r="R825" s="15">
        <v>135</v>
      </c>
      <c r="S825" s="8">
        <v>0.48799999999999999</v>
      </c>
      <c r="T825">
        <v>115</v>
      </c>
      <c r="U825" s="15">
        <v>95</v>
      </c>
      <c r="V825" s="8">
        <v>0.6</v>
      </c>
      <c r="W825">
        <f t="shared" si="12"/>
        <v>425</v>
      </c>
    </row>
    <row r="826" spans="1:23">
      <c r="A826" s="6">
        <v>45751</v>
      </c>
      <c r="B826" t="s">
        <v>66</v>
      </c>
      <c r="C826">
        <v>4</v>
      </c>
      <c r="D826">
        <v>4</v>
      </c>
      <c r="E826">
        <v>0</v>
      </c>
      <c r="F826">
        <v>0</v>
      </c>
      <c r="H826">
        <v>0</v>
      </c>
      <c r="I826">
        <v>0</v>
      </c>
      <c r="J826">
        <v>0</v>
      </c>
      <c r="K826">
        <v>0</v>
      </c>
      <c r="L826" s="7">
        <v>8.1999999999999993</v>
      </c>
      <c r="M826" s="7">
        <v>26.9</v>
      </c>
      <c r="N826">
        <v>173</v>
      </c>
      <c r="O826" s="15">
        <v>149</v>
      </c>
      <c r="P826" s="8">
        <v>0.50714285714285712</v>
      </c>
      <c r="Q826">
        <v>171</v>
      </c>
      <c r="R826" s="15">
        <v>139</v>
      </c>
      <c r="S826" s="8">
        <v>0.57599999999999996</v>
      </c>
      <c r="T826">
        <v>127</v>
      </c>
      <c r="U826" s="15">
        <v>116</v>
      </c>
      <c r="V826" s="8">
        <v>0.69411764705882351</v>
      </c>
      <c r="W826">
        <f t="shared" si="12"/>
        <v>471</v>
      </c>
    </row>
    <row r="827" spans="1:23">
      <c r="A827" s="6">
        <v>45752</v>
      </c>
      <c r="B827" t="s">
        <v>67</v>
      </c>
      <c r="C827">
        <v>5</v>
      </c>
      <c r="D827">
        <v>4</v>
      </c>
      <c r="E827">
        <v>1</v>
      </c>
      <c r="F827">
        <v>0</v>
      </c>
      <c r="H827">
        <v>0</v>
      </c>
      <c r="I827">
        <v>0</v>
      </c>
      <c r="J827">
        <v>0</v>
      </c>
      <c r="K827">
        <v>0</v>
      </c>
      <c r="L827" s="7">
        <v>20.399999999999999</v>
      </c>
      <c r="M827" s="7">
        <v>28.9</v>
      </c>
      <c r="N827">
        <v>185</v>
      </c>
      <c r="O827" s="15">
        <v>164</v>
      </c>
      <c r="P827" s="8">
        <v>0.56428571428571428</v>
      </c>
      <c r="Q827">
        <v>202</v>
      </c>
      <c r="R827" s="15">
        <v>189</v>
      </c>
      <c r="S827" s="8">
        <v>0.65600000000000003</v>
      </c>
      <c r="T827">
        <v>140</v>
      </c>
      <c r="U827" s="15">
        <v>116</v>
      </c>
      <c r="V827" s="8">
        <v>0.74117647058823533</v>
      </c>
      <c r="W827">
        <f t="shared" si="12"/>
        <v>527</v>
      </c>
    </row>
    <row r="828" spans="1:23">
      <c r="A828" s="6">
        <v>45753</v>
      </c>
      <c r="B828" t="s">
        <v>60</v>
      </c>
      <c r="C828">
        <v>6</v>
      </c>
      <c r="D828">
        <v>4</v>
      </c>
      <c r="E828">
        <v>1</v>
      </c>
      <c r="F828">
        <v>0</v>
      </c>
      <c r="H828">
        <v>0</v>
      </c>
      <c r="I828">
        <v>0</v>
      </c>
      <c r="J828">
        <v>0</v>
      </c>
      <c r="K828">
        <v>0</v>
      </c>
      <c r="L828" s="7">
        <v>5.6</v>
      </c>
      <c r="M828" s="7">
        <v>25.9</v>
      </c>
      <c r="N828">
        <v>209</v>
      </c>
      <c r="O828" s="15">
        <v>189</v>
      </c>
      <c r="P828" s="8">
        <v>0.63571428571428568</v>
      </c>
      <c r="Q828">
        <v>177</v>
      </c>
      <c r="R828" s="15">
        <v>142</v>
      </c>
      <c r="S828" s="8">
        <v>0.57599999999999996</v>
      </c>
      <c r="T828">
        <v>151</v>
      </c>
      <c r="U828" s="15">
        <v>127</v>
      </c>
      <c r="V828" s="8">
        <v>0.78823529411764703</v>
      </c>
      <c r="W828">
        <f t="shared" si="12"/>
        <v>537</v>
      </c>
    </row>
    <row r="829" spans="1:23">
      <c r="A829" s="6">
        <v>45754</v>
      </c>
      <c r="B829" t="s">
        <v>62</v>
      </c>
      <c r="C829">
        <v>0</v>
      </c>
      <c r="D829">
        <v>4</v>
      </c>
      <c r="E829">
        <v>0</v>
      </c>
      <c r="F829">
        <v>0</v>
      </c>
      <c r="H829">
        <v>0</v>
      </c>
      <c r="I829">
        <v>0</v>
      </c>
      <c r="J829">
        <v>0</v>
      </c>
      <c r="K829">
        <v>0</v>
      </c>
      <c r="L829" s="7">
        <v>17.100000000000001</v>
      </c>
      <c r="M829" s="7">
        <v>25.8</v>
      </c>
      <c r="N829">
        <v>196</v>
      </c>
      <c r="O829" s="15">
        <v>179</v>
      </c>
      <c r="P829" s="8">
        <v>0.57857142857142863</v>
      </c>
      <c r="Q829">
        <v>160</v>
      </c>
      <c r="R829" s="15">
        <v>135</v>
      </c>
      <c r="S829" s="8">
        <v>0.52</v>
      </c>
      <c r="T829">
        <v>102</v>
      </c>
      <c r="U829" s="15">
        <v>92</v>
      </c>
      <c r="V829" s="8">
        <v>0.6</v>
      </c>
      <c r="W829">
        <f t="shared" si="12"/>
        <v>458</v>
      </c>
    </row>
    <row r="830" spans="1:23">
      <c r="A830" s="6">
        <v>45755</v>
      </c>
      <c r="B830" t="s">
        <v>63</v>
      </c>
      <c r="C830">
        <v>1</v>
      </c>
      <c r="D830">
        <v>4</v>
      </c>
      <c r="E830">
        <v>0</v>
      </c>
      <c r="F830">
        <v>0</v>
      </c>
      <c r="H830">
        <v>0</v>
      </c>
      <c r="I830">
        <v>0</v>
      </c>
      <c r="J830">
        <v>0</v>
      </c>
      <c r="K830">
        <v>0</v>
      </c>
      <c r="L830" s="7">
        <v>9.1999999999999993</v>
      </c>
      <c r="M830" s="7">
        <v>28.1</v>
      </c>
      <c r="N830">
        <v>184</v>
      </c>
      <c r="O830" s="15">
        <v>151</v>
      </c>
      <c r="P830" s="8">
        <v>0.5714285714285714</v>
      </c>
      <c r="Q830">
        <v>174</v>
      </c>
      <c r="R830" s="15">
        <v>148</v>
      </c>
      <c r="S830" s="8">
        <v>0.58399999999999996</v>
      </c>
      <c r="T830">
        <v>125</v>
      </c>
      <c r="U830" s="15">
        <v>109</v>
      </c>
      <c r="V830" s="8">
        <v>0.61176470588235299</v>
      </c>
      <c r="W830">
        <f t="shared" si="12"/>
        <v>483</v>
      </c>
    </row>
    <row r="831" spans="1:23">
      <c r="A831" s="6">
        <v>45756</v>
      </c>
      <c r="B831" t="s">
        <v>64</v>
      </c>
      <c r="C831">
        <v>2</v>
      </c>
      <c r="D831">
        <v>4</v>
      </c>
      <c r="E831">
        <v>0</v>
      </c>
      <c r="F831">
        <v>0</v>
      </c>
      <c r="H831">
        <v>0</v>
      </c>
      <c r="I831">
        <v>0</v>
      </c>
      <c r="J831">
        <v>0</v>
      </c>
      <c r="K831">
        <v>0</v>
      </c>
      <c r="L831" s="7">
        <v>13.4</v>
      </c>
      <c r="M831" s="7">
        <v>26.6</v>
      </c>
      <c r="N831">
        <v>188</v>
      </c>
      <c r="O831" s="15">
        <v>176</v>
      </c>
      <c r="P831" s="8">
        <v>0.56428571428571428</v>
      </c>
      <c r="Q831">
        <v>160</v>
      </c>
      <c r="R831" s="15">
        <v>137</v>
      </c>
      <c r="S831" s="8">
        <v>0.53600000000000003</v>
      </c>
      <c r="T831">
        <v>125</v>
      </c>
      <c r="U831" s="15">
        <v>103</v>
      </c>
      <c r="V831" s="8">
        <v>0.62352941176470589</v>
      </c>
      <c r="W831">
        <f t="shared" si="12"/>
        <v>473</v>
      </c>
    </row>
    <row r="832" spans="1:23">
      <c r="A832" s="6">
        <v>45757</v>
      </c>
      <c r="B832" t="s">
        <v>65</v>
      </c>
      <c r="C832">
        <v>3</v>
      </c>
      <c r="D832">
        <v>4</v>
      </c>
      <c r="E832">
        <v>0</v>
      </c>
      <c r="F832">
        <v>0</v>
      </c>
      <c r="H832">
        <v>0</v>
      </c>
      <c r="I832">
        <v>0</v>
      </c>
      <c r="J832">
        <v>0</v>
      </c>
      <c r="K832">
        <v>0</v>
      </c>
      <c r="L832" s="7">
        <v>22.9</v>
      </c>
      <c r="M832" s="7">
        <v>27.4</v>
      </c>
      <c r="N832">
        <v>160</v>
      </c>
      <c r="O832" s="15">
        <v>141</v>
      </c>
      <c r="P832" s="8">
        <v>0.47857142857142859</v>
      </c>
      <c r="Q832">
        <v>181</v>
      </c>
      <c r="R832" s="15">
        <v>155</v>
      </c>
      <c r="S832" s="8">
        <v>0.6</v>
      </c>
      <c r="T832">
        <v>123</v>
      </c>
      <c r="U832" s="15">
        <v>109</v>
      </c>
      <c r="V832" s="8">
        <v>0.61176470588235299</v>
      </c>
      <c r="W832">
        <f t="shared" si="12"/>
        <v>464</v>
      </c>
    </row>
    <row r="833" spans="1:23">
      <c r="A833" s="6">
        <v>45758</v>
      </c>
      <c r="B833" t="s">
        <v>66</v>
      </c>
      <c r="C833">
        <v>4</v>
      </c>
      <c r="D833">
        <v>4</v>
      </c>
      <c r="E833">
        <v>0</v>
      </c>
      <c r="F833">
        <v>0</v>
      </c>
      <c r="H833">
        <v>0</v>
      </c>
      <c r="I833">
        <v>0</v>
      </c>
      <c r="J833">
        <v>0</v>
      </c>
      <c r="K833">
        <v>0</v>
      </c>
      <c r="L833" s="7">
        <v>21.4</v>
      </c>
      <c r="M833" s="7">
        <v>27.4</v>
      </c>
      <c r="N833">
        <v>175</v>
      </c>
      <c r="O833" s="15">
        <v>164</v>
      </c>
      <c r="P833" s="8">
        <v>0.54285714285714282</v>
      </c>
      <c r="Q833">
        <v>147</v>
      </c>
      <c r="R833" s="15">
        <v>124</v>
      </c>
      <c r="S833" s="8">
        <v>0.48</v>
      </c>
      <c r="T833">
        <v>114</v>
      </c>
      <c r="U833" s="15">
        <v>106</v>
      </c>
      <c r="V833" s="8">
        <v>0.61176470588235299</v>
      </c>
      <c r="W833">
        <f t="shared" si="12"/>
        <v>436</v>
      </c>
    </row>
    <row r="834" spans="1:23">
      <c r="A834" s="6">
        <v>45759</v>
      </c>
      <c r="B834" t="s">
        <v>67</v>
      </c>
      <c r="C834">
        <v>5</v>
      </c>
      <c r="D834">
        <v>4</v>
      </c>
      <c r="E834">
        <v>1</v>
      </c>
      <c r="F834">
        <v>0</v>
      </c>
      <c r="H834">
        <v>0</v>
      </c>
      <c r="I834">
        <v>0</v>
      </c>
      <c r="J834">
        <v>0</v>
      </c>
      <c r="K834">
        <v>0</v>
      </c>
      <c r="L834" s="7">
        <v>19.5</v>
      </c>
      <c r="M834" s="7">
        <v>28</v>
      </c>
      <c r="N834">
        <v>216</v>
      </c>
      <c r="O834" s="15">
        <v>175</v>
      </c>
      <c r="P834" s="8">
        <v>0.65714285714285714</v>
      </c>
      <c r="Q834">
        <v>190</v>
      </c>
      <c r="R834" s="15">
        <v>173</v>
      </c>
      <c r="S834" s="8">
        <v>0.63200000000000001</v>
      </c>
      <c r="T834">
        <v>136</v>
      </c>
      <c r="U834" s="15">
        <v>125</v>
      </c>
      <c r="V834" s="8">
        <v>0.74117647058823533</v>
      </c>
      <c r="W834">
        <f t="shared" ref="W834:W897" si="13">N834+Q834+T834</f>
        <v>542</v>
      </c>
    </row>
    <row r="835" spans="1:23">
      <c r="A835" s="6">
        <v>45760</v>
      </c>
      <c r="B835" t="s">
        <v>60</v>
      </c>
      <c r="C835">
        <v>6</v>
      </c>
      <c r="D835">
        <v>4</v>
      </c>
      <c r="E835">
        <v>1</v>
      </c>
      <c r="F835">
        <v>0</v>
      </c>
      <c r="H835">
        <v>0</v>
      </c>
      <c r="I835">
        <v>0</v>
      </c>
      <c r="J835">
        <v>0</v>
      </c>
      <c r="K835">
        <v>0</v>
      </c>
      <c r="L835" s="7">
        <v>24.6</v>
      </c>
      <c r="M835" s="7">
        <v>26.3</v>
      </c>
      <c r="N835">
        <v>209</v>
      </c>
      <c r="O835" s="15">
        <v>179</v>
      </c>
      <c r="P835" s="8">
        <v>0.62857142857142856</v>
      </c>
      <c r="Q835">
        <v>182</v>
      </c>
      <c r="R835" s="15">
        <v>169</v>
      </c>
      <c r="S835" s="8">
        <v>0.59199999999999997</v>
      </c>
      <c r="T835">
        <v>138</v>
      </c>
      <c r="U835" s="15">
        <v>122</v>
      </c>
      <c r="V835" s="8">
        <v>0.74117647058823533</v>
      </c>
      <c r="W835">
        <f t="shared" si="13"/>
        <v>529</v>
      </c>
    </row>
    <row r="836" spans="1:23">
      <c r="A836" s="6">
        <v>45761</v>
      </c>
      <c r="B836" t="s">
        <v>62</v>
      </c>
      <c r="C836">
        <v>0</v>
      </c>
      <c r="D836">
        <v>4</v>
      </c>
      <c r="E836">
        <v>0</v>
      </c>
      <c r="F836">
        <v>0</v>
      </c>
      <c r="H836">
        <v>0</v>
      </c>
      <c r="I836">
        <v>0</v>
      </c>
      <c r="J836">
        <v>0</v>
      </c>
      <c r="K836">
        <v>0</v>
      </c>
      <c r="L836" s="7">
        <v>6.5</v>
      </c>
      <c r="M836" s="7">
        <v>27.4</v>
      </c>
      <c r="N836">
        <v>173</v>
      </c>
      <c r="O836" s="15">
        <v>149</v>
      </c>
      <c r="P836" s="8">
        <v>0.52857142857142858</v>
      </c>
      <c r="Q836">
        <v>150</v>
      </c>
      <c r="R836" s="15">
        <v>128</v>
      </c>
      <c r="S836" s="8">
        <v>0.51200000000000001</v>
      </c>
      <c r="T836">
        <v>116</v>
      </c>
      <c r="U836" s="15">
        <v>97</v>
      </c>
      <c r="V836" s="8">
        <v>0.6470588235294118</v>
      </c>
      <c r="W836">
        <f t="shared" si="13"/>
        <v>439</v>
      </c>
    </row>
    <row r="837" spans="1:23">
      <c r="A837" s="6">
        <v>45762</v>
      </c>
      <c r="B837" t="s">
        <v>63</v>
      </c>
      <c r="C837">
        <v>1</v>
      </c>
      <c r="D837">
        <v>4</v>
      </c>
      <c r="E837">
        <v>0</v>
      </c>
      <c r="F837">
        <v>0</v>
      </c>
      <c r="H837">
        <v>0</v>
      </c>
      <c r="I837">
        <v>0</v>
      </c>
      <c r="J837">
        <v>0</v>
      </c>
      <c r="K837">
        <v>0</v>
      </c>
      <c r="L837" s="7">
        <v>14.2</v>
      </c>
      <c r="M837" s="7">
        <v>27.4</v>
      </c>
      <c r="N837">
        <v>171</v>
      </c>
      <c r="O837" s="15">
        <v>160</v>
      </c>
      <c r="P837" s="8">
        <v>0.52142857142857146</v>
      </c>
      <c r="Q837">
        <v>169</v>
      </c>
      <c r="R837" s="15">
        <v>137</v>
      </c>
      <c r="S837" s="8">
        <v>0.55200000000000005</v>
      </c>
      <c r="T837">
        <v>110</v>
      </c>
      <c r="U837" s="15">
        <v>99</v>
      </c>
      <c r="V837" s="8">
        <v>0.55294117647058827</v>
      </c>
      <c r="W837">
        <f t="shared" si="13"/>
        <v>450</v>
      </c>
    </row>
    <row r="838" spans="1:23">
      <c r="A838" s="6">
        <v>45763</v>
      </c>
      <c r="B838" t="s">
        <v>64</v>
      </c>
      <c r="C838">
        <v>2</v>
      </c>
      <c r="D838">
        <v>4</v>
      </c>
      <c r="E838">
        <v>0</v>
      </c>
      <c r="F838">
        <v>0</v>
      </c>
      <c r="H838">
        <v>0</v>
      </c>
      <c r="I838">
        <v>0</v>
      </c>
      <c r="J838">
        <v>0</v>
      </c>
      <c r="K838">
        <v>0</v>
      </c>
      <c r="L838" s="7">
        <v>8.4</v>
      </c>
      <c r="M838" s="7">
        <v>26.8</v>
      </c>
      <c r="N838">
        <v>169</v>
      </c>
      <c r="O838" s="15">
        <v>137</v>
      </c>
      <c r="P838" s="8">
        <v>0.51428571428571423</v>
      </c>
      <c r="Q838">
        <v>147</v>
      </c>
      <c r="R838" s="15">
        <v>131</v>
      </c>
      <c r="S838" s="8">
        <v>0.52</v>
      </c>
      <c r="T838">
        <v>107</v>
      </c>
      <c r="U838" s="15">
        <v>95</v>
      </c>
      <c r="V838" s="8">
        <v>0.57647058823529407</v>
      </c>
      <c r="W838">
        <f t="shared" si="13"/>
        <v>423</v>
      </c>
    </row>
    <row r="839" spans="1:23">
      <c r="A839" s="6">
        <v>45764</v>
      </c>
      <c r="B839" t="s">
        <v>65</v>
      </c>
      <c r="C839">
        <v>3</v>
      </c>
      <c r="D839">
        <v>4</v>
      </c>
      <c r="E839">
        <v>0</v>
      </c>
      <c r="F839">
        <v>0</v>
      </c>
      <c r="H839">
        <v>0</v>
      </c>
      <c r="I839">
        <v>0</v>
      </c>
      <c r="J839">
        <v>0</v>
      </c>
      <c r="K839">
        <v>0</v>
      </c>
      <c r="L839" s="7">
        <v>19.5</v>
      </c>
      <c r="M839" s="7">
        <v>26.7</v>
      </c>
      <c r="N839">
        <v>185</v>
      </c>
      <c r="O839" s="15">
        <v>151</v>
      </c>
      <c r="P839" s="8">
        <v>0.55000000000000004</v>
      </c>
      <c r="Q839">
        <v>169</v>
      </c>
      <c r="R839" s="15">
        <v>137</v>
      </c>
      <c r="S839" s="8">
        <v>0.54400000000000004</v>
      </c>
      <c r="T839">
        <v>118</v>
      </c>
      <c r="U839" s="15">
        <v>104</v>
      </c>
      <c r="V839" s="8">
        <v>0.57647058823529407</v>
      </c>
      <c r="W839">
        <f t="shared" si="13"/>
        <v>472</v>
      </c>
    </row>
    <row r="840" spans="1:23">
      <c r="A840" s="6">
        <v>45765</v>
      </c>
      <c r="B840" t="s">
        <v>66</v>
      </c>
      <c r="C840">
        <v>4</v>
      </c>
      <c r="D840">
        <v>4</v>
      </c>
      <c r="E840">
        <v>0</v>
      </c>
      <c r="F840">
        <v>0</v>
      </c>
      <c r="H840">
        <v>0</v>
      </c>
      <c r="I840">
        <v>0</v>
      </c>
      <c r="J840">
        <v>0</v>
      </c>
      <c r="K840">
        <v>0</v>
      </c>
      <c r="L840" s="7">
        <v>15.7</v>
      </c>
      <c r="M840" s="7">
        <v>25.4</v>
      </c>
      <c r="N840">
        <v>187</v>
      </c>
      <c r="O840" s="15">
        <v>154</v>
      </c>
      <c r="P840" s="8">
        <v>0.55714285714285716</v>
      </c>
      <c r="Q840">
        <v>172</v>
      </c>
      <c r="R840" s="15">
        <v>142</v>
      </c>
      <c r="S840" s="8">
        <v>0.56000000000000005</v>
      </c>
      <c r="T840">
        <v>101</v>
      </c>
      <c r="U840" s="15">
        <v>84</v>
      </c>
      <c r="V840" s="8">
        <v>0.57647058823529407</v>
      </c>
      <c r="W840">
        <f t="shared" si="13"/>
        <v>460</v>
      </c>
    </row>
    <row r="841" spans="1:23">
      <c r="A841" s="6">
        <v>45766</v>
      </c>
      <c r="B841" t="s">
        <v>67</v>
      </c>
      <c r="C841">
        <v>5</v>
      </c>
      <c r="D841">
        <v>4</v>
      </c>
      <c r="E841">
        <v>1</v>
      </c>
      <c r="F841">
        <v>0</v>
      </c>
      <c r="H841">
        <v>0</v>
      </c>
      <c r="I841">
        <v>0</v>
      </c>
      <c r="J841">
        <v>0</v>
      </c>
      <c r="K841">
        <v>0</v>
      </c>
      <c r="L841" s="7">
        <v>17</v>
      </c>
      <c r="M841" s="7">
        <v>27.3</v>
      </c>
      <c r="N841">
        <v>218</v>
      </c>
      <c r="O841" s="15">
        <v>185</v>
      </c>
      <c r="P841" s="8">
        <v>0.65714285714285714</v>
      </c>
      <c r="Q841">
        <v>206</v>
      </c>
      <c r="R841" s="15">
        <v>172</v>
      </c>
      <c r="S841" s="8">
        <v>0.65600000000000003</v>
      </c>
      <c r="T841">
        <v>150</v>
      </c>
      <c r="U841" s="15">
        <v>128</v>
      </c>
      <c r="V841" s="8">
        <v>0.75294117647058822</v>
      </c>
      <c r="W841">
        <f t="shared" si="13"/>
        <v>574</v>
      </c>
    </row>
    <row r="842" spans="1:23">
      <c r="A842" s="6">
        <v>45767</v>
      </c>
      <c r="B842" t="s">
        <v>60</v>
      </c>
      <c r="C842">
        <v>6</v>
      </c>
      <c r="D842">
        <v>4</v>
      </c>
      <c r="E842">
        <v>1</v>
      </c>
      <c r="F842">
        <v>0</v>
      </c>
      <c r="H842">
        <v>0</v>
      </c>
      <c r="I842">
        <v>0</v>
      </c>
      <c r="J842">
        <v>0</v>
      </c>
      <c r="K842">
        <v>0</v>
      </c>
      <c r="L842" s="7">
        <v>14.3</v>
      </c>
      <c r="M842" s="7">
        <v>25.9</v>
      </c>
      <c r="N842">
        <v>223</v>
      </c>
      <c r="O842" s="15">
        <v>199</v>
      </c>
      <c r="P842" s="8">
        <v>0.69285714285714284</v>
      </c>
      <c r="Q842">
        <v>192</v>
      </c>
      <c r="R842" s="15">
        <v>155</v>
      </c>
      <c r="S842" s="8">
        <v>0.63200000000000001</v>
      </c>
      <c r="T842">
        <v>135</v>
      </c>
      <c r="U842" s="15">
        <v>120</v>
      </c>
      <c r="V842" s="8">
        <v>0.70588235294117652</v>
      </c>
      <c r="W842">
        <f t="shared" si="13"/>
        <v>550</v>
      </c>
    </row>
    <row r="843" spans="1:23">
      <c r="A843" s="6">
        <v>45768</v>
      </c>
      <c r="B843" t="s">
        <v>62</v>
      </c>
      <c r="C843">
        <v>0</v>
      </c>
      <c r="D843">
        <v>4</v>
      </c>
      <c r="E843">
        <v>0</v>
      </c>
      <c r="F843">
        <v>1</v>
      </c>
      <c r="G843" t="s">
        <v>70</v>
      </c>
      <c r="H843">
        <v>0</v>
      </c>
      <c r="I843">
        <v>0</v>
      </c>
      <c r="J843">
        <v>0</v>
      </c>
      <c r="K843">
        <v>0</v>
      </c>
      <c r="L843" s="7">
        <v>10.7</v>
      </c>
      <c r="M843" s="7">
        <v>26.4</v>
      </c>
      <c r="N843">
        <v>194</v>
      </c>
      <c r="O843" s="15">
        <v>168</v>
      </c>
      <c r="P843" s="8">
        <v>0.59285714285714286</v>
      </c>
      <c r="Q843">
        <v>178</v>
      </c>
      <c r="R843" s="15">
        <v>152</v>
      </c>
      <c r="S843" s="8">
        <v>0.59199999999999997</v>
      </c>
      <c r="T843">
        <v>124</v>
      </c>
      <c r="U843" s="15">
        <v>109</v>
      </c>
      <c r="V843" s="8">
        <v>0.6588235294117647</v>
      </c>
      <c r="W843">
        <f t="shared" si="13"/>
        <v>496</v>
      </c>
    </row>
    <row r="844" spans="1:23">
      <c r="A844" s="6">
        <v>45769</v>
      </c>
      <c r="B844" t="s">
        <v>63</v>
      </c>
      <c r="C844">
        <v>1</v>
      </c>
      <c r="D844">
        <v>4</v>
      </c>
      <c r="E844">
        <v>0</v>
      </c>
      <c r="F844">
        <v>0</v>
      </c>
      <c r="H844">
        <v>0</v>
      </c>
      <c r="I844">
        <v>0</v>
      </c>
      <c r="J844">
        <v>0</v>
      </c>
      <c r="K844">
        <v>0</v>
      </c>
      <c r="L844" s="7">
        <v>9.4</v>
      </c>
      <c r="M844" s="7">
        <v>27.1</v>
      </c>
      <c r="N844">
        <v>200</v>
      </c>
      <c r="O844" s="15">
        <v>182</v>
      </c>
      <c r="P844" s="8">
        <v>0.6071428571428571</v>
      </c>
      <c r="Q844">
        <v>168</v>
      </c>
      <c r="R844" s="15">
        <v>139</v>
      </c>
      <c r="S844" s="8">
        <v>0.56000000000000005</v>
      </c>
      <c r="T844">
        <v>114</v>
      </c>
      <c r="U844" s="15">
        <v>103</v>
      </c>
      <c r="V844" s="8">
        <v>0.58823529411764708</v>
      </c>
      <c r="W844">
        <f t="shared" si="13"/>
        <v>482</v>
      </c>
    </row>
    <row r="845" spans="1:23">
      <c r="A845" s="6">
        <v>45770</v>
      </c>
      <c r="B845" t="s">
        <v>64</v>
      </c>
      <c r="C845">
        <v>2</v>
      </c>
      <c r="D845">
        <v>4</v>
      </c>
      <c r="E845">
        <v>0</v>
      </c>
      <c r="F845">
        <v>0</v>
      </c>
      <c r="H845">
        <v>0</v>
      </c>
      <c r="I845">
        <v>0</v>
      </c>
      <c r="J845">
        <v>0</v>
      </c>
      <c r="K845">
        <v>0</v>
      </c>
      <c r="L845" s="7">
        <v>9.1999999999999993</v>
      </c>
      <c r="M845" s="7">
        <v>28.9</v>
      </c>
      <c r="N845">
        <v>189</v>
      </c>
      <c r="O845" s="15">
        <v>171</v>
      </c>
      <c r="P845" s="8">
        <v>0.57857142857142863</v>
      </c>
      <c r="Q845">
        <v>173</v>
      </c>
      <c r="R845" s="15">
        <v>151</v>
      </c>
      <c r="S845" s="8">
        <v>0.56799999999999995</v>
      </c>
      <c r="T845">
        <v>114</v>
      </c>
      <c r="U845" s="15">
        <v>93</v>
      </c>
      <c r="V845" s="8">
        <v>0.57647058823529407</v>
      </c>
      <c r="W845">
        <f t="shared" si="13"/>
        <v>476</v>
      </c>
    </row>
    <row r="846" spans="1:23">
      <c r="A846" s="6">
        <v>45771</v>
      </c>
      <c r="B846" t="s">
        <v>65</v>
      </c>
      <c r="C846">
        <v>3</v>
      </c>
      <c r="D846">
        <v>4</v>
      </c>
      <c r="E846">
        <v>0</v>
      </c>
      <c r="F846">
        <v>0</v>
      </c>
      <c r="H846">
        <v>0</v>
      </c>
      <c r="I846">
        <v>0</v>
      </c>
      <c r="J846">
        <v>0</v>
      </c>
      <c r="K846">
        <v>0</v>
      </c>
      <c r="L846" s="7">
        <v>14.7</v>
      </c>
      <c r="M846" s="7">
        <v>26.9</v>
      </c>
      <c r="N846">
        <v>174</v>
      </c>
      <c r="O846" s="15">
        <v>145</v>
      </c>
      <c r="P846" s="8">
        <v>0.52857142857142858</v>
      </c>
      <c r="Q846">
        <v>171</v>
      </c>
      <c r="R846" s="15">
        <v>143</v>
      </c>
      <c r="S846" s="8">
        <v>0.57599999999999996</v>
      </c>
      <c r="T846">
        <v>116</v>
      </c>
      <c r="U846" s="15">
        <v>105</v>
      </c>
      <c r="V846" s="8">
        <v>0.6</v>
      </c>
      <c r="W846">
        <f t="shared" si="13"/>
        <v>461</v>
      </c>
    </row>
    <row r="847" spans="1:23">
      <c r="A847" s="6">
        <v>45772</v>
      </c>
      <c r="B847" t="s">
        <v>66</v>
      </c>
      <c r="C847">
        <v>4</v>
      </c>
      <c r="D847">
        <v>4</v>
      </c>
      <c r="E847">
        <v>0</v>
      </c>
      <c r="F847">
        <v>0</v>
      </c>
      <c r="H847">
        <v>0</v>
      </c>
      <c r="I847">
        <v>0</v>
      </c>
      <c r="J847">
        <v>0</v>
      </c>
      <c r="K847">
        <v>0</v>
      </c>
      <c r="L847" s="7">
        <v>5.9</v>
      </c>
      <c r="M847" s="7">
        <v>28</v>
      </c>
      <c r="N847">
        <v>168</v>
      </c>
      <c r="O847" s="15">
        <v>153</v>
      </c>
      <c r="P847" s="8">
        <v>0.50714285714285712</v>
      </c>
      <c r="Q847">
        <v>158</v>
      </c>
      <c r="R847" s="15">
        <v>148</v>
      </c>
      <c r="S847" s="8">
        <v>0.52800000000000002</v>
      </c>
      <c r="T847">
        <v>123</v>
      </c>
      <c r="U847" s="15">
        <v>103</v>
      </c>
      <c r="V847" s="8">
        <v>0.63529411764705879</v>
      </c>
      <c r="W847">
        <f t="shared" si="13"/>
        <v>449</v>
      </c>
    </row>
    <row r="848" spans="1:23">
      <c r="A848" s="6">
        <v>45773</v>
      </c>
      <c r="B848" t="s">
        <v>67</v>
      </c>
      <c r="C848">
        <v>5</v>
      </c>
      <c r="D848">
        <v>4</v>
      </c>
      <c r="E848">
        <v>1</v>
      </c>
      <c r="F848">
        <v>0</v>
      </c>
      <c r="H848">
        <v>0</v>
      </c>
      <c r="I848">
        <v>0</v>
      </c>
      <c r="J848">
        <v>0</v>
      </c>
      <c r="K848">
        <v>0</v>
      </c>
      <c r="L848" s="7">
        <v>13.9</v>
      </c>
      <c r="M848" s="7">
        <v>27.4</v>
      </c>
      <c r="N848">
        <v>193</v>
      </c>
      <c r="O848" s="15">
        <v>160</v>
      </c>
      <c r="P848" s="8">
        <v>0.6</v>
      </c>
      <c r="Q848">
        <v>188</v>
      </c>
      <c r="R848" s="15">
        <v>157</v>
      </c>
      <c r="S848" s="8">
        <v>0.63200000000000001</v>
      </c>
      <c r="T848">
        <v>135</v>
      </c>
      <c r="U848" s="15">
        <v>116</v>
      </c>
      <c r="V848" s="8">
        <v>0.71764705882352942</v>
      </c>
      <c r="W848">
        <f t="shared" si="13"/>
        <v>516</v>
      </c>
    </row>
    <row r="849" spans="1:23">
      <c r="A849" s="6">
        <v>45774</v>
      </c>
      <c r="B849" t="s">
        <v>60</v>
      </c>
      <c r="C849">
        <v>6</v>
      </c>
      <c r="D849">
        <v>4</v>
      </c>
      <c r="E849">
        <v>1</v>
      </c>
      <c r="F849">
        <v>0</v>
      </c>
      <c r="H849">
        <v>0</v>
      </c>
      <c r="I849">
        <v>0</v>
      </c>
      <c r="J849">
        <v>0</v>
      </c>
      <c r="K849">
        <v>0</v>
      </c>
      <c r="L849" s="7">
        <v>8.8000000000000007</v>
      </c>
      <c r="M849" s="7">
        <v>26.8</v>
      </c>
      <c r="N849">
        <v>192</v>
      </c>
      <c r="O849" s="15">
        <v>176</v>
      </c>
      <c r="P849" s="8">
        <v>0.58571428571428574</v>
      </c>
      <c r="Q849">
        <v>195</v>
      </c>
      <c r="R849" s="15">
        <v>173</v>
      </c>
      <c r="S849" s="8">
        <v>0.63200000000000001</v>
      </c>
      <c r="T849">
        <v>129</v>
      </c>
      <c r="U849" s="15">
        <v>120</v>
      </c>
      <c r="V849" s="8">
        <v>0.69411764705882351</v>
      </c>
      <c r="W849">
        <f t="shared" si="13"/>
        <v>516</v>
      </c>
    </row>
    <row r="850" spans="1:23">
      <c r="A850" s="6">
        <v>45775</v>
      </c>
      <c r="B850" t="s">
        <v>62</v>
      </c>
      <c r="C850">
        <v>0</v>
      </c>
      <c r="D850">
        <v>4</v>
      </c>
      <c r="E850">
        <v>0</v>
      </c>
      <c r="F850">
        <v>0</v>
      </c>
      <c r="H850">
        <v>0</v>
      </c>
      <c r="I850">
        <v>0</v>
      </c>
      <c r="J850">
        <v>0</v>
      </c>
      <c r="K850">
        <v>0</v>
      </c>
      <c r="L850" s="7">
        <v>21.2</v>
      </c>
      <c r="M850" s="7">
        <v>25.7</v>
      </c>
      <c r="N850">
        <v>151</v>
      </c>
      <c r="O850" s="15">
        <v>130</v>
      </c>
      <c r="P850" s="8">
        <v>0.47857142857142859</v>
      </c>
      <c r="Q850">
        <v>158</v>
      </c>
      <c r="R850" s="15">
        <v>132</v>
      </c>
      <c r="S850" s="8">
        <v>0.52800000000000002</v>
      </c>
      <c r="T850">
        <v>104</v>
      </c>
      <c r="U850" s="15">
        <v>84</v>
      </c>
      <c r="V850" s="8">
        <v>0.55294117647058827</v>
      </c>
      <c r="W850">
        <f t="shared" si="13"/>
        <v>413</v>
      </c>
    </row>
    <row r="851" spans="1:23">
      <c r="A851" s="6">
        <v>45776</v>
      </c>
      <c r="B851" t="s">
        <v>63</v>
      </c>
      <c r="C851">
        <v>1</v>
      </c>
      <c r="D851">
        <v>4</v>
      </c>
      <c r="E851">
        <v>0</v>
      </c>
      <c r="F851">
        <v>0</v>
      </c>
      <c r="H851">
        <v>0</v>
      </c>
      <c r="I851">
        <v>0</v>
      </c>
      <c r="J851">
        <v>0</v>
      </c>
      <c r="K851">
        <v>0</v>
      </c>
      <c r="L851" s="7">
        <v>2.5</v>
      </c>
      <c r="M851" s="7">
        <v>27</v>
      </c>
      <c r="N851">
        <v>171</v>
      </c>
      <c r="O851" s="15">
        <v>152</v>
      </c>
      <c r="P851" s="8">
        <v>0.52857142857142858</v>
      </c>
      <c r="Q851">
        <v>167</v>
      </c>
      <c r="R851" s="15">
        <v>156</v>
      </c>
      <c r="S851" s="8">
        <v>0.54400000000000004</v>
      </c>
      <c r="T851">
        <v>123</v>
      </c>
      <c r="U851" s="15">
        <v>110</v>
      </c>
      <c r="V851" s="8">
        <v>0.6588235294117647</v>
      </c>
      <c r="W851">
        <f t="shared" si="13"/>
        <v>461</v>
      </c>
    </row>
    <row r="852" spans="1:23">
      <c r="A852" s="6">
        <v>45777</v>
      </c>
      <c r="B852" t="s">
        <v>64</v>
      </c>
      <c r="C852">
        <v>2</v>
      </c>
      <c r="D852">
        <v>4</v>
      </c>
      <c r="E852">
        <v>0</v>
      </c>
      <c r="F852">
        <v>0</v>
      </c>
      <c r="H852">
        <v>0</v>
      </c>
      <c r="I852">
        <v>0</v>
      </c>
      <c r="J852">
        <v>0</v>
      </c>
      <c r="K852">
        <v>0</v>
      </c>
      <c r="L852" s="7">
        <v>10.9</v>
      </c>
      <c r="M852" s="7">
        <v>27.9</v>
      </c>
      <c r="N852">
        <v>171</v>
      </c>
      <c r="O852" s="15">
        <v>153</v>
      </c>
      <c r="P852" s="8">
        <v>0.52857142857142858</v>
      </c>
      <c r="Q852">
        <v>148</v>
      </c>
      <c r="R852" s="15">
        <v>120</v>
      </c>
      <c r="S852" s="8">
        <v>0.52</v>
      </c>
      <c r="T852">
        <v>107</v>
      </c>
      <c r="U852" s="15">
        <v>87</v>
      </c>
      <c r="V852" s="8">
        <v>0.55294117647058827</v>
      </c>
      <c r="W852">
        <f t="shared" si="13"/>
        <v>426</v>
      </c>
    </row>
    <row r="853" spans="1:23">
      <c r="A853" s="6">
        <v>45778</v>
      </c>
      <c r="B853" t="s">
        <v>65</v>
      </c>
      <c r="C853">
        <v>3</v>
      </c>
      <c r="D853">
        <v>5</v>
      </c>
      <c r="E853">
        <v>0</v>
      </c>
      <c r="F853">
        <v>1</v>
      </c>
      <c r="G853" t="s">
        <v>71</v>
      </c>
      <c r="H853">
        <v>0</v>
      </c>
      <c r="I853">
        <v>0</v>
      </c>
      <c r="J853">
        <v>0</v>
      </c>
      <c r="K853">
        <v>0</v>
      </c>
      <c r="L853" s="7">
        <v>5.6</v>
      </c>
      <c r="M853" s="7">
        <v>27.3</v>
      </c>
      <c r="N853">
        <v>187</v>
      </c>
      <c r="O853" s="15">
        <v>157</v>
      </c>
      <c r="P853" s="8">
        <v>0.5714285714285714</v>
      </c>
      <c r="Q853">
        <v>198</v>
      </c>
      <c r="R853" s="15">
        <v>167</v>
      </c>
      <c r="S853" s="8">
        <v>0.67200000000000004</v>
      </c>
      <c r="T853">
        <v>141</v>
      </c>
      <c r="U853" s="15">
        <v>127</v>
      </c>
      <c r="V853" s="8">
        <v>0.72941176470588232</v>
      </c>
      <c r="W853">
        <f t="shared" si="13"/>
        <v>526</v>
      </c>
    </row>
    <row r="854" spans="1:23">
      <c r="A854" s="6">
        <v>45779</v>
      </c>
      <c r="B854" t="s">
        <v>66</v>
      </c>
      <c r="C854">
        <v>4</v>
      </c>
      <c r="D854">
        <v>5</v>
      </c>
      <c r="E854">
        <v>0</v>
      </c>
      <c r="F854">
        <v>0</v>
      </c>
      <c r="H854">
        <v>0</v>
      </c>
      <c r="I854">
        <v>0</v>
      </c>
      <c r="J854">
        <v>0</v>
      </c>
      <c r="K854">
        <v>0</v>
      </c>
      <c r="L854" s="7">
        <v>3.6</v>
      </c>
      <c r="M854" s="7">
        <v>28.8</v>
      </c>
      <c r="N854">
        <v>161</v>
      </c>
      <c r="O854" s="15">
        <v>133</v>
      </c>
      <c r="P854" s="8">
        <v>0.49285714285714288</v>
      </c>
      <c r="Q854">
        <v>150</v>
      </c>
      <c r="R854" s="15">
        <v>125</v>
      </c>
      <c r="S854" s="8">
        <v>0.504</v>
      </c>
      <c r="T854">
        <v>104</v>
      </c>
      <c r="U854" s="15">
        <v>86</v>
      </c>
      <c r="V854" s="8">
        <v>0.54117647058823526</v>
      </c>
      <c r="W854">
        <f t="shared" si="13"/>
        <v>415</v>
      </c>
    </row>
    <row r="855" spans="1:23">
      <c r="A855" s="6">
        <v>45780</v>
      </c>
      <c r="B855" t="s">
        <v>67</v>
      </c>
      <c r="C855">
        <v>5</v>
      </c>
      <c r="D855">
        <v>5</v>
      </c>
      <c r="E855">
        <v>1</v>
      </c>
      <c r="F855">
        <v>0</v>
      </c>
      <c r="H855">
        <v>0</v>
      </c>
      <c r="I855">
        <v>0</v>
      </c>
      <c r="J855">
        <v>0</v>
      </c>
      <c r="K855">
        <v>0</v>
      </c>
      <c r="L855" s="7">
        <v>4.4000000000000004</v>
      </c>
      <c r="M855" s="7">
        <v>28.5</v>
      </c>
      <c r="N855">
        <v>205</v>
      </c>
      <c r="O855" s="15">
        <v>190</v>
      </c>
      <c r="P855" s="8">
        <v>0.62142857142857144</v>
      </c>
      <c r="Q855">
        <v>187</v>
      </c>
      <c r="R855" s="15">
        <v>156</v>
      </c>
      <c r="S855" s="8">
        <v>0.61599999999999999</v>
      </c>
      <c r="T855">
        <v>144</v>
      </c>
      <c r="U855" s="15">
        <v>124</v>
      </c>
      <c r="V855" s="8">
        <v>0.72941176470588232</v>
      </c>
      <c r="W855">
        <f t="shared" si="13"/>
        <v>536</v>
      </c>
    </row>
    <row r="856" spans="1:23">
      <c r="A856" s="6">
        <v>45781</v>
      </c>
      <c r="B856" t="s">
        <v>60</v>
      </c>
      <c r="C856">
        <v>6</v>
      </c>
      <c r="D856">
        <v>5</v>
      </c>
      <c r="E856">
        <v>1</v>
      </c>
      <c r="F856">
        <v>0</v>
      </c>
      <c r="H856">
        <v>0</v>
      </c>
      <c r="I856">
        <v>0</v>
      </c>
      <c r="J856">
        <v>0</v>
      </c>
      <c r="K856">
        <v>0</v>
      </c>
      <c r="L856" s="7">
        <v>13.8</v>
      </c>
      <c r="M856" s="7">
        <v>26.2</v>
      </c>
      <c r="N856">
        <v>207</v>
      </c>
      <c r="O856" s="15">
        <v>166</v>
      </c>
      <c r="P856" s="8">
        <v>0.63571428571428568</v>
      </c>
      <c r="Q856">
        <v>187</v>
      </c>
      <c r="R856" s="15">
        <v>164</v>
      </c>
      <c r="S856" s="8">
        <v>0.63200000000000001</v>
      </c>
      <c r="T856">
        <v>142</v>
      </c>
      <c r="U856" s="15">
        <v>126</v>
      </c>
      <c r="V856" s="8">
        <v>0.72941176470588232</v>
      </c>
      <c r="W856">
        <f t="shared" si="13"/>
        <v>536</v>
      </c>
    </row>
    <row r="857" spans="1:23">
      <c r="A857" s="6">
        <v>45782</v>
      </c>
      <c r="B857" t="s">
        <v>62</v>
      </c>
      <c r="C857">
        <v>0</v>
      </c>
      <c r="D857">
        <v>5</v>
      </c>
      <c r="E857">
        <v>0</v>
      </c>
      <c r="F857">
        <v>0</v>
      </c>
      <c r="H857">
        <v>0</v>
      </c>
      <c r="I857">
        <v>0</v>
      </c>
      <c r="J857">
        <v>0</v>
      </c>
      <c r="K857">
        <v>0</v>
      </c>
      <c r="L857" s="7">
        <v>16.8</v>
      </c>
      <c r="M857" s="7">
        <v>27</v>
      </c>
      <c r="N857">
        <v>176</v>
      </c>
      <c r="O857" s="15">
        <v>152</v>
      </c>
      <c r="P857" s="8">
        <v>0.52142857142857146</v>
      </c>
      <c r="Q857">
        <v>155</v>
      </c>
      <c r="R857" s="15">
        <v>144</v>
      </c>
      <c r="S857" s="8">
        <v>0.54400000000000004</v>
      </c>
      <c r="T857">
        <v>104</v>
      </c>
      <c r="U857" s="15">
        <v>84</v>
      </c>
      <c r="V857" s="8">
        <v>0.52941176470588236</v>
      </c>
      <c r="W857">
        <f t="shared" si="13"/>
        <v>435</v>
      </c>
    </row>
    <row r="858" spans="1:23">
      <c r="A858" s="6">
        <v>45783</v>
      </c>
      <c r="B858" t="s">
        <v>63</v>
      </c>
      <c r="C858">
        <v>1</v>
      </c>
      <c r="D858">
        <v>5</v>
      </c>
      <c r="E858">
        <v>0</v>
      </c>
      <c r="F858">
        <v>0</v>
      </c>
      <c r="H858">
        <v>0</v>
      </c>
      <c r="I858">
        <v>0</v>
      </c>
      <c r="J858">
        <v>0</v>
      </c>
      <c r="K858">
        <v>0</v>
      </c>
      <c r="L858" s="7">
        <v>23.1</v>
      </c>
      <c r="M858" s="7">
        <v>26.7</v>
      </c>
      <c r="N858">
        <v>170</v>
      </c>
      <c r="O858" s="15">
        <v>145</v>
      </c>
      <c r="P858" s="8">
        <v>0.52142857142857146</v>
      </c>
      <c r="Q858">
        <v>163</v>
      </c>
      <c r="R858" s="15">
        <v>149</v>
      </c>
      <c r="S858" s="8">
        <v>0.52800000000000002</v>
      </c>
      <c r="T858">
        <v>116</v>
      </c>
      <c r="U858" s="15">
        <v>107</v>
      </c>
      <c r="V858" s="8">
        <v>0.62352941176470589</v>
      </c>
      <c r="W858">
        <f t="shared" si="13"/>
        <v>449</v>
      </c>
    </row>
    <row r="859" spans="1:23">
      <c r="A859" s="6">
        <v>45784</v>
      </c>
      <c r="B859" t="s">
        <v>64</v>
      </c>
      <c r="C859">
        <v>2</v>
      </c>
      <c r="D859">
        <v>5</v>
      </c>
      <c r="E859">
        <v>0</v>
      </c>
      <c r="F859">
        <v>0</v>
      </c>
      <c r="H859">
        <v>0</v>
      </c>
      <c r="I859">
        <v>0</v>
      </c>
      <c r="J859">
        <v>0</v>
      </c>
      <c r="K859">
        <v>0</v>
      </c>
      <c r="L859" s="7">
        <v>21.1</v>
      </c>
      <c r="M859" s="7">
        <v>26</v>
      </c>
      <c r="N859">
        <v>161</v>
      </c>
      <c r="O859" s="15">
        <v>131</v>
      </c>
      <c r="P859" s="8">
        <v>0.48571428571428571</v>
      </c>
      <c r="Q859">
        <v>155</v>
      </c>
      <c r="R859" s="15">
        <v>133</v>
      </c>
      <c r="S859" s="8">
        <v>0.52</v>
      </c>
      <c r="T859">
        <v>116</v>
      </c>
      <c r="U859" s="15">
        <v>108</v>
      </c>
      <c r="V859" s="8">
        <v>0.6</v>
      </c>
      <c r="W859">
        <f t="shared" si="13"/>
        <v>432</v>
      </c>
    </row>
    <row r="860" spans="1:23">
      <c r="A860" s="6">
        <v>45785</v>
      </c>
      <c r="B860" t="s">
        <v>65</v>
      </c>
      <c r="C860">
        <v>3</v>
      </c>
      <c r="D860">
        <v>5</v>
      </c>
      <c r="E860">
        <v>0</v>
      </c>
      <c r="F860">
        <v>0</v>
      </c>
      <c r="H860">
        <v>0</v>
      </c>
      <c r="I860">
        <v>0</v>
      </c>
      <c r="J860">
        <v>0</v>
      </c>
      <c r="K860">
        <v>0</v>
      </c>
      <c r="L860" s="7">
        <v>23</v>
      </c>
      <c r="M860" s="7">
        <v>28.2</v>
      </c>
      <c r="N860">
        <v>188</v>
      </c>
      <c r="O860" s="15">
        <v>171</v>
      </c>
      <c r="P860" s="8">
        <v>0.57857142857142863</v>
      </c>
      <c r="Q860">
        <v>157</v>
      </c>
      <c r="R860" s="15">
        <v>136</v>
      </c>
      <c r="S860" s="8">
        <v>0.52</v>
      </c>
      <c r="T860">
        <v>108</v>
      </c>
      <c r="U860" s="15">
        <v>98</v>
      </c>
      <c r="V860" s="8">
        <v>0.58823529411764708</v>
      </c>
      <c r="W860">
        <f t="shared" si="13"/>
        <v>453</v>
      </c>
    </row>
    <row r="861" spans="1:23">
      <c r="A861" s="6">
        <v>45786</v>
      </c>
      <c r="B861" t="s">
        <v>66</v>
      </c>
      <c r="C861">
        <v>4</v>
      </c>
      <c r="D861">
        <v>5</v>
      </c>
      <c r="E861">
        <v>0</v>
      </c>
      <c r="F861">
        <v>0</v>
      </c>
      <c r="H861">
        <v>0</v>
      </c>
      <c r="I861">
        <v>0</v>
      </c>
      <c r="J861">
        <v>0</v>
      </c>
      <c r="K861">
        <v>0</v>
      </c>
      <c r="L861" s="7">
        <v>0</v>
      </c>
      <c r="M861" s="7">
        <v>27</v>
      </c>
      <c r="N861">
        <v>183</v>
      </c>
      <c r="O861" s="15">
        <v>147</v>
      </c>
      <c r="P861" s="8">
        <v>0.56428571428571428</v>
      </c>
      <c r="Q861">
        <v>167</v>
      </c>
      <c r="R861" s="15">
        <v>144</v>
      </c>
      <c r="S861" s="8">
        <v>0.55200000000000005</v>
      </c>
      <c r="T861">
        <v>118</v>
      </c>
      <c r="U861" s="15">
        <v>97</v>
      </c>
      <c r="V861" s="8">
        <v>0.6588235294117647</v>
      </c>
      <c r="W861">
        <f t="shared" si="13"/>
        <v>468</v>
      </c>
    </row>
    <row r="862" spans="1:23">
      <c r="A862" s="6">
        <v>45787</v>
      </c>
      <c r="B862" t="s">
        <v>67</v>
      </c>
      <c r="C862">
        <v>5</v>
      </c>
      <c r="D862">
        <v>5</v>
      </c>
      <c r="E862">
        <v>1</v>
      </c>
      <c r="F862">
        <v>0</v>
      </c>
      <c r="H862">
        <v>0</v>
      </c>
      <c r="I862">
        <v>0</v>
      </c>
      <c r="J862">
        <v>0</v>
      </c>
      <c r="K862">
        <v>0</v>
      </c>
      <c r="L862" s="7">
        <v>2.1</v>
      </c>
      <c r="M862" s="7">
        <v>27.8</v>
      </c>
      <c r="N862">
        <v>199</v>
      </c>
      <c r="O862" s="15">
        <v>162</v>
      </c>
      <c r="P862" s="8">
        <v>0.6</v>
      </c>
      <c r="Q862">
        <v>205</v>
      </c>
      <c r="R862" s="15">
        <v>191</v>
      </c>
      <c r="S862" s="8">
        <v>0.68</v>
      </c>
      <c r="T862">
        <v>138</v>
      </c>
      <c r="U862" s="15">
        <v>117</v>
      </c>
      <c r="V862" s="8">
        <v>0.72941176470588232</v>
      </c>
      <c r="W862">
        <f t="shared" si="13"/>
        <v>542</v>
      </c>
    </row>
    <row r="863" spans="1:23">
      <c r="A863" s="6">
        <v>45788</v>
      </c>
      <c r="B863" t="s">
        <v>60</v>
      </c>
      <c r="C863">
        <v>6</v>
      </c>
      <c r="D863">
        <v>5</v>
      </c>
      <c r="E863">
        <v>1</v>
      </c>
      <c r="F863">
        <v>0</v>
      </c>
      <c r="H863">
        <v>0</v>
      </c>
      <c r="I863">
        <v>0</v>
      </c>
      <c r="J863">
        <v>0</v>
      </c>
      <c r="K863">
        <v>0</v>
      </c>
      <c r="L863" s="7">
        <v>18.3</v>
      </c>
      <c r="M863" s="7">
        <v>27.2</v>
      </c>
      <c r="N863">
        <v>224</v>
      </c>
      <c r="O863" s="15">
        <v>189</v>
      </c>
      <c r="P863" s="8">
        <v>0.66428571428571426</v>
      </c>
      <c r="Q863">
        <v>206</v>
      </c>
      <c r="R863" s="15">
        <v>187</v>
      </c>
      <c r="S863" s="8">
        <v>0.67200000000000004</v>
      </c>
      <c r="T863">
        <v>130</v>
      </c>
      <c r="U863" s="15">
        <v>117</v>
      </c>
      <c r="V863" s="8">
        <v>0.69411764705882351</v>
      </c>
      <c r="W863">
        <f t="shared" si="13"/>
        <v>560</v>
      </c>
    </row>
    <row r="864" spans="1:23">
      <c r="A864" s="6">
        <v>45789</v>
      </c>
      <c r="B864" t="s">
        <v>62</v>
      </c>
      <c r="C864">
        <v>0</v>
      </c>
      <c r="D864">
        <v>5</v>
      </c>
      <c r="E864">
        <v>0</v>
      </c>
      <c r="F864">
        <v>0</v>
      </c>
      <c r="H864">
        <v>0</v>
      </c>
      <c r="I864">
        <v>0</v>
      </c>
      <c r="J864">
        <v>0</v>
      </c>
      <c r="K864">
        <v>0</v>
      </c>
      <c r="L864" s="7">
        <v>10.7</v>
      </c>
      <c r="M864" s="7">
        <v>25.8</v>
      </c>
      <c r="N864">
        <v>192</v>
      </c>
      <c r="O864" s="15">
        <v>167</v>
      </c>
      <c r="P864" s="8">
        <v>0.58571428571428574</v>
      </c>
      <c r="Q864">
        <v>152</v>
      </c>
      <c r="R864" s="15">
        <v>123</v>
      </c>
      <c r="S864" s="8">
        <v>0.504</v>
      </c>
      <c r="T864">
        <v>117</v>
      </c>
      <c r="U864" s="15">
        <v>99</v>
      </c>
      <c r="V864" s="8">
        <v>0.62352941176470589</v>
      </c>
      <c r="W864">
        <f t="shared" si="13"/>
        <v>461</v>
      </c>
    </row>
    <row r="865" spans="1:23">
      <c r="A865" s="6">
        <v>45790</v>
      </c>
      <c r="B865" t="s">
        <v>63</v>
      </c>
      <c r="C865">
        <v>1</v>
      </c>
      <c r="D865">
        <v>5</v>
      </c>
      <c r="E865">
        <v>0</v>
      </c>
      <c r="F865">
        <v>0</v>
      </c>
      <c r="H865">
        <v>0</v>
      </c>
      <c r="I865">
        <v>0</v>
      </c>
      <c r="J865">
        <v>0</v>
      </c>
      <c r="K865">
        <v>0</v>
      </c>
      <c r="L865" s="7">
        <v>7</v>
      </c>
      <c r="M865" s="7">
        <v>27.2</v>
      </c>
      <c r="N865">
        <v>167</v>
      </c>
      <c r="O865" s="15">
        <v>146</v>
      </c>
      <c r="P865" s="8">
        <v>0.5357142857142857</v>
      </c>
      <c r="Q865">
        <v>165</v>
      </c>
      <c r="R865" s="15">
        <v>139</v>
      </c>
      <c r="S865" s="8">
        <v>0.56799999999999995</v>
      </c>
      <c r="T865">
        <v>116</v>
      </c>
      <c r="U865" s="15">
        <v>105</v>
      </c>
      <c r="V865" s="8">
        <v>0.63529411764705879</v>
      </c>
      <c r="W865">
        <f t="shared" si="13"/>
        <v>448</v>
      </c>
    </row>
    <row r="866" spans="1:23">
      <c r="A866" s="6">
        <v>45791</v>
      </c>
      <c r="B866" t="s">
        <v>64</v>
      </c>
      <c r="C866">
        <v>2</v>
      </c>
      <c r="D866">
        <v>5</v>
      </c>
      <c r="E866">
        <v>0</v>
      </c>
      <c r="F866">
        <v>0</v>
      </c>
      <c r="H866">
        <v>0</v>
      </c>
      <c r="I866">
        <v>0</v>
      </c>
      <c r="J866">
        <v>0</v>
      </c>
      <c r="K866">
        <v>0</v>
      </c>
      <c r="L866" s="7">
        <v>16.899999999999999</v>
      </c>
      <c r="M866" s="7">
        <v>27.5</v>
      </c>
      <c r="N866">
        <v>170</v>
      </c>
      <c r="O866" s="15">
        <v>145</v>
      </c>
      <c r="P866" s="8">
        <v>0.52857142857142858</v>
      </c>
      <c r="Q866">
        <v>170</v>
      </c>
      <c r="R866" s="15">
        <v>147</v>
      </c>
      <c r="S866" s="8">
        <v>0.54400000000000004</v>
      </c>
      <c r="T866">
        <v>112</v>
      </c>
      <c r="U866" s="15">
        <v>96</v>
      </c>
      <c r="V866" s="8">
        <v>0.6</v>
      </c>
      <c r="W866">
        <f t="shared" si="13"/>
        <v>452</v>
      </c>
    </row>
    <row r="867" spans="1:23">
      <c r="A867" s="6">
        <v>45792</v>
      </c>
      <c r="B867" t="s">
        <v>65</v>
      </c>
      <c r="C867">
        <v>3</v>
      </c>
      <c r="D867">
        <v>5</v>
      </c>
      <c r="E867">
        <v>0</v>
      </c>
      <c r="F867">
        <v>0</v>
      </c>
      <c r="H867">
        <v>0</v>
      </c>
      <c r="I867">
        <v>0</v>
      </c>
      <c r="J867">
        <v>0</v>
      </c>
      <c r="K867">
        <v>0</v>
      </c>
      <c r="L867" s="7">
        <v>20.2</v>
      </c>
      <c r="M867" s="7">
        <v>26.5</v>
      </c>
      <c r="N867">
        <v>195</v>
      </c>
      <c r="O867" s="15">
        <v>172</v>
      </c>
      <c r="P867" s="8">
        <v>0.59285714285714286</v>
      </c>
      <c r="Q867">
        <v>163</v>
      </c>
      <c r="R867" s="15">
        <v>131</v>
      </c>
      <c r="S867" s="8">
        <v>0.56000000000000005</v>
      </c>
      <c r="T867">
        <v>117</v>
      </c>
      <c r="U867" s="15">
        <v>102</v>
      </c>
      <c r="V867" s="8">
        <v>0.61176470588235299</v>
      </c>
      <c r="W867">
        <f t="shared" si="13"/>
        <v>475</v>
      </c>
    </row>
    <row r="868" spans="1:23">
      <c r="A868" s="6">
        <v>45793</v>
      </c>
      <c r="B868" t="s">
        <v>66</v>
      </c>
      <c r="C868">
        <v>4</v>
      </c>
      <c r="D868">
        <v>5</v>
      </c>
      <c r="E868">
        <v>0</v>
      </c>
      <c r="F868">
        <v>0</v>
      </c>
      <c r="H868">
        <v>0</v>
      </c>
      <c r="I868">
        <v>0</v>
      </c>
      <c r="J868">
        <v>0</v>
      </c>
      <c r="K868">
        <v>0</v>
      </c>
      <c r="L868" s="7">
        <v>0</v>
      </c>
      <c r="M868" s="7">
        <v>26.5</v>
      </c>
      <c r="N868">
        <v>187</v>
      </c>
      <c r="O868" s="15">
        <v>160</v>
      </c>
      <c r="P868" s="8">
        <v>0.56428571428571428</v>
      </c>
      <c r="Q868">
        <v>166</v>
      </c>
      <c r="R868" s="15">
        <v>138</v>
      </c>
      <c r="S868" s="8">
        <v>0.55200000000000005</v>
      </c>
      <c r="T868">
        <v>120</v>
      </c>
      <c r="U868" s="15">
        <v>97</v>
      </c>
      <c r="V868" s="8">
        <v>0.63529411764705879</v>
      </c>
      <c r="W868">
        <f t="shared" si="13"/>
        <v>473</v>
      </c>
    </row>
    <row r="869" spans="1:23">
      <c r="A869" s="6">
        <v>45794</v>
      </c>
      <c r="B869" t="s">
        <v>67</v>
      </c>
      <c r="C869">
        <v>5</v>
      </c>
      <c r="D869">
        <v>5</v>
      </c>
      <c r="E869">
        <v>1</v>
      </c>
      <c r="F869">
        <v>0</v>
      </c>
      <c r="H869">
        <v>0</v>
      </c>
      <c r="I869">
        <v>0</v>
      </c>
      <c r="J869">
        <v>0</v>
      </c>
      <c r="K869">
        <v>0</v>
      </c>
      <c r="L869" s="7">
        <v>9.4</v>
      </c>
      <c r="M869" s="7">
        <v>27.7</v>
      </c>
      <c r="N869">
        <v>219</v>
      </c>
      <c r="O869" s="15">
        <v>189</v>
      </c>
      <c r="P869" s="8">
        <v>0.66428571428571426</v>
      </c>
      <c r="Q869">
        <v>204</v>
      </c>
      <c r="R869" s="15">
        <v>179</v>
      </c>
      <c r="S869" s="8">
        <v>0.68799999999999994</v>
      </c>
      <c r="T869">
        <v>140</v>
      </c>
      <c r="U869" s="15">
        <v>113</v>
      </c>
      <c r="V869" s="8">
        <v>0.74117647058823533</v>
      </c>
      <c r="W869">
        <f t="shared" si="13"/>
        <v>563</v>
      </c>
    </row>
    <row r="870" spans="1:23">
      <c r="A870" s="6">
        <v>45795</v>
      </c>
      <c r="B870" t="s">
        <v>60</v>
      </c>
      <c r="C870">
        <v>6</v>
      </c>
      <c r="D870">
        <v>5</v>
      </c>
      <c r="E870">
        <v>1</v>
      </c>
      <c r="F870">
        <v>0</v>
      </c>
      <c r="H870">
        <v>0</v>
      </c>
      <c r="I870">
        <v>0</v>
      </c>
      <c r="J870">
        <v>0</v>
      </c>
      <c r="K870">
        <v>0</v>
      </c>
      <c r="L870" s="7">
        <v>8.8000000000000007</v>
      </c>
      <c r="M870" s="7">
        <v>27.3</v>
      </c>
      <c r="N870">
        <v>202</v>
      </c>
      <c r="O870" s="15">
        <v>180</v>
      </c>
      <c r="P870" s="8">
        <v>0.59285714285714286</v>
      </c>
      <c r="Q870">
        <v>198</v>
      </c>
      <c r="R870" s="15">
        <v>177</v>
      </c>
      <c r="S870" s="8">
        <v>0.64800000000000002</v>
      </c>
      <c r="T870">
        <v>139</v>
      </c>
      <c r="U870" s="15">
        <v>127</v>
      </c>
      <c r="V870" s="8">
        <v>0.71764705882352942</v>
      </c>
      <c r="W870">
        <f t="shared" si="13"/>
        <v>539</v>
      </c>
    </row>
    <row r="871" spans="1:23">
      <c r="A871" s="6">
        <v>45796</v>
      </c>
      <c r="B871" t="s">
        <v>62</v>
      </c>
      <c r="C871">
        <v>0</v>
      </c>
      <c r="D871">
        <v>5</v>
      </c>
      <c r="E871">
        <v>0</v>
      </c>
      <c r="F871">
        <v>0</v>
      </c>
      <c r="H871">
        <v>0</v>
      </c>
      <c r="I871">
        <v>0</v>
      </c>
      <c r="J871">
        <v>0</v>
      </c>
      <c r="K871">
        <v>0</v>
      </c>
      <c r="L871" s="7">
        <v>9.1</v>
      </c>
      <c r="M871" s="7">
        <v>25.2</v>
      </c>
      <c r="N871">
        <v>172</v>
      </c>
      <c r="O871" s="15">
        <v>147</v>
      </c>
      <c r="P871" s="8">
        <v>0.50714285714285712</v>
      </c>
      <c r="Q871">
        <v>142</v>
      </c>
      <c r="R871" s="15">
        <v>129</v>
      </c>
      <c r="S871" s="8">
        <v>0.48799999999999999</v>
      </c>
      <c r="T871">
        <v>115</v>
      </c>
      <c r="U871" s="15">
        <v>107</v>
      </c>
      <c r="V871" s="8">
        <v>0.61176470588235299</v>
      </c>
      <c r="W871">
        <f t="shared" si="13"/>
        <v>429</v>
      </c>
    </row>
    <row r="872" spans="1:23">
      <c r="A872" s="6">
        <v>45797</v>
      </c>
      <c r="B872" t="s">
        <v>63</v>
      </c>
      <c r="C872">
        <v>1</v>
      </c>
      <c r="D872">
        <v>5</v>
      </c>
      <c r="E872">
        <v>0</v>
      </c>
      <c r="F872">
        <v>0</v>
      </c>
      <c r="H872">
        <v>0</v>
      </c>
      <c r="I872">
        <v>0</v>
      </c>
      <c r="J872">
        <v>0</v>
      </c>
      <c r="K872">
        <v>0</v>
      </c>
      <c r="L872" s="7">
        <v>0</v>
      </c>
      <c r="M872" s="7">
        <v>28.1</v>
      </c>
      <c r="N872">
        <v>185</v>
      </c>
      <c r="O872" s="15">
        <v>155</v>
      </c>
      <c r="P872" s="8">
        <v>0.56428571428571428</v>
      </c>
      <c r="Q872">
        <v>161</v>
      </c>
      <c r="R872" s="15">
        <v>139</v>
      </c>
      <c r="S872" s="8">
        <v>0.54400000000000004</v>
      </c>
      <c r="T872">
        <v>106</v>
      </c>
      <c r="U872" s="15">
        <v>94</v>
      </c>
      <c r="V872" s="8">
        <v>0.56470588235294117</v>
      </c>
      <c r="W872">
        <f t="shared" si="13"/>
        <v>452</v>
      </c>
    </row>
    <row r="873" spans="1:23">
      <c r="A873" s="6">
        <v>45798</v>
      </c>
      <c r="B873" t="s">
        <v>64</v>
      </c>
      <c r="C873">
        <v>2</v>
      </c>
      <c r="D873">
        <v>5</v>
      </c>
      <c r="E873">
        <v>0</v>
      </c>
      <c r="F873">
        <v>0</v>
      </c>
      <c r="H873">
        <v>0</v>
      </c>
      <c r="I873">
        <v>0</v>
      </c>
      <c r="J873">
        <v>0</v>
      </c>
      <c r="K873">
        <v>0</v>
      </c>
      <c r="L873" s="7">
        <v>12.6</v>
      </c>
      <c r="M873" s="7">
        <v>27.9</v>
      </c>
      <c r="N873">
        <v>183</v>
      </c>
      <c r="O873" s="15">
        <v>149</v>
      </c>
      <c r="P873" s="8">
        <v>0.56428571428571428</v>
      </c>
      <c r="Q873">
        <v>161</v>
      </c>
      <c r="R873" s="15">
        <v>148</v>
      </c>
      <c r="S873" s="8">
        <v>0.55200000000000005</v>
      </c>
      <c r="T873">
        <v>112</v>
      </c>
      <c r="U873" s="15">
        <v>97</v>
      </c>
      <c r="V873" s="8">
        <v>0.56470588235294117</v>
      </c>
      <c r="W873">
        <f t="shared" si="13"/>
        <v>456</v>
      </c>
    </row>
    <row r="874" spans="1:23">
      <c r="A874" s="6">
        <v>45799</v>
      </c>
      <c r="B874" t="s">
        <v>65</v>
      </c>
      <c r="C874">
        <v>3</v>
      </c>
      <c r="D874">
        <v>5</v>
      </c>
      <c r="E874">
        <v>0</v>
      </c>
      <c r="F874">
        <v>0</v>
      </c>
      <c r="H874">
        <v>0</v>
      </c>
      <c r="I874">
        <v>0</v>
      </c>
      <c r="J874">
        <v>0</v>
      </c>
      <c r="K874">
        <v>0</v>
      </c>
      <c r="L874" s="7">
        <v>7.1</v>
      </c>
      <c r="M874" s="7">
        <v>27</v>
      </c>
      <c r="N874">
        <v>197</v>
      </c>
      <c r="O874" s="15">
        <v>164</v>
      </c>
      <c r="P874" s="8">
        <v>0.61428571428571432</v>
      </c>
      <c r="Q874">
        <v>148</v>
      </c>
      <c r="R874" s="15">
        <v>132</v>
      </c>
      <c r="S874" s="8">
        <v>0.51200000000000001</v>
      </c>
      <c r="T874">
        <v>104</v>
      </c>
      <c r="U874" s="15">
        <v>85</v>
      </c>
      <c r="V874" s="8">
        <v>0.56470588235294117</v>
      </c>
      <c r="W874">
        <f t="shared" si="13"/>
        <v>449</v>
      </c>
    </row>
    <row r="875" spans="1:23">
      <c r="A875" s="6">
        <v>45800</v>
      </c>
      <c r="B875" t="s">
        <v>66</v>
      </c>
      <c r="C875">
        <v>4</v>
      </c>
      <c r="D875">
        <v>5</v>
      </c>
      <c r="E875">
        <v>0</v>
      </c>
      <c r="F875">
        <v>0</v>
      </c>
      <c r="H875">
        <v>0</v>
      </c>
      <c r="I875">
        <v>0</v>
      </c>
      <c r="J875">
        <v>0</v>
      </c>
      <c r="K875">
        <v>0</v>
      </c>
      <c r="L875" s="7">
        <v>0</v>
      </c>
      <c r="M875" s="7">
        <v>26.1</v>
      </c>
      <c r="N875">
        <v>179</v>
      </c>
      <c r="O875" s="15">
        <v>160</v>
      </c>
      <c r="P875" s="8">
        <v>0.55714285714285716</v>
      </c>
      <c r="Q875">
        <v>153</v>
      </c>
      <c r="R875" s="15">
        <v>139</v>
      </c>
      <c r="S875" s="8">
        <v>0.504</v>
      </c>
      <c r="T875">
        <v>126</v>
      </c>
      <c r="U875" s="15">
        <v>116</v>
      </c>
      <c r="V875" s="8">
        <v>0.61176470588235299</v>
      </c>
      <c r="W875">
        <f t="shared" si="13"/>
        <v>458</v>
      </c>
    </row>
    <row r="876" spans="1:23">
      <c r="A876" s="6">
        <v>45801</v>
      </c>
      <c r="B876" t="s">
        <v>67</v>
      </c>
      <c r="C876">
        <v>5</v>
      </c>
      <c r="D876">
        <v>5</v>
      </c>
      <c r="E876">
        <v>1</v>
      </c>
      <c r="F876">
        <v>0</v>
      </c>
      <c r="H876">
        <v>0</v>
      </c>
      <c r="I876">
        <v>0</v>
      </c>
      <c r="J876">
        <v>0</v>
      </c>
      <c r="K876">
        <v>0</v>
      </c>
      <c r="L876" s="7">
        <v>6.4</v>
      </c>
      <c r="M876" s="7">
        <v>26.2</v>
      </c>
      <c r="N876">
        <v>218</v>
      </c>
      <c r="O876" s="15">
        <v>182</v>
      </c>
      <c r="P876" s="8">
        <v>0.67142857142857137</v>
      </c>
      <c r="Q876">
        <v>173</v>
      </c>
      <c r="R876" s="15">
        <v>145</v>
      </c>
      <c r="S876" s="8">
        <v>0.61599999999999999</v>
      </c>
      <c r="T876">
        <v>141</v>
      </c>
      <c r="U876" s="15">
        <v>130</v>
      </c>
      <c r="V876" s="8">
        <v>0.72941176470588232</v>
      </c>
      <c r="W876">
        <f t="shared" si="13"/>
        <v>532</v>
      </c>
    </row>
    <row r="877" spans="1:23">
      <c r="A877" s="6">
        <v>45802</v>
      </c>
      <c r="B877" t="s">
        <v>60</v>
      </c>
      <c r="C877">
        <v>6</v>
      </c>
      <c r="D877">
        <v>5</v>
      </c>
      <c r="E877">
        <v>1</v>
      </c>
      <c r="F877">
        <v>0</v>
      </c>
      <c r="H877">
        <v>0</v>
      </c>
      <c r="I877">
        <v>0</v>
      </c>
      <c r="J877">
        <v>0</v>
      </c>
      <c r="K877">
        <v>0</v>
      </c>
      <c r="L877" s="7">
        <v>23.3</v>
      </c>
      <c r="M877" s="7">
        <v>27.2</v>
      </c>
      <c r="N877">
        <v>209</v>
      </c>
      <c r="O877" s="15">
        <v>193</v>
      </c>
      <c r="P877" s="8">
        <v>0.61428571428571432</v>
      </c>
      <c r="Q877">
        <v>195</v>
      </c>
      <c r="R877" s="15">
        <v>172</v>
      </c>
      <c r="S877" s="8">
        <v>0.64800000000000002</v>
      </c>
      <c r="T877">
        <v>136</v>
      </c>
      <c r="U877" s="15">
        <v>114</v>
      </c>
      <c r="V877" s="8">
        <v>0.70588235294117652</v>
      </c>
      <c r="W877">
        <f t="shared" si="13"/>
        <v>540</v>
      </c>
    </row>
    <row r="878" spans="1:23">
      <c r="A878" s="6">
        <v>45803</v>
      </c>
      <c r="B878" t="s">
        <v>62</v>
      </c>
      <c r="C878">
        <v>0</v>
      </c>
      <c r="D878">
        <v>5</v>
      </c>
      <c r="E878">
        <v>0</v>
      </c>
      <c r="F878">
        <v>0</v>
      </c>
      <c r="H878">
        <v>0</v>
      </c>
      <c r="I878">
        <v>0</v>
      </c>
      <c r="J878">
        <v>0</v>
      </c>
      <c r="K878">
        <v>0</v>
      </c>
      <c r="L878" s="7">
        <v>18.5</v>
      </c>
      <c r="M878" s="7">
        <v>26.4</v>
      </c>
      <c r="N878">
        <v>204</v>
      </c>
      <c r="O878" s="15">
        <v>168</v>
      </c>
      <c r="P878" s="8">
        <v>0.59285714285714286</v>
      </c>
      <c r="Q878">
        <v>176</v>
      </c>
      <c r="R878" s="15">
        <v>163</v>
      </c>
      <c r="S878" s="8">
        <v>0.58399999999999996</v>
      </c>
      <c r="T878">
        <v>120</v>
      </c>
      <c r="U878" s="15">
        <v>110</v>
      </c>
      <c r="V878" s="8">
        <v>0.6470588235294118</v>
      </c>
      <c r="W878">
        <f t="shared" si="13"/>
        <v>500</v>
      </c>
    </row>
    <row r="879" spans="1:23">
      <c r="A879" s="6">
        <v>45804</v>
      </c>
      <c r="B879" t="s">
        <v>63</v>
      </c>
      <c r="C879">
        <v>1</v>
      </c>
      <c r="D879">
        <v>5</v>
      </c>
      <c r="E879">
        <v>0</v>
      </c>
      <c r="F879">
        <v>0</v>
      </c>
      <c r="H879">
        <v>0</v>
      </c>
      <c r="I879">
        <v>0</v>
      </c>
      <c r="J879">
        <v>0</v>
      </c>
      <c r="K879">
        <v>0</v>
      </c>
      <c r="L879" s="7">
        <v>7.1</v>
      </c>
      <c r="M879" s="7">
        <v>27.2</v>
      </c>
      <c r="N879">
        <v>185</v>
      </c>
      <c r="O879" s="15">
        <v>172</v>
      </c>
      <c r="P879" s="8">
        <v>0.56428571428571428</v>
      </c>
      <c r="Q879">
        <v>169</v>
      </c>
      <c r="R879" s="15">
        <v>144</v>
      </c>
      <c r="S879" s="8">
        <v>0.56000000000000005</v>
      </c>
      <c r="T879">
        <v>109</v>
      </c>
      <c r="U879" s="15">
        <v>93</v>
      </c>
      <c r="V879" s="8">
        <v>0.56470588235294117</v>
      </c>
      <c r="W879">
        <f t="shared" si="13"/>
        <v>463</v>
      </c>
    </row>
    <row r="880" spans="1:23">
      <c r="A880" s="6">
        <v>45805</v>
      </c>
      <c r="B880" t="s">
        <v>64</v>
      </c>
      <c r="C880">
        <v>2</v>
      </c>
      <c r="D880">
        <v>5</v>
      </c>
      <c r="E880">
        <v>0</v>
      </c>
      <c r="F880">
        <v>0</v>
      </c>
      <c r="H880">
        <v>0</v>
      </c>
      <c r="I880">
        <v>0</v>
      </c>
      <c r="J880">
        <v>0</v>
      </c>
      <c r="K880">
        <v>0</v>
      </c>
      <c r="L880" s="7">
        <v>11.5</v>
      </c>
      <c r="M880" s="7">
        <v>27.3</v>
      </c>
      <c r="N880">
        <v>189</v>
      </c>
      <c r="O880" s="15">
        <v>165</v>
      </c>
      <c r="P880" s="8">
        <v>0.57857142857142863</v>
      </c>
      <c r="Q880">
        <v>170</v>
      </c>
      <c r="R880" s="15">
        <v>141</v>
      </c>
      <c r="S880" s="8">
        <v>0.57599999999999996</v>
      </c>
      <c r="T880">
        <v>131</v>
      </c>
      <c r="U880" s="15">
        <v>120</v>
      </c>
      <c r="V880" s="8">
        <v>0.6470588235294118</v>
      </c>
      <c r="W880">
        <f t="shared" si="13"/>
        <v>490</v>
      </c>
    </row>
    <row r="881" spans="1:23">
      <c r="A881" s="6">
        <v>45806</v>
      </c>
      <c r="B881" t="s">
        <v>65</v>
      </c>
      <c r="C881">
        <v>3</v>
      </c>
      <c r="D881">
        <v>5</v>
      </c>
      <c r="E881">
        <v>0</v>
      </c>
      <c r="F881">
        <v>0</v>
      </c>
      <c r="H881">
        <v>0</v>
      </c>
      <c r="I881">
        <v>0</v>
      </c>
      <c r="J881">
        <v>0</v>
      </c>
      <c r="K881">
        <v>0</v>
      </c>
      <c r="L881" s="7">
        <v>18.2</v>
      </c>
      <c r="M881" s="7">
        <v>27.7</v>
      </c>
      <c r="N881">
        <v>185</v>
      </c>
      <c r="O881" s="15">
        <v>163</v>
      </c>
      <c r="P881" s="8">
        <v>0.5714285714285714</v>
      </c>
      <c r="Q881">
        <v>158</v>
      </c>
      <c r="R881" s="15">
        <v>142</v>
      </c>
      <c r="S881" s="8">
        <v>0.52</v>
      </c>
      <c r="T881">
        <v>111</v>
      </c>
      <c r="U881" s="15">
        <v>89</v>
      </c>
      <c r="V881" s="8">
        <v>0.55294117647058827</v>
      </c>
      <c r="W881">
        <f t="shared" si="13"/>
        <v>454</v>
      </c>
    </row>
    <row r="882" spans="1:23">
      <c r="A882" s="6">
        <v>45807</v>
      </c>
      <c r="B882" t="s">
        <v>66</v>
      </c>
      <c r="C882">
        <v>4</v>
      </c>
      <c r="D882">
        <v>5</v>
      </c>
      <c r="E882">
        <v>0</v>
      </c>
      <c r="F882">
        <v>0</v>
      </c>
      <c r="H882">
        <v>0</v>
      </c>
      <c r="I882">
        <v>0</v>
      </c>
      <c r="J882">
        <v>0</v>
      </c>
      <c r="K882">
        <v>0</v>
      </c>
      <c r="L882" s="7">
        <v>3.6</v>
      </c>
      <c r="M882" s="7">
        <v>25.9</v>
      </c>
      <c r="N882">
        <v>176</v>
      </c>
      <c r="O882" s="15">
        <v>153</v>
      </c>
      <c r="P882" s="8">
        <v>0.54285714285714282</v>
      </c>
      <c r="Q882">
        <v>181</v>
      </c>
      <c r="R882" s="15">
        <v>164</v>
      </c>
      <c r="S882" s="8">
        <v>0.6</v>
      </c>
      <c r="T882">
        <v>131</v>
      </c>
      <c r="U882" s="15">
        <v>109</v>
      </c>
      <c r="V882" s="8">
        <v>0.63529411764705879</v>
      </c>
      <c r="W882">
        <f t="shared" si="13"/>
        <v>488</v>
      </c>
    </row>
    <row r="883" spans="1:23">
      <c r="A883" s="6">
        <v>45808</v>
      </c>
      <c r="B883" t="s">
        <v>67</v>
      </c>
      <c r="C883">
        <v>5</v>
      </c>
      <c r="D883">
        <v>5</v>
      </c>
      <c r="E883">
        <v>1</v>
      </c>
      <c r="F883">
        <v>0</v>
      </c>
      <c r="H883">
        <v>0</v>
      </c>
      <c r="I883">
        <v>0</v>
      </c>
      <c r="J883">
        <v>0</v>
      </c>
      <c r="K883">
        <v>0</v>
      </c>
      <c r="L883" s="7">
        <v>4.7</v>
      </c>
      <c r="M883" s="7">
        <v>27.5</v>
      </c>
      <c r="N883">
        <v>214</v>
      </c>
      <c r="O883" s="15">
        <v>181</v>
      </c>
      <c r="P883" s="8">
        <v>0.65714285714285714</v>
      </c>
      <c r="Q883">
        <v>187</v>
      </c>
      <c r="R883" s="15">
        <v>163</v>
      </c>
      <c r="S883" s="8">
        <v>0.61599999999999999</v>
      </c>
      <c r="T883">
        <v>126</v>
      </c>
      <c r="U883" s="15">
        <v>114</v>
      </c>
      <c r="V883" s="8">
        <v>0.70588235294117652</v>
      </c>
      <c r="W883">
        <f t="shared" si="13"/>
        <v>527</v>
      </c>
    </row>
    <row r="884" spans="1:23">
      <c r="A884" s="6">
        <v>45809</v>
      </c>
      <c r="B884" t="s">
        <v>60</v>
      </c>
      <c r="C884">
        <v>6</v>
      </c>
      <c r="D884">
        <v>6</v>
      </c>
      <c r="E884">
        <v>1</v>
      </c>
      <c r="F884">
        <v>0</v>
      </c>
      <c r="H884">
        <v>0</v>
      </c>
      <c r="I884">
        <v>0</v>
      </c>
      <c r="J884">
        <v>0</v>
      </c>
      <c r="K884">
        <v>0</v>
      </c>
      <c r="L884" s="7">
        <v>15.2</v>
      </c>
      <c r="M884" s="7">
        <v>27.9</v>
      </c>
      <c r="N884">
        <v>206</v>
      </c>
      <c r="O884" s="15">
        <v>189</v>
      </c>
      <c r="P884" s="8">
        <v>0.63571428571428568</v>
      </c>
      <c r="Q884">
        <v>206</v>
      </c>
      <c r="R884" s="15">
        <v>174</v>
      </c>
      <c r="S884" s="8">
        <v>0.68</v>
      </c>
      <c r="T884">
        <v>134</v>
      </c>
      <c r="U884" s="15">
        <v>125</v>
      </c>
      <c r="V884" s="8">
        <v>0.74117647058823533</v>
      </c>
      <c r="W884">
        <f t="shared" si="13"/>
        <v>546</v>
      </c>
    </row>
    <row r="885" spans="1:23">
      <c r="A885" s="6">
        <v>45810</v>
      </c>
      <c r="B885" t="s">
        <v>62</v>
      </c>
      <c r="C885">
        <v>0</v>
      </c>
      <c r="D885">
        <v>6</v>
      </c>
      <c r="E885">
        <v>0</v>
      </c>
      <c r="F885">
        <v>0</v>
      </c>
      <c r="H885">
        <v>0</v>
      </c>
      <c r="I885">
        <v>0</v>
      </c>
      <c r="J885">
        <v>0</v>
      </c>
      <c r="K885">
        <v>0</v>
      </c>
      <c r="L885" s="7">
        <v>6</v>
      </c>
      <c r="M885" s="7">
        <v>27.1</v>
      </c>
      <c r="N885">
        <v>166</v>
      </c>
      <c r="O885" s="15">
        <v>146</v>
      </c>
      <c r="P885" s="8">
        <v>0.51428571428571423</v>
      </c>
      <c r="Q885">
        <v>171</v>
      </c>
      <c r="R885" s="15">
        <v>139</v>
      </c>
      <c r="S885" s="8">
        <v>0.57599999999999996</v>
      </c>
      <c r="T885">
        <v>115</v>
      </c>
      <c r="U885" s="15">
        <v>93</v>
      </c>
      <c r="V885" s="8">
        <v>0.61176470588235299</v>
      </c>
      <c r="W885">
        <f t="shared" si="13"/>
        <v>452</v>
      </c>
    </row>
    <row r="886" spans="1:23">
      <c r="A886" s="6">
        <v>45811</v>
      </c>
      <c r="B886" t="s">
        <v>63</v>
      </c>
      <c r="C886">
        <v>1</v>
      </c>
      <c r="D886">
        <v>6</v>
      </c>
      <c r="E886">
        <v>0</v>
      </c>
      <c r="F886">
        <v>0</v>
      </c>
      <c r="H886">
        <v>0</v>
      </c>
      <c r="I886">
        <v>0</v>
      </c>
      <c r="J886">
        <v>0</v>
      </c>
      <c r="K886">
        <v>0</v>
      </c>
      <c r="L886" s="7">
        <v>0</v>
      </c>
      <c r="M886" s="7">
        <v>29.1</v>
      </c>
      <c r="N886">
        <v>189</v>
      </c>
      <c r="O886" s="15">
        <v>155</v>
      </c>
      <c r="P886" s="8">
        <v>0.57857142857142863</v>
      </c>
      <c r="Q886">
        <v>143</v>
      </c>
      <c r="R886" s="15">
        <v>128</v>
      </c>
      <c r="S886" s="8">
        <v>0.496</v>
      </c>
      <c r="T886">
        <v>121</v>
      </c>
      <c r="U886" s="15">
        <v>108</v>
      </c>
      <c r="V886" s="8">
        <v>0.62352941176470589</v>
      </c>
      <c r="W886">
        <f t="shared" si="13"/>
        <v>453</v>
      </c>
    </row>
    <row r="887" spans="1:23">
      <c r="A887" s="6">
        <v>45812</v>
      </c>
      <c r="B887" t="s">
        <v>64</v>
      </c>
      <c r="C887">
        <v>2</v>
      </c>
      <c r="D887">
        <v>6</v>
      </c>
      <c r="E887">
        <v>0</v>
      </c>
      <c r="F887">
        <v>0</v>
      </c>
      <c r="H887">
        <v>0</v>
      </c>
      <c r="I887">
        <v>0</v>
      </c>
      <c r="J887">
        <v>0</v>
      </c>
      <c r="K887">
        <v>0</v>
      </c>
      <c r="L887" s="7">
        <v>12.9</v>
      </c>
      <c r="M887" s="7">
        <v>28.3</v>
      </c>
      <c r="N887">
        <v>222</v>
      </c>
      <c r="O887" s="15">
        <v>199</v>
      </c>
      <c r="P887" s="8">
        <v>0.66428571428571426</v>
      </c>
      <c r="Q887">
        <v>169</v>
      </c>
      <c r="R887" s="15">
        <v>143</v>
      </c>
      <c r="S887" s="8">
        <v>0.56799999999999995</v>
      </c>
      <c r="T887">
        <v>117</v>
      </c>
      <c r="U887" s="15">
        <v>110</v>
      </c>
      <c r="V887" s="8">
        <v>0.6</v>
      </c>
      <c r="W887">
        <f t="shared" si="13"/>
        <v>508</v>
      </c>
    </row>
    <row r="888" spans="1:23">
      <c r="A888" s="6">
        <v>45813</v>
      </c>
      <c r="B888" t="s">
        <v>65</v>
      </c>
      <c r="C888">
        <v>3</v>
      </c>
      <c r="D888">
        <v>6</v>
      </c>
      <c r="E888">
        <v>0</v>
      </c>
      <c r="F888">
        <v>0</v>
      </c>
      <c r="H888">
        <v>0</v>
      </c>
      <c r="I888">
        <v>0</v>
      </c>
      <c r="J888">
        <v>0</v>
      </c>
      <c r="K888">
        <v>0</v>
      </c>
      <c r="L888" s="7">
        <v>16.899999999999999</v>
      </c>
      <c r="M888" s="7">
        <v>27.5</v>
      </c>
      <c r="N888">
        <v>187</v>
      </c>
      <c r="O888" s="15">
        <v>165</v>
      </c>
      <c r="P888" s="8">
        <v>0.58571428571428574</v>
      </c>
      <c r="Q888">
        <v>175</v>
      </c>
      <c r="R888" s="15">
        <v>160</v>
      </c>
      <c r="S888" s="8">
        <v>0.57599999999999996</v>
      </c>
      <c r="T888">
        <v>120</v>
      </c>
      <c r="U888" s="15">
        <v>112</v>
      </c>
      <c r="V888" s="8">
        <v>0.63529411764705879</v>
      </c>
      <c r="W888">
        <f t="shared" si="13"/>
        <v>482</v>
      </c>
    </row>
    <row r="889" spans="1:23">
      <c r="A889" s="6">
        <v>45814</v>
      </c>
      <c r="B889" t="s">
        <v>66</v>
      </c>
      <c r="C889">
        <v>4</v>
      </c>
      <c r="D889">
        <v>6</v>
      </c>
      <c r="E889">
        <v>0</v>
      </c>
      <c r="F889">
        <v>0</v>
      </c>
      <c r="H889">
        <v>0</v>
      </c>
      <c r="I889">
        <v>0</v>
      </c>
      <c r="J889">
        <v>0</v>
      </c>
      <c r="K889">
        <v>0</v>
      </c>
      <c r="L889" s="7">
        <v>15.6</v>
      </c>
      <c r="M889" s="7">
        <v>28.6</v>
      </c>
      <c r="N889">
        <v>201</v>
      </c>
      <c r="O889" s="15">
        <v>181</v>
      </c>
      <c r="P889" s="8">
        <v>0.6</v>
      </c>
      <c r="Q889">
        <v>181</v>
      </c>
      <c r="R889" s="15">
        <v>169</v>
      </c>
      <c r="S889" s="8">
        <v>0.6</v>
      </c>
      <c r="T889">
        <v>112</v>
      </c>
      <c r="U889" s="15">
        <v>95</v>
      </c>
      <c r="V889" s="8">
        <v>0.61176470588235299</v>
      </c>
      <c r="W889">
        <f t="shared" si="13"/>
        <v>494</v>
      </c>
    </row>
    <row r="890" spans="1:23">
      <c r="A890" s="6">
        <v>45815</v>
      </c>
      <c r="B890" t="s">
        <v>67</v>
      </c>
      <c r="C890">
        <v>5</v>
      </c>
      <c r="D890">
        <v>6</v>
      </c>
      <c r="E890">
        <v>1</v>
      </c>
      <c r="F890">
        <v>0</v>
      </c>
      <c r="H890">
        <v>0</v>
      </c>
      <c r="I890">
        <v>0</v>
      </c>
      <c r="J890">
        <v>0</v>
      </c>
      <c r="K890">
        <v>0</v>
      </c>
      <c r="L890" s="7">
        <v>11.1</v>
      </c>
      <c r="M890" s="7">
        <v>26.8</v>
      </c>
      <c r="N890">
        <v>193</v>
      </c>
      <c r="O890" s="15">
        <v>181</v>
      </c>
      <c r="P890" s="8">
        <v>0.57857142857142863</v>
      </c>
      <c r="Q890">
        <v>182</v>
      </c>
      <c r="R890" s="15">
        <v>162</v>
      </c>
      <c r="S890" s="8">
        <v>0.60799999999999998</v>
      </c>
      <c r="T890">
        <v>136</v>
      </c>
      <c r="U890" s="15">
        <v>116</v>
      </c>
      <c r="V890" s="8">
        <v>0.70588235294117652</v>
      </c>
      <c r="W890">
        <f t="shared" si="13"/>
        <v>511</v>
      </c>
    </row>
    <row r="891" spans="1:23">
      <c r="A891" s="6">
        <v>45816</v>
      </c>
      <c r="B891" t="s">
        <v>60</v>
      </c>
      <c r="C891">
        <v>6</v>
      </c>
      <c r="D891">
        <v>6</v>
      </c>
      <c r="E891">
        <v>1</v>
      </c>
      <c r="F891">
        <v>0</v>
      </c>
      <c r="H891">
        <v>0</v>
      </c>
      <c r="I891">
        <v>0</v>
      </c>
      <c r="J891">
        <v>0</v>
      </c>
      <c r="K891">
        <v>0</v>
      </c>
      <c r="L891" s="7">
        <v>11.8</v>
      </c>
      <c r="M891" s="7">
        <v>28</v>
      </c>
      <c r="N891">
        <v>205</v>
      </c>
      <c r="O891" s="15">
        <v>169</v>
      </c>
      <c r="P891" s="8">
        <v>0.6071428571428571</v>
      </c>
      <c r="Q891">
        <v>214</v>
      </c>
      <c r="R891" s="15">
        <v>196</v>
      </c>
      <c r="S891" s="8">
        <v>0.69599999999999995</v>
      </c>
      <c r="T891">
        <v>141</v>
      </c>
      <c r="U891" s="15">
        <v>117</v>
      </c>
      <c r="V891" s="8">
        <v>0.72941176470588232</v>
      </c>
      <c r="W891">
        <f t="shared" si="13"/>
        <v>560</v>
      </c>
    </row>
    <row r="892" spans="1:23">
      <c r="A892" s="6">
        <v>45817</v>
      </c>
      <c r="B892" t="s">
        <v>62</v>
      </c>
      <c r="C892">
        <v>0</v>
      </c>
      <c r="D892">
        <v>6</v>
      </c>
      <c r="E892">
        <v>0</v>
      </c>
      <c r="F892">
        <v>0</v>
      </c>
      <c r="H892">
        <v>0</v>
      </c>
      <c r="I892">
        <v>0</v>
      </c>
      <c r="J892">
        <v>0</v>
      </c>
      <c r="K892">
        <v>0</v>
      </c>
      <c r="L892" s="7">
        <v>8</v>
      </c>
      <c r="M892" s="7">
        <v>28.1</v>
      </c>
      <c r="N892">
        <v>184</v>
      </c>
      <c r="O892" s="15">
        <v>171</v>
      </c>
      <c r="P892" s="8">
        <v>0.55714285714285716</v>
      </c>
      <c r="Q892">
        <v>155</v>
      </c>
      <c r="R892" s="15">
        <v>140</v>
      </c>
      <c r="S892" s="8">
        <v>0.504</v>
      </c>
      <c r="T892">
        <v>127</v>
      </c>
      <c r="U892" s="15">
        <v>103</v>
      </c>
      <c r="V892" s="8">
        <v>0.6470588235294118</v>
      </c>
      <c r="W892">
        <f t="shared" si="13"/>
        <v>466</v>
      </c>
    </row>
    <row r="893" spans="1:23">
      <c r="A893" s="6">
        <v>45818</v>
      </c>
      <c r="B893" t="s">
        <v>63</v>
      </c>
      <c r="C893">
        <v>1</v>
      </c>
      <c r="D893">
        <v>6</v>
      </c>
      <c r="E893">
        <v>0</v>
      </c>
      <c r="F893">
        <v>0</v>
      </c>
      <c r="H893">
        <v>0</v>
      </c>
      <c r="I893">
        <v>0</v>
      </c>
      <c r="J893">
        <v>0</v>
      </c>
      <c r="K893">
        <v>0</v>
      </c>
      <c r="L893" s="7">
        <v>13.1</v>
      </c>
      <c r="M893" s="7">
        <v>28.8</v>
      </c>
      <c r="N893">
        <v>199</v>
      </c>
      <c r="O893" s="15">
        <v>167</v>
      </c>
      <c r="P893" s="8">
        <v>0.62142857142857144</v>
      </c>
      <c r="Q893">
        <v>171</v>
      </c>
      <c r="R893" s="15">
        <v>140</v>
      </c>
      <c r="S893" s="8">
        <v>0.56799999999999995</v>
      </c>
      <c r="T893">
        <v>124</v>
      </c>
      <c r="U893" s="15">
        <v>116</v>
      </c>
      <c r="V893" s="8">
        <v>0.63529411764705879</v>
      </c>
      <c r="W893">
        <f t="shared" si="13"/>
        <v>494</v>
      </c>
    </row>
    <row r="894" spans="1:23">
      <c r="A894" s="6">
        <v>45819</v>
      </c>
      <c r="B894" t="s">
        <v>64</v>
      </c>
      <c r="C894">
        <v>2</v>
      </c>
      <c r="D894">
        <v>6</v>
      </c>
      <c r="E894">
        <v>0</v>
      </c>
      <c r="F894">
        <v>0</v>
      </c>
      <c r="H894">
        <v>0</v>
      </c>
      <c r="I894">
        <v>0</v>
      </c>
      <c r="J894">
        <v>0</v>
      </c>
      <c r="K894">
        <v>0</v>
      </c>
      <c r="L894" s="7">
        <v>5.9</v>
      </c>
      <c r="M894" s="7">
        <v>28.7</v>
      </c>
      <c r="N894">
        <v>182</v>
      </c>
      <c r="O894" s="15">
        <v>146</v>
      </c>
      <c r="P894" s="8">
        <v>0.55000000000000004</v>
      </c>
      <c r="Q894">
        <v>170</v>
      </c>
      <c r="R894" s="15">
        <v>152</v>
      </c>
      <c r="S894" s="8">
        <v>0.56000000000000005</v>
      </c>
      <c r="T894">
        <v>116</v>
      </c>
      <c r="U894" s="15">
        <v>95</v>
      </c>
      <c r="V894" s="8">
        <v>0.63529411764705879</v>
      </c>
      <c r="W894">
        <f t="shared" si="13"/>
        <v>468</v>
      </c>
    </row>
    <row r="895" spans="1:23">
      <c r="A895" s="6">
        <v>45820</v>
      </c>
      <c r="B895" t="s">
        <v>65</v>
      </c>
      <c r="C895">
        <v>3</v>
      </c>
      <c r="D895">
        <v>6</v>
      </c>
      <c r="E895">
        <v>0</v>
      </c>
      <c r="F895">
        <v>0</v>
      </c>
      <c r="H895">
        <v>0</v>
      </c>
      <c r="I895">
        <v>0</v>
      </c>
      <c r="J895">
        <v>0</v>
      </c>
      <c r="K895">
        <v>0</v>
      </c>
      <c r="L895" s="7">
        <v>20</v>
      </c>
      <c r="M895" s="7">
        <v>25.6</v>
      </c>
      <c r="N895">
        <v>212</v>
      </c>
      <c r="O895" s="15">
        <v>179</v>
      </c>
      <c r="P895" s="8">
        <v>0.65</v>
      </c>
      <c r="Q895">
        <v>190</v>
      </c>
      <c r="R895" s="15">
        <v>172</v>
      </c>
      <c r="S895" s="8">
        <v>0.64</v>
      </c>
      <c r="T895">
        <v>120</v>
      </c>
      <c r="U895" s="15">
        <v>112</v>
      </c>
      <c r="V895" s="8">
        <v>0.62352941176470589</v>
      </c>
      <c r="W895">
        <f t="shared" si="13"/>
        <v>522</v>
      </c>
    </row>
    <row r="896" spans="1:23">
      <c r="A896" s="6">
        <v>45821</v>
      </c>
      <c r="B896" t="s">
        <v>66</v>
      </c>
      <c r="C896">
        <v>4</v>
      </c>
      <c r="D896">
        <v>6</v>
      </c>
      <c r="E896">
        <v>0</v>
      </c>
      <c r="F896">
        <v>0</v>
      </c>
      <c r="H896">
        <v>0</v>
      </c>
      <c r="I896">
        <v>0</v>
      </c>
      <c r="J896">
        <v>0</v>
      </c>
      <c r="K896">
        <v>0</v>
      </c>
      <c r="L896" s="7">
        <v>12.2</v>
      </c>
      <c r="M896" s="7">
        <v>27.2</v>
      </c>
      <c r="N896">
        <v>190</v>
      </c>
      <c r="O896" s="15">
        <v>175</v>
      </c>
      <c r="P896" s="8">
        <v>0.5714285714285714</v>
      </c>
      <c r="Q896">
        <v>180</v>
      </c>
      <c r="R896" s="15">
        <v>149</v>
      </c>
      <c r="S896" s="8">
        <v>0.59199999999999997</v>
      </c>
      <c r="T896">
        <v>130</v>
      </c>
      <c r="U896" s="15">
        <v>111</v>
      </c>
      <c r="V896" s="8">
        <v>0.6588235294117647</v>
      </c>
      <c r="W896">
        <f t="shared" si="13"/>
        <v>500</v>
      </c>
    </row>
    <row r="897" spans="1:23">
      <c r="A897" s="6">
        <v>45822</v>
      </c>
      <c r="B897" t="s">
        <v>67</v>
      </c>
      <c r="C897">
        <v>5</v>
      </c>
      <c r="D897">
        <v>6</v>
      </c>
      <c r="E897">
        <v>1</v>
      </c>
      <c r="F897">
        <v>0</v>
      </c>
      <c r="H897">
        <v>0</v>
      </c>
      <c r="I897">
        <v>0</v>
      </c>
      <c r="J897">
        <v>0</v>
      </c>
      <c r="K897">
        <v>0</v>
      </c>
      <c r="L897" s="7">
        <v>14.5</v>
      </c>
      <c r="M897" s="7">
        <v>28</v>
      </c>
      <c r="N897">
        <v>215</v>
      </c>
      <c r="O897" s="15">
        <v>184</v>
      </c>
      <c r="P897" s="8">
        <v>0.65</v>
      </c>
      <c r="Q897">
        <v>188</v>
      </c>
      <c r="R897" s="15">
        <v>161</v>
      </c>
      <c r="S897" s="8">
        <v>0.64</v>
      </c>
      <c r="T897">
        <v>143</v>
      </c>
      <c r="U897" s="15">
        <v>126</v>
      </c>
      <c r="V897" s="8">
        <v>0.75294117647058822</v>
      </c>
      <c r="W897">
        <f t="shared" si="13"/>
        <v>546</v>
      </c>
    </row>
    <row r="898" spans="1:23">
      <c r="A898" s="6">
        <v>45823</v>
      </c>
      <c r="B898" t="s">
        <v>60</v>
      </c>
      <c r="C898">
        <v>6</v>
      </c>
      <c r="D898">
        <v>6</v>
      </c>
      <c r="E898">
        <v>1</v>
      </c>
      <c r="F898">
        <v>0</v>
      </c>
      <c r="H898">
        <v>0</v>
      </c>
      <c r="I898">
        <v>0</v>
      </c>
      <c r="J898">
        <v>0</v>
      </c>
      <c r="K898">
        <v>0</v>
      </c>
      <c r="L898" s="7">
        <v>7.8</v>
      </c>
      <c r="M898" s="7">
        <v>27.4</v>
      </c>
      <c r="N898">
        <v>214</v>
      </c>
      <c r="O898" s="15">
        <v>176</v>
      </c>
      <c r="P898" s="8">
        <v>0.65714285714285714</v>
      </c>
      <c r="Q898">
        <v>211</v>
      </c>
      <c r="R898" s="15">
        <v>186</v>
      </c>
      <c r="S898" s="8">
        <v>0.71199999999999997</v>
      </c>
      <c r="T898">
        <v>153</v>
      </c>
      <c r="U898" s="15">
        <v>131</v>
      </c>
      <c r="V898" s="8">
        <v>0.8</v>
      </c>
      <c r="W898">
        <f t="shared" ref="W898:W961" si="14">N898+Q898+T898</f>
        <v>578</v>
      </c>
    </row>
    <row r="899" spans="1:23">
      <c r="A899" s="6">
        <v>45824</v>
      </c>
      <c r="B899" t="s">
        <v>62</v>
      </c>
      <c r="C899">
        <v>0</v>
      </c>
      <c r="D899">
        <v>6</v>
      </c>
      <c r="E899">
        <v>0</v>
      </c>
      <c r="F899">
        <v>0</v>
      </c>
      <c r="H899">
        <v>0</v>
      </c>
      <c r="I899">
        <v>0</v>
      </c>
      <c r="J899">
        <v>0</v>
      </c>
      <c r="K899">
        <v>0</v>
      </c>
      <c r="L899" s="7">
        <v>19.899999999999999</v>
      </c>
      <c r="M899" s="7">
        <v>27.9</v>
      </c>
      <c r="N899">
        <v>194</v>
      </c>
      <c r="O899" s="15">
        <v>166</v>
      </c>
      <c r="P899" s="8">
        <v>0.6</v>
      </c>
      <c r="Q899">
        <v>168</v>
      </c>
      <c r="R899" s="15">
        <v>151</v>
      </c>
      <c r="S899" s="8">
        <v>0.56000000000000005</v>
      </c>
      <c r="T899">
        <v>127</v>
      </c>
      <c r="U899" s="15">
        <v>110</v>
      </c>
      <c r="V899" s="8">
        <v>0.6588235294117647</v>
      </c>
      <c r="W899">
        <f t="shared" si="14"/>
        <v>489</v>
      </c>
    </row>
    <row r="900" spans="1:23">
      <c r="A900" s="6">
        <v>45825</v>
      </c>
      <c r="B900" t="s">
        <v>63</v>
      </c>
      <c r="C900">
        <v>1</v>
      </c>
      <c r="D900">
        <v>6</v>
      </c>
      <c r="E900">
        <v>0</v>
      </c>
      <c r="F900">
        <v>0</v>
      </c>
      <c r="H900">
        <v>0</v>
      </c>
      <c r="I900">
        <v>0</v>
      </c>
      <c r="J900">
        <v>0</v>
      </c>
      <c r="K900">
        <v>0</v>
      </c>
      <c r="L900" s="7">
        <v>9.1999999999999993</v>
      </c>
      <c r="M900" s="7">
        <v>28.1</v>
      </c>
      <c r="N900">
        <v>197</v>
      </c>
      <c r="O900" s="15">
        <v>174</v>
      </c>
      <c r="P900" s="8">
        <v>0.59285714285714286</v>
      </c>
      <c r="Q900">
        <v>166</v>
      </c>
      <c r="R900" s="15">
        <v>149</v>
      </c>
      <c r="S900" s="8">
        <v>0.56799999999999995</v>
      </c>
      <c r="T900">
        <v>136</v>
      </c>
      <c r="U900" s="15">
        <v>110</v>
      </c>
      <c r="V900" s="8">
        <v>0.68235294117647061</v>
      </c>
      <c r="W900">
        <f t="shared" si="14"/>
        <v>499</v>
      </c>
    </row>
    <row r="901" spans="1:23">
      <c r="A901" s="6">
        <v>45826</v>
      </c>
      <c r="B901" t="s">
        <v>64</v>
      </c>
      <c r="C901">
        <v>2</v>
      </c>
      <c r="D901">
        <v>6</v>
      </c>
      <c r="E901">
        <v>0</v>
      </c>
      <c r="F901">
        <v>0</v>
      </c>
      <c r="H901">
        <v>0</v>
      </c>
      <c r="I901">
        <v>0</v>
      </c>
      <c r="J901">
        <v>0</v>
      </c>
      <c r="K901">
        <v>0</v>
      </c>
      <c r="L901" s="7">
        <v>8.8000000000000007</v>
      </c>
      <c r="M901" s="7">
        <v>28.6</v>
      </c>
      <c r="N901">
        <v>197</v>
      </c>
      <c r="O901" s="15">
        <v>173</v>
      </c>
      <c r="P901" s="8">
        <v>0.58571428571428574</v>
      </c>
      <c r="Q901">
        <v>181</v>
      </c>
      <c r="R901" s="15">
        <v>163</v>
      </c>
      <c r="S901" s="8">
        <v>0.6</v>
      </c>
      <c r="T901">
        <v>120</v>
      </c>
      <c r="U901" s="15">
        <v>112</v>
      </c>
      <c r="V901" s="8">
        <v>0.6588235294117647</v>
      </c>
      <c r="W901">
        <f t="shared" si="14"/>
        <v>498</v>
      </c>
    </row>
    <row r="902" spans="1:23">
      <c r="A902" s="6">
        <v>45827</v>
      </c>
      <c r="B902" t="s">
        <v>65</v>
      </c>
      <c r="C902">
        <v>3</v>
      </c>
      <c r="D902">
        <v>6</v>
      </c>
      <c r="E902">
        <v>0</v>
      </c>
      <c r="F902">
        <v>0</v>
      </c>
      <c r="H902">
        <v>0</v>
      </c>
      <c r="I902">
        <v>0</v>
      </c>
      <c r="J902">
        <v>0</v>
      </c>
      <c r="K902">
        <v>0</v>
      </c>
      <c r="L902" s="7">
        <v>2.8</v>
      </c>
      <c r="M902" s="7">
        <v>27</v>
      </c>
      <c r="N902">
        <v>214</v>
      </c>
      <c r="O902" s="15">
        <v>189</v>
      </c>
      <c r="P902" s="8">
        <v>0.6428571428571429</v>
      </c>
      <c r="Q902">
        <v>172</v>
      </c>
      <c r="R902" s="15">
        <v>158</v>
      </c>
      <c r="S902" s="8">
        <v>0.58399999999999996</v>
      </c>
      <c r="T902">
        <v>137</v>
      </c>
      <c r="U902" s="15">
        <v>115</v>
      </c>
      <c r="V902" s="8">
        <v>0.70588235294117652</v>
      </c>
      <c r="W902">
        <f t="shared" si="14"/>
        <v>523</v>
      </c>
    </row>
    <row r="903" spans="1:23">
      <c r="A903" s="6">
        <v>45828</v>
      </c>
      <c r="B903" t="s">
        <v>66</v>
      </c>
      <c r="C903">
        <v>4</v>
      </c>
      <c r="D903">
        <v>6</v>
      </c>
      <c r="E903">
        <v>0</v>
      </c>
      <c r="F903">
        <v>0</v>
      </c>
      <c r="H903">
        <v>0</v>
      </c>
      <c r="I903">
        <v>0</v>
      </c>
      <c r="J903">
        <v>0</v>
      </c>
      <c r="K903">
        <v>0</v>
      </c>
      <c r="L903" s="7">
        <v>9.1999999999999993</v>
      </c>
      <c r="M903" s="7">
        <v>27.1</v>
      </c>
      <c r="N903">
        <v>196</v>
      </c>
      <c r="O903" s="15">
        <v>171</v>
      </c>
      <c r="P903" s="8">
        <v>0.6</v>
      </c>
      <c r="Q903">
        <v>170</v>
      </c>
      <c r="R903" s="15">
        <v>148</v>
      </c>
      <c r="S903" s="8">
        <v>0.56000000000000005</v>
      </c>
      <c r="T903">
        <v>127</v>
      </c>
      <c r="U903" s="15">
        <v>108</v>
      </c>
      <c r="V903" s="8">
        <v>0.68235294117647061</v>
      </c>
      <c r="W903">
        <f t="shared" si="14"/>
        <v>493</v>
      </c>
    </row>
    <row r="904" spans="1:23">
      <c r="A904" s="6">
        <v>45829</v>
      </c>
      <c r="B904" t="s">
        <v>67</v>
      </c>
      <c r="C904">
        <v>5</v>
      </c>
      <c r="D904">
        <v>6</v>
      </c>
      <c r="E904">
        <v>1</v>
      </c>
      <c r="F904">
        <v>0</v>
      </c>
      <c r="H904">
        <v>0</v>
      </c>
      <c r="I904">
        <v>0</v>
      </c>
      <c r="J904">
        <v>0</v>
      </c>
      <c r="K904">
        <v>0</v>
      </c>
      <c r="L904" s="7">
        <v>4.0999999999999996</v>
      </c>
      <c r="M904" s="7">
        <v>27.4</v>
      </c>
      <c r="N904">
        <v>214</v>
      </c>
      <c r="O904" s="15">
        <v>189</v>
      </c>
      <c r="P904" s="8">
        <v>0.63571428571428568</v>
      </c>
      <c r="Q904">
        <v>191</v>
      </c>
      <c r="R904" s="15">
        <v>161</v>
      </c>
      <c r="S904" s="8">
        <v>0.65600000000000003</v>
      </c>
      <c r="T904">
        <v>137</v>
      </c>
      <c r="U904" s="15">
        <v>111</v>
      </c>
      <c r="V904" s="8">
        <v>0.74117647058823533</v>
      </c>
      <c r="W904">
        <f t="shared" si="14"/>
        <v>542</v>
      </c>
    </row>
    <row r="905" spans="1:23">
      <c r="A905" s="6">
        <v>45830</v>
      </c>
      <c r="B905" t="s">
        <v>60</v>
      </c>
      <c r="C905">
        <v>6</v>
      </c>
      <c r="D905">
        <v>6</v>
      </c>
      <c r="E905">
        <v>1</v>
      </c>
      <c r="F905">
        <v>0</v>
      </c>
      <c r="H905">
        <v>0</v>
      </c>
      <c r="I905">
        <v>0</v>
      </c>
      <c r="J905">
        <v>0</v>
      </c>
      <c r="K905">
        <v>0</v>
      </c>
      <c r="L905" s="7">
        <v>15.3</v>
      </c>
      <c r="M905" s="7">
        <v>29.4</v>
      </c>
      <c r="N905">
        <v>214</v>
      </c>
      <c r="O905" s="15">
        <v>179</v>
      </c>
      <c r="P905" s="8">
        <v>0.63571428571428568</v>
      </c>
      <c r="Q905">
        <v>226</v>
      </c>
      <c r="R905" s="15">
        <v>189</v>
      </c>
      <c r="S905" s="8">
        <v>0.74399999999999999</v>
      </c>
      <c r="T905">
        <v>156</v>
      </c>
      <c r="U905" s="15">
        <v>137</v>
      </c>
      <c r="V905" s="8">
        <v>0.77647058823529413</v>
      </c>
      <c r="W905">
        <f t="shared" si="14"/>
        <v>596</v>
      </c>
    </row>
    <row r="906" spans="1:23">
      <c r="A906" s="6">
        <v>45831</v>
      </c>
      <c r="B906" t="s">
        <v>62</v>
      </c>
      <c r="C906">
        <v>0</v>
      </c>
      <c r="D906">
        <v>6</v>
      </c>
      <c r="E906">
        <v>0</v>
      </c>
      <c r="F906">
        <v>0</v>
      </c>
      <c r="H906">
        <v>0</v>
      </c>
      <c r="I906">
        <v>0</v>
      </c>
      <c r="J906">
        <v>0</v>
      </c>
      <c r="K906">
        <v>0</v>
      </c>
      <c r="L906" s="7">
        <v>8.8000000000000007</v>
      </c>
      <c r="M906" s="7">
        <v>28.1</v>
      </c>
      <c r="N906">
        <v>173</v>
      </c>
      <c r="O906" s="15">
        <v>148</v>
      </c>
      <c r="P906" s="8">
        <v>0.5357142857142857</v>
      </c>
      <c r="Q906">
        <v>182</v>
      </c>
      <c r="R906" s="15">
        <v>149</v>
      </c>
      <c r="S906" s="8">
        <v>0.60799999999999998</v>
      </c>
      <c r="T906">
        <v>120</v>
      </c>
      <c r="U906" s="15">
        <v>103</v>
      </c>
      <c r="V906" s="8">
        <v>0.6588235294117647</v>
      </c>
      <c r="W906">
        <f t="shared" si="14"/>
        <v>475</v>
      </c>
    </row>
    <row r="907" spans="1:23">
      <c r="A907" s="6">
        <v>45832</v>
      </c>
      <c r="B907" t="s">
        <v>63</v>
      </c>
      <c r="C907">
        <v>1</v>
      </c>
      <c r="D907">
        <v>6</v>
      </c>
      <c r="E907">
        <v>0</v>
      </c>
      <c r="F907">
        <v>0</v>
      </c>
      <c r="H907">
        <v>0</v>
      </c>
      <c r="I907">
        <v>0</v>
      </c>
      <c r="J907">
        <v>0</v>
      </c>
      <c r="K907">
        <v>0</v>
      </c>
      <c r="L907" s="7">
        <v>25.6</v>
      </c>
      <c r="M907" s="7">
        <v>27.1</v>
      </c>
      <c r="N907">
        <v>201</v>
      </c>
      <c r="O907" s="15">
        <v>172</v>
      </c>
      <c r="P907" s="8">
        <v>0.61428571428571432</v>
      </c>
      <c r="Q907">
        <v>181</v>
      </c>
      <c r="R907" s="15">
        <v>148</v>
      </c>
      <c r="S907" s="8">
        <v>0.6</v>
      </c>
      <c r="T907">
        <v>110</v>
      </c>
      <c r="U907" s="15">
        <v>93</v>
      </c>
      <c r="V907" s="8">
        <v>0.61176470588235299</v>
      </c>
      <c r="W907">
        <f t="shared" si="14"/>
        <v>492</v>
      </c>
    </row>
    <row r="908" spans="1:23">
      <c r="A908" s="6">
        <v>45833</v>
      </c>
      <c r="B908" t="s">
        <v>64</v>
      </c>
      <c r="C908">
        <v>2</v>
      </c>
      <c r="D908">
        <v>6</v>
      </c>
      <c r="E908">
        <v>0</v>
      </c>
      <c r="F908">
        <v>0</v>
      </c>
      <c r="H908">
        <v>0</v>
      </c>
      <c r="I908">
        <v>0</v>
      </c>
      <c r="J908">
        <v>0</v>
      </c>
      <c r="K908">
        <v>0</v>
      </c>
      <c r="L908" s="7">
        <v>13.6</v>
      </c>
      <c r="M908" s="7">
        <v>26.9</v>
      </c>
      <c r="N908">
        <v>206</v>
      </c>
      <c r="O908" s="15">
        <v>175</v>
      </c>
      <c r="P908" s="8">
        <v>0.62142857142857144</v>
      </c>
      <c r="Q908">
        <v>155</v>
      </c>
      <c r="R908" s="15">
        <v>138</v>
      </c>
      <c r="S908" s="8">
        <v>0.52800000000000002</v>
      </c>
      <c r="T908">
        <v>135</v>
      </c>
      <c r="U908" s="15">
        <v>123</v>
      </c>
      <c r="V908" s="8">
        <v>0.6705882352941176</v>
      </c>
      <c r="W908">
        <f t="shared" si="14"/>
        <v>496</v>
      </c>
    </row>
    <row r="909" spans="1:23">
      <c r="A909" s="6">
        <v>45834</v>
      </c>
      <c r="B909" t="s">
        <v>65</v>
      </c>
      <c r="C909">
        <v>3</v>
      </c>
      <c r="D909">
        <v>6</v>
      </c>
      <c r="E909">
        <v>0</v>
      </c>
      <c r="F909">
        <v>0</v>
      </c>
      <c r="H909">
        <v>0</v>
      </c>
      <c r="I909">
        <v>0</v>
      </c>
      <c r="J909">
        <v>0</v>
      </c>
      <c r="K909">
        <v>0</v>
      </c>
      <c r="L909" s="7">
        <v>11.2</v>
      </c>
      <c r="M909" s="7">
        <v>29.2</v>
      </c>
      <c r="N909">
        <v>192</v>
      </c>
      <c r="O909" s="15">
        <v>165</v>
      </c>
      <c r="P909" s="8">
        <v>0.59285714285714286</v>
      </c>
      <c r="Q909">
        <v>186</v>
      </c>
      <c r="R909" s="15">
        <v>173</v>
      </c>
      <c r="S909" s="8">
        <v>0.60799999999999998</v>
      </c>
      <c r="T909">
        <v>129</v>
      </c>
      <c r="U909" s="15">
        <v>116</v>
      </c>
      <c r="V909" s="8">
        <v>0.6705882352941176</v>
      </c>
      <c r="W909">
        <f t="shared" si="14"/>
        <v>507</v>
      </c>
    </row>
    <row r="910" spans="1:23">
      <c r="A910" s="6">
        <v>45835</v>
      </c>
      <c r="B910" t="s">
        <v>66</v>
      </c>
      <c r="C910">
        <v>4</v>
      </c>
      <c r="D910">
        <v>6</v>
      </c>
      <c r="E910">
        <v>0</v>
      </c>
      <c r="F910">
        <v>0</v>
      </c>
      <c r="H910">
        <v>0</v>
      </c>
      <c r="I910">
        <v>0</v>
      </c>
      <c r="J910">
        <v>0</v>
      </c>
      <c r="K910">
        <v>0</v>
      </c>
      <c r="L910" s="7">
        <v>7.6</v>
      </c>
      <c r="M910" s="7">
        <v>28.5</v>
      </c>
      <c r="N910">
        <v>199</v>
      </c>
      <c r="O910" s="15">
        <v>160</v>
      </c>
      <c r="P910" s="8">
        <v>0.6</v>
      </c>
      <c r="Q910">
        <v>182</v>
      </c>
      <c r="R910" s="15">
        <v>160</v>
      </c>
      <c r="S910" s="8">
        <v>0.59199999999999997</v>
      </c>
      <c r="T910">
        <v>113</v>
      </c>
      <c r="U910" s="15">
        <v>92</v>
      </c>
      <c r="V910" s="8">
        <v>0.63529411764705879</v>
      </c>
      <c r="W910">
        <f t="shared" si="14"/>
        <v>494</v>
      </c>
    </row>
    <row r="911" spans="1:23">
      <c r="A911" s="6">
        <v>45836</v>
      </c>
      <c r="B911" t="s">
        <v>67</v>
      </c>
      <c r="C911">
        <v>5</v>
      </c>
      <c r="D911">
        <v>6</v>
      </c>
      <c r="E911">
        <v>1</v>
      </c>
      <c r="F911">
        <v>0</v>
      </c>
      <c r="H911">
        <v>0</v>
      </c>
      <c r="I911">
        <v>0</v>
      </c>
      <c r="J911">
        <v>0</v>
      </c>
      <c r="K911">
        <v>0</v>
      </c>
      <c r="L911" s="7">
        <v>10.5</v>
      </c>
      <c r="M911" s="7">
        <v>28.7</v>
      </c>
      <c r="N911">
        <v>239</v>
      </c>
      <c r="O911" s="15">
        <v>216</v>
      </c>
      <c r="P911" s="8">
        <v>0.74285714285714288</v>
      </c>
      <c r="Q911">
        <v>191</v>
      </c>
      <c r="R911" s="15">
        <v>170</v>
      </c>
      <c r="S911" s="8">
        <v>0.624</v>
      </c>
      <c r="T911">
        <v>155</v>
      </c>
      <c r="U911" s="15">
        <v>142</v>
      </c>
      <c r="V911" s="8">
        <v>0.82352941176470584</v>
      </c>
      <c r="W911">
        <f t="shared" si="14"/>
        <v>585</v>
      </c>
    </row>
    <row r="912" spans="1:23">
      <c r="A912" s="6">
        <v>45837</v>
      </c>
      <c r="B912" t="s">
        <v>60</v>
      </c>
      <c r="C912">
        <v>6</v>
      </c>
      <c r="D912">
        <v>6</v>
      </c>
      <c r="E912">
        <v>1</v>
      </c>
      <c r="F912">
        <v>0</v>
      </c>
      <c r="H912">
        <v>0</v>
      </c>
      <c r="I912">
        <v>0</v>
      </c>
      <c r="J912">
        <v>0</v>
      </c>
      <c r="K912">
        <v>0</v>
      </c>
      <c r="L912" s="7">
        <v>3.6</v>
      </c>
      <c r="M912" s="7">
        <v>27.1</v>
      </c>
      <c r="N912">
        <v>227</v>
      </c>
      <c r="O912" s="15">
        <v>185</v>
      </c>
      <c r="P912" s="8">
        <v>0.69285714285714284</v>
      </c>
      <c r="Q912">
        <v>205</v>
      </c>
      <c r="R912" s="15">
        <v>183</v>
      </c>
      <c r="S912" s="8">
        <v>0.68</v>
      </c>
      <c r="T912">
        <v>150</v>
      </c>
      <c r="U912" s="15">
        <v>137</v>
      </c>
      <c r="V912" s="8">
        <v>0.75294117647058822</v>
      </c>
      <c r="W912">
        <f t="shared" si="14"/>
        <v>582</v>
      </c>
    </row>
    <row r="913" spans="1:23">
      <c r="A913" s="6">
        <v>45838</v>
      </c>
      <c r="B913" t="s">
        <v>62</v>
      </c>
      <c r="C913">
        <v>0</v>
      </c>
      <c r="D913">
        <v>6</v>
      </c>
      <c r="E913">
        <v>0</v>
      </c>
      <c r="F913">
        <v>0</v>
      </c>
      <c r="H913">
        <v>0</v>
      </c>
      <c r="I913">
        <v>0</v>
      </c>
      <c r="J913">
        <v>0</v>
      </c>
      <c r="K913">
        <v>0</v>
      </c>
      <c r="L913" s="7">
        <v>3</v>
      </c>
      <c r="M913" s="7">
        <v>28.5</v>
      </c>
      <c r="N913">
        <v>180</v>
      </c>
      <c r="O913" s="15">
        <v>155</v>
      </c>
      <c r="P913" s="8">
        <v>0.54285714285714282</v>
      </c>
      <c r="Q913">
        <v>211</v>
      </c>
      <c r="R913" s="15">
        <v>177</v>
      </c>
      <c r="S913" s="8">
        <v>0.69599999999999995</v>
      </c>
      <c r="T913">
        <v>131</v>
      </c>
      <c r="U913" s="15">
        <v>117</v>
      </c>
      <c r="V913" s="8">
        <v>0.68235294117647061</v>
      </c>
      <c r="W913">
        <f t="shared" si="14"/>
        <v>522</v>
      </c>
    </row>
    <row r="914" spans="1:23">
      <c r="A914" s="6">
        <v>45839</v>
      </c>
      <c r="B914" t="s">
        <v>63</v>
      </c>
      <c r="C914">
        <v>1</v>
      </c>
      <c r="D914">
        <v>7</v>
      </c>
      <c r="E914">
        <v>0</v>
      </c>
      <c r="F914">
        <v>0</v>
      </c>
      <c r="H914">
        <v>1</v>
      </c>
      <c r="I914">
        <v>0</v>
      </c>
      <c r="J914">
        <v>0</v>
      </c>
      <c r="K914">
        <v>0</v>
      </c>
      <c r="L914" s="7">
        <v>0</v>
      </c>
      <c r="M914" s="7">
        <v>27.2</v>
      </c>
      <c r="N914">
        <v>210</v>
      </c>
      <c r="O914" s="15">
        <v>176</v>
      </c>
      <c r="P914" s="8">
        <v>0.62857142857142856</v>
      </c>
      <c r="Q914">
        <v>227</v>
      </c>
      <c r="R914" s="15">
        <v>190</v>
      </c>
      <c r="S914" s="8">
        <v>0.79200000000000004</v>
      </c>
      <c r="T914">
        <v>154</v>
      </c>
      <c r="U914" s="15">
        <v>140</v>
      </c>
      <c r="V914" s="8">
        <v>0.81176470588235294</v>
      </c>
      <c r="W914">
        <f t="shared" si="14"/>
        <v>591</v>
      </c>
    </row>
    <row r="915" spans="1:23">
      <c r="A915" s="6">
        <v>45840</v>
      </c>
      <c r="B915" t="s">
        <v>64</v>
      </c>
      <c r="C915">
        <v>2</v>
      </c>
      <c r="D915">
        <v>7</v>
      </c>
      <c r="E915">
        <v>0</v>
      </c>
      <c r="F915">
        <v>0</v>
      </c>
      <c r="H915">
        <v>1</v>
      </c>
      <c r="I915">
        <v>0</v>
      </c>
      <c r="J915">
        <v>0</v>
      </c>
      <c r="K915">
        <v>0</v>
      </c>
      <c r="L915" s="7">
        <v>13.1</v>
      </c>
      <c r="M915" s="7">
        <v>26</v>
      </c>
      <c r="N915">
        <v>229</v>
      </c>
      <c r="O915" s="15">
        <v>189</v>
      </c>
      <c r="P915" s="8">
        <v>0.72142857142857142</v>
      </c>
      <c r="Q915">
        <v>230</v>
      </c>
      <c r="R915" s="15">
        <v>210</v>
      </c>
      <c r="S915" s="8">
        <v>0.76800000000000002</v>
      </c>
      <c r="T915">
        <v>146</v>
      </c>
      <c r="U915" s="15">
        <v>121</v>
      </c>
      <c r="V915" s="8">
        <v>0.77647058823529413</v>
      </c>
      <c r="W915">
        <f t="shared" si="14"/>
        <v>605</v>
      </c>
    </row>
    <row r="916" spans="1:23">
      <c r="A916" s="6">
        <v>45841</v>
      </c>
      <c r="B916" t="s">
        <v>65</v>
      </c>
      <c r="C916">
        <v>3</v>
      </c>
      <c r="D916">
        <v>7</v>
      </c>
      <c r="E916">
        <v>0</v>
      </c>
      <c r="F916">
        <v>0</v>
      </c>
      <c r="H916">
        <v>1</v>
      </c>
      <c r="I916">
        <v>0</v>
      </c>
      <c r="J916">
        <v>0</v>
      </c>
      <c r="K916">
        <v>0</v>
      </c>
      <c r="L916" s="7">
        <v>0</v>
      </c>
      <c r="M916" s="7">
        <v>27.1</v>
      </c>
      <c r="N916">
        <v>216</v>
      </c>
      <c r="O916" s="15">
        <v>192</v>
      </c>
      <c r="P916" s="8">
        <v>0.67142857142857137</v>
      </c>
      <c r="Q916">
        <v>224</v>
      </c>
      <c r="R916" s="15">
        <v>196</v>
      </c>
      <c r="S916" s="8">
        <v>0.74399999999999999</v>
      </c>
      <c r="T916">
        <v>154</v>
      </c>
      <c r="U916" s="15">
        <v>142</v>
      </c>
      <c r="V916" s="8">
        <v>0.77647058823529413</v>
      </c>
      <c r="W916">
        <f t="shared" si="14"/>
        <v>594</v>
      </c>
    </row>
    <row r="917" spans="1:23">
      <c r="A917" s="6">
        <v>45842</v>
      </c>
      <c r="B917" t="s">
        <v>66</v>
      </c>
      <c r="C917">
        <v>4</v>
      </c>
      <c r="D917">
        <v>7</v>
      </c>
      <c r="E917">
        <v>0</v>
      </c>
      <c r="F917">
        <v>0</v>
      </c>
      <c r="H917">
        <v>1</v>
      </c>
      <c r="I917">
        <v>0</v>
      </c>
      <c r="J917">
        <v>0</v>
      </c>
      <c r="K917">
        <v>0</v>
      </c>
      <c r="L917" s="7">
        <v>4.2</v>
      </c>
      <c r="M917" s="7">
        <v>27.4</v>
      </c>
      <c r="N917">
        <v>223</v>
      </c>
      <c r="O917" s="15">
        <v>205</v>
      </c>
      <c r="P917" s="8">
        <v>0.66428571428571426</v>
      </c>
      <c r="Q917">
        <v>228</v>
      </c>
      <c r="R917" s="15">
        <v>208</v>
      </c>
      <c r="S917" s="8">
        <v>0.76800000000000002</v>
      </c>
      <c r="T917">
        <v>154</v>
      </c>
      <c r="U917" s="15">
        <v>130</v>
      </c>
      <c r="V917" s="8">
        <v>0.81176470588235294</v>
      </c>
      <c r="W917">
        <f t="shared" si="14"/>
        <v>605</v>
      </c>
    </row>
    <row r="918" spans="1:23">
      <c r="A918" s="6">
        <v>45843</v>
      </c>
      <c r="B918" t="s">
        <v>67</v>
      </c>
      <c r="C918">
        <v>5</v>
      </c>
      <c r="D918">
        <v>7</v>
      </c>
      <c r="E918">
        <v>1</v>
      </c>
      <c r="F918">
        <v>0</v>
      </c>
      <c r="H918">
        <v>1</v>
      </c>
      <c r="I918">
        <v>0</v>
      </c>
      <c r="J918">
        <v>0</v>
      </c>
      <c r="K918">
        <v>0</v>
      </c>
      <c r="L918" s="7">
        <v>10.8</v>
      </c>
      <c r="M918" s="7">
        <v>26.9</v>
      </c>
      <c r="N918">
        <v>234</v>
      </c>
      <c r="O918" s="15">
        <v>198</v>
      </c>
      <c r="P918" s="8">
        <v>0.72857142857142854</v>
      </c>
      <c r="Q918">
        <v>245</v>
      </c>
      <c r="R918" s="15">
        <v>210</v>
      </c>
      <c r="S918" s="8">
        <v>0.82399999999999995</v>
      </c>
      <c r="T918">
        <v>179</v>
      </c>
      <c r="U918" s="15">
        <v>168</v>
      </c>
      <c r="V918" s="8">
        <v>0.90588235294117647</v>
      </c>
      <c r="W918">
        <f t="shared" si="14"/>
        <v>658</v>
      </c>
    </row>
    <row r="919" spans="1:23">
      <c r="A919" s="6">
        <v>45844</v>
      </c>
      <c r="B919" t="s">
        <v>60</v>
      </c>
      <c r="C919">
        <v>6</v>
      </c>
      <c r="D919">
        <v>7</v>
      </c>
      <c r="E919">
        <v>1</v>
      </c>
      <c r="F919">
        <v>0</v>
      </c>
      <c r="H919">
        <v>1</v>
      </c>
      <c r="I919">
        <v>0</v>
      </c>
      <c r="J919">
        <v>0</v>
      </c>
      <c r="K919">
        <v>0</v>
      </c>
      <c r="L919" s="7">
        <v>5</v>
      </c>
      <c r="M919" s="7">
        <v>28.1</v>
      </c>
      <c r="N919">
        <v>261</v>
      </c>
      <c r="O919" s="15">
        <v>234</v>
      </c>
      <c r="P919" s="8">
        <v>0.77857142857142858</v>
      </c>
      <c r="Q919">
        <v>266</v>
      </c>
      <c r="R919" s="15">
        <v>232</v>
      </c>
      <c r="S919" s="8">
        <v>0.90400000000000003</v>
      </c>
      <c r="T919">
        <v>176</v>
      </c>
      <c r="U919" s="15">
        <v>145</v>
      </c>
      <c r="V919" s="8">
        <v>0.92941176470588238</v>
      </c>
      <c r="W919">
        <f t="shared" si="14"/>
        <v>703</v>
      </c>
    </row>
    <row r="920" spans="1:23">
      <c r="A920" s="6">
        <v>45845</v>
      </c>
      <c r="B920" t="s">
        <v>62</v>
      </c>
      <c r="C920">
        <v>0</v>
      </c>
      <c r="D920">
        <v>7</v>
      </c>
      <c r="E920">
        <v>0</v>
      </c>
      <c r="F920">
        <v>0</v>
      </c>
      <c r="H920">
        <v>1</v>
      </c>
      <c r="I920">
        <v>0</v>
      </c>
      <c r="J920">
        <v>0</v>
      </c>
      <c r="K920">
        <v>0</v>
      </c>
      <c r="L920" s="7">
        <v>0</v>
      </c>
      <c r="M920" s="7">
        <v>29.5</v>
      </c>
      <c r="N920">
        <v>212</v>
      </c>
      <c r="O920" s="15">
        <v>177</v>
      </c>
      <c r="P920" s="8">
        <v>0.65</v>
      </c>
      <c r="Q920">
        <v>225</v>
      </c>
      <c r="R920" s="15">
        <v>195</v>
      </c>
      <c r="S920" s="8">
        <v>0.74399999999999999</v>
      </c>
      <c r="T920">
        <v>158</v>
      </c>
      <c r="U920" s="15">
        <v>146</v>
      </c>
      <c r="V920" s="8">
        <v>0.83529411764705885</v>
      </c>
      <c r="W920">
        <f t="shared" si="14"/>
        <v>595</v>
      </c>
    </row>
    <row r="921" spans="1:23">
      <c r="A921" s="6">
        <v>45846</v>
      </c>
      <c r="B921" t="s">
        <v>63</v>
      </c>
      <c r="C921">
        <v>1</v>
      </c>
      <c r="D921">
        <v>7</v>
      </c>
      <c r="E921">
        <v>0</v>
      </c>
      <c r="F921">
        <v>0</v>
      </c>
      <c r="H921">
        <v>1</v>
      </c>
      <c r="I921">
        <v>0</v>
      </c>
      <c r="J921">
        <v>0</v>
      </c>
      <c r="K921">
        <v>0</v>
      </c>
      <c r="L921" s="7">
        <v>10.8</v>
      </c>
      <c r="M921" s="7">
        <v>29.3</v>
      </c>
      <c r="N921">
        <v>235</v>
      </c>
      <c r="O921" s="15">
        <v>192</v>
      </c>
      <c r="P921" s="8">
        <v>0.6785714285714286</v>
      </c>
      <c r="Q921">
        <v>244</v>
      </c>
      <c r="R921" s="15">
        <v>218</v>
      </c>
      <c r="S921" s="8">
        <v>0.79200000000000004</v>
      </c>
      <c r="T921">
        <v>184</v>
      </c>
      <c r="U921" s="15">
        <v>166</v>
      </c>
      <c r="V921" s="8">
        <v>0.94117647058823528</v>
      </c>
      <c r="W921">
        <f t="shared" si="14"/>
        <v>663</v>
      </c>
    </row>
    <row r="922" spans="1:23">
      <c r="A922" s="6">
        <v>45847</v>
      </c>
      <c r="B922" t="s">
        <v>64</v>
      </c>
      <c r="C922">
        <v>2</v>
      </c>
      <c r="D922">
        <v>7</v>
      </c>
      <c r="E922">
        <v>0</v>
      </c>
      <c r="F922">
        <v>0</v>
      </c>
      <c r="H922">
        <v>1</v>
      </c>
      <c r="I922">
        <v>0</v>
      </c>
      <c r="J922">
        <v>0</v>
      </c>
      <c r="K922">
        <v>0</v>
      </c>
      <c r="L922" s="7">
        <v>2</v>
      </c>
      <c r="M922" s="7">
        <v>29.4</v>
      </c>
      <c r="N922">
        <v>232</v>
      </c>
      <c r="O922" s="15">
        <v>200</v>
      </c>
      <c r="P922" s="8">
        <v>0.7</v>
      </c>
      <c r="Q922">
        <v>227</v>
      </c>
      <c r="R922" s="15">
        <v>192</v>
      </c>
      <c r="S922" s="8">
        <v>0.752</v>
      </c>
      <c r="T922">
        <v>170</v>
      </c>
      <c r="U922" s="15">
        <v>144</v>
      </c>
      <c r="V922" s="8">
        <v>0.85882352941176465</v>
      </c>
      <c r="W922">
        <f t="shared" si="14"/>
        <v>629</v>
      </c>
    </row>
    <row r="923" spans="1:23">
      <c r="A923" s="6">
        <v>45848</v>
      </c>
      <c r="B923" t="s">
        <v>65</v>
      </c>
      <c r="C923">
        <v>3</v>
      </c>
      <c r="D923">
        <v>7</v>
      </c>
      <c r="E923">
        <v>0</v>
      </c>
      <c r="F923">
        <v>0</v>
      </c>
      <c r="H923">
        <v>1</v>
      </c>
      <c r="I923">
        <v>0</v>
      </c>
      <c r="J923">
        <v>0</v>
      </c>
      <c r="K923">
        <v>0</v>
      </c>
      <c r="L923" s="7">
        <v>0</v>
      </c>
      <c r="M923" s="7">
        <v>28.2</v>
      </c>
      <c r="N923">
        <v>244</v>
      </c>
      <c r="O923" s="15">
        <v>204</v>
      </c>
      <c r="P923" s="8">
        <v>0.73571428571428577</v>
      </c>
      <c r="Q923">
        <v>218</v>
      </c>
      <c r="R923" s="15">
        <v>201</v>
      </c>
      <c r="S923" s="8">
        <v>0.72799999999999998</v>
      </c>
      <c r="T923">
        <v>161</v>
      </c>
      <c r="U923" s="15">
        <v>135</v>
      </c>
      <c r="V923" s="8">
        <v>0.83529411764705885</v>
      </c>
      <c r="W923">
        <f t="shared" si="14"/>
        <v>623</v>
      </c>
    </row>
    <row r="924" spans="1:23">
      <c r="A924" s="6">
        <v>45849</v>
      </c>
      <c r="B924" t="s">
        <v>66</v>
      </c>
      <c r="C924">
        <v>4</v>
      </c>
      <c r="D924">
        <v>7</v>
      </c>
      <c r="E924">
        <v>0</v>
      </c>
      <c r="F924">
        <v>0</v>
      </c>
      <c r="H924">
        <v>1</v>
      </c>
      <c r="I924">
        <v>0</v>
      </c>
      <c r="J924">
        <v>0</v>
      </c>
      <c r="K924">
        <v>0</v>
      </c>
      <c r="L924" s="7">
        <v>0.1</v>
      </c>
      <c r="M924" s="7">
        <v>28.7</v>
      </c>
      <c r="N924">
        <v>226</v>
      </c>
      <c r="O924" s="15">
        <v>209</v>
      </c>
      <c r="P924" s="8">
        <v>0.68571428571428572</v>
      </c>
      <c r="Q924">
        <v>219</v>
      </c>
      <c r="R924" s="15">
        <v>179</v>
      </c>
      <c r="S924" s="8">
        <v>0.72799999999999998</v>
      </c>
      <c r="T924">
        <v>168</v>
      </c>
      <c r="U924" s="15">
        <v>153</v>
      </c>
      <c r="V924" s="8">
        <v>0.89411764705882357</v>
      </c>
      <c r="W924">
        <f t="shared" si="14"/>
        <v>613</v>
      </c>
    </row>
    <row r="925" spans="1:23">
      <c r="A925" s="6">
        <v>45850</v>
      </c>
      <c r="B925" t="s">
        <v>67</v>
      </c>
      <c r="C925">
        <v>5</v>
      </c>
      <c r="D925">
        <v>7</v>
      </c>
      <c r="E925">
        <v>1</v>
      </c>
      <c r="F925">
        <v>0</v>
      </c>
      <c r="H925">
        <v>1</v>
      </c>
      <c r="I925">
        <v>0</v>
      </c>
      <c r="J925">
        <v>0</v>
      </c>
      <c r="K925">
        <v>0</v>
      </c>
      <c r="L925" s="7">
        <v>15.7</v>
      </c>
      <c r="M925" s="7">
        <v>28.9</v>
      </c>
      <c r="N925">
        <v>260</v>
      </c>
      <c r="O925" s="15">
        <v>228</v>
      </c>
      <c r="P925" s="8">
        <v>0.7857142857142857</v>
      </c>
      <c r="Q925">
        <v>260</v>
      </c>
      <c r="R925" s="15">
        <v>223</v>
      </c>
      <c r="S925" s="8">
        <v>0.86399999999999999</v>
      </c>
      <c r="T925">
        <v>182</v>
      </c>
      <c r="U925" s="15">
        <v>154</v>
      </c>
      <c r="V925" s="8">
        <v>0.96470588235294119</v>
      </c>
      <c r="W925">
        <f t="shared" si="14"/>
        <v>702</v>
      </c>
    </row>
    <row r="926" spans="1:23">
      <c r="A926" s="6">
        <v>45851</v>
      </c>
      <c r="B926" t="s">
        <v>60</v>
      </c>
      <c r="C926">
        <v>6</v>
      </c>
      <c r="D926">
        <v>7</v>
      </c>
      <c r="E926">
        <v>1</v>
      </c>
      <c r="F926">
        <v>0</v>
      </c>
      <c r="H926">
        <v>1</v>
      </c>
      <c r="I926">
        <v>0</v>
      </c>
      <c r="J926">
        <v>0</v>
      </c>
      <c r="K926">
        <v>0</v>
      </c>
      <c r="L926" s="7">
        <v>8.9</v>
      </c>
      <c r="M926" s="7">
        <v>27.8</v>
      </c>
      <c r="N926">
        <v>250</v>
      </c>
      <c r="O926" s="15">
        <v>217</v>
      </c>
      <c r="P926" s="8">
        <v>0.75714285714285712</v>
      </c>
      <c r="Q926">
        <v>252</v>
      </c>
      <c r="R926" s="15">
        <v>212</v>
      </c>
      <c r="S926" s="8">
        <v>0.84799999999999998</v>
      </c>
      <c r="T926">
        <v>163</v>
      </c>
      <c r="U926" s="15">
        <v>137</v>
      </c>
      <c r="V926" s="8">
        <v>0.89411764705882357</v>
      </c>
      <c r="W926">
        <f t="shared" si="14"/>
        <v>665</v>
      </c>
    </row>
    <row r="927" spans="1:23">
      <c r="A927" s="6">
        <v>45852</v>
      </c>
      <c r="B927" t="s">
        <v>62</v>
      </c>
      <c r="C927">
        <v>0</v>
      </c>
      <c r="D927">
        <v>7</v>
      </c>
      <c r="E927">
        <v>0</v>
      </c>
      <c r="F927">
        <v>0</v>
      </c>
      <c r="H927">
        <v>1</v>
      </c>
      <c r="I927">
        <v>0</v>
      </c>
      <c r="J927">
        <v>0</v>
      </c>
      <c r="K927">
        <v>0</v>
      </c>
      <c r="L927" s="7">
        <v>23.7</v>
      </c>
      <c r="M927" s="7">
        <v>28.2</v>
      </c>
      <c r="N927">
        <v>211</v>
      </c>
      <c r="O927" s="15">
        <v>176</v>
      </c>
      <c r="P927" s="8">
        <v>0.6428571428571429</v>
      </c>
      <c r="Q927">
        <v>227</v>
      </c>
      <c r="R927" s="15">
        <v>188</v>
      </c>
      <c r="S927" s="8">
        <v>0.73599999999999999</v>
      </c>
      <c r="T927">
        <v>175</v>
      </c>
      <c r="U927" s="15">
        <v>159</v>
      </c>
      <c r="V927" s="8">
        <v>0.90588235294117647</v>
      </c>
      <c r="W927">
        <f t="shared" si="14"/>
        <v>613</v>
      </c>
    </row>
    <row r="928" spans="1:23">
      <c r="A928" s="6">
        <v>45853</v>
      </c>
      <c r="B928" t="s">
        <v>63</v>
      </c>
      <c r="C928">
        <v>1</v>
      </c>
      <c r="D928">
        <v>7</v>
      </c>
      <c r="E928">
        <v>0</v>
      </c>
      <c r="F928">
        <v>0</v>
      </c>
      <c r="H928">
        <v>1</v>
      </c>
      <c r="I928">
        <v>0</v>
      </c>
      <c r="J928">
        <v>0</v>
      </c>
      <c r="K928">
        <v>1</v>
      </c>
      <c r="L928" s="7">
        <v>6.5</v>
      </c>
      <c r="M928" s="7">
        <v>28.1</v>
      </c>
      <c r="N928">
        <v>275</v>
      </c>
      <c r="O928" s="15">
        <v>257</v>
      </c>
      <c r="P928" s="8">
        <v>0.82857142857142863</v>
      </c>
      <c r="Q928">
        <v>243</v>
      </c>
      <c r="R928" s="15">
        <v>196</v>
      </c>
      <c r="S928" s="8">
        <v>0.80800000000000005</v>
      </c>
      <c r="T928">
        <v>170</v>
      </c>
      <c r="U928" s="15">
        <v>155</v>
      </c>
      <c r="V928" s="8">
        <v>0.89411764705882357</v>
      </c>
      <c r="W928">
        <f t="shared" si="14"/>
        <v>688</v>
      </c>
    </row>
    <row r="929" spans="1:23">
      <c r="A929" s="6">
        <v>45854</v>
      </c>
      <c r="B929" t="s">
        <v>64</v>
      </c>
      <c r="C929">
        <v>2</v>
      </c>
      <c r="D929">
        <v>7</v>
      </c>
      <c r="E929">
        <v>0</v>
      </c>
      <c r="F929">
        <v>0</v>
      </c>
      <c r="H929">
        <v>1</v>
      </c>
      <c r="I929">
        <v>0</v>
      </c>
      <c r="J929">
        <v>0</v>
      </c>
      <c r="K929">
        <v>1</v>
      </c>
      <c r="L929" s="7">
        <v>5.9</v>
      </c>
      <c r="M929" s="7">
        <v>27.6</v>
      </c>
      <c r="N929">
        <v>275</v>
      </c>
      <c r="O929" s="15">
        <v>252</v>
      </c>
      <c r="P929" s="8">
        <v>0.82857142857142863</v>
      </c>
      <c r="Q929">
        <v>264</v>
      </c>
      <c r="R929" s="15">
        <v>217</v>
      </c>
      <c r="S929" s="8">
        <v>0.88800000000000001</v>
      </c>
      <c r="T929">
        <v>171</v>
      </c>
      <c r="U929" s="15">
        <v>158</v>
      </c>
      <c r="V929" s="8">
        <v>0.90588235294117647</v>
      </c>
      <c r="W929">
        <f t="shared" si="14"/>
        <v>710</v>
      </c>
    </row>
    <row r="930" spans="1:23">
      <c r="A930" s="6">
        <v>45855</v>
      </c>
      <c r="B930" t="s">
        <v>65</v>
      </c>
      <c r="C930">
        <v>3</v>
      </c>
      <c r="D930">
        <v>7</v>
      </c>
      <c r="E930">
        <v>0</v>
      </c>
      <c r="F930">
        <v>0</v>
      </c>
      <c r="H930">
        <v>1</v>
      </c>
      <c r="I930">
        <v>0</v>
      </c>
      <c r="J930">
        <v>0</v>
      </c>
      <c r="K930">
        <v>0</v>
      </c>
      <c r="L930" s="7">
        <v>9.5</v>
      </c>
      <c r="M930" s="7">
        <v>29.9</v>
      </c>
      <c r="N930">
        <v>209</v>
      </c>
      <c r="O930" s="15">
        <v>191</v>
      </c>
      <c r="P930" s="8">
        <v>0.65</v>
      </c>
      <c r="Q930">
        <v>246</v>
      </c>
      <c r="R930" s="15">
        <v>200</v>
      </c>
      <c r="S930" s="8">
        <v>0.81599999999999995</v>
      </c>
      <c r="T930">
        <v>157</v>
      </c>
      <c r="U930" s="15">
        <v>129</v>
      </c>
      <c r="V930" s="8">
        <v>0.83529411764705885</v>
      </c>
      <c r="W930">
        <f t="shared" si="14"/>
        <v>612</v>
      </c>
    </row>
    <row r="931" spans="1:23">
      <c r="A931" s="6">
        <v>45856</v>
      </c>
      <c r="B931" t="s">
        <v>66</v>
      </c>
      <c r="C931">
        <v>4</v>
      </c>
      <c r="D931">
        <v>7</v>
      </c>
      <c r="E931">
        <v>0</v>
      </c>
      <c r="F931">
        <v>0</v>
      </c>
      <c r="H931">
        <v>1</v>
      </c>
      <c r="I931">
        <v>0</v>
      </c>
      <c r="J931">
        <v>0</v>
      </c>
      <c r="K931">
        <v>0</v>
      </c>
      <c r="L931" s="7">
        <v>0.9</v>
      </c>
      <c r="M931" s="7">
        <v>30.1</v>
      </c>
      <c r="N931">
        <v>238</v>
      </c>
      <c r="O931" s="15">
        <v>201</v>
      </c>
      <c r="P931" s="8">
        <v>0.72857142857142854</v>
      </c>
      <c r="Q931">
        <v>227</v>
      </c>
      <c r="R931" s="15">
        <v>204</v>
      </c>
      <c r="S931" s="8">
        <v>0.77600000000000002</v>
      </c>
      <c r="T931">
        <v>175</v>
      </c>
      <c r="U931" s="15">
        <v>153</v>
      </c>
      <c r="V931" s="8">
        <v>0.91764705882352937</v>
      </c>
      <c r="W931">
        <f t="shared" si="14"/>
        <v>640</v>
      </c>
    </row>
    <row r="932" spans="1:23">
      <c r="A932" s="6">
        <v>45857</v>
      </c>
      <c r="B932" t="s">
        <v>67</v>
      </c>
      <c r="C932">
        <v>5</v>
      </c>
      <c r="D932">
        <v>7</v>
      </c>
      <c r="E932">
        <v>1</v>
      </c>
      <c r="F932">
        <v>0</v>
      </c>
      <c r="H932">
        <v>1</v>
      </c>
      <c r="I932">
        <v>0</v>
      </c>
      <c r="J932">
        <v>0</v>
      </c>
      <c r="K932">
        <v>0</v>
      </c>
      <c r="L932" s="7">
        <v>3.3</v>
      </c>
      <c r="M932" s="7">
        <v>28</v>
      </c>
      <c r="N932">
        <v>229</v>
      </c>
      <c r="O932" s="15">
        <v>203</v>
      </c>
      <c r="P932" s="8">
        <v>0.7</v>
      </c>
      <c r="Q932">
        <v>266</v>
      </c>
      <c r="R932" s="15">
        <v>216</v>
      </c>
      <c r="S932" s="8">
        <v>0.88800000000000001</v>
      </c>
      <c r="T932">
        <v>181</v>
      </c>
      <c r="U932" s="15">
        <v>160</v>
      </c>
      <c r="V932" s="8">
        <v>0.94117647058823528</v>
      </c>
      <c r="W932">
        <f t="shared" si="14"/>
        <v>676</v>
      </c>
    </row>
    <row r="933" spans="1:23">
      <c r="A933" s="6">
        <v>45858</v>
      </c>
      <c r="B933" t="s">
        <v>60</v>
      </c>
      <c r="C933">
        <v>6</v>
      </c>
      <c r="D933">
        <v>7</v>
      </c>
      <c r="E933">
        <v>1</v>
      </c>
      <c r="F933">
        <v>0</v>
      </c>
      <c r="H933">
        <v>1</v>
      </c>
      <c r="I933">
        <v>0</v>
      </c>
      <c r="J933">
        <v>0</v>
      </c>
      <c r="K933">
        <v>0</v>
      </c>
      <c r="L933" s="7">
        <v>17.2</v>
      </c>
      <c r="M933" s="7">
        <v>29.5</v>
      </c>
      <c r="N933">
        <v>235</v>
      </c>
      <c r="O933" s="15">
        <v>205</v>
      </c>
      <c r="P933" s="8">
        <v>0.73571428571428577</v>
      </c>
      <c r="Q933">
        <v>284</v>
      </c>
      <c r="R933" s="15">
        <v>231</v>
      </c>
      <c r="S933" s="8">
        <v>0.96</v>
      </c>
      <c r="T933">
        <v>178</v>
      </c>
      <c r="U933" s="15">
        <v>160</v>
      </c>
      <c r="V933" s="8">
        <v>0.96470588235294119</v>
      </c>
      <c r="W933">
        <f t="shared" si="14"/>
        <v>697</v>
      </c>
    </row>
    <row r="934" spans="1:23">
      <c r="A934" s="6">
        <v>45859</v>
      </c>
      <c r="B934" t="s">
        <v>62</v>
      </c>
      <c r="C934">
        <v>0</v>
      </c>
      <c r="D934">
        <v>7</v>
      </c>
      <c r="E934">
        <v>0</v>
      </c>
      <c r="F934">
        <v>0</v>
      </c>
      <c r="H934">
        <v>1</v>
      </c>
      <c r="I934">
        <v>0</v>
      </c>
      <c r="J934">
        <v>0</v>
      </c>
      <c r="K934">
        <v>0</v>
      </c>
      <c r="L934" s="7">
        <v>3.4</v>
      </c>
      <c r="M934" s="7">
        <v>28.1</v>
      </c>
      <c r="N934">
        <v>225</v>
      </c>
      <c r="O934" s="15">
        <v>189</v>
      </c>
      <c r="P934" s="8">
        <v>0.69285714285714284</v>
      </c>
      <c r="Q934">
        <v>233</v>
      </c>
      <c r="R934" s="15">
        <v>187</v>
      </c>
      <c r="S934" s="8">
        <v>0.77600000000000002</v>
      </c>
      <c r="T934">
        <v>162</v>
      </c>
      <c r="U934" s="15">
        <v>152</v>
      </c>
      <c r="V934" s="8">
        <v>0.88235294117647056</v>
      </c>
      <c r="W934">
        <f t="shared" si="14"/>
        <v>620</v>
      </c>
    </row>
    <row r="935" spans="1:23">
      <c r="A935" s="6">
        <v>45860</v>
      </c>
      <c r="B935" t="s">
        <v>63</v>
      </c>
      <c r="C935">
        <v>1</v>
      </c>
      <c r="D935">
        <v>7</v>
      </c>
      <c r="E935">
        <v>0</v>
      </c>
      <c r="F935">
        <v>0</v>
      </c>
      <c r="H935">
        <v>1</v>
      </c>
      <c r="I935">
        <v>0</v>
      </c>
      <c r="J935">
        <v>0</v>
      </c>
      <c r="K935">
        <v>1</v>
      </c>
      <c r="L935" s="7">
        <v>22</v>
      </c>
      <c r="M935" s="7">
        <v>27.8</v>
      </c>
      <c r="N935">
        <v>266</v>
      </c>
      <c r="O935" s="15">
        <v>213</v>
      </c>
      <c r="P935" s="8">
        <v>0.80714285714285716</v>
      </c>
      <c r="Q935">
        <v>231</v>
      </c>
      <c r="R935" s="15">
        <v>201</v>
      </c>
      <c r="S935" s="8">
        <v>0.76800000000000002</v>
      </c>
      <c r="T935">
        <v>173</v>
      </c>
      <c r="U935" s="15">
        <v>140</v>
      </c>
      <c r="V935" s="8">
        <v>0.90588235294117647</v>
      </c>
      <c r="W935">
        <f t="shared" si="14"/>
        <v>670</v>
      </c>
    </row>
    <row r="936" spans="1:23">
      <c r="A936" s="6">
        <v>45861</v>
      </c>
      <c r="B936" t="s">
        <v>64</v>
      </c>
      <c r="C936">
        <v>2</v>
      </c>
      <c r="D936">
        <v>7</v>
      </c>
      <c r="E936">
        <v>0</v>
      </c>
      <c r="F936">
        <v>0</v>
      </c>
      <c r="H936">
        <v>1</v>
      </c>
      <c r="I936">
        <v>0</v>
      </c>
      <c r="J936">
        <v>0</v>
      </c>
      <c r="K936">
        <v>1</v>
      </c>
      <c r="L936" s="7">
        <v>5.3</v>
      </c>
      <c r="M936" s="7">
        <v>28.5</v>
      </c>
      <c r="N936">
        <v>252</v>
      </c>
      <c r="O936" s="15">
        <v>204</v>
      </c>
      <c r="P936" s="8">
        <v>0.7857142857142857</v>
      </c>
      <c r="Q936">
        <v>257</v>
      </c>
      <c r="R936" s="15">
        <v>216</v>
      </c>
      <c r="S936" s="8">
        <v>0.85599999999999998</v>
      </c>
      <c r="T936">
        <v>183</v>
      </c>
      <c r="U936" s="15">
        <v>152</v>
      </c>
      <c r="V936" s="8">
        <v>0.96470588235294119</v>
      </c>
      <c r="W936">
        <f t="shared" si="14"/>
        <v>692</v>
      </c>
    </row>
    <row r="937" spans="1:23">
      <c r="A937" s="6">
        <v>45862</v>
      </c>
      <c r="B937" t="s">
        <v>65</v>
      </c>
      <c r="C937">
        <v>3</v>
      </c>
      <c r="D937">
        <v>7</v>
      </c>
      <c r="E937">
        <v>0</v>
      </c>
      <c r="F937">
        <v>0</v>
      </c>
      <c r="H937">
        <v>1</v>
      </c>
      <c r="I937">
        <v>0</v>
      </c>
      <c r="J937">
        <v>0</v>
      </c>
      <c r="K937">
        <v>0</v>
      </c>
      <c r="L937" s="7">
        <v>14.5</v>
      </c>
      <c r="M937" s="7">
        <v>28.4</v>
      </c>
      <c r="N937">
        <v>222</v>
      </c>
      <c r="O937" s="15">
        <v>180</v>
      </c>
      <c r="P937" s="8">
        <v>0.67142857142857137</v>
      </c>
      <c r="Q937">
        <v>243</v>
      </c>
      <c r="R937" s="15">
        <v>212</v>
      </c>
      <c r="S937" s="8">
        <v>0.81599999999999995</v>
      </c>
      <c r="T937">
        <v>161</v>
      </c>
      <c r="U937" s="15">
        <v>139</v>
      </c>
      <c r="V937" s="8">
        <v>0.84705882352941175</v>
      </c>
      <c r="W937">
        <f t="shared" si="14"/>
        <v>626</v>
      </c>
    </row>
    <row r="938" spans="1:23">
      <c r="A938" s="6">
        <v>45863</v>
      </c>
      <c r="B938" t="s">
        <v>66</v>
      </c>
      <c r="C938">
        <v>4</v>
      </c>
      <c r="D938">
        <v>7</v>
      </c>
      <c r="E938">
        <v>0</v>
      </c>
      <c r="F938">
        <v>0</v>
      </c>
      <c r="H938">
        <v>1</v>
      </c>
      <c r="I938">
        <v>0</v>
      </c>
      <c r="J938">
        <v>0</v>
      </c>
      <c r="K938">
        <v>0</v>
      </c>
      <c r="L938" s="7">
        <v>0</v>
      </c>
      <c r="M938" s="7">
        <v>27.2</v>
      </c>
      <c r="N938">
        <v>225</v>
      </c>
      <c r="O938" s="15">
        <v>191</v>
      </c>
      <c r="P938" s="8">
        <v>0.67142857142857137</v>
      </c>
      <c r="Q938">
        <v>277</v>
      </c>
      <c r="R938" s="15">
        <v>253</v>
      </c>
      <c r="S938" s="8">
        <v>0.92</v>
      </c>
      <c r="T938">
        <v>177</v>
      </c>
      <c r="U938" s="15">
        <v>156</v>
      </c>
      <c r="V938" s="8">
        <v>0.89411764705882357</v>
      </c>
      <c r="W938">
        <f t="shared" si="14"/>
        <v>679</v>
      </c>
    </row>
    <row r="939" spans="1:23">
      <c r="A939" s="6">
        <v>45864</v>
      </c>
      <c r="B939" t="s">
        <v>67</v>
      </c>
      <c r="C939">
        <v>5</v>
      </c>
      <c r="D939">
        <v>7</v>
      </c>
      <c r="E939">
        <v>1</v>
      </c>
      <c r="F939">
        <v>0</v>
      </c>
      <c r="H939">
        <v>1</v>
      </c>
      <c r="I939">
        <v>0</v>
      </c>
      <c r="J939">
        <v>0</v>
      </c>
      <c r="K939">
        <v>0</v>
      </c>
      <c r="L939" s="7">
        <v>0</v>
      </c>
      <c r="M939" s="7">
        <v>27.3</v>
      </c>
      <c r="N939">
        <v>260</v>
      </c>
      <c r="O939" s="15">
        <v>211</v>
      </c>
      <c r="P939" s="8">
        <v>0.7857142857142857</v>
      </c>
      <c r="Q939">
        <v>269</v>
      </c>
      <c r="R939" s="15">
        <v>227</v>
      </c>
      <c r="S939" s="8">
        <v>0.89600000000000002</v>
      </c>
      <c r="T939">
        <v>185</v>
      </c>
      <c r="U939" s="15">
        <v>169</v>
      </c>
      <c r="V939" s="8">
        <v>0.96470588235294119</v>
      </c>
      <c r="W939">
        <f t="shared" si="14"/>
        <v>714</v>
      </c>
    </row>
    <row r="940" spans="1:23">
      <c r="A940" s="6">
        <v>45865</v>
      </c>
      <c r="B940" t="s">
        <v>60</v>
      </c>
      <c r="C940">
        <v>6</v>
      </c>
      <c r="D940">
        <v>7</v>
      </c>
      <c r="E940">
        <v>1</v>
      </c>
      <c r="F940">
        <v>0</v>
      </c>
      <c r="H940">
        <v>1</v>
      </c>
      <c r="I940">
        <v>0</v>
      </c>
      <c r="J940">
        <v>0</v>
      </c>
      <c r="K940">
        <v>0</v>
      </c>
      <c r="L940" s="7">
        <v>0</v>
      </c>
      <c r="M940" s="7">
        <v>27.6</v>
      </c>
      <c r="N940">
        <v>247</v>
      </c>
      <c r="O940" s="15">
        <v>224</v>
      </c>
      <c r="P940" s="8">
        <v>0.77142857142857146</v>
      </c>
      <c r="Q940">
        <v>262</v>
      </c>
      <c r="R940" s="15">
        <v>240</v>
      </c>
      <c r="S940" s="8">
        <v>0.89600000000000002</v>
      </c>
      <c r="T940">
        <v>189</v>
      </c>
      <c r="U940" s="15">
        <v>170</v>
      </c>
      <c r="V940" s="8">
        <v>0.96470588235294119</v>
      </c>
      <c r="W940">
        <f t="shared" si="14"/>
        <v>698</v>
      </c>
    </row>
    <row r="941" spans="1:23">
      <c r="A941" s="6">
        <v>45866</v>
      </c>
      <c r="B941" t="s">
        <v>62</v>
      </c>
      <c r="C941">
        <v>0</v>
      </c>
      <c r="D941">
        <v>7</v>
      </c>
      <c r="E941">
        <v>0</v>
      </c>
      <c r="F941">
        <v>0</v>
      </c>
      <c r="H941">
        <v>1</v>
      </c>
      <c r="I941">
        <v>0</v>
      </c>
      <c r="J941">
        <v>0</v>
      </c>
      <c r="K941">
        <v>0</v>
      </c>
      <c r="L941" s="7">
        <v>15.2</v>
      </c>
      <c r="M941" s="7">
        <v>28.8</v>
      </c>
      <c r="N941">
        <v>212</v>
      </c>
      <c r="O941" s="15">
        <v>174</v>
      </c>
      <c r="P941" s="8">
        <v>0.6428571428571429</v>
      </c>
      <c r="Q941">
        <v>214</v>
      </c>
      <c r="R941" s="15">
        <v>173</v>
      </c>
      <c r="S941" s="8">
        <v>0.70399999999999996</v>
      </c>
      <c r="T941">
        <v>150</v>
      </c>
      <c r="U941" s="15">
        <v>122</v>
      </c>
      <c r="V941" s="8">
        <v>0.8</v>
      </c>
      <c r="W941">
        <f t="shared" si="14"/>
        <v>576</v>
      </c>
    </row>
    <row r="942" spans="1:23">
      <c r="A942" s="6">
        <v>45867</v>
      </c>
      <c r="B942" t="s">
        <v>63</v>
      </c>
      <c r="C942">
        <v>1</v>
      </c>
      <c r="D942">
        <v>7</v>
      </c>
      <c r="E942">
        <v>0</v>
      </c>
      <c r="F942">
        <v>0</v>
      </c>
      <c r="H942">
        <v>1</v>
      </c>
      <c r="I942">
        <v>0</v>
      </c>
      <c r="J942">
        <v>0</v>
      </c>
      <c r="K942">
        <v>0</v>
      </c>
      <c r="L942" s="7">
        <v>5.0999999999999996</v>
      </c>
      <c r="M942" s="7">
        <v>28.5</v>
      </c>
      <c r="N942">
        <v>237</v>
      </c>
      <c r="O942" s="15">
        <v>208</v>
      </c>
      <c r="P942" s="8">
        <v>0.7142857142857143</v>
      </c>
      <c r="Q942">
        <v>211</v>
      </c>
      <c r="R942" s="15">
        <v>187</v>
      </c>
      <c r="S942" s="8">
        <v>0.72799999999999998</v>
      </c>
      <c r="T942">
        <v>158</v>
      </c>
      <c r="U942" s="15">
        <v>145</v>
      </c>
      <c r="V942" s="8">
        <v>0.78823529411764703</v>
      </c>
      <c r="W942">
        <f t="shared" si="14"/>
        <v>606</v>
      </c>
    </row>
    <row r="943" spans="1:23">
      <c r="A943" s="6">
        <v>45868</v>
      </c>
      <c r="B943" t="s">
        <v>64</v>
      </c>
      <c r="C943">
        <v>2</v>
      </c>
      <c r="D943">
        <v>7</v>
      </c>
      <c r="E943">
        <v>0</v>
      </c>
      <c r="F943">
        <v>0</v>
      </c>
      <c r="H943">
        <v>1</v>
      </c>
      <c r="I943">
        <v>0</v>
      </c>
      <c r="J943">
        <v>0</v>
      </c>
      <c r="K943">
        <v>0</v>
      </c>
      <c r="L943" s="7">
        <v>0</v>
      </c>
      <c r="M943" s="7">
        <v>27.1</v>
      </c>
      <c r="N943">
        <v>210</v>
      </c>
      <c r="O943" s="15">
        <v>171</v>
      </c>
      <c r="P943" s="8">
        <v>0.65</v>
      </c>
      <c r="Q943">
        <v>240</v>
      </c>
      <c r="R943" s="15">
        <v>211</v>
      </c>
      <c r="S943" s="8">
        <v>0.8</v>
      </c>
      <c r="T943">
        <v>159</v>
      </c>
      <c r="U943" s="15">
        <v>149</v>
      </c>
      <c r="V943" s="8">
        <v>0.82352941176470584</v>
      </c>
      <c r="W943">
        <f t="shared" si="14"/>
        <v>609</v>
      </c>
    </row>
    <row r="944" spans="1:23">
      <c r="A944" s="6">
        <v>45869</v>
      </c>
      <c r="B944" t="s">
        <v>65</v>
      </c>
      <c r="C944">
        <v>3</v>
      </c>
      <c r="D944">
        <v>7</v>
      </c>
      <c r="E944">
        <v>0</v>
      </c>
      <c r="F944">
        <v>0</v>
      </c>
      <c r="H944">
        <v>1</v>
      </c>
      <c r="I944">
        <v>0</v>
      </c>
      <c r="J944">
        <v>0</v>
      </c>
      <c r="K944">
        <v>0</v>
      </c>
      <c r="L944" s="7">
        <v>7.3</v>
      </c>
      <c r="M944" s="7">
        <v>28.4</v>
      </c>
      <c r="N944">
        <v>208</v>
      </c>
      <c r="O944" s="15">
        <v>174</v>
      </c>
      <c r="P944" s="8">
        <v>0.6428571428571429</v>
      </c>
      <c r="Q944">
        <v>223</v>
      </c>
      <c r="R944" s="15">
        <v>184</v>
      </c>
      <c r="S944" s="8">
        <v>0.76800000000000002</v>
      </c>
      <c r="T944">
        <v>173</v>
      </c>
      <c r="U944" s="15">
        <v>150</v>
      </c>
      <c r="V944" s="8">
        <v>0.88235294117647056</v>
      </c>
      <c r="W944">
        <f t="shared" si="14"/>
        <v>604</v>
      </c>
    </row>
    <row r="945" spans="1:23">
      <c r="A945" s="6">
        <v>45870</v>
      </c>
      <c r="B945" t="s">
        <v>66</v>
      </c>
      <c r="C945">
        <v>4</v>
      </c>
      <c r="D945">
        <v>8</v>
      </c>
      <c r="E945">
        <v>0</v>
      </c>
      <c r="F945">
        <v>0</v>
      </c>
      <c r="H945">
        <v>0</v>
      </c>
      <c r="I945">
        <v>0</v>
      </c>
      <c r="J945">
        <v>0</v>
      </c>
      <c r="K945">
        <v>0</v>
      </c>
      <c r="L945" s="7">
        <v>3.6</v>
      </c>
      <c r="M945" s="7">
        <v>28.5</v>
      </c>
      <c r="N945">
        <v>216</v>
      </c>
      <c r="O945" s="15">
        <v>184</v>
      </c>
      <c r="P945" s="8">
        <v>0.66428571428571426</v>
      </c>
      <c r="Q945">
        <v>194</v>
      </c>
      <c r="R945" s="15">
        <v>161</v>
      </c>
      <c r="S945" s="8">
        <v>0.64800000000000002</v>
      </c>
      <c r="T945">
        <v>142</v>
      </c>
      <c r="U945" s="15">
        <v>131</v>
      </c>
      <c r="V945" s="8">
        <v>0.71764705882352942</v>
      </c>
      <c r="W945">
        <f t="shared" si="14"/>
        <v>552</v>
      </c>
    </row>
    <row r="946" spans="1:23">
      <c r="A946" s="6">
        <v>45871</v>
      </c>
      <c r="B946" t="s">
        <v>67</v>
      </c>
      <c r="C946">
        <v>5</v>
      </c>
      <c r="D946">
        <v>8</v>
      </c>
      <c r="E946">
        <v>1</v>
      </c>
      <c r="F946">
        <v>0</v>
      </c>
      <c r="H946">
        <v>0</v>
      </c>
      <c r="I946">
        <v>0</v>
      </c>
      <c r="J946">
        <v>0</v>
      </c>
      <c r="K946">
        <v>0</v>
      </c>
      <c r="L946" s="7">
        <v>0.2</v>
      </c>
      <c r="M946" s="7">
        <v>29.6</v>
      </c>
      <c r="N946">
        <v>214</v>
      </c>
      <c r="O946" s="15">
        <v>180</v>
      </c>
      <c r="P946" s="8">
        <v>0.68571428571428572</v>
      </c>
      <c r="Q946">
        <v>223</v>
      </c>
      <c r="R946" s="15">
        <v>203</v>
      </c>
      <c r="S946" s="8">
        <v>0.72799999999999998</v>
      </c>
      <c r="T946">
        <v>157</v>
      </c>
      <c r="U946" s="15">
        <v>136</v>
      </c>
      <c r="V946" s="8">
        <v>0.82352941176470584</v>
      </c>
      <c r="W946">
        <f t="shared" si="14"/>
        <v>594</v>
      </c>
    </row>
    <row r="947" spans="1:23">
      <c r="A947" s="6">
        <v>45872</v>
      </c>
      <c r="B947" t="s">
        <v>60</v>
      </c>
      <c r="C947">
        <v>6</v>
      </c>
      <c r="D947">
        <v>8</v>
      </c>
      <c r="E947">
        <v>1</v>
      </c>
      <c r="F947">
        <v>0</v>
      </c>
      <c r="H947">
        <v>0</v>
      </c>
      <c r="I947">
        <v>0</v>
      </c>
      <c r="J947">
        <v>0</v>
      </c>
      <c r="K947">
        <v>0</v>
      </c>
      <c r="L947" s="7">
        <v>3.5</v>
      </c>
      <c r="M947" s="7">
        <v>28</v>
      </c>
      <c r="N947">
        <v>232</v>
      </c>
      <c r="O947" s="15">
        <v>211</v>
      </c>
      <c r="P947" s="8">
        <v>0.70714285714285718</v>
      </c>
      <c r="Q947">
        <v>210</v>
      </c>
      <c r="R947" s="15">
        <v>182</v>
      </c>
      <c r="S947" s="8">
        <v>0.71199999999999997</v>
      </c>
      <c r="T947">
        <v>168</v>
      </c>
      <c r="U947" s="15">
        <v>157</v>
      </c>
      <c r="V947" s="8">
        <v>0.83529411764705885</v>
      </c>
      <c r="W947">
        <f t="shared" si="14"/>
        <v>610</v>
      </c>
    </row>
    <row r="948" spans="1:23">
      <c r="A948" s="6">
        <v>45873</v>
      </c>
      <c r="B948" t="s">
        <v>62</v>
      </c>
      <c r="C948">
        <v>0</v>
      </c>
      <c r="D948">
        <v>8</v>
      </c>
      <c r="E948">
        <v>0</v>
      </c>
      <c r="F948">
        <v>0</v>
      </c>
      <c r="H948">
        <v>0</v>
      </c>
      <c r="I948">
        <v>0</v>
      </c>
      <c r="J948">
        <v>0</v>
      </c>
      <c r="K948">
        <v>0</v>
      </c>
      <c r="L948" s="7">
        <v>0</v>
      </c>
      <c r="M948" s="7">
        <v>29</v>
      </c>
      <c r="N948">
        <v>203</v>
      </c>
      <c r="O948" s="15">
        <v>172</v>
      </c>
      <c r="P948" s="8">
        <v>0.6071428571428571</v>
      </c>
      <c r="Q948">
        <v>170</v>
      </c>
      <c r="R948" s="15">
        <v>147</v>
      </c>
      <c r="S948" s="8">
        <v>0.57599999999999996</v>
      </c>
      <c r="T948">
        <v>132</v>
      </c>
      <c r="U948" s="15">
        <v>116</v>
      </c>
      <c r="V948" s="8">
        <v>0.70588235294117652</v>
      </c>
      <c r="W948">
        <f t="shared" si="14"/>
        <v>505</v>
      </c>
    </row>
    <row r="949" spans="1:23">
      <c r="A949" s="6">
        <v>45874</v>
      </c>
      <c r="B949" t="s">
        <v>63</v>
      </c>
      <c r="C949">
        <v>1</v>
      </c>
      <c r="D949">
        <v>8</v>
      </c>
      <c r="E949">
        <v>0</v>
      </c>
      <c r="F949">
        <v>0</v>
      </c>
      <c r="H949">
        <v>0</v>
      </c>
      <c r="I949">
        <v>0</v>
      </c>
      <c r="J949">
        <v>0</v>
      </c>
      <c r="K949">
        <v>1</v>
      </c>
      <c r="L949" s="7">
        <v>0.7</v>
      </c>
      <c r="M949" s="7">
        <v>27.4</v>
      </c>
      <c r="N949">
        <v>231</v>
      </c>
      <c r="O949" s="15">
        <v>216</v>
      </c>
      <c r="P949" s="8">
        <v>0.7</v>
      </c>
      <c r="Q949">
        <v>231</v>
      </c>
      <c r="R949" s="15">
        <v>186</v>
      </c>
      <c r="S949" s="8">
        <v>0.71199999999999997</v>
      </c>
      <c r="T949">
        <v>154</v>
      </c>
      <c r="U949" s="15">
        <v>132</v>
      </c>
      <c r="V949" s="8">
        <v>0.8</v>
      </c>
      <c r="W949">
        <f t="shared" si="14"/>
        <v>616</v>
      </c>
    </row>
    <row r="950" spans="1:23">
      <c r="A950" s="6">
        <v>45875</v>
      </c>
      <c r="B950" t="s">
        <v>64</v>
      </c>
      <c r="C950">
        <v>2</v>
      </c>
      <c r="D950">
        <v>8</v>
      </c>
      <c r="E950">
        <v>0</v>
      </c>
      <c r="F950">
        <v>0</v>
      </c>
      <c r="H950">
        <v>0</v>
      </c>
      <c r="I950">
        <v>0</v>
      </c>
      <c r="J950">
        <v>0</v>
      </c>
      <c r="K950">
        <v>1</v>
      </c>
      <c r="L950" s="7">
        <v>0</v>
      </c>
      <c r="M950" s="7">
        <v>28.8</v>
      </c>
      <c r="N950">
        <v>217</v>
      </c>
      <c r="O950" s="15">
        <v>202</v>
      </c>
      <c r="P950" s="8">
        <v>0.6785714285714286</v>
      </c>
      <c r="Q950">
        <v>189</v>
      </c>
      <c r="R950" s="15">
        <v>164</v>
      </c>
      <c r="S950" s="8">
        <v>0.64800000000000002</v>
      </c>
      <c r="T950">
        <v>157</v>
      </c>
      <c r="U950" s="15">
        <v>141</v>
      </c>
      <c r="V950" s="8">
        <v>0.81176470588235294</v>
      </c>
      <c r="W950">
        <f t="shared" si="14"/>
        <v>563</v>
      </c>
    </row>
    <row r="951" spans="1:23">
      <c r="A951" s="6">
        <v>45876</v>
      </c>
      <c r="B951" t="s">
        <v>65</v>
      </c>
      <c r="C951">
        <v>3</v>
      </c>
      <c r="D951">
        <v>8</v>
      </c>
      <c r="E951">
        <v>0</v>
      </c>
      <c r="F951">
        <v>0</v>
      </c>
      <c r="H951">
        <v>0</v>
      </c>
      <c r="I951">
        <v>0</v>
      </c>
      <c r="J951">
        <v>0</v>
      </c>
      <c r="K951">
        <v>0</v>
      </c>
      <c r="L951" s="7">
        <v>4.5</v>
      </c>
      <c r="M951" s="7">
        <v>29</v>
      </c>
      <c r="N951">
        <v>209</v>
      </c>
      <c r="O951" s="15">
        <v>188</v>
      </c>
      <c r="P951" s="8">
        <v>0.62857142857142856</v>
      </c>
      <c r="Q951">
        <v>195</v>
      </c>
      <c r="R951" s="15">
        <v>158</v>
      </c>
      <c r="S951" s="8">
        <v>0.64800000000000002</v>
      </c>
      <c r="T951">
        <v>133</v>
      </c>
      <c r="U951" s="15">
        <v>120</v>
      </c>
      <c r="V951" s="8">
        <v>0.70588235294117652</v>
      </c>
      <c r="W951">
        <f t="shared" si="14"/>
        <v>537</v>
      </c>
    </row>
    <row r="952" spans="1:23">
      <c r="A952" s="6">
        <v>45877</v>
      </c>
      <c r="B952" t="s">
        <v>66</v>
      </c>
      <c r="C952">
        <v>4</v>
      </c>
      <c r="D952">
        <v>8</v>
      </c>
      <c r="E952">
        <v>0</v>
      </c>
      <c r="F952">
        <v>0</v>
      </c>
      <c r="H952">
        <v>0</v>
      </c>
      <c r="I952">
        <v>0</v>
      </c>
      <c r="J952">
        <v>0</v>
      </c>
      <c r="K952">
        <v>0</v>
      </c>
      <c r="L952" s="7">
        <v>0.6</v>
      </c>
      <c r="M952" s="7">
        <v>29.8</v>
      </c>
      <c r="N952">
        <v>187</v>
      </c>
      <c r="O952" s="15">
        <v>167</v>
      </c>
      <c r="P952" s="8">
        <v>0.5714285714285714</v>
      </c>
      <c r="Q952">
        <v>194</v>
      </c>
      <c r="R952" s="15">
        <v>177</v>
      </c>
      <c r="S952" s="8">
        <v>0.61599999999999999</v>
      </c>
      <c r="T952">
        <v>133</v>
      </c>
      <c r="U952" s="15">
        <v>125</v>
      </c>
      <c r="V952" s="8">
        <v>0.68235294117647061</v>
      </c>
      <c r="W952">
        <f t="shared" si="14"/>
        <v>514</v>
      </c>
    </row>
    <row r="953" spans="1:23">
      <c r="A953" s="6">
        <v>45878</v>
      </c>
      <c r="B953" t="s">
        <v>67</v>
      </c>
      <c r="C953">
        <v>5</v>
      </c>
      <c r="D953">
        <v>8</v>
      </c>
      <c r="E953">
        <v>1</v>
      </c>
      <c r="F953">
        <v>0</v>
      </c>
      <c r="H953">
        <v>0</v>
      </c>
      <c r="I953">
        <v>0</v>
      </c>
      <c r="J953">
        <v>0</v>
      </c>
      <c r="K953">
        <v>0</v>
      </c>
      <c r="L953" s="7">
        <v>0</v>
      </c>
      <c r="M953" s="7">
        <v>28.5</v>
      </c>
      <c r="N953">
        <v>244</v>
      </c>
      <c r="O953" s="15">
        <v>217</v>
      </c>
      <c r="P953" s="8">
        <v>0.74285714285714288</v>
      </c>
      <c r="Q953">
        <v>226</v>
      </c>
      <c r="R953" s="15">
        <v>198</v>
      </c>
      <c r="S953" s="8">
        <v>0.752</v>
      </c>
      <c r="T953">
        <v>159</v>
      </c>
      <c r="U953" s="15">
        <v>132</v>
      </c>
      <c r="V953" s="8">
        <v>0.81176470588235294</v>
      </c>
      <c r="W953">
        <f t="shared" si="14"/>
        <v>629</v>
      </c>
    </row>
    <row r="954" spans="1:23">
      <c r="A954" s="6">
        <v>45879</v>
      </c>
      <c r="B954" t="s">
        <v>60</v>
      </c>
      <c r="C954">
        <v>6</v>
      </c>
      <c r="D954">
        <v>8</v>
      </c>
      <c r="E954">
        <v>1</v>
      </c>
      <c r="F954">
        <v>0</v>
      </c>
      <c r="H954">
        <v>0</v>
      </c>
      <c r="I954">
        <v>0</v>
      </c>
      <c r="J954">
        <v>0</v>
      </c>
      <c r="K954">
        <v>0</v>
      </c>
      <c r="L954" s="7">
        <v>1.2</v>
      </c>
      <c r="M954" s="7">
        <v>29.9</v>
      </c>
      <c r="N954">
        <v>243</v>
      </c>
      <c r="O954" s="15">
        <v>210</v>
      </c>
      <c r="P954" s="8">
        <v>0.72857142857142854</v>
      </c>
      <c r="Q954">
        <v>223</v>
      </c>
      <c r="R954" s="15">
        <v>197</v>
      </c>
      <c r="S954" s="8">
        <v>0.74399999999999999</v>
      </c>
      <c r="T954">
        <v>139</v>
      </c>
      <c r="U954" s="15">
        <v>116</v>
      </c>
      <c r="V954" s="8">
        <v>0.76470588235294112</v>
      </c>
      <c r="W954">
        <f t="shared" si="14"/>
        <v>605</v>
      </c>
    </row>
    <row r="955" spans="1:23">
      <c r="A955" s="6">
        <v>45880</v>
      </c>
      <c r="B955" t="s">
        <v>62</v>
      </c>
      <c r="C955">
        <v>0</v>
      </c>
      <c r="D955">
        <v>8</v>
      </c>
      <c r="E955">
        <v>0</v>
      </c>
      <c r="F955">
        <v>0</v>
      </c>
      <c r="H955">
        <v>0</v>
      </c>
      <c r="I955">
        <v>0</v>
      </c>
      <c r="J955">
        <v>0</v>
      </c>
      <c r="K955">
        <v>0</v>
      </c>
      <c r="L955" s="7">
        <v>3.3</v>
      </c>
      <c r="M955" s="7">
        <v>28.5</v>
      </c>
      <c r="N955">
        <v>191</v>
      </c>
      <c r="O955" s="15">
        <v>170</v>
      </c>
      <c r="P955" s="8">
        <v>0.55714285714285716</v>
      </c>
      <c r="Q955">
        <v>173</v>
      </c>
      <c r="R955" s="15">
        <v>161</v>
      </c>
      <c r="S955" s="8">
        <v>0.58399999999999996</v>
      </c>
      <c r="T955">
        <v>120</v>
      </c>
      <c r="U955" s="15">
        <v>106</v>
      </c>
      <c r="V955" s="8">
        <v>0.62352941176470589</v>
      </c>
      <c r="W955">
        <f t="shared" si="14"/>
        <v>484</v>
      </c>
    </row>
    <row r="956" spans="1:23">
      <c r="A956" s="6">
        <v>45881</v>
      </c>
      <c r="B956" t="s">
        <v>63</v>
      </c>
      <c r="C956">
        <v>1</v>
      </c>
      <c r="D956">
        <v>8</v>
      </c>
      <c r="E956">
        <v>0</v>
      </c>
      <c r="F956">
        <v>0</v>
      </c>
      <c r="H956">
        <v>0</v>
      </c>
      <c r="I956">
        <v>0</v>
      </c>
      <c r="J956">
        <v>0</v>
      </c>
      <c r="K956">
        <v>1</v>
      </c>
      <c r="L956" s="7">
        <v>0.8</v>
      </c>
      <c r="M956" s="7">
        <v>30.1</v>
      </c>
      <c r="N956">
        <v>220</v>
      </c>
      <c r="O956" s="15">
        <v>176</v>
      </c>
      <c r="P956" s="8">
        <v>0.66428571428571426</v>
      </c>
      <c r="Q956">
        <v>190</v>
      </c>
      <c r="R956" s="15">
        <v>152</v>
      </c>
      <c r="S956" s="8">
        <v>0.63200000000000001</v>
      </c>
      <c r="T956">
        <v>135</v>
      </c>
      <c r="U956" s="15">
        <v>112</v>
      </c>
      <c r="V956" s="8">
        <v>0.71764705882352942</v>
      </c>
      <c r="W956">
        <f t="shared" si="14"/>
        <v>545</v>
      </c>
    </row>
    <row r="957" spans="1:23">
      <c r="A957" s="6">
        <v>45882</v>
      </c>
      <c r="B957" t="s">
        <v>64</v>
      </c>
      <c r="C957">
        <v>2</v>
      </c>
      <c r="D957">
        <v>8</v>
      </c>
      <c r="E957">
        <v>0</v>
      </c>
      <c r="F957">
        <v>0</v>
      </c>
      <c r="H957">
        <v>0</v>
      </c>
      <c r="I957">
        <v>0</v>
      </c>
      <c r="J957">
        <v>0</v>
      </c>
      <c r="K957">
        <v>1</v>
      </c>
      <c r="L957" s="7">
        <v>3.4</v>
      </c>
      <c r="M957" s="7">
        <v>28.4</v>
      </c>
      <c r="N957">
        <v>223</v>
      </c>
      <c r="O957" s="15">
        <v>192</v>
      </c>
      <c r="P957" s="8">
        <v>0.68571428571428572</v>
      </c>
      <c r="Q957">
        <v>177</v>
      </c>
      <c r="R957" s="15">
        <v>163</v>
      </c>
      <c r="S957" s="8">
        <v>0.6</v>
      </c>
      <c r="T957">
        <v>131</v>
      </c>
      <c r="U957" s="15">
        <v>106</v>
      </c>
      <c r="V957" s="8">
        <v>0.70588235294117652</v>
      </c>
      <c r="W957">
        <f t="shared" si="14"/>
        <v>531</v>
      </c>
    </row>
    <row r="958" spans="1:23">
      <c r="A958" s="6">
        <v>45883</v>
      </c>
      <c r="B958" t="s">
        <v>65</v>
      </c>
      <c r="C958">
        <v>3</v>
      </c>
      <c r="D958">
        <v>8</v>
      </c>
      <c r="E958">
        <v>0</v>
      </c>
      <c r="F958">
        <v>0</v>
      </c>
      <c r="H958">
        <v>0</v>
      </c>
      <c r="I958">
        <v>0</v>
      </c>
      <c r="J958">
        <v>0</v>
      </c>
      <c r="K958">
        <v>0</v>
      </c>
      <c r="L958" s="7">
        <v>1.9</v>
      </c>
      <c r="M958" s="7">
        <v>28.4</v>
      </c>
      <c r="N958">
        <v>199</v>
      </c>
      <c r="O958" s="15">
        <v>159</v>
      </c>
      <c r="P958" s="8">
        <v>0.61428571428571432</v>
      </c>
      <c r="Q958">
        <v>174</v>
      </c>
      <c r="R958" s="15">
        <v>151</v>
      </c>
      <c r="S958" s="8">
        <v>0.55200000000000005</v>
      </c>
      <c r="T958">
        <v>126</v>
      </c>
      <c r="U958" s="15">
        <v>107</v>
      </c>
      <c r="V958" s="8">
        <v>0.6470588235294118</v>
      </c>
      <c r="W958">
        <f t="shared" si="14"/>
        <v>499</v>
      </c>
    </row>
    <row r="959" spans="1:23">
      <c r="A959" s="6">
        <v>45884</v>
      </c>
      <c r="B959" t="s">
        <v>66</v>
      </c>
      <c r="C959">
        <v>4</v>
      </c>
      <c r="D959">
        <v>8</v>
      </c>
      <c r="E959">
        <v>0</v>
      </c>
      <c r="F959">
        <v>0</v>
      </c>
      <c r="H959">
        <v>0</v>
      </c>
      <c r="I959">
        <v>0</v>
      </c>
      <c r="J959">
        <v>0</v>
      </c>
      <c r="K959">
        <v>0</v>
      </c>
      <c r="L959" s="7">
        <v>1</v>
      </c>
      <c r="M959" s="7">
        <v>27.9</v>
      </c>
      <c r="N959">
        <v>232</v>
      </c>
      <c r="O959" s="15">
        <v>191</v>
      </c>
      <c r="P959" s="8">
        <v>0.7</v>
      </c>
      <c r="Q959">
        <v>207</v>
      </c>
      <c r="R959" s="15">
        <v>190</v>
      </c>
      <c r="S959" s="8">
        <v>0.67200000000000004</v>
      </c>
      <c r="T959">
        <v>136</v>
      </c>
      <c r="U959" s="15">
        <v>124</v>
      </c>
      <c r="V959" s="8">
        <v>0.68235294117647061</v>
      </c>
      <c r="W959">
        <f t="shared" si="14"/>
        <v>575</v>
      </c>
    </row>
    <row r="960" spans="1:23">
      <c r="A960" s="6">
        <v>45885</v>
      </c>
      <c r="B960" t="s">
        <v>67</v>
      </c>
      <c r="C960">
        <v>5</v>
      </c>
      <c r="D960">
        <v>8</v>
      </c>
      <c r="E960">
        <v>1</v>
      </c>
      <c r="F960">
        <v>0</v>
      </c>
      <c r="H960">
        <v>0</v>
      </c>
      <c r="I960">
        <v>0</v>
      </c>
      <c r="J960">
        <v>0</v>
      </c>
      <c r="K960">
        <v>0</v>
      </c>
      <c r="L960" s="7">
        <v>0.5</v>
      </c>
      <c r="M960" s="7">
        <v>28.6</v>
      </c>
      <c r="N960">
        <v>211</v>
      </c>
      <c r="O960" s="15">
        <v>188</v>
      </c>
      <c r="P960" s="8">
        <v>0.6428571428571429</v>
      </c>
      <c r="Q960">
        <v>207</v>
      </c>
      <c r="R960" s="15">
        <v>167</v>
      </c>
      <c r="S960" s="8">
        <v>0.67200000000000004</v>
      </c>
      <c r="T960">
        <v>138</v>
      </c>
      <c r="U960" s="15">
        <v>117</v>
      </c>
      <c r="V960" s="8">
        <v>0.74117647058823533</v>
      </c>
      <c r="W960">
        <f t="shared" si="14"/>
        <v>556</v>
      </c>
    </row>
    <row r="961" spans="1:23">
      <c r="A961" s="6">
        <v>45886</v>
      </c>
      <c r="B961" t="s">
        <v>60</v>
      </c>
      <c r="C961">
        <v>6</v>
      </c>
      <c r="D961">
        <v>8</v>
      </c>
      <c r="E961">
        <v>1</v>
      </c>
      <c r="F961">
        <v>0</v>
      </c>
      <c r="H961">
        <v>0</v>
      </c>
      <c r="I961">
        <v>0</v>
      </c>
      <c r="J961">
        <v>0</v>
      </c>
      <c r="K961">
        <v>0</v>
      </c>
      <c r="L961" s="7">
        <v>0.6</v>
      </c>
      <c r="M961" s="7">
        <v>29.1</v>
      </c>
      <c r="N961">
        <v>226</v>
      </c>
      <c r="O961" s="15">
        <v>209</v>
      </c>
      <c r="P961" s="8">
        <v>0.6785714285714286</v>
      </c>
      <c r="Q961">
        <v>171</v>
      </c>
      <c r="R961" s="15">
        <v>158</v>
      </c>
      <c r="S961" s="8">
        <v>0.60799999999999998</v>
      </c>
      <c r="T961">
        <v>132</v>
      </c>
      <c r="U961" s="15">
        <v>123</v>
      </c>
      <c r="V961" s="8">
        <v>0.70588235294117652</v>
      </c>
      <c r="W961">
        <f t="shared" si="14"/>
        <v>529</v>
      </c>
    </row>
    <row r="962" spans="1:23">
      <c r="A962" s="6">
        <v>45887</v>
      </c>
      <c r="B962" t="s">
        <v>62</v>
      </c>
      <c r="C962">
        <v>0</v>
      </c>
      <c r="D962">
        <v>8</v>
      </c>
      <c r="E962">
        <v>0</v>
      </c>
      <c r="F962">
        <v>0</v>
      </c>
      <c r="H962">
        <v>0</v>
      </c>
      <c r="I962">
        <v>0</v>
      </c>
      <c r="J962">
        <v>0</v>
      </c>
      <c r="K962">
        <v>0</v>
      </c>
      <c r="L962" s="7">
        <v>2.8</v>
      </c>
      <c r="M962" s="7">
        <v>28.9</v>
      </c>
      <c r="N962">
        <v>203</v>
      </c>
      <c r="O962" s="15">
        <v>170</v>
      </c>
      <c r="P962" s="8">
        <v>0.6</v>
      </c>
      <c r="Q962">
        <v>180</v>
      </c>
      <c r="R962" s="15">
        <v>162</v>
      </c>
      <c r="S962" s="8">
        <v>0.60799999999999998</v>
      </c>
      <c r="T962">
        <v>128</v>
      </c>
      <c r="U962" s="15">
        <v>116</v>
      </c>
      <c r="V962" s="8">
        <v>0.6705882352941176</v>
      </c>
      <c r="W962">
        <f t="shared" ref="W962:W1025" si="15">N962+Q962+T962</f>
        <v>511</v>
      </c>
    </row>
    <row r="963" spans="1:23">
      <c r="A963" s="6">
        <v>45888</v>
      </c>
      <c r="B963" t="s">
        <v>63</v>
      </c>
      <c r="C963">
        <v>1</v>
      </c>
      <c r="D963">
        <v>8</v>
      </c>
      <c r="E963">
        <v>0</v>
      </c>
      <c r="F963">
        <v>0</v>
      </c>
      <c r="H963">
        <v>0</v>
      </c>
      <c r="I963">
        <v>0</v>
      </c>
      <c r="J963">
        <v>0</v>
      </c>
      <c r="K963">
        <v>0</v>
      </c>
      <c r="L963" s="7">
        <v>2.8</v>
      </c>
      <c r="M963" s="7">
        <v>29.4</v>
      </c>
      <c r="N963">
        <v>202</v>
      </c>
      <c r="O963" s="15">
        <v>183</v>
      </c>
      <c r="P963" s="8">
        <v>0.6</v>
      </c>
      <c r="Q963">
        <v>172</v>
      </c>
      <c r="R963" s="15">
        <v>159</v>
      </c>
      <c r="S963" s="8">
        <v>0.58399999999999996</v>
      </c>
      <c r="T963">
        <v>149</v>
      </c>
      <c r="U963" s="15">
        <v>125</v>
      </c>
      <c r="V963" s="8">
        <v>0.74117647058823533</v>
      </c>
      <c r="W963">
        <f t="shared" si="15"/>
        <v>523</v>
      </c>
    </row>
    <row r="964" spans="1:23">
      <c r="A964" s="6">
        <v>45889</v>
      </c>
      <c r="B964" t="s">
        <v>64</v>
      </c>
      <c r="C964">
        <v>2</v>
      </c>
      <c r="D964">
        <v>8</v>
      </c>
      <c r="E964">
        <v>0</v>
      </c>
      <c r="F964">
        <v>0</v>
      </c>
      <c r="H964">
        <v>0</v>
      </c>
      <c r="I964">
        <v>0</v>
      </c>
      <c r="J964">
        <v>0</v>
      </c>
      <c r="K964">
        <v>0</v>
      </c>
      <c r="L964" s="7">
        <v>2.2000000000000002</v>
      </c>
      <c r="M964" s="7">
        <v>28.9</v>
      </c>
      <c r="N964">
        <v>192</v>
      </c>
      <c r="O964" s="15">
        <v>173</v>
      </c>
      <c r="P964" s="8">
        <v>0.59285714285714286</v>
      </c>
      <c r="Q964">
        <v>177</v>
      </c>
      <c r="R964" s="15">
        <v>164</v>
      </c>
      <c r="S964" s="8">
        <v>0.58399999999999996</v>
      </c>
      <c r="T964">
        <v>113</v>
      </c>
      <c r="U964" s="15">
        <v>95</v>
      </c>
      <c r="V964" s="8">
        <v>0.6470588235294118</v>
      </c>
      <c r="W964">
        <f t="shared" si="15"/>
        <v>482</v>
      </c>
    </row>
    <row r="965" spans="1:23">
      <c r="A965" s="6">
        <v>45890</v>
      </c>
      <c r="B965" t="s">
        <v>65</v>
      </c>
      <c r="C965">
        <v>3</v>
      </c>
      <c r="D965">
        <v>8</v>
      </c>
      <c r="E965">
        <v>0</v>
      </c>
      <c r="F965">
        <v>0</v>
      </c>
      <c r="H965">
        <v>0</v>
      </c>
      <c r="I965">
        <v>0</v>
      </c>
      <c r="J965">
        <v>0</v>
      </c>
      <c r="K965">
        <v>0</v>
      </c>
      <c r="L965" s="7">
        <v>0</v>
      </c>
      <c r="M965" s="7">
        <v>27.3</v>
      </c>
      <c r="N965">
        <v>191</v>
      </c>
      <c r="O965" s="15">
        <v>167</v>
      </c>
      <c r="P965" s="8">
        <v>0.5714285714285714</v>
      </c>
      <c r="Q965">
        <v>179</v>
      </c>
      <c r="R965" s="15">
        <v>162</v>
      </c>
      <c r="S965" s="8">
        <v>0.59199999999999997</v>
      </c>
      <c r="T965">
        <v>110</v>
      </c>
      <c r="U965" s="15">
        <v>90</v>
      </c>
      <c r="V965" s="8">
        <v>0.57647058823529407</v>
      </c>
      <c r="W965">
        <f t="shared" si="15"/>
        <v>480</v>
      </c>
    </row>
    <row r="966" spans="1:23">
      <c r="A966" s="6">
        <v>45891</v>
      </c>
      <c r="B966" t="s">
        <v>66</v>
      </c>
      <c r="C966">
        <v>4</v>
      </c>
      <c r="D966">
        <v>8</v>
      </c>
      <c r="E966">
        <v>0</v>
      </c>
      <c r="F966">
        <v>0</v>
      </c>
      <c r="H966">
        <v>0</v>
      </c>
      <c r="I966">
        <v>0</v>
      </c>
      <c r="J966">
        <v>0</v>
      </c>
      <c r="K966">
        <v>0</v>
      </c>
      <c r="L966" s="7">
        <v>0.2</v>
      </c>
      <c r="M966" s="7">
        <v>28.7</v>
      </c>
      <c r="N966">
        <v>200</v>
      </c>
      <c r="O966" s="15">
        <v>176</v>
      </c>
      <c r="P966" s="8">
        <v>0.62142857142857144</v>
      </c>
      <c r="Q966">
        <v>158</v>
      </c>
      <c r="R966" s="15">
        <v>147</v>
      </c>
      <c r="S966" s="8">
        <v>0.51200000000000001</v>
      </c>
      <c r="T966">
        <v>124</v>
      </c>
      <c r="U966" s="15">
        <v>100</v>
      </c>
      <c r="V966" s="8">
        <v>0.68235294117647061</v>
      </c>
      <c r="W966">
        <f t="shared" si="15"/>
        <v>482</v>
      </c>
    </row>
    <row r="967" spans="1:23">
      <c r="A967" s="6">
        <v>45892</v>
      </c>
      <c r="B967" t="s">
        <v>67</v>
      </c>
      <c r="C967">
        <v>5</v>
      </c>
      <c r="D967">
        <v>8</v>
      </c>
      <c r="E967">
        <v>1</v>
      </c>
      <c r="F967">
        <v>0</v>
      </c>
      <c r="H967">
        <v>0</v>
      </c>
      <c r="I967">
        <v>0</v>
      </c>
      <c r="J967">
        <v>0</v>
      </c>
      <c r="K967">
        <v>0</v>
      </c>
      <c r="L967" s="7">
        <v>3.5</v>
      </c>
      <c r="M967" s="7">
        <v>30.3</v>
      </c>
      <c r="N967">
        <v>217</v>
      </c>
      <c r="O967" s="15">
        <v>186</v>
      </c>
      <c r="P967" s="8">
        <v>0.65</v>
      </c>
      <c r="Q967">
        <v>196</v>
      </c>
      <c r="R967" s="15">
        <v>182</v>
      </c>
      <c r="S967" s="8">
        <v>0.66400000000000003</v>
      </c>
      <c r="T967">
        <v>147</v>
      </c>
      <c r="U967" s="15">
        <v>134</v>
      </c>
      <c r="V967" s="8">
        <v>0.75294117647058822</v>
      </c>
      <c r="W967">
        <f t="shared" si="15"/>
        <v>560</v>
      </c>
    </row>
    <row r="968" spans="1:23">
      <c r="A968" s="6">
        <v>45893</v>
      </c>
      <c r="B968" t="s">
        <v>60</v>
      </c>
      <c r="C968">
        <v>6</v>
      </c>
      <c r="D968">
        <v>8</v>
      </c>
      <c r="E968">
        <v>1</v>
      </c>
      <c r="F968">
        <v>0</v>
      </c>
      <c r="H968">
        <v>0</v>
      </c>
      <c r="I968">
        <v>0</v>
      </c>
      <c r="J968">
        <v>0</v>
      </c>
      <c r="K968">
        <v>0</v>
      </c>
      <c r="L968" s="7">
        <v>1.2</v>
      </c>
      <c r="M968" s="7">
        <v>29.8</v>
      </c>
      <c r="N968">
        <v>212</v>
      </c>
      <c r="O968" s="15">
        <v>173</v>
      </c>
      <c r="P968" s="8">
        <v>0.66428571428571426</v>
      </c>
      <c r="Q968">
        <v>209</v>
      </c>
      <c r="R968" s="15">
        <v>180</v>
      </c>
      <c r="S968" s="8">
        <v>0.67200000000000004</v>
      </c>
      <c r="T968">
        <v>150</v>
      </c>
      <c r="U968" s="15">
        <v>127</v>
      </c>
      <c r="V968" s="8">
        <v>0.75294117647058822</v>
      </c>
      <c r="W968">
        <f t="shared" si="15"/>
        <v>571</v>
      </c>
    </row>
    <row r="969" spans="1:23">
      <c r="A969" s="6">
        <v>45894</v>
      </c>
      <c r="B969" t="s">
        <v>62</v>
      </c>
      <c r="C969">
        <v>0</v>
      </c>
      <c r="D969">
        <v>8</v>
      </c>
      <c r="E969">
        <v>0</v>
      </c>
      <c r="F969">
        <v>0</v>
      </c>
      <c r="H969">
        <v>0</v>
      </c>
      <c r="I969">
        <v>0</v>
      </c>
      <c r="J969">
        <v>0</v>
      </c>
      <c r="K969">
        <v>0</v>
      </c>
      <c r="L969" s="7">
        <v>0</v>
      </c>
      <c r="M969" s="7">
        <v>30.5</v>
      </c>
      <c r="N969">
        <v>170</v>
      </c>
      <c r="O969" s="15">
        <v>147</v>
      </c>
      <c r="P969" s="8">
        <v>0.50714285714285712</v>
      </c>
      <c r="Q969">
        <v>165</v>
      </c>
      <c r="R969" s="15">
        <v>138</v>
      </c>
      <c r="S969" s="8">
        <v>0.52800000000000002</v>
      </c>
      <c r="T969">
        <v>113</v>
      </c>
      <c r="U969" s="15">
        <v>103</v>
      </c>
      <c r="V969" s="8">
        <v>0.62352941176470589</v>
      </c>
      <c r="W969">
        <f t="shared" si="15"/>
        <v>448</v>
      </c>
    </row>
    <row r="970" spans="1:23">
      <c r="A970" s="6">
        <v>45895</v>
      </c>
      <c r="B970" t="s">
        <v>63</v>
      </c>
      <c r="C970">
        <v>1</v>
      </c>
      <c r="D970">
        <v>8</v>
      </c>
      <c r="E970">
        <v>0</v>
      </c>
      <c r="F970">
        <v>0</v>
      </c>
      <c r="H970">
        <v>0</v>
      </c>
      <c r="I970">
        <v>0</v>
      </c>
      <c r="J970">
        <v>0</v>
      </c>
      <c r="K970">
        <v>0</v>
      </c>
      <c r="L970" s="7">
        <v>0</v>
      </c>
      <c r="M970" s="7">
        <v>28.8</v>
      </c>
      <c r="N970">
        <v>172</v>
      </c>
      <c r="O970" s="15">
        <v>162</v>
      </c>
      <c r="P970" s="8">
        <v>0.54285714285714282</v>
      </c>
      <c r="Q970">
        <v>169</v>
      </c>
      <c r="R970" s="15">
        <v>140</v>
      </c>
      <c r="S970" s="8">
        <v>0.56799999999999995</v>
      </c>
      <c r="T970">
        <v>134</v>
      </c>
      <c r="U970" s="15">
        <v>113</v>
      </c>
      <c r="V970" s="8">
        <v>0.6470588235294118</v>
      </c>
      <c r="W970">
        <f t="shared" si="15"/>
        <v>475</v>
      </c>
    </row>
    <row r="971" spans="1:23">
      <c r="A971" s="6">
        <v>45896</v>
      </c>
      <c r="B971" t="s">
        <v>64</v>
      </c>
      <c r="C971">
        <v>2</v>
      </c>
      <c r="D971">
        <v>8</v>
      </c>
      <c r="E971">
        <v>0</v>
      </c>
      <c r="F971">
        <v>0</v>
      </c>
      <c r="H971">
        <v>0</v>
      </c>
      <c r="I971">
        <v>0</v>
      </c>
      <c r="J971">
        <v>0</v>
      </c>
      <c r="K971">
        <v>0</v>
      </c>
      <c r="L971" s="7">
        <v>4.4000000000000004</v>
      </c>
      <c r="M971" s="7">
        <v>27.9</v>
      </c>
      <c r="N971">
        <v>178</v>
      </c>
      <c r="O971" s="15">
        <v>167</v>
      </c>
      <c r="P971" s="8">
        <v>0.5357142857142857</v>
      </c>
      <c r="Q971">
        <v>165</v>
      </c>
      <c r="R971" s="15">
        <v>139</v>
      </c>
      <c r="S971" s="8">
        <v>0.56799999999999995</v>
      </c>
      <c r="T971">
        <v>119</v>
      </c>
      <c r="U971" s="15">
        <v>109</v>
      </c>
      <c r="V971" s="8">
        <v>0.6</v>
      </c>
      <c r="W971">
        <f t="shared" si="15"/>
        <v>462</v>
      </c>
    </row>
    <row r="972" spans="1:23">
      <c r="A972" s="6">
        <v>45897</v>
      </c>
      <c r="B972" t="s">
        <v>65</v>
      </c>
      <c r="C972">
        <v>3</v>
      </c>
      <c r="D972">
        <v>8</v>
      </c>
      <c r="E972">
        <v>0</v>
      </c>
      <c r="F972">
        <v>0</v>
      </c>
      <c r="H972">
        <v>0</v>
      </c>
      <c r="I972">
        <v>0</v>
      </c>
      <c r="J972">
        <v>0</v>
      </c>
      <c r="K972">
        <v>0</v>
      </c>
      <c r="L972" s="7">
        <v>0</v>
      </c>
      <c r="M972" s="7">
        <v>28.6</v>
      </c>
      <c r="N972">
        <v>177</v>
      </c>
      <c r="O972" s="15">
        <v>143</v>
      </c>
      <c r="P972" s="8">
        <v>0.55000000000000004</v>
      </c>
      <c r="Q972">
        <v>169</v>
      </c>
      <c r="R972" s="15">
        <v>142</v>
      </c>
      <c r="S972" s="8">
        <v>0.55200000000000005</v>
      </c>
      <c r="T972">
        <v>123</v>
      </c>
      <c r="U972" s="15">
        <v>103</v>
      </c>
      <c r="V972" s="8">
        <v>0.63529411764705879</v>
      </c>
      <c r="W972">
        <f t="shared" si="15"/>
        <v>469</v>
      </c>
    </row>
    <row r="973" spans="1:23">
      <c r="A973" s="6">
        <v>45898</v>
      </c>
      <c r="B973" t="s">
        <v>66</v>
      </c>
      <c r="C973">
        <v>4</v>
      </c>
      <c r="D973">
        <v>8</v>
      </c>
      <c r="E973">
        <v>0</v>
      </c>
      <c r="F973">
        <v>0</v>
      </c>
      <c r="H973">
        <v>0</v>
      </c>
      <c r="I973">
        <v>0</v>
      </c>
      <c r="J973">
        <v>0</v>
      </c>
      <c r="K973">
        <v>0</v>
      </c>
      <c r="L973" s="7">
        <v>3.8</v>
      </c>
      <c r="M973" s="7">
        <v>27.7</v>
      </c>
      <c r="N973">
        <v>202</v>
      </c>
      <c r="O973" s="15">
        <v>186</v>
      </c>
      <c r="P973" s="8">
        <v>0.6</v>
      </c>
      <c r="Q973">
        <v>153</v>
      </c>
      <c r="R973" s="15">
        <v>132</v>
      </c>
      <c r="S973" s="8">
        <v>0.51200000000000001</v>
      </c>
      <c r="T973">
        <v>118</v>
      </c>
      <c r="U973" s="15">
        <v>96</v>
      </c>
      <c r="V973" s="8">
        <v>0.62352941176470589</v>
      </c>
      <c r="W973">
        <f t="shared" si="15"/>
        <v>473</v>
      </c>
    </row>
    <row r="974" spans="1:23">
      <c r="A974" s="6">
        <v>45899</v>
      </c>
      <c r="B974" t="s">
        <v>67</v>
      </c>
      <c r="C974">
        <v>5</v>
      </c>
      <c r="D974">
        <v>8</v>
      </c>
      <c r="E974">
        <v>1</v>
      </c>
      <c r="F974">
        <v>0</v>
      </c>
      <c r="H974">
        <v>0</v>
      </c>
      <c r="I974">
        <v>0</v>
      </c>
      <c r="J974">
        <v>0</v>
      </c>
      <c r="K974">
        <v>0</v>
      </c>
      <c r="L974" s="7">
        <v>1.4</v>
      </c>
      <c r="M974" s="7">
        <v>28.7</v>
      </c>
      <c r="N974">
        <v>196</v>
      </c>
      <c r="O974" s="15">
        <v>164</v>
      </c>
      <c r="P974" s="8">
        <v>0.58571428571428574</v>
      </c>
      <c r="Q974">
        <v>196</v>
      </c>
      <c r="R974" s="15">
        <v>168</v>
      </c>
      <c r="S974" s="8">
        <v>0.64800000000000002</v>
      </c>
      <c r="T974">
        <v>138</v>
      </c>
      <c r="U974" s="15">
        <v>128</v>
      </c>
      <c r="V974" s="8">
        <v>0.75294117647058822</v>
      </c>
      <c r="W974">
        <f t="shared" si="15"/>
        <v>530</v>
      </c>
    </row>
    <row r="975" spans="1:23">
      <c r="A975" s="6">
        <v>45900</v>
      </c>
      <c r="B975" t="s">
        <v>60</v>
      </c>
      <c r="C975">
        <v>6</v>
      </c>
      <c r="D975">
        <v>8</v>
      </c>
      <c r="E975">
        <v>1</v>
      </c>
      <c r="F975">
        <v>0</v>
      </c>
      <c r="H975">
        <v>0</v>
      </c>
      <c r="I975">
        <v>0</v>
      </c>
      <c r="J975">
        <v>0</v>
      </c>
      <c r="K975">
        <v>0</v>
      </c>
      <c r="L975" s="7">
        <v>5.7</v>
      </c>
      <c r="M975" s="7">
        <v>29.4</v>
      </c>
      <c r="N975">
        <v>200</v>
      </c>
      <c r="O975" s="15">
        <v>182</v>
      </c>
      <c r="P975" s="8">
        <v>0.6</v>
      </c>
      <c r="Q975">
        <v>200</v>
      </c>
      <c r="R975" s="15">
        <v>181</v>
      </c>
      <c r="S975" s="8">
        <v>0.64800000000000002</v>
      </c>
      <c r="T975">
        <v>148</v>
      </c>
      <c r="U975" s="15">
        <v>130</v>
      </c>
      <c r="V975" s="8">
        <v>0.74117647058823533</v>
      </c>
      <c r="W975">
        <f t="shared" si="15"/>
        <v>548</v>
      </c>
    </row>
    <row r="976" spans="1:23">
      <c r="A976" s="6">
        <v>45901</v>
      </c>
      <c r="B976" t="s">
        <v>62</v>
      </c>
      <c r="C976">
        <v>0</v>
      </c>
      <c r="D976">
        <v>9</v>
      </c>
      <c r="E976">
        <v>0</v>
      </c>
      <c r="F976">
        <v>0</v>
      </c>
      <c r="H976">
        <v>0</v>
      </c>
      <c r="I976">
        <v>0</v>
      </c>
      <c r="J976">
        <v>0</v>
      </c>
      <c r="K976">
        <v>0</v>
      </c>
      <c r="L976" s="7">
        <v>1.9</v>
      </c>
      <c r="M976" s="7">
        <v>29</v>
      </c>
      <c r="N976">
        <v>189</v>
      </c>
      <c r="O976" s="15">
        <v>152</v>
      </c>
      <c r="P976" s="8">
        <v>0.5714285714285714</v>
      </c>
      <c r="Q976">
        <v>166</v>
      </c>
      <c r="R976" s="15">
        <v>139</v>
      </c>
      <c r="S976" s="8">
        <v>0.56000000000000005</v>
      </c>
      <c r="T976">
        <v>123</v>
      </c>
      <c r="U976" s="15">
        <v>103</v>
      </c>
      <c r="V976" s="8">
        <v>0.6588235294117647</v>
      </c>
      <c r="W976">
        <f t="shared" si="15"/>
        <v>478</v>
      </c>
    </row>
    <row r="977" spans="1:23">
      <c r="A977" s="6">
        <v>45902</v>
      </c>
      <c r="B977" t="s">
        <v>63</v>
      </c>
      <c r="C977">
        <v>1</v>
      </c>
      <c r="D977">
        <v>9</v>
      </c>
      <c r="E977">
        <v>0</v>
      </c>
      <c r="F977">
        <v>0</v>
      </c>
      <c r="H977">
        <v>0</v>
      </c>
      <c r="I977">
        <v>0</v>
      </c>
      <c r="J977">
        <v>0</v>
      </c>
      <c r="K977">
        <v>0</v>
      </c>
      <c r="L977" s="7">
        <v>0</v>
      </c>
      <c r="M977" s="7">
        <v>30</v>
      </c>
      <c r="N977">
        <v>202</v>
      </c>
      <c r="O977" s="15">
        <v>164</v>
      </c>
      <c r="P977" s="8">
        <v>0.62857142857142856</v>
      </c>
      <c r="Q977">
        <v>159</v>
      </c>
      <c r="R977" s="15">
        <v>145</v>
      </c>
      <c r="S977" s="8">
        <v>0.52</v>
      </c>
      <c r="T977">
        <v>118</v>
      </c>
      <c r="U977" s="15">
        <v>109</v>
      </c>
      <c r="V977" s="8">
        <v>0.6588235294117647</v>
      </c>
      <c r="W977">
        <f t="shared" si="15"/>
        <v>479</v>
      </c>
    </row>
    <row r="978" spans="1:23">
      <c r="A978" s="6">
        <v>45903</v>
      </c>
      <c r="B978" t="s">
        <v>64</v>
      </c>
      <c r="C978">
        <v>2</v>
      </c>
      <c r="D978">
        <v>9</v>
      </c>
      <c r="E978">
        <v>0</v>
      </c>
      <c r="F978">
        <v>0</v>
      </c>
      <c r="H978">
        <v>0</v>
      </c>
      <c r="I978">
        <v>0</v>
      </c>
      <c r="J978">
        <v>0</v>
      </c>
      <c r="K978">
        <v>0</v>
      </c>
      <c r="L978" s="7">
        <v>0</v>
      </c>
      <c r="M978" s="7">
        <v>29.7</v>
      </c>
      <c r="N978">
        <v>199</v>
      </c>
      <c r="O978" s="15">
        <v>182</v>
      </c>
      <c r="P978" s="8">
        <v>0.59285714285714286</v>
      </c>
      <c r="Q978">
        <v>168</v>
      </c>
      <c r="R978" s="15">
        <v>141</v>
      </c>
      <c r="S978" s="8">
        <v>0.56000000000000005</v>
      </c>
      <c r="T978">
        <v>114</v>
      </c>
      <c r="U978" s="15">
        <v>99</v>
      </c>
      <c r="V978" s="8">
        <v>0.61176470588235299</v>
      </c>
      <c r="W978">
        <f t="shared" si="15"/>
        <v>481</v>
      </c>
    </row>
    <row r="979" spans="1:23">
      <c r="A979" s="6">
        <v>45904</v>
      </c>
      <c r="B979" t="s">
        <v>65</v>
      </c>
      <c r="C979">
        <v>3</v>
      </c>
      <c r="D979">
        <v>9</v>
      </c>
      <c r="E979">
        <v>0</v>
      </c>
      <c r="F979">
        <v>0</v>
      </c>
      <c r="H979">
        <v>0</v>
      </c>
      <c r="I979">
        <v>0</v>
      </c>
      <c r="J979">
        <v>0</v>
      </c>
      <c r="K979">
        <v>0</v>
      </c>
      <c r="L979" s="7">
        <v>0</v>
      </c>
      <c r="M979" s="7">
        <v>30.6</v>
      </c>
      <c r="N979">
        <v>193</v>
      </c>
      <c r="O979" s="15">
        <v>174</v>
      </c>
      <c r="P979" s="8">
        <v>0.56428571428571428</v>
      </c>
      <c r="Q979">
        <v>172</v>
      </c>
      <c r="R979" s="15">
        <v>161</v>
      </c>
      <c r="S979" s="8">
        <v>0.58399999999999996</v>
      </c>
      <c r="T979">
        <v>117</v>
      </c>
      <c r="U979" s="15">
        <v>104</v>
      </c>
      <c r="V979" s="8">
        <v>0.61176470588235299</v>
      </c>
      <c r="W979">
        <f t="shared" si="15"/>
        <v>482</v>
      </c>
    </row>
    <row r="980" spans="1:23">
      <c r="A980" s="6">
        <v>45905</v>
      </c>
      <c r="B980" t="s">
        <v>66</v>
      </c>
      <c r="C980">
        <v>4</v>
      </c>
      <c r="D980">
        <v>9</v>
      </c>
      <c r="E980">
        <v>0</v>
      </c>
      <c r="F980">
        <v>0</v>
      </c>
      <c r="H980">
        <v>0</v>
      </c>
      <c r="I980">
        <v>0</v>
      </c>
      <c r="J980">
        <v>0</v>
      </c>
      <c r="K980">
        <v>0</v>
      </c>
      <c r="L980" s="7">
        <v>0</v>
      </c>
      <c r="M980" s="7">
        <v>28</v>
      </c>
      <c r="N980">
        <v>186</v>
      </c>
      <c r="O980" s="15">
        <v>149</v>
      </c>
      <c r="P980" s="8">
        <v>0.56428571428571428</v>
      </c>
      <c r="Q980">
        <v>169</v>
      </c>
      <c r="R980" s="15">
        <v>157</v>
      </c>
      <c r="S980" s="8">
        <v>0.56000000000000005</v>
      </c>
      <c r="T980">
        <v>110</v>
      </c>
      <c r="U980" s="15">
        <v>94</v>
      </c>
      <c r="V980" s="8">
        <v>0.57647058823529407</v>
      </c>
      <c r="W980">
        <f t="shared" si="15"/>
        <v>465</v>
      </c>
    </row>
    <row r="981" spans="1:23">
      <c r="A981" s="6">
        <v>45906</v>
      </c>
      <c r="B981" t="s">
        <v>67</v>
      </c>
      <c r="C981">
        <v>5</v>
      </c>
      <c r="D981">
        <v>9</v>
      </c>
      <c r="E981">
        <v>1</v>
      </c>
      <c r="F981">
        <v>0</v>
      </c>
      <c r="H981">
        <v>0</v>
      </c>
      <c r="I981">
        <v>0</v>
      </c>
      <c r="J981">
        <v>0</v>
      </c>
      <c r="K981">
        <v>0</v>
      </c>
      <c r="L981" s="7">
        <v>1.5</v>
      </c>
      <c r="M981" s="7">
        <v>29</v>
      </c>
      <c r="N981">
        <v>201</v>
      </c>
      <c r="O981" s="15">
        <v>186</v>
      </c>
      <c r="P981" s="8">
        <v>0.6071428571428571</v>
      </c>
      <c r="Q981">
        <v>203</v>
      </c>
      <c r="R981" s="15">
        <v>177</v>
      </c>
      <c r="S981" s="8">
        <v>0.67200000000000004</v>
      </c>
      <c r="T981">
        <v>146</v>
      </c>
      <c r="U981" s="15">
        <v>118</v>
      </c>
      <c r="V981" s="8">
        <v>0.81176470588235294</v>
      </c>
      <c r="W981">
        <f t="shared" si="15"/>
        <v>550</v>
      </c>
    </row>
    <row r="982" spans="1:23">
      <c r="A982" s="6">
        <v>45907</v>
      </c>
      <c r="B982" t="s">
        <v>60</v>
      </c>
      <c r="C982">
        <v>6</v>
      </c>
      <c r="D982">
        <v>9</v>
      </c>
      <c r="E982">
        <v>1</v>
      </c>
      <c r="F982">
        <v>1</v>
      </c>
      <c r="G982" t="s">
        <v>72</v>
      </c>
      <c r="H982">
        <v>0</v>
      </c>
      <c r="I982">
        <v>0</v>
      </c>
      <c r="J982">
        <v>0</v>
      </c>
      <c r="K982">
        <v>0</v>
      </c>
      <c r="L982" s="7">
        <v>1.6</v>
      </c>
      <c r="M982" s="7">
        <v>29.9</v>
      </c>
      <c r="N982">
        <v>223</v>
      </c>
      <c r="O982" s="15">
        <v>188</v>
      </c>
      <c r="P982" s="8">
        <v>0.68571428571428572</v>
      </c>
      <c r="Q982">
        <v>242</v>
      </c>
      <c r="R982" s="15">
        <v>198</v>
      </c>
      <c r="S982" s="8">
        <v>0.8</v>
      </c>
      <c r="T982">
        <v>161</v>
      </c>
      <c r="U982" s="15">
        <v>134</v>
      </c>
      <c r="V982" s="8">
        <v>0.8</v>
      </c>
      <c r="W982">
        <f t="shared" si="15"/>
        <v>626</v>
      </c>
    </row>
    <row r="983" spans="1:23">
      <c r="A983" s="6">
        <v>45908</v>
      </c>
      <c r="B983" t="s">
        <v>62</v>
      </c>
      <c r="C983">
        <v>0</v>
      </c>
      <c r="D983">
        <v>9</v>
      </c>
      <c r="E983">
        <v>0</v>
      </c>
      <c r="F983">
        <v>0</v>
      </c>
      <c r="H983">
        <v>0</v>
      </c>
      <c r="I983">
        <v>0</v>
      </c>
      <c r="J983">
        <v>0</v>
      </c>
      <c r="K983">
        <v>0</v>
      </c>
      <c r="L983" s="7">
        <v>0.5</v>
      </c>
      <c r="M983" s="7">
        <v>29.2</v>
      </c>
      <c r="N983">
        <v>181</v>
      </c>
      <c r="O983" s="15">
        <v>162</v>
      </c>
      <c r="P983" s="8">
        <v>0.5714285714285714</v>
      </c>
      <c r="Q983">
        <v>177</v>
      </c>
      <c r="R983" s="15">
        <v>149</v>
      </c>
      <c r="S983" s="8">
        <v>0.57599999999999996</v>
      </c>
      <c r="T983">
        <v>128</v>
      </c>
      <c r="U983" s="15">
        <v>103</v>
      </c>
      <c r="V983" s="8">
        <v>0.63529411764705879</v>
      </c>
      <c r="W983">
        <f t="shared" si="15"/>
        <v>486</v>
      </c>
    </row>
    <row r="984" spans="1:23">
      <c r="A984" s="6">
        <v>45909</v>
      </c>
      <c r="B984" t="s">
        <v>63</v>
      </c>
      <c r="C984">
        <v>1</v>
      </c>
      <c r="D984">
        <v>9</v>
      </c>
      <c r="E984">
        <v>0</v>
      </c>
      <c r="F984">
        <v>0</v>
      </c>
      <c r="H984">
        <v>0</v>
      </c>
      <c r="I984">
        <v>0</v>
      </c>
      <c r="J984">
        <v>0</v>
      </c>
      <c r="K984">
        <v>0</v>
      </c>
      <c r="L984" s="7">
        <v>3.5</v>
      </c>
      <c r="M984" s="7">
        <v>28.8</v>
      </c>
      <c r="N984">
        <v>198</v>
      </c>
      <c r="O984" s="15">
        <v>182</v>
      </c>
      <c r="P984" s="8">
        <v>0.6</v>
      </c>
      <c r="Q984">
        <v>150</v>
      </c>
      <c r="R984" s="15">
        <v>135</v>
      </c>
      <c r="S984" s="8">
        <v>0.504</v>
      </c>
      <c r="T984">
        <v>124</v>
      </c>
      <c r="U984" s="15">
        <v>104</v>
      </c>
      <c r="V984" s="8">
        <v>0.62352941176470589</v>
      </c>
      <c r="W984">
        <f t="shared" si="15"/>
        <v>472</v>
      </c>
    </row>
    <row r="985" spans="1:23">
      <c r="A985" s="6">
        <v>45910</v>
      </c>
      <c r="B985" t="s">
        <v>64</v>
      </c>
      <c r="C985">
        <v>2</v>
      </c>
      <c r="D985">
        <v>9</v>
      </c>
      <c r="E985">
        <v>0</v>
      </c>
      <c r="F985">
        <v>0</v>
      </c>
      <c r="H985">
        <v>0</v>
      </c>
      <c r="I985">
        <v>0</v>
      </c>
      <c r="J985">
        <v>0</v>
      </c>
      <c r="K985">
        <v>0</v>
      </c>
      <c r="L985" s="7">
        <v>0</v>
      </c>
      <c r="M985" s="7">
        <v>30</v>
      </c>
      <c r="N985">
        <v>193</v>
      </c>
      <c r="O985" s="15">
        <v>181</v>
      </c>
      <c r="P985" s="8">
        <v>0.5714285714285714</v>
      </c>
      <c r="Q985">
        <v>176</v>
      </c>
      <c r="R985" s="15">
        <v>150</v>
      </c>
      <c r="S985" s="8">
        <v>0.6</v>
      </c>
      <c r="T985">
        <v>136</v>
      </c>
      <c r="U985" s="15">
        <v>111</v>
      </c>
      <c r="V985" s="8">
        <v>0.69411764705882351</v>
      </c>
      <c r="W985">
        <f t="shared" si="15"/>
        <v>505</v>
      </c>
    </row>
    <row r="986" spans="1:23">
      <c r="A986" s="6">
        <v>45911</v>
      </c>
      <c r="B986" t="s">
        <v>65</v>
      </c>
      <c r="C986">
        <v>3</v>
      </c>
      <c r="D986">
        <v>9</v>
      </c>
      <c r="E986">
        <v>0</v>
      </c>
      <c r="F986">
        <v>0</v>
      </c>
      <c r="H986">
        <v>0</v>
      </c>
      <c r="I986">
        <v>0</v>
      </c>
      <c r="J986">
        <v>0</v>
      </c>
      <c r="K986">
        <v>0</v>
      </c>
      <c r="L986" s="7">
        <v>0</v>
      </c>
      <c r="M986" s="7">
        <v>29</v>
      </c>
      <c r="N986">
        <v>206</v>
      </c>
      <c r="O986" s="15">
        <v>172</v>
      </c>
      <c r="P986" s="8">
        <v>0.61428571428571432</v>
      </c>
      <c r="Q986">
        <v>159</v>
      </c>
      <c r="R986" s="15">
        <v>130</v>
      </c>
      <c r="S986" s="8">
        <v>0.53600000000000003</v>
      </c>
      <c r="T986">
        <v>110</v>
      </c>
      <c r="U986" s="15">
        <v>103</v>
      </c>
      <c r="V986" s="8">
        <v>0.58823529411764708</v>
      </c>
      <c r="W986">
        <f t="shared" si="15"/>
        <v>475</v>
      </c>
    </row>
    <row r="987" spans="1:23">
      <c r="A987" s="6">
        <v>45912</v>
      </c>
      <c r="B987" t="s">
        <v>66</v>
      </c>
      <c r="C987">
        <v>4</v>
      </c>
      <c r="D987">
        <v>9</v>
      </c>
      <c r="E987">
        <v>0</v>
      </c>
      <c r="F987">
        <v>0</v>
      </c>
      <c r="H987">
        <v>0</v>
      </c>
      <c r="I987">
        <v>0</v>
      </c>
      <c r="J987">
        <v>0</v>
      </c>
      <c r="K987">
        <v>0</v>
      </c>
      <c r="L987" s="7">
        <v>1.1000000000000001</v>
      </c>
      <c r="M987" s="7">
        <v>30.3</v>
      </c>
      <c r="N987">
        <v>187</v>
      </c>
      <c r="O987" s="15">
        <v>152</v>
      </c>
      <c r="P987" s="8">
        <v>0.56428571428571428</v>
      </c>
      <c r="Q987">
        <v>158</v>
      </c>
      <c r="R987" s="15">
        <v>138</v>
      </c>
      <c r="S987" s="8">
        <v>0.51200000000000001</v>
      </c>
      <c r="T987">
        <v>109</v>
      </c>
      <c r="U987" s="15">
        <v>91</v>
      </c>
      <c r="V987" s="8">
        <v>0.58823529411764708</v>
      </c>
      <c r="W987">
        <f t="shared" si="15"/>
        <v>454</v>
      </c>
    </row>
    <row r="988" spans="1:23">
      <c r="A988" s="6">
        <v>45913</v>
      </c>
      <c r="B988" t="s">
        <v>67</v>
      </c>
      <c r="C988">
        <v>5</v>
      </c>
      <c r="D988">
        <v>9</v>
      </c>
      <c r="E988">
        <v>1</v>
      </c>
      <c r="F988">
        <v>0</v>
      </c>
      <c r="H988">
        <v>0</v>
      </c>
      <c r="I988">
        <v>0</v>
      </c>
      <c r="J988">
        <v>0</v>
      </c>
      <c r="K988">
        <v>0</v>
      </c>
      <c r="L988" s="7">
        <v>0</v>
      </c>
      <c r="M988" s="7">
        <v>29</v>
      </c>
      <c r="N988">
        <v>198</v>
      </c>
      <c r="O988" s="15">
        <v>174</v>
      </c>
      <c r="P988" s="8">
        <v>0.59285714285714286</v>
      </c>
      <c r="Q988">
        <v>207</v>
      </c>
      <c r="R988" s="15">
        <v>167</v>
      </c>
      <c r="S988" s="8">
        <v>0.69599999999999995</v>
      </c>
      <c r="T988">
        <v>144</v>
      </c>
      <c r="U988" s="15">
        <v>125</v>
      </c>
      <c r="V988" s="8">
        <v>0.75294117647058822</v>
      </c>
      <c r="W988">
        <f t="shared" si="15"/>
        <v>549</v>
      </c>
    </row>
    <row r="989" spans="1:23">
      <c r="A989" s="6">
        <v>45914</v>
      </c>
      <c r="B989" t="s">
        <v>60</v>
      </c>
      <c r="C989">
        <v>6</v>
      </c>
      <c r="D989">
        <v>9</v>
      </c>
      <c r="E989">
        <v>1</v>
      </c>
      <c r="F989">
        <v>0</v>
      </c>
      <c r="H989">
        <v>0</v>
      </c>
      <c r="I989">
        <v>0</v>
      </c>
      <c r="J989">
        <v>0</v>
      </c>
      <c r="K989">
        <v>0</v>
      </c>
      <c r="L989" s="7">
        <v>0.2</v>
      </c>
      <c r="M989" s="7">
        <v>29.7</v>
      </c>
      <c r="N989">
        <v>205</v>
      </c>
      <c r="O989" s="15">
        <v>187</v>
      </c>
      <c r="P989" s="8">
        <v>0.62142857142857144</v>
      </c>
      <c r="Q989">
        <v>209</v>
      </c>
      <c r="R989" s="15">
        <v>188</v>
      </c>
      <c r="S989" s="8">
        <v>0.69599999999999995</v>
      </c>
      <c r="T989">
        <v>140</v>
      </c>
      <c r="U989" s="15">
        <v>116</v>
      </c>
      <c r="V989" s="8">
        <v>0.74117647058823533</v>
      </c>
      <c r="W989">
        <f t="shared" si="15"/>
        <v>554</v>
      </c>
    </row>
    <row r="990" spans="1:23">
      <c r="A990" s="6">
        <v>45915</v>
      </c>
      <c r="B990" t="s">
        <v>62</v>
      </c>
      <c r="C990">
        <v>0</v>
      </c>
      <c r="D990">
        <v>9</v>
      </c>
      <c r="E990">
        <v>0</v>
      </c>
      <c r="F990">
        <v>0</v>
      </c>
      <c r="H990">
        <v>0</v>
      </c>
      <c r="I990">
        <v>0</v>
      </c>
      <c r="J990">
        <v>0</v>
      </c>
      <c r="K990">
        <v>0</v>
      </c>
      <c r="L990" s="7">
        <v>3.4</v>
      </c>
      <c r="M990" s="7">
        <v>30.7</v>
      </c>
      <c r="N990">
        <v>171</v>
      </c>
      <c r="O990" s="15">
        <v>143</v>
      </c>
      <c r="P990" s="8">
        <v>0.5</v>
      </c>
      <c r="Q990">
        <v>168</v>
      </c>
      <c r="R990" s="15">
        <v>138</v>
      </c>
      <c r="S990" s="8">
        <v>0.57599999999999996</v>
      </c>
      <c r="T990">
        <v>103</v>
      </c>
      <c r="U990" s="15">
        <v>91</v>
      </c>
      <c r="V990" s="8">
        <v>0.56470588235294117</v>
      </c>
      <c r="W990">
        <f t="shared" si="15"/>
        <v>442</v>
      </c>
    </row>
    <row r="991" spans="1:23">
      <c r="A991" s="6">
        <v>45916</v>
      </c>
      <c r="B991" t="s">
        <v>63</v>
      </c>
      <c r="C991">
        <v>1</v>
      </c>
      <c r="D991">
        <v>9</v>
      </c>
      <c r="E991">
        <v>0</v>
      </c>
      <c r="F991">
        <v>0</v>
      </c>
      <c r="H991">
        <v>0</v>
      </c>
      <c r="I991">
        <v>0</v>
      </c>
      <c r="J991">
        <v>0</v>
      </c>
      <c r="K991">
        <v>0</v>
      </c>
      <c r="L991" s="7">
        <v>2.2999999999999998</v>
      </c>
      <c r="M991" s="7">
        <v>28.1</v>
      </c>
      <c r="N991">
        <v>190</v>
      </c>
      <c r="O991" s="15">
        <v>157</v>
      </c>
      <c r="P991" s="8">
        <v>0.56428571428571428</v>
      </c>
      <c r="Q991">
        <v>151</v>
      </c>
      <c r="R991" s="15">
        <v>141</v>
      </c>
      <c r="S991" s="8">
        <v>0.52</v>
      </c>
      <c r="T991">
        <v>117</v>
      </c>
      <c r="U991" s="15">
        <v>99</v>
      </c>
      <c r="V991" s="8">
        <v>0.6</v>
      </c>
      <c r="W991">
        <f t="shared" si="15"/>
        <v>458</v>
      </c>
    </row>
    <row r="992" spans="1:23">
      <c r="A992" s="6">
        <v>45917</v>
      </c>
      <c r="B992" t="s">
        <v>64</v>
      </c>
      <c r="C992">
        <v>2</v>
      </c>
      <c r="D992">
        <v>9</v>
      </c>
      <c r="E992">
        <v>0</v>
      </c>
      <c r="F992">
        <v>0</v>
      </c>
      <c r="H992">
        <v>0</v>
      </c>
      <c r="I992">
        <v>0</v>
      </c>
      <c r="J992">
        <v>0</v>
      </c>
      <c r="K992">
        <v>0</v>
      </c>
      <c r="L992" s="7">
        <v>1.8</v>
      </c>
      <c r="M992" s="7">
        <v>29.2</v>
      </c>
      <c r="N992">
        <v>199</v>
      </c>
      <c r="O992" s="15">
        <v>185</v>
      </c>
      <c r="P992" s="8">
        <v>0.59285714285714286</v>
      </c>
      <c r="Q992">
        <v>161</v>
      </c>
      <c r="R992" s="15">
        <v>129</v>
      </c>
      <c r="S992" s="8">
        <v>0.52</v>
      </c>
      <c r="T992">
        <v>112</v>
      </c>
      <c r="U992" s="15">
        <v>94</v>
      </c>
      <c r="V992" s="8">
        <v>0.61176470588235299</v>
      </c>
      <c r="W992">
        <f t="shared" si="15"/>
        <v>472</v>
      </c>
    </row>
    <row r="993" spans="1:23">
      <c r="A993" s="6">
        <v>45918</v>
      </c>
      <c r="B993" t="s">
        <v>65</v>
      </c>
      <c r="C993">
        <v>3</v>
      </c>
      <c r="D993">
        <v>9</v>
      </c>
      <c r="E993">
        <v>0</v>
      </c>
      <c r="F993">
        <v>0</v>
      </c>
      <c r="H993">
        <v>0</v>
      </c>
      <c r="I993">
        <v>0</v>
      </c>
      <c r="J993">
        <v>0</v>
      </c>
      <c r="K993">
        <v>0</v>
      </c>
      <c r="L993" s="7">
        <v>0</v>
      </c>
      <c r="M993" s="7">
        <v>29.1</v>
      </c>
      <c r="N993">
        <v>194</v>
      </c>
      <c r="O993" s="15">
        <v>163</v>
      </c>
      <c r="P993" s="8">
        <v>0.58571428571428574</v>
      </c>
      <c r="Q993">
        <v>170</v>
      </c>
      <c r="R993" s="15">
        <v>151</v>
      </c>
      <c r="S993" s="8">
        <v>0.56799999999999995</v>
      </c>
      <c r="T993">
        <v>113</v>
      </c>
      <c r="U993" s="15">
        <v>95</v>
      </c>
      <c r="V993" s="8">
        <v>0.57647058823529407</v>
      </c>
      <c r="W993">
        <f t="shared" si="15"/>
        <v>477</v>
      </c>
    </row>
    <row r="994" spans="1:23">
      <c r="A994" s="6">
        <v>45919</v>
      </c>
      <c r="B994" t="s">
        <v>66</v>
      </c>
      <c r="C994">
        <v>4</v>
      </c>
      <c r="D994">
        <v>9</v>
      </c>
      <c r="E994">
        <v>0</v>
      </c>
      <c r="F994">
        <v>0</v>
      </c>
      <c r="H994">
        <v>0</v>
      </c>
      <c r="I994">
        <v>0</v>
      </c>
      <c r="J994">
        <v>0</v>
      </c>
      <c r="K994">
        <v>0</v>
      </c>
      <c r="L994" s="7">
        <v>0</v>
      </c>
      <c r="M994" s="7">
        <v>29.2</v>
      </c>
      <c r="N994">
        <v>182</v>
      </c>
      <c r="O994" s="15">
        <v>166</v>
      </c>
      <c r="P994" s="8">
        <v>0.55714285714285716</v>
      </c>
      <c r="Q994">
        <v>171</v>
      </c>
      <c r="R994" s="15">
        <v>151</v>
      </c>
      <c r="S994" s="8">
        <v>0.56799999999999995</v>
      </c>
      <c r="T994">
        <v>119</v>
      </c>
      <c r="U994" s="15">
        <v>99</v>
      </c>
      <c r="V994" s="8">
        <v>0.6</v>
      </c>
      <c r="W994">
        <f t="shared" si="15"/>
        <v>472</v>
      </c>
    </row>
    <row r="995" spans="1:23">
      <c r="A995" s="6">
        <v>45920</v>
      </c>
      <c r="B995" t="s">
        <v>67</v>
      </c>
      <c r="C995">
        <v>5</v>
      </c>
      <c r="D995">
        <v>9</v>
      </c>
      <c r="E995">
        <v>1</v>
      </c>
      <c r="F995">
        <v>0</v>
      </c>
      <c r="H995">
        <v>0</v>
      </c>
      <c r="I995">
        <v>0</v>
      </c>
      <c r="J995">
        <v>0</v>
      </c>
      <c r="K995">
        <v>0</v>
      </c>
      <c r="L995" s="7">
        <v>0.8</v>
      </c>
      <c r="M995" s="7">
        <v>29.5</v>
      </c>
      <c r="N995">
        <v>217</v>
      </c>
      <c r="O995" s="15">
        <v>183</v>
      </c>
      <c r="P995" s="8">
        <v>0.66428571428571426</v>
      </c>
      <c r="Q995">
        <v>202</v>
      </c>
      <c r="R995" s="15">
        <v>188</v>
      </c>
      <c r="S995" s="8">
        <v>0.66400000000000003</v>
      </c>
      <c r="T995">
        <v>149</v>
      </c>
      <c r="U995" s="15">
        <v>129</v>
      </c>
      <c r="V995" s="8">
        <v>0.76470588235294112</v>
      </c>
      <c r="W995">
        <f t="shared" si="15"/>
        <v>568</v>
      </c>
    </row>
    <row r="996" spans="1:23">
      <c r="A996" s="6">
        <v>45921</v>
      </c>
      <c r="B996" t="s">
        <v>60</v>
      </c>
      <c r="C996">
        <v>6</v>
      </c>
      <c r="D996">
        <v>9</v>
      </c>
      <c r="E996">
        <v>1</v>
      </c>
      <c r="F996">
        <v>0</v>
      </c>
      <c r="H996">
        <v>0</v>
      </c>
      <c r="I996">
        <v>0</v>
      </c>
      <c r="J996">
        <v>0</v>
      </c>
      <c r="K996">
        <v>0</v>
      </c>
      <c r="L996" s="7">
        <v>0.8</v>
      </c>
      <c r="M996" s="7">
        <v>29.3</v>
      </c>
      <c r="N996">
        <v>195</v>
      </c>
      <c r="O996" s="15">
        <v>168</v>
      </c>
      <c r="P996" s="8">
        <v>0.62142857142857144</v>
      </c>
      <c r="Q996">
        <v>213</v>
      </c>
      <c r="R996" s="15">
        <v>186</v>
      </c>
      <c r="S996" s="8">
        <v>0.69599999999999995</v>
      </c>
      <c r="T996">
        <v>129</v>
      </c>
      <c r="U996" s="15">
        <v>121</v>
      </c>
      <c r="V996" s="8">
        <v>0.69411764705882351</v>
      </c>
      <c r="W996">
        <f t="shared" si="15"/>
        <v>537</v>
      </c>
    </row>
    <row r="997" spans="1:23">
      <c r="A997" s="6">
        <v>45922</v>
      </c>
      <c r="B997" t="s">
        <v>62</v>
      </c>
      <c r="C997">
        <v>0</v>
      </c>
      <c r="D997">
        <v>9</v>
      </c>
      <c r="E997">
        <v>0</v>
      </c>
      <c r="F997">
        <v>0</v>
      </c>
      <c r="H997">
        <v>0</v>
      </c>
      <c r="I997">
        <v>0</v>
      </c>
      <c r="J997">
        <v>0</v>
      </c>
      <c r="K997">
        <v>0</v>
      </c>
      <c r="L997" s="7">
        <v>0.8</v>
      </c>
      <c r="M997" s="7">
        <v>28.8</v>
      </c>
      <c r="N997">
        <v>181</v>
      </c>
      <c r="O997" s="15">
        <v>148</v>
      </c>
      <c r="P997" s="8">
        <v>0.55714285714285716</v>
      </c>
      <c r="Q997">
        <v>167</v>
      </c>
      <c r="R997" s="15">
        <v>140</v>
      </c>
      <c r="S997" s="8">
        <v>0.55200000000000005</v>
      </c>
      <c r="T997">
        <v>108</v>
      </c>
      <c r="U997" s="15">
        <v>94</v>
      </c>
      <c r="V997" s="8">
        <v>0.55294117647058827</v>
      </c>
      <c r="W997">
        <f t="shared" si="15"/>
        <v>456</v>
      </c>
    </row>
    <row r="998" spans="1:23">
      <c r="A998" s="6">
        <v>45923</v>
      </c>
      <c r="B998" t="s">
        <v>63</v>
      </c>
      <c r="C998">
        <v>1</v>
      </c>
      <c r="D998">
        <v>9</v>
      </c>
      <c r="E998">
        <v>0</v>
      </c>
      <c r="F998">
        <v>0</v>
      </c>
      <c r="H998">
        <v>0</v>
      </c>
      <c r="I998">
        <v>0</v>
      </c>
      <c r="J998">
        <v>0</v>
      </c>
      <c r="K998">
        <v>0</v>
      </c>
      <c r="L998" s="7">
        <v>4.0999999999999996</v>
      </c>
      <c r="M998" s="7">
        <v>30</v>
      </c>
      <c r="N998">
        <v>178</v>
      </c>
      <c r="O998" s="15">
        <v>144</v>
      </c>
      <c r="P998" s="8">
        <v>0.54285714285714282</v>
      </c>
      <c r="Q998">
        <v>175</v>
      </c>
      <c r="R998" s="15">
        <v>155</v>
      </c>
      <c r="S998" s="8">
        <v>0.6</v>
      </c>
      <c r="T998">
        <v>131</v>
      </c>
      <c r="U998" s="15">
        <v>116</v>
      </c>
      <c r="V998" s="8">
        <v>0.68235294117647061</v>
      </c>
      <c r="W998">
        <f t="shared" si="15"/>
        <v>484</v>
      </c>
    </row>
    <row r="999" spans="1:23">
      <c r="A999" s="6">
        <v>45924</v>
      </c>
      <c r="B999" t="s">
        <v>64</v>
      </c>
      <c r="C999">
        <v>2</v>
      </c>
      <c r="D999">
        <v>9</v>
      </c>
      <c r="E999">
        <v>0</v>
      </c>
      <c r="F999">
        <v>0</v>
      </c>
      <c r="H999">
        <v>0</v>
      </c>
      <c r="I999">
        <v>0</v>
      </c>
      <c r="J999">
        <v>0</v>
      </c>
      <c r="K999">
        <v>0</v>
      </c>
      <c r="L999" s="7">
        <v>0</v>
      </c>
      <c r="M999" s="7">
        <v>29.3</v>
      </c>
      <c r="N999">
        <v>182</v>
      </c>
      <c r="O999" s="15">
        <v>147</v>
      </c>
      <c r="P999" s="8">
        <v>0.56428571428571428</v>
      </c>
      <c r="Q999">
        <v>164</v>
      </c>
      <c r="R999" s="15">
        <v>144</v>
      </c>
      <c r="S999" s="8">
        <v>0.55200000000000005</v>
      </c>
      <c r="T999">
        <v>109</v>
      </c>
      <c r="U999" s="15">
        <v>97</v>
      </c>
      <c r="V999" s="8">
        <v>0.6</v>
      </c>
      <c r="W999">
        <f t="shared" si="15"/>
        <v>455</v>
      </c>
    </row>
    <row r="1000" spans="1:23">
      <c r="A1000" s="6">
        <v>45925</v>
      </c>
      <c r="B1000" t="s">
        <v>65</v>
      </c>
      <c r="C1000">
        <v>3</v>
      </c>
      <c r="D1000">
        <v>9</v>
      </c>
      <c r="E1000">
        <v>0</v>
      </c>
      <c r="F1000">
        <v>0</v>
      </c>
      <c r="H1000">
        <v>0</v>
      </c>
      <c r="I1000">
        <v>0</v>
      </c>
      <c r="J1000">
        <v>0</v>
      </c>
      <c r="K1000">
        <v>0</v>
      </c>
      <c r="L1000" s="7">
        <v>4</v>
      </c>
      <c r="M1000" s="7">
        <v>28.8</v>
      </c>
      <c r="N1000">
        <v>193</v>
      </c>
      <c r="O1000" s="15">
        <v>167</v>
      </c>
      <c r="P1000" s="8">
        <v>0.58571428571428574</v>
      </c>
      <c r="Q1000">
        <v>164</v>
      </c>
      <c r="R1000" s="15">
        <v>145</v>
      </c>
      <c r="S1000" s="8">
        <v>0.54400000000000004</v>
      </c>
      <c r="T1000">
        <v>123</v>
      </c>
      <c r="U1000" s="15">
        <v>103</v>
      </c>
      <c r="V1000" s="8">
        <v>0.63529411764705879</v>
      </c>
      <c r="W1000">
        <f t="shared" si="15"/>
        <v>480</v>
      </c>
    </row>
    <row r="1001" spans="1:23">
      <c r="A1001" s="6">
        <v>45926</v>
      </c>
      <c r="B1001" t="s">
        <v>66</v>
      </c>
      <c r="C1001">
        <v>4</v>
      </c>
      <c r="D1001">
        <v>9</v>
      </c>
      <c r="E1001">
        <v>0</v>
      </c>
      <c r="F1001">
        <v>0</v>
      </c>
      <c r="H1001">
        <v>0</v>
      </c>
      <c r="I1001">
        <v>0</v>
      </c>
      <c r="J1001">
        <v>0</v>
      </c>
      <c r="K1001">
        <v>0</v>
      </c>
      <c r="L1001" s="7">
        <v>0</v>
      </c>
      <c r="M1001" s="7">
        <v>31.2</v>
      </c>
      <c r="N1001">
        <v>200</v>
      </c>
      <c r="O1001" s="15">
        <v>175</v>
      </c>
      <c r="P1001" s="8">
        <v>0.59285714285714286</v>
      </c>
      <c r="Q1001">
        <v>151</v>
      </c>
      <c r="R1001" s="15">
        <v>142</v>
      </c>
      <c r="S1001" s="8">
        <v>0.496</v>
      </c>
      <c r="T1001">
        <v>127</v>
      </c>
      <c r="U1001" s="15">
        <v>111</v>
      </c>
      <c r="V1001" s="8">
        <v>0.6470588235294118</v>
      </c>
      <c r="W1001">
        <f t="shared" si="15"/>
        <v>478</v>
      </c>
    </row>
    <row r="1002" spans="1:23">
      <c r="A1002" s="6">
        <v>45927</v>
      </c>
      <c r="B1002" t="s">
        <v>67</v>
      </c>
      <c r="C1002">
        <v>5</v>
      </c>
      <c r="D1002">
        <v>9</v>
      </c>
      <c r="E1002">
        <v>1</v>
      </c>
      <c r="F1002">
        <v>0</v>
      </c>
      <c r="H1002">
        <v>0</v>
      </c>
      <c r="I1002">
        <v>0</v>
      </c>
      <c r="J1002">
        <v>0</v>
      </c>
      <c r="K1002">
        <v>0</v>
      </c>
      <c r="L1002" s="7">
        <v>0.6</v>
      </c>
      <c r="M1002" s="7">
        <v>29.6</v>
      </c>
      <c r="N1002">
        <v>217</v>
      </c>
      <c r="O1002" s="15">
        <v>204</v>
      </c>
      <c r="P1002" s="8">
        <v>0.66428571428571426</v>
      </c>
      <c r="Q1002">
        <v>192</v>
      </c>
      <c r="R1002" s="15">
        <v>155</v>
      </c>
      <c r="S1002" s="8">
        <v>0.63200000000000001</v>
      </c>
      <c r="T1002">
        <v>136</v>
      </c>
      <c r="U1002" s="15">
        <v>125</v>
      </c>
      <c r="V1002" s="8">
        <v>0.71764705882352942</v>
      </c>
      <c r="W1002">
        <f t="shared" si="15"/>
        <v>545</v>
      </c>
    </row>
    <row r="1003" spans="1:23">
      <c r="A1003" s="6">
        <v>45928</v>
      </c>
      <c r="B1003" t="s">
        <v>60</v>
      </c>
      <c r="C1003">
        <v>6</v>
      </c>
      <c r="D1003">
        <v>9</v>
      </c>
      <c r="E1003">
        <v>1</v>
      </c>
      <c r="F1003">
        <v>0</v>
      </c>
      <c r="H1003">
        <v>0</v>
      </c>
      <c r="I1003">
        <v>0</v>
      </c>
      <c r="J1003">
        <v>0</v>
      </c>
      <c r="K1003">
        <v>0</v>
      </c>
      <c r="L1003" s="7">
        <v>0</v>
      </c>
      <c r="M1003" s="7">
        <v>29.1</v>
      </c>
      <c r="N1003">
        <v>220</v>
      </c>
      <c r="O1003" s="15">
        <v>205</v>
      </c>
      <c r="P1003" s="8">
        <v>0.6428571428571429</v>
      </c>
      <c r="Q1003">
        <v>174</v>
      </c>
      <c r="R1003" s="15">
        <v>154</v>
      </c>
      <c r="S1003" s="8">
        <v>0.59199999999999997</v>
      </c>
      <c r="T1003">
        <v>133</v>
      </c>
      <c r="U1003" s="15">
        <v>121</v>
      </c>
      <c r="V1003" s="8">
        <v>0.70588235294117652</v>
      </c>
      <c r="W1003">
        <f t="shared" si="15"/>
        <v>527</v>
      </c>
    </row>
    <row r="1004" spans="1:23">
      <c r="A1004" s="6">
        <v>45929</v>
      </c>
      <c r="B1004" t="s">
        <v>62</v>
      </c>
      <c r="C1004">
        <v>0</v>
      </c>
      <c r="D1004">
        <v>9</v>
      </c>
      <c r="E1004">
        <v>0</v>
      </c>
      <c r="F1004">
        <v>0</v>
      </c>
      <c r="H1004">
        <v>0</v>
      </c>
      <c r="I1004">
        <v>0</v>
      </c>
      <c r="J1004">
        <v>0</v>
      </c>
      <c r="K1004">
        <v>0</v>
      </c>
      <c r="L1004" s="7">
        <v>0</v>
      </c>
      <c r="M1004" s="7">
        <v>30.9</v>
      </c>
      <c r="N1004">
        <v>192</v>
      </c>
      <c r="O1004" s="15">
        <v>157</v>
      </c>
      <c r="P1004" s="8">
        <v>0.5714285714285714</v>
      </c>
      <c r="Q1004">
        <v>165</v>
      </c>
      <c r="R1004" s="15">
        <v>138</v>
      </c>
      <c r="S1004" s="8">
        <v>0.56000000000000005</v>
      </c>
      <c r="T1004">
        <v>108</v>
      </c>
      <c r="U1004" s="15">
        <v>93</v>
      </c>
      <c r="V1004" s="8">
        <v>0.57647058823529407</v>
      </c>
      <c r="W1004">
        <f t="shared" si="15"/>
        <v>465</v>
      </c>
    </row>
    <row r="1005" spans="1:23">
      <c r="A1005" s="6">
        <v>45930</v>
      </c>
      <c r="B1005" t="s">
        <v>63</v>
      </c>
      <c r="C1005">
        <v>1</v>
      </c>
      <c r="D1005">
        <v>9</v>
      </c>
      <c r="E1005">
        <v>0</v>
      </c>
      <c r="F1005">
        <v>0</v>
      </c>
      <c r="H1005">
        <v>0</v>
      </c>
      <c r="I1005">
        <v>0</v>
      </c>
      <c r="J1005">
        <v>0</v>
      </c>
      <c r="K1005">
        <v>0</v>
      </c>
      <c r="L1005" s="7">
        <v>2.5</v>
      </c>
      <c r="M1005" s="7">
        <v>29.1</v>
      </c>
      <c r="N1005">
        <v>172</v>
      </c>
      <c r="O1005" s="15">
        <v>158</v>
      </c>
      <c r="P1005" s="8">
        <v>0.52857142857142858</v>
      </c>
      <c r="Q1005">
        <v>169</v>
      </c>
      <c r="R1005" s="15">
        <v>141</v>
      </c>
      <c r="S1005" s="8">
        <v>0.56000000000000005</v>
      </c>
      <c r="T1005">
        <v>118</v>
      </c>
      <c r="U1005" s="15">
        <v>97</v>
      </c>
      <c r="V1005" s="8">
        <v>0.6</v>
      </c>
      <c r="W1005">
        <f t="shared" si="15"/>
        <v>459</v>
      </c>
    </row>
    <row r="1006" spans="1:23">
      <c r="A1006" s="6">
        <v>45931</v>
      </c>
      <c r="B1006" t="s">
        <v>64</v>
      </c>
      <c r="C1006">
        <v>2</v>
      </c>
      <c r="D1006">
        <v>10</v>
      </c>
      <c r="E1006">
        <v>0</v>
      </c>
      <c r="F1006">
        <v>0</v>
      </c>
      <c r="H1006">
        <v>0</v>
      </c>
      <c r="I1006">
        <v>0</v>
      </c>
      <c r="J1006">
        <v>0</v>
      </c>
      <c r="K1006">
        <v>0</v>
      </c>
      <c r="L1006" s="7">
        <v>0</v>
      </c>
      <c r="M1006" s="7">
        <v>28.6</v>
      </c>
      <c r="N1006">
        <v>174</v>
      </c>
      <c r="O1006" s="15">
        <v>145</v>
      </c>
      <c r="P1006" s="8">
        <v>0.52857142857142858</v>
      </c>
      <c r="Q1006">
        <v>180</v>
      </c>
      <c r="R1006" s="15">
        <v>153</v>
      </c>
      <c r="S1006" s="8">
        <v>0.59199999999999997</v>
      </c>
      <c r="T1006">
        <v>116</v>
      </c>
      <c r="U1006" s="15">
        <v>105</v>
      </c>
      <c r="V1006" s="8">
        <v>0.56470588235294117</v>
      </c>
      <c r="W1006">
        <f t="shared" si="15"/>
        <v>470</v>
      </c>
    </row>
    <row r="1007" spans="1:23">
      <c r="A1007" s="6">
        <v>45932</v>
      </c>
      <c r="B1007" t="s">
        <v>65</v>
      </c>
      <c r="C1007">
        <v>3</v>
      </c>
      <c r="D1007">
        <v>10</v>
      </c>
      <c r="E1007">
        <v>0</v>
      </c>
      <c r="F1007">
        <v>0</v>
      </c>
      <c r="H1007">
        <v>0</v>
      </c>
      <c r="I1007">
        <v>0</v>
      </c>
      <c r="J1007">
        <v>0</v>
      </c>
      <c r="K1007">
        <v>0</v>
      </c>
      <c r="L1007" s="7">
        <v>0</v>
      </c>
      <c r="M1007" s="7">
        <v>28.6</v>
      </c>
      <c r="N1007">
        <v>197</v>
      </c>
      <c r="O1007" s="15">
        <v>179</v>
      </c>
      <c r="P1007" s="8">
        <v>0.58571428571428574</v>
      </c>
      <c r="Q1007">
        <v>163</v>
      </c>
      <c r="R1007" s="15">
        <v>147</v>
      </c>
      <c r="S1007" s="8">
        <v>0.54400000000000004</v>
      </c>
      <c r="T1007">
        <v>126</v>
      </c>
      <c r="U1007" s="15">
        <v>103</v>
      </c>
      <c r="V1007" s="8">
        <v>0.63529411764705879</v>
      </c>
      <c r="W1007">
        <f t="shared" si="15"/>
        <v>486</v>
      </c>
    </row>
    <row r="1008" spans="1:23">
      <c r="A1008" s="6">
        <v>45933</v>
      </c>
      <c r="B1008" t="s">
        <v>66</v>
      </c>
      <c r="C1008">
        <v>4</v>
      </c>
      <c r="D1008">
        <v>10</v>
      </c>
      <c r="E1008">
        <v>0</v>
      </c>
      <c r="F1008">
        <v>0</v>
      </c>
      <c r="H1008">
        <v>0</v>
      </c>
      <c r="I1008">
        <v>0</v>
      </c>
      <c r="J1008">
        <v>0</v>
      </c>
      <c r="K1008">
        <v>0</v>
      </c>
      <c r="L1008" s="7">
        <v>1.6</v>
      </c>
      <c r="M1008" s="7">
        <v>30.2</v>
      </c>
      <c r="N1008">
        <v>192</v>
      </c>
      <c r="O1008" s="15">
        <v>164</v>
      </c>
      <c r="P1008" s="8">
        <v>0.58571428571428574</v>
      </c>
      <c r="Q1008">
        <v>142</v>
      </c>
      <c r="R1008" s="15">
        <v>121</v>
      </c>
      <c r="S1008" s="8">
        <v>0.48</v>
      </c>
      <c r="T1008">
        <v>119</v>
      </c>
      <c r="U1008" s="15">
        <v>111</v>
      </c>
      <c r="V1008" s="8">
        <v>0.62352941176470589</v>
      </c>
      <c r="W1008">
        <f t="shared" si="15"/>
        <v>453</v>
      </c>
    </row>
    <row r="1009" spans="1:23">
      <c r="A1009" s="6">
        <v>45934</v>
      </c>
      <c r="B1009" t="s">
        <v>67</v>
      </c>
      <c r="C1009">
        <v>5</v>
      </c>
      <c r="D1009">
        <v>10</v>
      </c>
      <c r="E1009">
        <v>1</v>
      </c>
      <c r="F1009">
        <v>0</v>
      </c>
      <c r="H1009">
        <v>0</v>
      </c>
      <c r="I1009">
        <v>0</v>
      </c>
      <c r="J1009">
        <v>0</v>
      </c>
      <c r="K1009">
        <v>0</v>
      </c>
      <c r="L1009" s="7">
        <v>3.3</v>
      </c>
      <c r="M1009" s="7">
        <v>28.3</v>
      </c>
      <c r="N1009">
        <v>196</v>
      </c>
      <c r="O1009" s="15">
        <v>177</v>
      </c>
      <c r="P1009" s="8">
        <v>0.6</v>
      </c>
      <c r="Q1009">
        <v>185</v>
      </c>
      <c r="R1009" s="15">
        <v>171</v>
      </c>
      <c r="S1009" s="8">
        <v>0.64800000000000002</v>
      </c>
      <c r="T1009">
        <v>156</v>
      </c>
      <c r="U1009" s="15">
        <v>127</v>
      </c>
      <c r="V1009" s="8">
        <v>0.78823529411764703</v>
      </c>
      <c r="W1009">
        <f t="shared" si="15"/>
        <v>537</v>
      </c>
    </row>
    <row r="1010" spans="1:23">
      <c r="A1010" s="6">
        <v>45935</v>
      </c>
      <c r="B1010" t="s">
        <v>60</v>
      </c>
      <c r="C1010">
        <v>6</v>
      </c>
      <c r="D1010">
        <v>10</v>
      </c>
      <c r="E1010">
        <v>1</v>
      </c>
      <c r="F1010">
        <v>0</v>
      </c>
      <c r="H1010">
        <v>0</v>
      </c>
      <c r="I1010">
        <v>0</v>
      </c>
      <c r="J1010">
        <v>0</v>
      </c>
      <c r="K1010">
        <v>0</v>
      </c>
      <c r="L1010" s="7">
        <v>0</v>
      </c>
      <c r="M1010" s="7">
        <v>30.3</v>
      </c>
      <c r="N1010">
        <v>214</v>
      </c>
      <c r="O1010" s="15">
        <v>183</v>
      </c>
      <c r="P1010" s="8">
        <v>0.63571428571428568</v>
      </c>
      <c r="Q1010">
        <v>201</v>
      </c>
      <c r="R1010" s="15">
        <v>182</v>
      </c>
      <c r="S1010" s="8">
        <v>0.66400000000000003</v>
      </c>
      <c r="T1010">
        <v>142</v>
      </c>
      <c r="U1010" s="15">
        <v>117</v>
      </c>
      <c r="V1010" s="8">
        <v>0.74117647058823533</v>
      </c>
      <c r="W1010">
        <f t="shared" si="15"/>
        <v>557</v>
      </c>
    </row>
    <row r="1011" spans="1:23">
      <c r="A1011" s="6">
        <v>45936</v>
      </c>
      <c r="B1011" t="s">
        <v>62</v>
      </c>
      <c r="C1011">
        <v>0</v>
      </c>
      <c r="D1011">
        <v>10</v>
      </c>
      <c r="E1011">
        <v>0</v>
      </c>
      <c r="F1011">
        <v>0</v>
      </c>
      <c r="H1011">
        <v>0</v>
      </c>
      <c r="I1011">
        <v>0</v>
      </c>
      <c r="J1011">
        <v>0</v>
      </c>
      <c r="K1011">
        <v>0</v>
      </c>
      <c r="L1011" s="7">
        <v>4.4000000000000004</v>
      </c>
      <c r="M1011" s="7">
        <v>29.2</v>
      </c>
      <c r="N1011">
        <v>169</v>
      </c>
      <c r="O1011" s="15">
        <v>151</v>
      </c>
      <c r="P1011" s="8">
        <v>0.50714285714285712</v>
      </c>
      <c r="Q1011">
        <v>160</v>
      </c>
      <c r="R1011" s="15">
        <v>129</v>
      </c>
      <c r="S1011" s="8">
        <v>0.52800000000000002</v>
      </c>
      <c r="T1011">
        <v>120</v>
      </c>
      <c r="U1011" s="15">
        <v>98</v>
      </c>
      <c r="V1011" s="8">
        <v>0.61176470588235299</v>
      </c>
      <c r="W1011">
        <f t="shared" si="15"/>
        <v>449</v>
      </c>
    </row>
    <row r="1012" spans="1:23">
      <c r="A1012" s="6">
        <v>45937</v>
      </c>
      <c r="B1012" t="s">
        <v>63</v>
      </c>
      <c r="C1012">
        <v>1</v>
      </c>
      <c r="D1012">
        <v>10</v>
      </c>
      <c r="E1012">
        <v>0</v>
      </c>
      <c r="F1012">
        <v>0</v>
      </c>
      <c r="H1012">
        <v>0</v>
      </c>
      <c r="I1012">
        <v>0</v>
      </c>
      <c r="J1012">
        <v>0</v>
      </c>
      <c r="K1012">
        <v>0</v>
      </c>
      <c r="L1012" s="7">
        <v>0</v>
      </c>
      <c r="M1012" s="7">
        <v>29.8</v>
      </c>
      <c r="N1012">
        <v>187</v>
      </c>
      <c r="O1012" s="15">
        <v>163</v>
      </c>
      <c r="P1012" s="8">
        <v>0.55714285714285716</v>
      </c>
      <c r="Q1012">
        <v>157</v>
      </c>
      <c r="R1012" s="15">
        <v>132</v>
      </c>
      <c r="S1012" s="8">
        <v>0.52800000000000002</v>
      </c>
      <c r="T1012">
        <v>105</v>
      </c>
      <c r="U1012" s="15">
        <v>94</v>
      </c>
      <c r="V1012" s="8">
        <v>0.56470588235294117</v>
      </c>
      <c r="W1012">
        <f t="shared" si="15"/>
        <v>449</v>
      </c>
    </row>
    <row r="1013" spans="1:23">
      <c r="A1013" s="6">
        <v>45938</v>
      </c>
      <c r="B1013" t="s">
        <v>64</v>
      </c>
      <c r="C1013">
        <v>2</v>
      </c>
      <c r="D1013">
        <v>10</v>
      </c>
      <c r="E1013">
        <v>0</v>
      </c>
      <c r="F1013">
        <v>0</v>
      </c>
      <c r="H1013">
        <v>0</v>
      </c>
      <c r="I1013">
        <v>0</v>
      </c>
      <c r="J1013">
        <v>0</v>
      </c>
      <c r="K1013">
        <v>0</v>
      </c>
      <c r="L1013" s="7">
        <v>4.5</v>
      </c>
      <c r="M1013" s="7">
        <v>30.2</v>
      </c>
      <c r="N1013">
        <v>189</v>
      </c>
      <c r="O1013" s="15">
        <v>162</v>
      </c>
      <c r="P1013" s="8">
        <v>0.56428571428571428</v>
      </c>
      <c r="Q1013">
        <v>163</v>
      </c>
      <c r="R1013" s="15">
        <v>145</v>
      </c>
      <c r="S1013" s="8">
        <v>0.54400000000000004</v>
      </c>
      <c r="T1013">
        <v>121</v>
      </c>
      <c r="U1013" s="15">
        <v>113</v>
      </c>
      <c r="V1013" s="8">
        <v>0.6470588235294118</v>
      </c>
      <c r="W1013">
        <f t="shared" si="15"/>
        <v>473</v>
      </c>
    </row>
    <row r="1014" spans="1:23">
      <c r="A1014" s="6">
        <v>45939</v>
      </c>
      <c r="B1014" t="s">
        <v>65</v>
      </c>
      <c r="C1014">
        <v>3</v>
      </c>
      <c r="D1014">
        <v>10</v>
      </c>
      <c r="E1014">
        <v>0</v>
      </c>
      <c r="F1014">
        <v>0</v>
      </c>
      <c r="H1014">
        <v>0</v>
      </c>
      <c r="I1014">
        <v>0</v>
      </c>
      <c r="J1014">
        <v>0</v>
      </c>
      <c r="K1014">
        <v>0</v>
      </c>
      <c r="L1014" s="7">
        <v>1.8</v>
      </c>
      <c r="M1014" s="7">
        <v>30.1</v>
      </c>
      <c r="N1014">
        <v>185</v>
      </c>
      <c r="O1014" s="15">
        <v>169</v>
      </c>
      <c r="P1014" s="8">
        <v>0.55000000000000004</v>
      </c>
      <c r="Q1014">
        <v>174</v>
      </c>
      <c r="R1014" s="15">
        <v>164</v>
      </c>
      <c r="S1014" s="8">
        <v>0.57599999999999996</v>
      </c>
      <c r="T1014">
        <v>127</v>
      </c>
      <c r="U1014" s="15">
        <v>110</v>
      </c>
      <c r="V1014" s="8">
        <v>0.63529411764705879</v>
      </c>
      <c r="W1014">
        <f t="shared" si="15"/>
        <v>486</v>
      </c>
    </row>
    <row r="1015" spans="1:23">
      <c r="A1015" s="6">
        <v>45940</v>
      </c>
      <c r="B1015" t="s">
        <v>66</v>
      </c>
      <c r="C1015">
        <v>4</v>
      </c>
      <c r="D1015">
        <v>10</v>
      </c>
      <c r="E1015">
        <v>0</v>
      </c>
      <c r="F1015">
        <v>0</v>
      </c>
      <c r="H1015">
        <v>0</v>
      </c>
      <c r="I1015">
        <v>0</v>
      </c>
      <c r="J1015">
        <v>0</v>
      </c>
      <c r="K1015">
        <v>0</v>
      </c>
      <c r="L1015" s="7">
        <v>1.6</v>
      </c>
      <c r="M1015" s="7">
        <v>28.6</v>
      </c>
      <c r="N1015">
        <v>196</v>
      </c>
      <c r="O1015" s="15">
        <v>166</v>
      </c>
      <c r="P1015" s="8">
        <v>0.6071428571428571</v>
      </c>
      <c r="Q1015">
        <v>152</v>
      </c>
      <c r="R1015" s="15">
        <v>134</v>
      </c>
      <c r="S1015" s="8">
        <v>0.51200000000000001</v>
      </c>
      <c r="T1015">
        <v>115</v>
      </c>
      <c r="U1015" s="15">
        <v>102</v>
      </c>
      <c r="V1015" s="8">
        <v>0.61176470588235299</v>
      </c>
      <c r="W1015">
        <f t="shared" si="15"/>
        <v>463</v>
      </c>
    </row>
    <row r="1016" spans="1:23">
      <c r="A1016" s="6">
        <v>45941</v>
      </c>
      <c r="B1016" t="s">
        <v>67</v>
      </c>
      <c r="C1016">
        <v>5</v>
      </c>
      <c r="D1016">
        <v>10</v>
      </c>
      <c r="E1016">
        <v>1</v>
      </c>
      <c r="F1016">
        <v>0</v>
      </c>
      <c r="H1016">
        <v>0</v>
      </c>
      <c r="I1016">
        <v>0</v>
      </c>
      <c r="J1016">
        <v>0</v>
      </c>
      <c r="K1016">
        <v>0</v>
      </c>
      <c r="L1016" s="7">
        <v>0</v>
      </c>
      <c r="M1016" s="7">
        <v>28.9</v>
      </c>
      <c r="N1016">
        <v>209</v>
      </c>
      <c r="O1016" s="15">
        <v>194</v>
      </c>
      <c r="P1016" s="8">
        <v>0.63571428571428568</v>
      </c>
      <c r="Q1016">
        <v>186</v>
      </c>
      <c r="R1016" s="15">
        <v>154</v>
      </c>
      <c r="S1016" s="8">
        <v>0.61599999999999999</v>
      </c>
      <c r="T1016">
        <v>138</v>
      </c>
      <c r="U1016" s="15">
        <v>119</v>
      </c>
      <c r="V1016" s="8">
        <v>0.74117647058823533</v>
      </c>
      <c r="W1016">
        <f t="shared" si="15"/>
        <v>533</v>
      </c>
    </row>
    <row r="1017" spans="1:23">
      <c r="A1017" s="6">
        <v>45942</v>
      </c>
      <c r="B1017" t="s">
        <v>60</v>
      </c>
      <c r="C1017">
        <v>6</v>
      </c>
      <c r="D1017">
        <v>10</v>
      </c>
      <c r="E1017">
        <v>1</v>
      </c>
      <c r="F1017">
        <v>1</v>
      </c>
      <c r="G1017" t="s">
        <v>73</v>
      </c>
      <c r="H1017">
        <v>0</v>
      </c>
      <c r="I1017">
        <v>0</v>
      </c>
      <c r="J1017">
        <v>0</v>
      </c>
      <c r="K1017">
        <v>0</v>
      </c>
      <c r="L1017" s="7">
        <v>0.4</v>
      </c>
      <c r="M1017" s="7">
        <v>28.2</v>
      </c>
      <c r="N1017">
        <v>219</v>
      </c>
      <c r="O1017" s="15">
        <v>195</v>
      </c>
      <c r="P1017" s="8">
        <v>0.6785714285714286</v>
      </c>
      <c r="Q1017">
        <v>198</v>
      </c>
      <c r="R1017" s="15">
        <v>168</v>
      </c>
      <c r="S1017" s="8">
        <v>0.67200000000000004</v>
      </c>
      <c r="T1017">
        <v>158</v>
      </c>
      <c r="U1017" s="15">
        <v>127</v>
      </c>
      <c r="V1017" s="8">
        <v>0.81176470588235294</v>
      </c>
      <c r="W1017">
        <f t="shared" si="15"/>
        <v>575</v>
      </c>
    </row>
    <row r="1018" spans="1:23">
      <c r="A1018" s="6">
        <v>45943</v>
      </c>
      <c r="B1018" t="s">
        <v>62</v>
      </c>
      <c r="C1018">
        <v>0</v>
      </c>
      <c r="D1018">
        <v>10</v>
      </c>
      <c r="E1018">
        <v>0</v>
      </c>
      <c r="F1018">
        <v>0</v>
      </c>
      <c r="H1018">
        <v>0</v>
      </c>
      <c r="I1018">
        <v>0</v>
      </c>
      <c r="J1018">
        <v>0</v>
      </c>
      <c r="K1018">
        <v>0</v>
      </c>
      <c r="L1018" s="7">
        <v>0</v>
      </c>
      <c r="M1018" s="7">
        <v>30</v>
      </c>
      <c r="N1018">
        <v>192</v>
      </c>
      <c r="O1018" s="15">
        <v>171</v>
      </c>
      <c r="P1018" s="8">
        <v>0.6</v>
      </c>
      <c r="Q1018">
        <v>184</v>
      </c>
      <c r="R1018" s="15">
        <v>163</v>
      </c>
      <c r="S1018" s="8">
        <v>0.60799999999999998</v>
      </c>
      <c r="T1018">
        <v>118</v>
      </c>
      <c r="U1018" s="15">
        <v>103</v>
      </c>
      <c r="V1018" s="8">
        <v>0.6</v>
      </c>
      <c r="W1018">
        <f t="shared" si="15"/>
        <v>494</v>
      </c>
    </row>
    <row r="1019" spans="1:23">
      <c r="A1019" s="6">
        <v>45944</v>
      </c>
      <c r="B1019" t="s">
        <v>63</v>
      </c>
      <c r="C1019">
        <v>1</v>
      </c>
      <c r="D1019">
        <v>10</v>
      </c>
      <c r="E1019">
        <v>0</v>
      </c>
      <c r="F1019">
        <v>0</v>
      </c>
      <c r="H1019">
        <v>0</v>
      </c>
      <c r="I1019">
        <v>0</v>
      </c>
      <c r="J1019">
        <v>0</v>
      </c>
      <c r="K1019">
        <v>0</v>
      </c>
      <c r="L1019" s="7">
        <v>3.1</v>
      </c>
      <c r="M1019" s="7">
        <v>30.6</v>
      </c>
      <c r="N1019">
        <v>164</v>
      </c>
      <c r="O1019" s="15">
        <v>149</v>
      </c>
      <c r="P1019" s="8">
        <v>0.52142857142857146</v>
      </c>
      <c r="Q1019">
        <v>152</v>
      </c>
      <c r="R1019" s="15">
        <v>131</v>
      </c>
      <c r="S1019" s="8">
        <v>0.496</v>
      </c>
      <c r="T1019">
        <v>112</v>
      </c>
      <c r="U1019" s="15">
        <v>105</v>
      </c>
      <c r="V1019" s="8">
        <v>0.61176470588235299</v>
      </c>
      <c r="W1019">
        <f t="shared" si="15"/>
        <v>428</v>
      </c>
    </row>
    <row r="1020" spans="1:23">
      <c r="A1020" s="6">
        <v>45945</v>
      </c>
      <c r="B1020" t="s">
        <v>64</v>
      </c>
      <c r="C1020">
        <v>2</v>
      </c>
      <c r="D1020">
        <v>10</v>
      </c>
      <c r="E1020">
        <v>0</v>
      </c>
      <c r="F1020">
        <v>0</v>
      </c>
      <c r="H1020">
        <v>0</v>
      </c>
      <c r="I1020">
        <v>0</v>
      </c>
      <c r="J1020">
        <v>0</v>
      </c>
      <c r="K1020">
        <v>0</v>
      </c>
      <c r="L1020" s="7">
        <v>1.9</v>
      </c>
      <c r="M1020" s="7">
        <v>28.3</v>
      </c>
      <c r="N1020">
        <v>186</v>
      </c>
      <c r="O1020" s="15">
        <v>165</v>
      </c>
      <c r="P1020" s="8">
        <v>0.55714285714285716</v>
      </c>
      <c r="Q1020">
        <v>161</v>
      </c>
      <c r="R1020" s="15">
        <v>133</v>
      </c>
      <c r="S1020" s="8">
        <v>0.52800000000000002</v>
      </c>
      <c r="T1020">
        <v>124</v>
      </c>
      <c r="U1020" s="15">
        <v>107</v>
      </c>
      <c r="V1020" s="8">
        <v>0.6705882352941176</v>
      </c>
      <c r="W1020">
        <f t="shared" si="15"/>
        <v>471</v>
      </c>
    </row>
    <row r="1021" spans="1:23">
      <c r="A1021" s="6">
        <v>45946</v>
      </c>
      <c r="B1021" t="s">
        <v>65</v>
      </c>
      <c r="C1021">
        <v>3</v>
      </c>
      <c r="D1021">
        <v>10</v>
      </c>
      <c r="E1021">
        <v>0</v>
      </c>
      <c r="F1021">
        <v>0</v>
      </c>
      <c r="H1021">
        <v>0</v>
      </c>
      <c r="I1021">
        <v>0</v>
      </c>
      <c r="J1021">
        <v>0</v>
      </c>
      <c r="K1021">
        <v>0</v>
      </c>
      <c r="L1021" s="7">
        <v>3.8</v>
      </c>
      <c r="M1021" s="7">
        <v>30.4</v>
      </c>
      <c r="N1021">
        <v>193</v>
      </c>
      <c r="O1021" s="15">
        <v>178</v>
      </c>
      <c r="P1021" s="8">
        <v>0.57857142857142863</v>
      </c>
      <c r="Q1021">
        <v>177</v>
      </c>
      <c r="R1021" s="15">
        <v>152</v>
      </c>
      <c r="S1021" s="8">
        <v>0.56799999999999995</v>
      </c>
      <c r="T1021">
        <v>118</v>
      </c>
      <c r="U1021" s="15">
        <v>105</v>
      </c>
      <c r="V1021" s="8">
        <v>0.6</v>
      </c>
      <c r="W1021">
        <f t="shared" si="15"/>
        <v>488</v>
      </c>
    </row>
    <row r="1022" spans="1:23">
      <c r="A1022" s="6">
        <v>45947</v>
      </c>
      <c r="B1022" t="s">
        <v>66</v>
      </c>
      <c r="C1022">
        <v>4</v>
      </c>
      <c r="D1022">
        <v>10</v>
      </c>
      <c r="E1022">
        <v>0</v>
      </c>
      <c r="F1022">
        <v>0</v>
      </c>
      <c r="H1022">
        <v>0</v>
      </c>
      <c r="I1022">
        <v>0</v>
      </c>
      <c r="J1022">
        <v>0</v>
      </c>
      <c r="K1022">
        <v>0</v>
      </c>
      <c r="L1022" s="7">
        <v>0.5</v>
      </c>
      <c r="M1022" s="7">
        <v>30.1</v>
      </c>
      <c r="N1022">
        <v>178</v>
      </c>
      <c r="O1022" s="15">
        <v>151</v>
      </c>
      <c r="P1022" s="8">
        <v>0.54285714285714282</v>
      </c>
      <c r="Q1022">
        <v>160</v>
      </c>
      <c r="R1022" s="15">
        <v>140</v>
      </c>
      <c r="S1022" s="8">
        <v>0.52</v>
      </c>
      <c r="T1022">
        <v>117</v>
      </c>
      <c r="U1022" s="15">
        <v>101</v>
      </c>
      <c r="V1022" s="8">
        <v>0.6</v>
      </c>
      <c r="W1022">
        <f t="shared" si="15"/>
        <v>455</v>
      </c>
    </row>
    <row r="1023" spans="1:23">
      <c r="A1023" s="6">
        <v>45948</v>
      </c>
      <c r="B1023" t="s">
        <v>67</v>
      </c>
      <c r="C1023">
        <v>5</v>
      </c>
      <c r="D1023">
        <v>10</v>
      </c>
      <c r="E1023">
        <v>1</v>
      </c>
      <c r="F1023">
        <v>0</v>
      </c>
      <c r="H1023">
        <v>0</v>
      </c>
      <c r="I1023">
        <v>0</v>
      </c>
      <c r="J1023">
        <v>0</v>
      </c>
      <c r="K1023">
        <v>0</v>
      </c>
      <c r="L1023" s="7">
        <v>0.1</v>
      </c>
      <c r="M1023" s="7">
        <v>29.4</v>
      </c>
      <c r="N1023">
        <v>203</v>
      </c>
      <c r="O1023" s="15">
        <v>171</v>
      </c>
      <c r="P1023" s="8">
        <v>0.62857142857142856</v>
      </c>
      <c r="Q1023">
        <v>174</v>
      </c>
      <c r="R1023" s="15">
        <v>142</v>
      </c>
      <c r="S1023" s="8">
        <v>0.6</v>
      </c>
      <c r="T1023">
        <v>143</v>
      </c>
      <c r="U1023" s="15">
        <v>128</v>
      </c>
      <c r="V1023" s="8">
        <v>0.77647058823529413</v>
      </c>
      <c r="W1023">
        <f t="shared" si="15"/>
        <v>520</v>
      </c>
    </row>
    <row r="1024" spans="1:23">
      <c r="A1024" s="6">
        <v>45949</v>
      </c>
      <c r="B1024" t="s">
        <v>60</v>
      </c>
      <c r="C1024">
        <v>6</v>
      </c>
      <c r="D1024">
        <v>10</v>
      </c>
      <c r="E1024">
        <v>1</v>
      </c>
      <c r="F1024">
        <v>0</v>
      </c>
      <c r="H1024">
        <v>0</v>
      </c>
      <c r="I1024">
        <v>0</v>
      </c>
      <c r="J1024">
        <v>0</v>
      </c>
      <c r="K1024">
        <v>0</v>
      </c>
      <c r="L1024" s="7">
        <v>3.1</v>
      </c>
      <c r="M1024" s="7">
        <v>30.4</v>
      </c>
      <c r="N1024">
        <v>212</v>
      </c>
      <c r="O1024" s="15">
        <v>199</v>
      </c>
      <c r="P1024" s="8">
        <v>0.6428571428571429</v>
      </c>
      <c r="Q1024">
        <v>208</v>
      </c>
      <c r="R1024" s="15">
        <v>181</v>
      </c>
      <c r="S1024" s="8">
        <v>0.72</v>
      </c>
      <c r="T1024">
        <v>146</v>
      </c>
      <c r="U1024" s="15">
        <v>127</v>
      </c>
      <c r="V1024" s="8">
        <v>0.76470588235294112</v>
      </c>
      <c r="W1024">
        <f t="shared" si="15"/>
        <v>566</v>
      </c>
    </row>
    <row r="1025" spans="1:23">
      <c r="A1025" s="6">
        <v>45950</v>
      </c>
      <c r="B1025" t="s">
        <v>62</v>
      </c>
      <c r="C1025">
        <v>0</v>
      </c>
      <c r="D1025">
        <v>10</v>
      </c>
      <c r="E1025">
        <v>0</v>
      </c>
      <c r="F1025">
        <v>0</v>
      </c>
      <c r="H1025">
        <v>0</v>
      </c>
      <c r="I1025">
        <v>0</v>
      </c>
      <c r="J1025">
        <v>0</v>
      </c>
      <c r="K1025">
        <v>0</v>
      </c>
      <c r="L1025" s="7">
        <v>0</v>
      </c>
      <c r="M1025" s="7">
        <v>29.8</v>
      </c>
      <c r="N1025">
        <v>186</v>
      </c>
      <c r="O1025" s="15">
        <v>166</v>
      </c>
      <c r="P1025" s="8">
        <v>0.5714285714285714</v>
      </c>
      <c r="Q1025">
        <v>175</v>
      </c>
      <c r="R1025" s="15">
        <v>144</v>
      </c>
      <c r="S1025" s="8">
        <v>0.6</v>
      </c>
      <c r="T1025">
        <v>115</v>
      </c>
      <c r="U1025" s="15">
        <v>104</v>
      </c>
      <c r="V1025" s="8">
        <v>0.58823529411764708</v>
      </c>
      <c r="W1025">
        <f t="shared" si="15"/>
        <v>476</v>
      </c>
    </row>
    <row r="1026" spans="1:23">
      <c r="A1026" s="6">
        <v>45951</v>
      </c>
      <c r="B1026" t="s">
        <v>63</v>
      </c>
      <c r="C1026">
        <v>1</v>
      </c>
      <c r="D1026">
        <v>10</v>
      </c>
      <c r="E1026">
        <v>0</v>
      </c>
      <c r="F1026">
        <v>0</v>
      </c>
      <c r="H1026">
        <v>0</v>
      </c>
      <c r="I1026">
        <v>0</v>
      </c>
      <c r="J1026">
        <v>0</v>
      </c>
      <c r="K1026">
        <v>0</v>
      </c>
      <c r="L1026" s="7">
        <v>3.5</v>
      </c>
      <c r="M1026" s="7">
        <v>29.1</v>
      </c>
      <c r="N1026">
        <v>187</v>
      </c>
      <c r="O1026" s="15">
        <v>154</v>
      </c>
      <c r="P1026" s="8">
        <v>0.5714285714285714</v>
      </c>
      <c r="Q1026">
        <v>169</v>
      </c>
      <c r="R1026" s="15">
        <v>144</v>
      </c>
      <c r="S1026" s="8">
        <v>0.54400000000000004</v>
      </c>
      <c r="T1026">
        <v>89</v>
      </c>
      <c r="U1026" s="15">
        <v>73</v>
      </c>
      <c r="V1026" s="8">
        <v>0.54117647058823526</v>
      </c>
      <c r="W1026">
        <f t="shared" ref="W1026:W1089" si="16">N1026+Q1026+T1026</f>
        <v>445</v>
      </c>
    </row>
    <row r="1027" spans="1:23">
      <c r="A1027" s="6">
        <v>45952</v>
      </c>
      <c r="B1027" t="s">
        <v>64</v>
      </c>
      <c r="C1027">
        <v>2</v>
      </c>
      <c r="D1027">
        <v>10</v>
      </c>
      <c r="E1027">
        <v>0</v>
      </c>
      <c r="F1027">
        <v>0</v>
      </c>
      <c r="H1027">
        <v>0</v>
      </c>
      <c r="I1027">
        <v>0</v>
      </c>
      <c r="J1027">
        <v>0</v>
      </c>
      <c r="K1027">
        <v>0</v>
      </c>
      <c r="L1027" s="7">
        <v>5.6</v>
      </c>
      <c r="M1027" s="7">
        <v>29.1</v>
      </c>
      <c r="N1027">
        <v>169</v>
      </c>
      <c r="O1027" s="15">
        <v>142</v>
      </c>
      <c r="P1027" s="8">
        <v>0.52857142857142858</v>
      </c>
      <c r="Q1027">
        <v>145</v>
      </c>
      <c r="R1027" s="15">
        <v>133</v>
      </c>
      <c r="S1027" s="8">
        <v>0.46400000000000002</v>
      </c>
      <c r="T1027">
        <v>116</v>
      </c>
      <c r="U1027" s="15">
        <v>102</v>
      </c>
      <c r="V1027" s="8">
        <v>0.58823529411764708</v>
      </c>
      <c r="W1027">
        <f t="shared" si="16"/>
        <v>430</v>
      </c>
    </row>
    <row r="1028" spans="1:23">
      <c r="A1028" s="6">
        <v>45953</v>
      </c>
      <c r="B1028" t="s">
        <v>65</v>
      </c>
      <c r="C1028">
        <v>3</v>
      </c>
      <c r="D1028">
        <v>10</v>
      </c>
      <c r="E1028">
        <v>0</v>
      </c>
      <c r="F1028">
        <v>0</v>
      </c>
      <c r="H1028">
        <v>0</v>
      </c>
      <c r="I1028">
        <v>0</v>
      </c>
      <c r="J1028">
        <v>0</v>
      </c>
      <c r="K1028">
        <v>0</v>
      </c>
      <c r="L1028" s="7">
        <v>1.4</v>
      </c>
      <c r="M1028" s="7">
        <v>29.4</v>
      </c>
      <c r="N1028">
        <v>173</v>
      </c>
      <c r="O1028" s="15">
        <v>141</v>
      </c>
      <c r="P1028" s="8">
        <v>0.5357142857142857</v>
      </c>
      <c r="Q1028">
        <v>153</v>
      </c>
      <c r="R1028" s="15">
        <v>129</v>
      </c>
      <c r="S1028" s="8">
        <v>0.52</v>
      </c>
      <c r="T1028">
        <v>121</v>
      </c>
      <c r="U1028" s="15">
        <v>108</v>
      </c>
      <c r="V1028" s="8">
        <v>0.6470588235294118</v>
      </c>
      <c r="W1028">
        <f t="shared" si="16"/>
        <v>447</v>
      </c>
    </row>
    <row r="1029" spans="1:23">
      <c r="A1029" s="6">
        <v>45954</v>
      </c>
      <c r="B1029" t="s">
        <v>66</v>
      </c>
      <c r="C1029">
        <v>4</v>
      </c>
      <c r="D1029">
        <v>10</v>
      </c>
      <c r="E1029">
        <v>0</v>
      </c>
      <c r="F1029">
        <v>0</v>
      </c>
      <c r="H1029">
        <v>0</v>
      </c>
      <c r="I1029">
        <v>0</v>
      </c>
      <c r="J1029">
        <v>0</v>
      </c>
      <c r="K1029">
        <v>0</v>
      </c>
      <c r="L1029" s="7">
        <v>2</v>
      </c>
      <c r="M1029" s="7">
        <v>29.1</v>
      </c>
      <c r="N1029">
        <v>200</v>
      </c>
      <c r="O1029" s="15">
        <v>161</v>
      </c>
      <c r="P1029" s="8">
        <v>0.62142857142857144</v>
      </c>
      <c r="Q1029">
        <v>162</v>
      </c>
      <c r="R1029" s="15">
        <v>144</v>
      </c>
      <c r="S1029" s="8">
        <v>0.55200000000000005</v>
      </c>
      <c r="T1029">
        <v>136</v>
      </c>
      <c r="U1029" s="15">
        <v>120</v>
      </c>
      <c r="V1029" s="8">
        <v>0.71764705882352942</v>
      </c>
      <c r="W1029">
        <f t="shared" si="16"/>
        <v>498</v>
      </c>
    </row>
    <row r="1030" spans="1:23">
      <c r="A1030" s="6">
        <v>45955</v>
      </c>
      <c r="B1030" t="s">
        <v>67</v>
      </c>
      <c r="C1030">
        <v>5</v>
      </c>
      <c r="D1030">
        <v>10</v>
      </c>
      <c r="E1030">
        <v>1</v>
      </c>
      <c r="F1030">
        <v>0</v>
      </c>
      <c r="H1030">
        <v>0</v>
      </c>
      <c r="I1030">
        <v>0</v>
      </c>
      <c r="J1030">
        <v>0</v>
      </c>
      <c r="K1030">
        <v>0</v>
      </c>
      <c r="L1030" s="7">
        <v>0.4</v>
      </c>
      <c r="M1030" s="7">
        <v>29.5</v>
      </c>
      <c r="N1030">
        <v>200</v>
      </c>
      <c r="O1030" s="15">
        <v>165</v>
      </c>
      <c r="P1030" s="8">
        <v>0.6071428571428571</v>
      </c>
      <c r="Q1030">
        <v>183</v>
      </c>
      <c r="R1030" s="15">
        <v>156</v>
      </c>
      <c r="S1030" s="8">
        <v>0.624</v>
      </c>
      <c r="T1030">
        <v>138</v>
      </c>
      <c r="U1030" s="15">
        <v>126</v>
      </c>
      <c r="V1030" s="8">
        <v>0.75294117647058822</v>
      </c>
      <c r="W1030">
        <f t="shared" si="16"/>
        <v>521</v>
      </c>
    </row>
    <row r="1031" spans="1:23">
      <c r="A1031" s="6">
        <v>45956</v>
      </c>
      <c r="B1031" t="s">
        <v>60</v>
      </c>
      <c r="C1031">
        <v>6</v>
      </c>
      <c r="D1031">
        <v>10</v>
      </c>
      <c r="E1031">
        <v>1</v>
      </c>
      <c r="F1031">
        <v>0</v>
      </c>
      <c r="H1031">
        <v>0</v>
      </c>
      <c r="I1031">
        <v>0</v>
      </c>
      <c r="J1031">
        <v>0</v>
      </c>
      <c r="K1031">
        <v>0</v>
      </c>
      <c r="L1031" s="7">
        <v>0</v>
      </c>
      <c r="M1031" s="7">
        <v>29.3</v>
      </c>
      <c r="N1031">
        <v>213</v>
      </c>
      <c r="O1031" s="15">
        <v>189</v>
      </c>
      <c r="P1031" s="8">
        <v>0.62857142857142856</v>
      </c>
      <c r="Q1031">
        <v>182</v>
      </c>
      <c r="R1031" s="15">
        <v>156</v>
      </c>
      <c r="S1031" s="8">
        <v>0.64</v>
      </c>
      <c r="T1031">
        <v>144</v>
      </c>
      <c r="U1031" s="15">
        <v>126</v>
      </c>
      <c r="V1031" s="8">
        <v>0.78823529411764703</v>
      </c>
      <c r="W1031">
        <f t="shared" si="16"/>
        <v>539</v>
      </c>
    </row>
    <row r="1032" spans="1:23">
      <c r="A1032" s="6">
        <v>45957</v>
      </c>
      <c r="B1032" t="s">
        <v>62</v>
      </c>
      <c r="C1032">
        <v>0</v>
      </c>
      <c r="D1032">
        <v>10</v>
      </c>
      <c r="E1032">
        <v>0</v>
      </c>
      <c r="F1032">
        <v>0</v>
      </c>
      <c r="H1032">
        <v>0</v>
      </c>
      <c r="I1032">
        <v>0</v>
      </c>
      <c r="J1032">
        <v>0</v>
      </c>
      <c r="K1032">
        <v>0</v>
      </c>
      <c r="L1032" s="7">
        <v>1.6</v>
      </c>
      <c r="M1032" s="7">
        <v>28.6</v>
      </c>
      <c r="N1032">
        <v>205</v>
      </c>
      <c r="O1032" s="15">
        <v>172</v>
      </c>
      <c r="P1032" s="8">
        <v>0.6071428571428571</v>
      </c>
      <c r="Q1032">
        <v>136</v>
      </c>
      <c r="R1032" s="15">
        <v>125</v>
      </c>
      <c r="S1032" s="8">
        <v>0.45600000000000002</v>
      </c>
      <c r="T1032">
        <v>115</v>
      </c>
      <c r="U1032" s="15">
        <v>94</v>
      </c>
      <c r="V1032" s="8">
        <v>0.62352941176470589</v>
      </c>
      <c r="W1032">
        <f t="shared" si="16"/>
        <v>456</v>
      </c>
    </row>
    <row r="1033" spans="1:23">
      <c r="A1033" s="6">
        <v>45958</v>
      </c>
      <c r="B1033" t="s">
        <v>63</v>
      </c>
      <c r="C1033">
        <v>1</v>
      </c>
      <c r="D1033">
        <v>10</v>
      </c>
      <c r="E1033">
        <v>0</v>
      </c>
      <c r="F1033">
        <v>0</v>
      </c>
      <c r="H1033">
        <v>0</v>
      </c>
      <c r="I1033">
        <v>0</v>
      </c>
      <c r="J1033">
        <v>0</v>
      </c>
      <c r="K1033">
        <v>0</v>
      </c>
      <c r="L1033" s="7">
        <v>0</v>
      </c>
      <c r="M1033" s="7">
        <v>29.6</v>
      </c>
      <c r="N1033">
        <v>200</v>
      </c>
      <c r="O1033" s="15">
        <v>187</v>
      </c>
      <c r="P1033" s="8">
        <v>0.6</v>
      </c>
      <c r="Q1033">
        <v>161</v>
      </c>
      <c r="R1033" s="15">
        <v>141</v>
      </c>
      <c r="S1033" s="8">
        <v>0.53600000000000003</v>
      </c>
      <c r="T1033">
        <v>111</v>
      </c>
      <c r="U1033" s="15">
        <v>97</v>
      </c>
      <c r="V1033" s="8">
        <v>0.58823529411764708</v>
      </c>
      <c r="W1033">
        <f t="shared" si="16"/>
        <v>472</v>
      </c>
    </row>
    <row r="1034" spans="1:23">
      <c r="A1034" s="6">
        <v>45959</v>
      </c>
      <c r="B1034" t="s">
        <v>64</v>
      </c>
      <c r="C1034">
        <v>2</v>
      </c>
      <c r="D1034">
        <v>10</v>
      </c>
      <c r="E1034">
        <v>0</v>
      </c>
      <c r="F1034">
        <v>0</v>
      </c>
      <c r="H1034">
        <v>0</v>
      </c>
      <c r="I1034">
        <v>0</v>
      </c>
      <c r="J1034">
        <v>0</v>
      </c>
      <c r="K1034">
        <v>0</v>
      </c>
      <c r="L1034" s="7">
        <v>0.5</v>
      </c>
      <c r="M1034" s="7">
        <v>28.6</v>
      </c>
      <c r="N1034">
        <v>163</v>
      </c>
      <c r="O1034" s="15">
        <v>136</v>
      </c>
      <c r="P1034" s="8">
        <v>0.51428571428571423</v>
      </c>
      <c r="Q1034">
        <v>163</v>
      </c>
      <c r="R1034" s="15">
        <v>133</v>
      </c>
      <c r="S1034" s="8">
        <v>0.55200000000000005</v>
      </c>
      <c r="T1034">
        <v>116</v>
      </c>
      <c r="U1034" s="15">
        <v>101</v>
      </c>
      <c r="V1034" s="8">
        <v>0.62352941176470589</v>
      </c>
      <c r="W1034">
        <f t="shared" si="16"/>
        <v>442</v>
      </c>
    </row>
    <row r="1035" spans="1:23">
      <c r="A1035" s="6">
        <v>45960</v>
      </c>
      <c r="B1035" t="s">
        <v>65</v>
      </c>
      <c r="C1035">
        <v>3</v>
      </c>
      <c r="D1035">
        <v>10</v>
      </c>
      <c r="E1035">
        <v>0</v>
      </c>
      <c r="F1035">
        <v>0</v>
      </c>
      <c r="H1035">
        <v>0</v>
      </c>
      <c r="I1035">
        <v>0</v>
      </c>
      <c r="J1035">
        <v>0</v>
      </c>
      <c r="K1035">
        <v>0</v>
      </c>
      <c r="L1035" s="7">
        <v>1.4</v>
      </c>
      <c r="M1035" s="7">
        <v>30.3</v>
      </c>
      <c r="N1035">
        <v>198</v>
      </c>
      <c r="O1035" s="15">
        <v>159</v>
      </c>
      <c r="P1035" s="8">
        <v>0.59285714285714286</v>
      </c>
      <c r="Q1035">
        <v>148</v>
      </c>
      <c r="R1035" s="15">
        <v>123</v>
      </c>
      <c r="S1035" s="8">
        <v>0.51200000000000001</v>
      </c>
      <c r="T1035">
        <v>118</v>
      </c>
      <c r="U1035" s="15">
        <v>99</v>
      </c>
      <c r="V1035" s="8">
        <v>0.6</v>
      </c>
      <c r="W1035">
        <f t="shared" si="16"/>
        <v>464</v>
      </c>
    </row>
    <row r="1036" spans="1:23">
      <c r="A1036" s="6">
        <v>45961</v>
      </c>
      <c r="B1036" t="s">
        <v>66</v>
      </c>
      <c r="C1036">
        <v>4</v>
      </c>
      <c r="D1036">
        <v>10</v>
      </c>
      <c r="E1036">
        <v>0</v>
      </c>
      <c r="F1036">
        <v>0</v>
      </c>
      <c r="H1036">
        <v>0</v>
      </c>
      <c r="I1036">
        <v>0</v>
      </c>
      <c r="J1036">
        <v>0</v>
      </c>
      <c r="K1036">
        <v>0</v>
      </c>
      <c r="L1036" s="7">
        <v>1.2</v>
      </c>
      <c r="M1036" s="7">
        <v>29.1</v>
      </c>
      <c r="N1036">
        <v>162</v>
      </c>
      <c r="O1036" s="15">
        <v>150</v>
      </c>
      <c r="P1036" s="8">
        <v>0.48571428571428571</v>
      </c>
      <c r="Q1036">
        <v>150</v>
      </c>
      <c r="R1036" s="15">
        <v>137</v>
      </c>
      <c r="S1036" s="8">
        <v>0.496</v>
      </c>
      <c r="T1036">
        <v>126</v>
      </c>
      <c r="U1036" s="15">
        <v>112</v>
      </c>
      <c r="V1036" s="8">
        <v>0.63529411764705879</v>
      </c>
      <c r="W1036">
        <f t="shared" si="16"/>
        <v>438</v>
      </c>
    </row>
    <row r="1037" spans="1:23">
      <c r="A1037" s="6">
        <v>45962</v>
      </c>
      <c r="B1037" t="s">
        <v>67</v>
      </c>
      <c r="C1037">
        <v>5</v>
      </c>
      <c r="D1037">
        <v>11</v>
      </c>
      <c r="E1037">
        <v>1</v>
      </c>
      <c r="F1037">
        <v>0</v>
      </c>
      <c r="H1037">
        <v>0</v>
      </c>
      <c r="I1037">
        <v>0</v>
      </c>
      <c r="J1037">
        <v>0</v>
      </c>
      <c r="K1037">
        <v>0</v>
      </c>
      <c r="L1037" s="7">
        <v>0.1</v>
      </c>
      <c r="M1037" s="7">
        <v>30.1</v>
      </c>
      <c r="N1037">
        <v>196</v>
      </c>
      <c r="O1037" s="15">
        <v>171</v>
      </c>
      <c r="P1037" s="8">
        <v>0.6071428571428571</v>
      </c>
      <c r="Q1037">
        <v>190</v>
      </c>
      <c r="R1037" s="15">
        <v>174</v>
      </c>
      <c r="S1037" s="8">
        <v>0.624</v>
      </c>
      <c r="T1037">
        <v>141</v>
      </c>
      <c r="U1037" s="15">
        <v>113</v>
      </c>
      <c r="V1037" s="8">
        <v>0.72941176470588232</v>
      </c>
      <c r="W1037">
        <f t="shared" si="16"/>
        <v>527</v>
      </c>
    </row>
    <row r="1038" spans="1:23">
      <c r="A1038" s="6">
        <v>45963</v>
      </c>
      <c r="B1038" t="s">
        <v>60</v>
      </c>
      <c r="C1038">
        <v>6</v>
      </c>
      <c r="D1038">
        <v>11</v>
      </c>
      <c r="E1038">
        <v>1</v>
      </c>
      <c r="F1038">
        <v>1</v>
      </c>
      <c r="G1038" t="s">
        <v>74</v>
      </c>
      <c r="H1038">
        <v>0</v>
      </c>
      <c r="I1038">
        <v>0</v>
      </c>
      <c r="J1038">
        <v>0</v>
      </c>
      <c r="K1038">
        <v>0</v>
      </c>
      <c r="L1038" s="7">
        <v>0</v>
      </c>
      <c r="M1038" s="7">
        <v>28.8</v>
      </c>
      <c r="N1038">
        <v>229</v>
      </c>
      <c r="O1038" s="15">
        <v>200</v>
      </c>
      <c r="P1038" s="8">
        <v>0.69285714285714284</v>
      </c>
      <c r="Q1038">
        <v>201</v>
      </c>
      <c r="R1038" s="15">
        <v>185</v>
      </c>
      <c r="S1038" s="8">
        <v>0.67200000000000004</v>
      </c>
      <c r="T1038">
        <v>163</v>
      </c>
      <c r="U1038" s="15">
        <v>147</v>
      </c>
      <c r="V1038" s="8">
        <v>0.8</v>
      </c>
      <c r="W1038">
        <f t="shared" si="16"/>
        <v>593</v>
      </c>
    </row>
    <row r="1039" spans="1:23">
      <c r="A1039" s="6">
        <v>45964</v>
      </c>
      <c r="B1039" t="s">
        <v>62</v>
      </c>
      <c r="C1039">
        <v>0</v>
      </c>
      <c r="D1039">
        <v>11</v>
      </c>
      <c r="E1039">
        <v>0</v>
      </c>
      <c r="F1039">
        <v>0</v>
      </c>
      <c r="H1039">
        <v>0</v>
      </c>
      <c r="I1039">
        <v>0</v>
      </c>
      <c r="J1039">
        <v>0</v>
      </c>
      <c r="K1039">
        <v>0</v>
      </c>
      <c r="L1039" s="7">
        <v>1.9</v>
      </c>
      <c r="M1039" s="7">
        <v>30.7</v>
      </c>
      <c r="N1039">
        <v>188</v>
      </c>
      <c r="O1039" s="15">
        <v>166</v>
      </c>
      <c r="P1039" s="8">
        <v>0.59285714285714286</v>
      </c>
      <c r="Q1039">
        <v>162</v>
      </c>
      <c r="R1039" s="15">
        <v>144</v>
      </c>
      <c r="S1039" s="8">
        <v>0.53600000000000003</v>
      </c>
      <c r="T1039">
        <v>108</v>
      </c>
      <c r="U1039" s="15">
        <v>96</v>
      </c>
      <c r="V1039" s="8">
        <v>0.58823529411764708</v>
      </c>
      <c r="W1039">
        <f t="shared" si="16"/>
        <v>458</v>
      </c>
    </row>
    <row r="1040" spans="1:23">
      <c r="A1040" s="6">
        <v>45965</v>
      </c>
      <c r="B1040" t="s">
        <v>63</v>
      </c>
      <c r="C1040">
        <v>1</v>
      </c>
      <c r="D1040">
        <v>11</v>
      </c>
      <c r="E1040">
        <v>0</v>
      </c>
      <c r="F1040">
        <v>0</v>
      </c>
      <c r="H1040">
        <v>0</v>
      </c>
      <c r="I1040">
        <v>0</v>
      </c>
      <c r="J1040">
        <v>0</v>
      </c>
      <c r="K1040">
        <v>0</v>
      </c>
      <c r="L1040" s="7">
        <v>0.1</v>
      </c>
      <c r="M1040" s="7">
        <v>29.6</v>
      </c>
      <c r="N1040">
        <v>190</v>
      </c>
      <c r="O1040" s="15">
        <v>175</v>
      </c>
      <c r="P1040" s="8">
        <v>0.57857142857142863</v>
      </c>
      <c r="Q1040">
        <v>168</v>
      </c>
      <c r="R1040" s="15">
        <v>155</v>
      </c>
      <c r="S1040" s="8">
        <v>0.56799999999999995</v>
      </c>
      <c r="T1040">
        <v>119</v>
      </c>
      <c r="U1040" s="15">
        <v>105</v>
      </c>
      <c r="V1040" s="8">
        <v>0.6</v>
      </c>
      <c r="W1040">
        <f t="shared" si="16"/>
        <v>477</v>
      </c>
    </row>
    <row r="1041" spans="1:23">
      <c r="A1041" s="6">
        <v>45966</v>
      </c>
      <c r="B1041" t="s">
        <v>64</v>
      </c>
      <c r="C1041">
        <v>2</v>
      </c>
      <c r="D1041">
        <v>11</v>
      </c>
      <c r="E1041">
        <v>0</v>
      </c>
      <c r="F1041">
        <v>0</v>
      </c>
      <c r="H1041">
        <v>0</v>
      </c>
      <c r="I1041">
        <v>0</v>
      </c>
      <c r="J1041">
        <v>0</v>
      </c>
      <c r="K1041">
        <v>0</v>
      </c>
      <c r="L1041" s="7">
        <v>0</v>
      </c>
      <c r="M1041" s="7">
        <v>29.3</v>
      </c>
      <c r="N1041">
        <v>189</v>
      </c>
      <c r="O1041" s="15">
        <v>175</v>
      </c>
      <c r="P1041" s="8">
        <v>0.57857142857142863</v>
      </c>
      <c r="Q1041">
        <v>157</v>
      </c>
      <c r="R1041" s="15">
        <v>135</v>
      </c>
      <c r="S1041" s="8">
        <v>0.54400000000000004</v>
      </c>
      <c r="T1041">
        <v>118</v>
      </c>
      <c r="U1041" s="15">
        <v>110</v>
      </c>
      <c r="V1041" s="8">
        <v>0.62352941176470589</v>
      </c>
      <c r="W1041">
        <f t="shared" si="16"/>
        <v>464</v>
      </c>
    </row>
    <row r="1042" spans="1:23">
      <c r="A1042" s="6">
        <v>45967</v>
      </c>
      <c r="B1042" t="s">
        <v>65</v>
      </c>
      <c r="C1042">
        <v>3</v>
      </c>
      <c r="D1042">
        <v>11</v>
      </c>
      <c r="E1042">
        <v>0</v>
      </c>
      <c r="F1042">
        <v>0</v>
      </c>
      <c r="H1042">
        <v>0</v>
      </c>
      <c r="I1042">
        <v>0</v>
      </c>
      <c r="J1042">
        <v>0</v>
      </c>
      <c r="K1042">
        <v>0</v>
      </c>
      <c r="L1042" s="7">
        <v>0</v>
      </c>
      <c r="M1042" s="7">
        <v>29.6</v>
      </c>
      <c r="N1042">
        <v>182</v>
      </c>
      <c r="O1042" s="15">
        <v>164</v>
      </c>
      <c r="P1042" s="8">
        <v>0.55714285714285716</v>
      </c>
      <c r="Q1042">
        <v>131</v>
      </c>
      <c r="R1042" s="15">
        <v>122</v>
      </c>
      <c r="S1042" s="8">
        <v>0.45600000000000002</v>
      </c>
      <c r="T1042">
        <v>115</v>
      </c>
      <c r="U1042" s="15">
        <v>103</v>
      </c>
      <c r="V1042" s="8">
        <v>0.6</v>
      </c>
      <c r="W1042">
        <f t="shared" si="16"/>
        <v>428</v>
      </c>
    </row>
    <row r="1043" spans="1:23">
      <c r="A1043" s="6">
        <v>45968</v>
      </c>
      <c r="B1043" t="s">
        <v>66</v>
      </c>
      <c r="C1043">
        <v>4</v>
      </c>
      <c r="D1043">
        <v>11</v>
      </c>
      <c r="E1043">
        <v>0</v>
      </c>
      <c r="F1043">
        <v>0</v>
      </c>
      <c r="H1043">
        <v>0</v>
      </c>
      <c r="I1043">
        <v>0</v>
      </c>
      <c r="J1043">
        <v>0</v>
      </c>
      <c r="K1043">
        <v>0</v>
      </c>
      <c r="L1043" s="7">
        <v>7.1</v>
      </c>
      <c r="M1043" s="7">
        <v>29.4</v>
      </c>
      <c r="N1043">
        <v>184</v>
      </c>
      <c r="O1043" s="15">
        <v>158</v>
      </c>
      <c r="P1043" s="8">
        <v>0.54285714285714282</v>
      </c>
      <c r="Q1043">
        <v>150</v>
      </c>
      <c r="R1043" s="15">
        <v>133</v>
      </c>
      <c r="S1043" s="8">
        <v>0.504</v>
      </c>
      <c r="T1043">
        <v>125</v>
      </c>
      <c r="U1043" s="15">
        <v>114</v>
      </c>
      <c r="V1043" s="8">
        <v>0.6470588235294118</v>
      </c>
      <c r="W1043">
        <f t="shared" si="16"/>
        <v>459</v>
      </c>
    </row>
    <row r="1044" spans="1:23">
      <c r="A1044" s="6">
        <v>45969</v>
      </c>
      <c r="B1044" t="s">
        <v>67</v>
      </c>
      <c r="C1044">
        <v>5</v>
      </c>
      <c r="D1044">
        <v>11</v>
      </c>
      <c r="E1044">
        <v>1</v>
      </c>
      <c r="F1044">
        <v>0</v>
      </c>
      <c r="H1044">
        <v>0</v>
      </c>
      <c r="I1044">
        <v>0</v>
      </c>
      <c r="J1044">
        <v>0</v>
      </c>
      <c r="K1044">
        <v>0</v>
      </c>
      <c r="L1044" s="7">
        <v>0</v>
      </c>
      <c r="M1044" s="7">
        <v>29.1</v>
      </c>
      <c r="N1044">
        <v>218</v>
      </c>
      <c r="O1044" s="15">
        <v>200</v>
      </c>
      <c r="P1044" s="8">
        <v>0.66428571428571426</v>
      </c>
      <c r="Q1044">
        <v>206</v>
      </c>
      <c r="R1044" s="15">
        <v>189</v>
      </c>
      <c r="S1044" s="8">
        <v>0.68</v>
      </c>
      <c r="T1044">
        <v>135</v>
      </c>
      <c r="U1044" s="15">
        <v>112</v>
      </c>
      <c r="V1044" s="8">
        <v>0.70588235294117652</v>
      </c>
      <c r="W1044">
        <f t="shared" si="16"/>
        <v>559</v>
      </c>
    </row>
    <row r="1045" spans="1:23">
      <c r="A1045" s="6">
        <v>45970</v>
      </c>
      <c r="B1045" t="s">
        <v>60</v>
      </c>
      <c r="C1045">
        <v>6</v>
      </c>
      <c r="D1045">
        <v>11</v>
      </c>
      <c r="E1045">
        <v>1</v>
      </c>
      <c r="F1045">
        <v>0</v>
      </c>
      <c r="H1045">
        <v>0</v>
      </c>
      <c r="I1045">
        <v>0</v>
      </c>
      <c r="J1045">
        <v>0</v>
      </c>
      <c r="K1045">
        <v>0</v>
      </c>
      <c r="L1045" s="7">
        <v>0.7</v>
      </c>
      <c r="M1045" s="7">
        <v>29.7</v>
      </c>
      <c r="N1045">
        <v>207</v>
      </c>
      <c r="O1045" s="15">
        <v>188</v>
      </c>
      <c r="P1045" s="8">
        <v>0.62857142857142856</v>
      </c>
      <c r="Q1045">
        <v>183</v>
      </c>
      <c r="R1045" s="15">
        <v>164</v>
      </c>
      <c r="S1045" s="8">
        <v>0.6</v>
      </c>
      <c r="T1045">
        <v>147</v>
      </c>
      <c r="U1045" s="15">
        <v>126</v>
      </c>
      <c r="V1045" s="8">
        <v>0.78823529411764703</v>
      </c>
      <c r="W1045">
        <f t="shared" si="16"/>
        <v>537</v>
      </c>
    </row>
    <row r="1046" spans="1:23">
      <c r="A1046" s="6">
        <v>45971</v>
      </c>
      <c r="B1046" t="s">
        <v>62</v>
      </c>
      <c r="C1046">
        <v>0</v>
      </c>
      <c r="D1046">
        <v>11</v>
      </c>
      <c r="E1046">
        <v>0</v>
      </c>
      <c r="F1046">
        <v>0</v>
      </c>
      <c r="H1046">
        <v>0</v>
      </c>
      <c r="I1046">
        <v>0</v>
      </c>
      <c r="J1046">
        <v>0</v>
      </c>
      <c r="K1046">
        <v>0</v>
      </c>
      <c r="L1046" s="7">
        <v>4.0999999999999996</v>
      </c>
      <c r="M1046" s="7">
        <v>28.1</v>
      </c>
      <c r="N1046">
        <v>206</v>
      </c>
      <c r="O1046" s="15">
        <v>187</v>
      </c>
      <c r="P1046" s="8">
        <v>0.62142857142857144</v>
      </c>
      <c r="Q1046">
        <v>148</v>
      </c>
      <c r="R1046" s="15">
        <v>138</v>
      </c>
      <c r="S1046" s="8">
        <v>0.48799999999999999</v>
      </c>
      <c r="T1046">
        <v>122</v>
      </c>
      <c r="U1046" s="15">
        <v>98</v>
      </c>
      <c r="V1046" s="8">
        <v>0.58823529411764708</v>
      </c>
      <c r="W1046">
        <f t="shared" si="16"/>
        <v>476</v>
      </c>
    </row>
    <row r="1047" spans="1:23">
      <c r="A1047" s="6">
        <v>45972</v>
      </c>
      <c r="B1047" t="s">
        <v>63</v>
      </c>
      <c r="C1047">
        <v>1</v>
      </c>
      <c r="D1047">
        <v>11</v>
      </c>
      <c r="E1047">
        <v>0</v>
      </c>
      <c r="F1047">
        <v>0</v>
      </c>
      <c r="H1047">
        <v>0</v>
      </c>
      <c r="I1047">
        <v>0</v>
      </c>
      <c r="J1047">
        <v>0</v>
      </c>
      <c r="K1047">
        <v>0</v>
      </c>
      <c r="L1047" s="7">
        <v>1.6</v>
      </c>
      <c r="M1047" s="7">
        <v>30.7</v>
      </c>
      <c r="N1047">
        <v>189</v>
      </c>
      <c r="O1047" s="15">
        <v>157</v>
      </c>
      <c r="P1047" s="8">
        <v>0.56428571428571428</v>
      </c>
      <c r="Q1047">
        <v>160</v>
      </c>
      <c r="R1047" s="15">
        <v>132</v>
      </c>
      <c r="S1047" s="8">
        <v>0.54400000000000004</v>
      </c>
      <c r="T1047">
        <v>128</v>
      </c>
      <c r="U1047" s="15">
        <v>103</v>
      </c>
      <c r="V1047" s="8">
        <v>0.6470588235294118</v>
      </c>
      <c r="W1047">
        <f t="shared" si="16"/>
        <v>477</v>
      </c>
    </row>
    <row r="1048" spans="1:23">
      <c r="A1048" s="6">
        <v>45973</v>
      </c>
      <c r="B1048" t="s">
        <v>64</v>
      </c>
      <c r="C1048">
        <v>2</v>
      </c>
      <c r="D1048">
        <v>11</v>
      </c>
      <c r="E1048">
        <v>0</v>
      </c>
      <c r="F1048">
        <v>0</v>
      </c>
      <c r="H1048">
        <v>0</v>
      </c>
      <c r="I1048">
        <v>0</v>
      </c>
      <c r="J1048">
        <v>0</v>
      </c>
      <c r="K1048">
        <v>0</v>
      </c>
      <c r="L1048" s="7">
        <v>0.1</v>
      </c>
      <c r="M1048" s="7">
        <v>29.2</v>
      </c>
      <c r="N1048">
        <v>182</v>
      </c>
      <c r="O1048" s="15">
        <v>147</v>
      </c>
      <c r="P1048" s="8">
        <v>0.5357142857142857</v>
      </c>
      <c r="Q1048">
        <v>160</v>
      </c>
      <c r="R1048" s="15">
        <v>148</v>
      </c>
      <c r="S1048" s="8">
        <v>0.54400000000000004</v>
      </c>
      <c r="T1048">
        <v>121</v>
      </c>
      <c r="U1048" s="15">
        <v>105</v>
      </c>
      <c r="V1048" s="8">
        <v>0.58823529411764708</v>
      </c>
      <c r="W1048">
        <f t="shared" si="16"/>
        <v>463</v>
      </c>
    </row>
    <row r="1049" spans="1:23">
      <c r="A1049" s="6">
        <v>45974</v>
      </c>
      <c r="B1049" t="s">
        <v>65</v>
      </c>
      <c r="C1049">
        <v>3</v>
      </c>
      <c r="D1049">
        <v>11</v>
      </c>
      <c r="E1049">
        <v>0</v>
      </c>
      <c r="F1049">
        <v>0</v>
      </c>
      <c r="H1049">
        <v>0</v>
      </c>
      <c r="I1049">
        <v>0</v>
      </c>
      <c r="J1049">
        <v>0</v>
      </c>
      <c r="K1049">
        <v>0</v>
      </c>
      <c r="L1049" s="7">
        <v>1.9</v>
      </c>
      <c r="M1049" s="7">
        <v>30.6</v>
      </c>
      <c r="N1049">
        <v>184</v>
      </c>
      <c r="O1049" s="15">
        <v>168</v>
      </c>
      <c r="P1049" s="8">
        <v>0.55714285714285716</v>
      </c>
      <c r="Q1049">
        <v>170</v>
      </c>
      <c r="R1049" s="15">
        <v>153</v>
      </c>
      <c r="S1049" s="8">
        <v>0.53600000000000003</v>
      </c>
      <c r="T1049">
        <v>116</v>
      </c>
      <c r="U1049" s="15">
        <v>98</v>
      </c>
      <c r="V1049" s="8">
        <v>0.6</v>
      </c>
      <c r="W1049">
        <f t="shared" si="16"/>
        <v>470</v>
      </c>
    </row>
    <row r="1050" spans="1:23">
      <c r="A1050" s="6">
        <v>45975</v>
      </c>
      <c r="B1050" t="s">
        <v>66</v>
      </c>
      <c r="C1050">
        <v>4</v>
      </c>
      <c r="D1050">
        <v>11</v>
      </c>
      <c r="E1050">
        <v>0</v>
      </c>
      <c r="F1050">
        <v>0</v>
      </c>
      <c r="H1050">
        <v>0</v>
      </c>
      <c r="I1050">
        <v>0</v>
      </c>
      <c r="J1050">
        <v>0</v>
      </c>
      <c r="K1050">
        <v>0</v>
      </c>
      <c r="L1050" s="7">
        <v>0.1</v>
      </c>
      <c r="M1050" s="7">
        <v>29</v>
      </c>
      <c r="N1050">
        <v>203</v>
      </c>
      <c r="O1050" s="15">
        <v>175</v>
      </c>
      <c r="P1050" s="8">
        <v>0.6071428571428571</v>
      </c>
      <c r="Q1050">
        <v>172</v>
      </c>
      <c r="R1050" s="15">
        <v>159</v>
      </c>
      <c r="S1050" s="8">
        <v>0.56799999999999995</v>
      </c>
      <c r="T1050">
        <v>108</v>
      </c>
      <c r="U1050" s="15">
        <v>91</v>
      </c>
      <c r="V1050" s="8">
        <v>0.55294117647058827</v>
      </c>
      <c r="W1050">
        <f t="shared" si="16"/>
        <v>483</v>
      </c>
    </row>
    <row r="1051" spans="1:23">
      <c r="A1051" s="6">
        <v>45976</v>
      </c>
      <c r="B1051" t="s">
        <v>67</v>
      </c>
      <c r="C1051">
        <v>5</v>
      </c>
      <c r="D1051">
        <v>11</v>
      </c>
      <c r="E1051">
        <v>1</v>
      </c>
      <c r="F1051">
        <v>1</v>
      </c>
      <c r="G1051" t="s">
        <v>75</v>
      </c>
      <c r="H1051">
        <v>0</v>
      </c>
      <c r="I1051">
        <v>0</v>
      </c>
      <c r="J1051">
        <v>0</v>
      </c>
      <c r="K1051">
        <v>0</v>
      </c>
      <c r="L1051" s="7">
        <v>0.4</v>
      </c>
      <c r="M1051" s="7">
        <v>29.6</v>
      </c>
      <c r="N1051">
        <v>228</v>
      </c>
      <c r="O1051" s="15">
        <v>186</v>
      </c>
      <c r="P1051" s="8">
        <v>0.72142857142857142</v>
      </c>
      <c r="Q1051">
        <v>235</v>
      </c>
      <c r="R1051" s="15">
        <v>217</v>
      </c>
      <c r="S1051" s="8">
        <v>0.8</v>
      </c>
      <c r="T1051">
        <v>155</v>
      </c>
      <c r="U1051" s="15">
        <v>136</v>
      </c>
      <c r="V1051" s="8">
        <v>0.81176470588235294</v>
      </c>
      <c r="W1051">
        <f t="shared" si="16"/>
        <v>618</v>
      </c>
    </row>
    <row r="1052" spans="1:23">
      <c r="A1052" s="6">
        <v>45977</v>
      </c>
      <c r="B1052" t="s">
        <v>60</v>
      </c>
      <c r="C1052">
        <v>6</v>
      </c>
      <c r="D1052">
        <v>11</v>
      </c>
      <c r="E1052">
        <v>1</v>
      </c>
      <c r="F1052">
        <v>0</v>
      </c>
      <c r="H1052">
        <v>0</v>
      </c>
      <c r="I1052">
        <v>0</v>
      </c>
      <c r="J1052">
        <v>0</v>
      </c>
      <c r="K1052">
        <v>0</v>
      </c>
      <c r="L1052" s="7">
        <v>0</v>
      </c>
      <c r="M1052" s="7">
        <v>29.3</v>
      </c>
      <c r="N1052">
        <v>216</v>
      </c>
      <c r="O1052" s="15">
        <v>175</v>
      </c>
      <c r="P1052" s="8">
        <v>0.65714285714285714</v>
      </c>
      <c r="Q1052">
        <v>198</v>
      </c>
      <c r="R1052" s="15">
        <v>182</v>
      </c>
      <c r="S1052" s="8">
        <v>0.66400000000000003</v>
      </c>
      <c r="T1052">
        <v>150</v>
      </c>
      <c r="U1052" s="15">
        <v>127</v>
      </c>
      <c r="V1052" s="8">
        <v>0.74117647058823533</v>
      </c>
      <c r="W1052">
        <f t="shared" si="16"/>
        <v>564</v>
      </c>
    </row>
    <row r="1053" spans="1:23">
      <c r="A1053" s="6">
        <v>45978</v>
      </c>
      <c r="B1053" t="s">
        <v>62</v>
      </c>
      <c r="C1053">
        <v>0</v>
      </c>
      <c r="D1053">
        <v>11</v>
      </c>
      <c r="E1053">
        <v>0</v>
      </c>
      <c r="F1053">
        <v>0</v>
      </c>
      <c r="H1053">
        <v>0</v>
      </c>
      <c r="I1053">
        <v>0</v>
      </c>
      <c r="J1053">
        <v>0</v>
      </c>
      <c r="K1053">
        <v>0</v>
      </c>
      <c r="L1053" s="7">
        <v>2.2000000000000002</v>
      </c>
      <c r="M1053" s="7">
        <v>28.9</v>
      </c>
      <c r="N1053">
        <v>173</v>
      </c>
      <c r="O1053" s="15">
        <v>143</v>
      </c>
      <c r="P1053" s="8">
        <v>0.52142857142857146</v>
      </c>
      <c r="Q1053">
        <v>145</v>
      </c>
      <c r="R1053" s="15">
        <v>131</v>
      </c>
      <c r="S1053" s="8">
        <v>0.496</v>
      </c>
      <c r="T1053">
        <v>112</v>
      </c>
      <c r="U1053" s="15">
        <v>97</v>
      </c>
      <c r="V1053" s="8">
        <v>0.62352941176470589</v>
      </c>
      <c r="W1053">
        <f t="shared" si="16"/>
        <v>430</v>
      </c>
    </row>
    <row r="1054" spans="1:23">
      <c r="A1054" s="6">
        <v>45979</v>
      </c>
      <c r="B1054" t="s">
        <v>63</v>
      </c>
      <c r="C1054">
        <v>1</v>
      </c>
      <c r="D1054">
        <v>11</v>
      </c>
      <c r="E1054">
        <v>0</v>
      </c>
      <c r="F1054">
        <v>0</v>
      </c>
      <c r="H1054">
        <v>0</v>
      </c>
      <c r="I1054">
        <v>0</v>
      </c>
      <c r="J1054">
        <v>0</v>
      </c>
      <c r="K1054">
        <v>0</v>
      </c>
      <c r="L1054" s="7">
        <v>0</v>
      </c>
      <c r="M1054" s="7">
        <v>30.8</v>
      </c>
      <c r="N1054">
        <v>195</v>
      </c>
      <c r="O1054" s="15">
        <v>161</v>
      </c>
      <c r="P1054" s="8">
        <v>0.59285714285714286</v>
      </c>
      <c r="Q1054">
        <v>178</v>
      </c>
      <c r="R1054" s="15">
        <v>151</v>
      </c>
      <c r="S1054" s="8">
        <v>0.56799999999999995</v>
      </c>
      <c r="T1054">
        <v>132</v>
      </c>
      <c r="U1054" s="15">
        <v>121</v>
      </c>
      <c r="V1054" s="8">
        <v>0.6588235294117647</v>
      </c>
      <c r="W1054">
        <f t="shared" si="16"/>
        <v>505</v>
      </c>
    </row>
    <row r="1055" spans="1:23">
      <c r="A1055" s="6">
        <v>45980</v>
      </c>
      <c r="B1055" t="s">
        <v>64</v>
      </c>
      <c r="C1055">
        <v>2</v>
      </c>
      <c r="D1055">
        <v>11</v>
      </c>
      <c r="E1055">
        <v>0</v>
      </c>
      <c r="F1055">
        <v>0</v>
      </c>
      <c r="H1055">
        <v>0</v>
      </c>
      <c r="I1055">
        <v>0</v>
      </c>
      <c r="J1055">
        <v>0</v>
      </c>
      <c r="K1055">
        <v>0</v>
      </c>
      <c r="L1055" s="7">
        <v>1.5</v>
      </c>
      <c r="M1055" s="7">
        <v>28.6</v>
      </c>
      <c r="N1055">
        <v>174</v>
      </c>
      <c r="O1055" s="15">
        <v>151</v>
      </c>
      <c r="P1055" s="8">
        <v>0.5357142857142857</v>
      </c>
      <c r="Q1055">
        <v>164</v>
      </c>
      <c r="R1055" s="15">
        <v>141</v>
      </c>
      <c r="S1055" s="8">
        <v>0.55200000000000005</v>
      </c>
      <c r="T1055">
        <v>110</v>
      </c>
      <c r="U1055" s="15">
        <v>91</v>
      </c>
      <c r="V1055" s="8">
        <v>0.57647058823529407</v>
      </c>
      <c r="W1055">
        <f t="shared" si="16"/>
        <v>448</v>
      </c>
    </row>
    <row r="1056" spans="1:23">
      <c r="A1056" s="6">
        <v>45981</v>
      </c>
      <c r="B1056" t="s">
        <v>65</v>
      </c>
      <c r="C1056">
        <v>3</v>
      </c>
      <c r="D1056">
        <v>11</v>
      </c>
      <c r="E1056">
        <v>0</v>
      </c>
      <c r="F1056">
        <v>0</v>
      </c>
      <c r="H1056">
        <v>0</v>
      </c>
      <c r="I1056">
        <v>0</v>
      </c>
      <c r="J1056">
        <v>0</v>
      </c>
      <c r="K1056">
        <v>0</v>
      </c>
      <c r="L1056" s="7">
        <v>3.4</v>
      </c>
      <c r="M1056" s="7">
        <v>30.3</v>
      </c>
      <c r="N1056">
        <v>194</v>
      </c>
      <c r="O1056" s="15">
        <v>172</v>
      </c>
      <c r="P1056" s="8">
        <v>0.58571428571428574</v>
      </c>
      <c r="Q1056">
        <v>156</v>
      </c>
      <c r="R1056" s="15">
        <v>133</v>
      </c>
      <c r="S1056" s="8">
        <v>0.54400000000000004</v>
      </c>
      <c r="T1056">
        <v>129</v>
      </c>
      <c r="U1056" s="15">
        <v>105</v>
      </c>
      <c r="V1056" s="8">
        <v>0.6705882352941176</v>
      </c>
      <c r="W1056">
        <f t="shared" si="16"/>
        <v>479</v>
      </c>
    </row>
    <row r="1057" spans="1:23">
      <c r="A1057" s="6">
        <v>45982</v>
      </c>
      <c r="B1057" t="s">
        <v>66</v>
      </c>
      <c r="C1057">
        <v>4</v>
      </c>
      <c r="D1057">
        <v>11</v>
      </c>
      <c r="E1057">
        <v>0</v>
      </c>
      <c r="F1057">
        <v>0</v>
      </c>
      <c r="H1057">
        <v>0</v>
      </c>
      <c r="I1057">
        <v>0</v>
      </c>
      <c r="J1057">
        <v>0</v>
      </c>
      <c r="K1057">
        <v>0</v>
      </c>
      <c r="L1057" s="7">
        <v>0</v>
      </c>
      <c r="M1057" s="7">
        <v>29.3</v>
      </c>
      <c r="N1057">
        <v>184</v>
      </c>
      <c r="O1057" s="15">
        <v>149</v>
      </c>
      <c r="P1057" s="8">
        <v>0.55714285714285716</v>
      </c>
      <c r="Q1057">
        <v>153</v>
      </c>
      <c r="R1057" s="15">
        <v>126</v>
      </c>
      <c r="S1057" s="8">
        <v>0.52</v>
      </c>
      <c r="T1057">
        <v>110</v>
      </c>
      <c r="U1057" s="15">
        <v>96</v>
      </c>
      <c r="V1057" s="8">
        <v>0.58823529411764708</v>
      </c>
      <c r="W1057">
        <f t="shared" si="16"/>
        <v>447</v>
      </c>
    </row>
    <row r="1058" spans="1:23">
      <c r="A1058" s="6">
        <v>45983</v>
      </c>
      <c r="B1058" t="s">
        <v>67</v>
      </c>
      <c r="C1058">
        <v>5</v>
      </c>
      <c r="D1058">
        <v>11</v>
      </c>
      <c r="E1058">
        <v>1</v>
      </c>
      <c r="F1058">
        <v>0</v>
      </c>
      <c r="H1058">
        <v>0</v>
      </c>
      <c r="I1058">
        <v>0</v>
      </c>
      <c r="J1058">
        <v>0</v>
      </c>
      <c r="K1058">
        <v>0</v>
      </c>
      <c r="L1058" s="7">
        <v>2.2999999999999998</v>
      </c>
      <c r="M1058" s="7">
        <v>29.6</v>
      </c>
      <c r="N1058">
        <v>208</v>
      </c>
      <c r="O1058" s="15">
        <v>187</v>
      </c>
      <c r="P1058" s="8">
        <v>0.63571428571428568</v>
      </c>
      <c r="Q1058">
        <v>211</v>
      </c>
      <c r="R1058" s="15">
        <v>196</v>
      </c>
      <c r="S1058" s="8">
        <v>0.69599999999999995</v>
      </c>
      <c r="T1058">
        <v>149</v>
      </c>
      <c r="U1058" s="15">
        <v>133</v>
      </c>
      <c r="V1058" s="8">
        <v>0.78823529411764703</v>
      </c>
      <c r="W1058">
        <f t="shared" si="16"/>
        <v>568</v>
      </c>
    </row>
    <row r="1059" spans="1:23">
      <c r="A1059" s="6">
        <v>45984</v>
      </c>
      <c r="B1059" t="s">
        <v>60</v>
      </c>
      <c r="C1059">
        <v>6</v>
      </c>
      <c r="D1059">
        <v>11</v>
      </c>
      <c r="E1059">
        <v>1</v>
      </c>
      <c r="F1059">
        <v>0</v>
      </c>
      <c r="H1059">
        <v>0</v>
      </c>
      <c r="I1059">
        <v>0</v>
      </c>
      <c r="J1059">
        <v>0</v>
      </c>
      <c r="K1059">
        <v>0</v>
      </c>
      <c r="L1059" s="7">
        <v>1.2</v>
      </c>
      <c r="M1059" s="7">
        <v>29.2</v>
      </c>
      <c r="N1059">
        <v>207</v>
      </c>
      <c r="O1059" s="15">
        <v>183</v>
      </c>
      <c r="P1059" s="8">
        <v>0.62857142857142856</v>
      </c>
      <c r="Q1059">
        <v>200</v>
      </c>
      <c r="R1059" s="15">
        <v>178</v>
      </c>
      <c r="S1059" s="8">
        <v>0.67200000000000004</v>
      </c>
      <c r="T1059">
        <v>142</v>
      </c>
      <c r="U1059" s="15">
        <v>118</v>
      </c>
      <c r="V1059" s="8">
        <v>0.72941176470588232</v>
      </c>
      <c r="W1059">
        <f t="shared" si="16"/>
        <v>549</v>
      </c>
    </row>
    <row r="1060" spans="1:23">
      <c r="A1060" s="6">
        <v>45985</v>
      </c>
      <c r="B1060" t="s">
        <v>62</v>
      </c>
      <c r="C1060">
        <v>0</v>
      </c>
      <c r="D1060">
        <v>11</v>
      </c>
      <c r="E1060">
        <v>0</v>
      </c>
      <c r="F1060">
        <v>0</v>
      </c>
      <c r="H1060">
        <v>0</v>
      </c>
      <c r="I1060">
        <v>0</v>
      </c>
      <c r="J1060">
        <v>0</v>
      </c>
      <c r="K1060">
        <v>0</v>
      </c>
      <c r="L1060" s="7">
        <v>0</v>
      </c>
      <c r="M1060" s="7">
        <v>28.7</v>
      </c>
      <c r="N1060">
        <v>200</v>
      </c>
      <c r="O1060" s="15">
        <v>183</v>
      </c>
      <c r="P1060" s="8">
        <v>0.61428571428571432</v>
      </c>
      <c r="Q1060">
        <v>183</v>
      </c>
      <c r="R1060" s="15">
        <v>169</v>
      </c>
      <c r="S1060" s="8">
        <v>0.60799999999999998</v>
      </c>
      <c r="T1060">
        <v>120</v>
      </c>
      <c r="U1060" s="15">
        <v>104</v>
      </c>
      <c r="V1060" s="8">
        <v>0.63529411764705879</v>
      </c>
      <c r="W1060">
        <f t="shared" si="16"/>
        <v>503</v>
      </c>
    </row>
    <row r="1061" spans="1:23">
      <c r="A1061" s="6">
        <v>45986</v>
      </c>
      <c r="B1061" t="s">
        <v>63</v>
      </c>
      <c r="C1061">
        <v>1</v>
      </c>
      <c r="D1061">
        <v>11</v>
      </c>
      <c r="E1061">
        <v>0</v>
      </c>
      <c r="F1061">
        <v>0</v>
      </c>
      <c r="H1061">
        <v>0</v>
      </c>
      <c r="I1061">
        <v>0</v>
      </c>
      <c r="J1061">
        <v>0</v>
      </c>
      <c r="K1061">
        <v>0</v>
      </c>
      <c r="L1061" s="7">
        <v>0</v>
      </c>
      <c r="M1061" s="7">
        <v>30.4</v>
      </c>
      <c r="N1061">
        <v>165</v>
      </c>
      <c r="O1061" s="15">
        <v>135</v>
      </c>
      <c r="P1061" s="8">
        <v>0.50714285714285712</v>
      </c>
      <c r="Q1061">
        <v>186</v>
      </c>
      <c r="R1061" s="15">
        <v>151</v>
      </c>
      <c r="S1061" s="8">
        <v>0.64</v>
      </c>
      <c r="T1061">
        <v>118</v>
      </c>
      <c r="U1061" s="15">
        <v>103</v>
      </c>
      <c r="V1061" s="8">
        <v>0.62352941176470589</v>
      </c>
      <c r="W1061">
        <f t="shared" si="16"/>
        <v>469</v>
      </c>
    </row>
    <row r="1062" spans="1:23">
      <c r="A1062" s="6">
        <v>45987</v>
      </c>
      <c r="B1062" t="s">
        <v>64</v>
      </c>
      <c r="C1062">
        <v>2</v>
      </c>
      <c r="D1062">
        <v>11</v>
      </c>
      <c r="E1062">
        <v>0</v>
      </c>
      <c r="F1062">
        <v>0</v>
      </c>
      <c r="H1062">
        <v>0</v>
      </c>
      <c r="I1062">
        <v>0</v>
      </c>
      <c r="J1062">
        <v>0</v>
      </c>
      <c r="K1062">
        <v>0</v>
      </c>
      <c r="L1062" s="7">
        <v>0</v>
      </c>
      <c r="M1062" s="7">
        <v>29.7</v>
      </c>
      <c r="N1062">
        <v>191</v>
      </c>
      <c r="O1062" s="15">
        <v>179</v>
      </c>
      <c r="P1062" s="8">
        <v>0.57857142857142863</v>
      </c>
      <c r="Q1062">
        <v>171</v>
      </c>
      <c r="R1062" s="15">
        <v>149</v>
      </c>
      <c r="S1062" s="8">
        <v>0.58399999999999996</v>
      </c>
      <c r="T1062">
        <v>120</v>
      </c>
      <c r="U1062" s="15">
        <v>111</v>
      </c>
      <c r="V1062" s="8">
        <v>0.6470588235294118</v>
      </c>
      <c r="W1062">
        <f t="shared" si="16"/>
        <v>482</v>
      </c>
    </row>
    <row r="1063" spans="1:23">
      <c r="A1063" s="6">
        <v>45988</v>
      </c>
      <c r="B1063" t="s">
        <v>65</v>
      </c>
      <c r="C1063">
        <v>3</v>
      </c>
      <c r="D1063">
        <v>11</v>
      </c>
      <c r="E1063">
        <v>0</v>
      </c>
      <c r="F1063">
        <v>0</v>
      </c>
      <c r="H1063">
        <v>0</v>
      </c>
      <c r="I1063">
        <v>0</v>
      </c>
      <c r="J1063">
        <v>0</v>
      </c>
      <c r="K1063">
        <v>0</v>
      </c>
      <c r="L1063" s="7">
        <v>0</v>
      </c>
      <c r="M1063" s="7">
        <v>28.4</v>
      </c>
      <c r="N1063">
        <v>189</v>
      </c>
      <c r="O1063" s="15">
        <v>155</v>
      </c>
      <c r="P1063" s="8">
        <v>0.55714285714285716</v>
      </c>
      <c r="Q1063">
        <v>182</v>
      </c>
      <c r="R1063" s="15">
        <v>161</v>
      </c>
      <c r="S1063" s="8">
        <v>0.61599999999999999</v>
      </c>
      <c r="T1063">
        <v>130</v>
      </c>
      <c r="U1063" s="15">
        <v>119</v>
      </c>
      <c r="V1063" s="8">
        <v>0.69411764705882351</v>
      </c>
      <c r="W1063">
        <f t="shared" si="16"/>
        <v>501</v>
      </c>
    </row>
    <row r="1064" spans="1:23">
      <c r="A1064" s="6">
        <v>45989</v>
      </c>
      <c r="B1064" t="s">
        <v>66</v>
      </c>
      <c r="C1064">
        <v>4</v>
      </c>
      <c r="D1064">
        <v>11</v>
      </c>
      <c r="E1064">
        <v>0</v>
      </c>
      <c r="F1064">
        <v>0</v>
      </c>
      <c r="H1064">
        <v>0</v>
      </c>
      <c r="I1064">
        <v>0</v>
      </c>
      <c r="J1064">
        <v>0</v>
      </c>
      <c r="K1064">
        <v>0</v>
      </c>
      <c r="L1064" s="7">
        <v>0.4</v>
      </c>
      <c r="M1064" s="7">
        <v>30.2</v>
      </c>
      <c r="N1064">
        <v>174</v>
      </c>
      <c r="O1064" s="15">
        <v>139</v>
      </c>
      <c r="P1064" s="8">
        <v>0.54285714285714282</v>
      </c>
      <c r="Q1064">
        <v>184</v>
      </c>
      <c r="R1064" s="15">
        <v>156</v>
      </c>
      <c r="S1064" s="8">
        <v>0.58399999999999996</v>
      </c>
      <c r="T1064">
        <v>119</v>
      </c>
      <c r="U1064" s="15">
        <v>108</v>
      </c>
      <c r="V1064" s="8">
        <v>0.6</v>
      </c>
      <c r="W1064">
        <f t="shared" si="16"/>
        <v>477</v>
      </c>
    </row>
    <row r="1065" spans="1:23">
      <c r="A1065" s="6">
        <v>45990</v>
      </c>
      <c r="B1065" t="s">
        <v>67</v>
      </c>
      <c r="C1065">
        <v>5</v>
      </c>
      <c r="D1065">
        <v>11</v>
      </c>
      <c r="E1065">
        <v>1</v>
      </c>
      <c r="F1065">
        <v>0</v>
      </c>
      <c r="H1065">
        <v>0</v>
      </c>
      <c r="I1065">
        <v>0</v>
      </c>
      <c r="J1065">
        <v>0</v>
      </c>
      <c r="K1065">
        <v>0</v>
      </c>
      <c r="L1065" s="7">
        <v>0</v>
      </c>
      <c r="M1065" s="7">
        <v>29.2</v>
      </c>
      <c r="N1065">
        <v>226</v>
      </c>
      <c r="O1065" s="15">
        <v>196</v>
      </c>
      <c r="P1065" s="8">
        <v>0.69285714285714284</v>
      </c>
      <c r="Q1065">
        <v>207</v>
      </c>
      <c r="R1065" s="15">
        <v>190</v>
      </c>
      <c r="S1065" s="8">
        <v>0.70399999999999996</v>
      </c>
      <c r="T1065">
        <v>139</v>
      </c>
      <c r="U1065" s="15">
        <v>119</v>
      </c>
      <c r="V1065" s="8">
        <v>0.72941176470588232</v>
      </c>
      <c r="W1065">
        <f t="shared" si="16"/>
        <v>572</v>
      </c>
    </row>
    <row r="1066" spans="1:23">
      <c r="A1066" s="6">
        <v>45991</v>
      </c>
      <c r="B1066" t="s">
        <v>60</v>
      </c>
      <c r="C1066">
        <v>6</v>
      </c>
      <c r="D1066">
        <v>11</v>
      </c>
      <c r="E1066">
        <v>1</v>
      </c>
      <c r="F1066">
        <v>0</v>
      </c>
      <c r="H1066">
        <v>0</v>
      </c>
      <c r="I1066">
        <v>0</v>
      </c>
      <c r="J1066">
        <v>0</v>
      </c>
      <c r="K1066">
        <v>0</v>
      </c>
      <c r="L1066" s="7">
        <v>3.2</v>
      </c>
      <c r="M1066" s="7">
        <v>30</v>
      </c>
      <c r="N1066">
        <v>241</v>
      </c>
      <c r="O1066" s="15">
        <v>194</v>
      </c>
      <c r="P1066" s="8">
        <v>0.73571428571428577</v>
      </c>
      <c r="Q1066">
        <v>195</v>
      </c>
      <c r="R1066" s="15">
        <v>183</v>
      </c>
      <c r="S1066" s="8">
        <v>0.64800000000000002</v>
      </c>
      <c r="T1066">
        <v>143</v>
      </c>
      <c r="U1066" s="15">
        <v>124</v>
      </c>
      <c r="V1066" s="8">
        <v>0.77647058823529413</v>
      </c>
      <c r="W1066">
        <f t="shared" si="16"/>
        <v>579</v>
      </c>
    </row>
    <row r="1067" spans="1:23">
      <c r="A1067" s="6">
        <v>45992</v>
      </c>
      <c r="B1067" t="s">
        <v>62</v>
      </c>
      <c r="C1067">
        <v>0</v>
      </c>
      <c r="D1067">
        <v>12</v>
      </c>
      <c r="E1067">
        <v>0</v>
      </c>
      <c r="F1067">
        <v>0</v>
      </c>
      <c r="H1067">
        <v>0</v>
      </c>
      <c r="I1067">
        <v>0</v>
      </c>
      <c r="J1067">
        <v>0</v>
      </c>
      <c r="K1067">
        <v>0</v>
      </c>
      <c r="L1067" s="7">
        <v>1</v>
      </c>
      <c r="M1067" s="7">
        <v>30</v>
      </c>
      <c r="N1067">
        <v>197</v>
      </c>
      <c r="O1067" s="15">
        <v>183</v>
      </c>
      <c r="P1067" s="8">
        <v>0.6</v>
      </c>
      <c r="Q1067">
        <v>195</v>
      </c>
      <c r="R1067" s="15">
        <v>179</v>
      </c>
      <c r="S1067" s="8">
        <v>0.64800000000000002</v>
      </c>
      <c r="T1067">
        <v>119</v>
      </c>
      <c r="U1067" s="15">
        <v>96</v>
      </c>
      <c r="V1067" s="8">
        <v>0.62352941176470589</v>
      </c>
      <c r="W1067">
        <f t="shared" si="16"/>
        <v>511</v>
      </c>
    </row>
    <row r="1068" spans="1:23">
      <c r="A1068" s="6">
        <v>45993</v>
      </c>
      <c r="B1068" t="s">
        <v>63</v>
      </c>
      <c r="C1068">
        <v>1</v>
      </c>
      <c r="D1068">
        <v>12</v>
      </c>
      <c r="E1068">
        <v>0</v>
      </c>
      <c r="F1068">
        <v>0</v>
      </c>
      <c r="H1068">
        <v>0</v>
      </c>
      <c r="I1068">
        <v>0</v>
      </c>
      <c r="J1068">
        <v>0</v>
      </c>
      <c r="K1068">
        <v>0</v>
      </c>
      <c r="L1068" s="7">
        <v>2.7</v>
      </c>
      <c r="M1068" s="7">
        <v>29.6</v>
      </c>
      <c r="N1068">
        <v>213</v>
      </c>
      <c r="O1068" s="15">
        <v>193</v>
      </c>
      <c r="P1068" s="8">
        <v>0.62142857142857144</v>
      </c>
      <c r="Q1068">
        <v>163</v>
      </c>
      <c r="R1068" s="15">
        <v>150</v>
      </c>
      <c r="S1068" s="8">
        <v>0.56799999999999995</v>
      </c>
      <c r="T1068">
        <v>121</v>
      </c>
      <c r="U1068" s="15">
        <v>97</v>
      </c>
      <c r="V1068" s="8">
        <v>0.6</v>
      </c>
      <c r="W1068">
        <f t="shared" si="16"/>
        <v>497</v>
      </c>
    </row>
    <row r="1069" spans="1:23">
      <c r="A1069" s="6">
        <v>45994</v>
      </c>
      <c r="B1069" t="s">
        <v>64</v>
      </c>
      <c r="C1069">
        <v>2</v>
      </c>
      <c r="D1069">
        <v>12</v>
      </c>
      <c r="E1069">
        <v>0</v>
      </c>
      <c r="F1069">
        <v>0</v>
      </c>
      <c r="H1069">
        <v>0</v>
      </c>
      <c r="I1069">
        <v>0</v>
      </c>
      <c r="J1069">
        <v>0</v>
      </c>
      <c r="K1069">
        <v>0</v>
      </c>
      <c r="L1069" s="7">
        <v>2.6</v>
      </c>
      <c r="M1069" s="7">
        <v>29.8</v>
      </c>
      <c r="N1069">
        <v>192</v>
      </c>
      <c r="O1069" s="15">
        <v>156</v>
      </c>
      <c r="P1069" s="8">
        <v>0.56428571428571428</v>
      </c>
      <c r="Q1069">
        <v>170</v>
      </c>
      <c r="R1069" s="15">
        <v>156</v>
      </c>
      <c r="S1069" s="8">
        <v>0.56799999999999995</v>
      </c>
      <c r="T1069">
        <v>128</v>
      </c>
      <c r="U1069" s="15">
        <v>106</v>
      </c>
      <c r="V1069" s="8">
        <v>0.6705882352941176</v>
      </c>
      <c r="W1069">
        <f t="shared" si="16"/>
        <v>490</v>
      </c>
    </row>
    <row r="1070" spans="1:23">
      <c r="A1070" s="6">
        <v>45995</v>
      </c>
      <c r="B1070" t="s">
        <v>65</v>
      </c>
      <c r="C1070">
        <v>3</v>
      </c>
      <c r="D1070">
        <v>12</v>
      </c>
      <c r="E1070">
        <v>0</v>
      </c>
      <c r="F1070">
        <v>0</v>
      </c>
      <c r="H1070">
        <v>0</v>
      </c>
      <c r="I1070">
        <v>0</v>
      </c>
      <c r="J1070">
        <v>0</v>
      </c>
      <c r="K1070">
        <v>0</v>
      </c>
      <c r="L1070" s="7">
        <v>6</v>
      </c>
      <c r="M1070" s="7">
        <v>28.9</v>
      </c>
      <c r="N1070">
        <v>206</v>
      </c>
      <c r="O1070" s="15">
        <v>191</v>
      </c>
      <c r="P1070" s="8">
        <v>0.62142857142857144</v>
      </c>
      <c r="Q1070">
        <v>170</v>
      </c>
      <c r="R1070" s="15">
        <v>140</v>
      </c>
      <c r="S1070" s="8">
        <v>0.57599999999999996</v>
      </c>
      <c r="T1070">
        <v>118</v>
      </c>
      <c r="U1070" s="15">
        <v>96</v>
      </c>
      <c r="V1070" s="8">
        <v>0.63529411764705879</v>
      </c>
      <c r="W1070">
        <f t="shared" si="16"/>
        <v>494</v>
      </c>
    </row>
    <row r="1071" spans="1:23">
      <c r="A1071" s="6">
        <v>45996</v>
      </c>
      <c r="B1071" t="s">
        <v>66</v>
      </c>
      <c r="C1071">
        <v>4</v>
      </c>
      <c r="D1071">
        <v>12</v>
      </c>
      <c r="E1071">
        <v>0</v>
      </c>
      <c r="F1071">
        <v>0</v>
      </c>
      <c r="H1071">
        <v>0</v>
      </c>
      <c r="I1071">
        <v>0</v>
      </c>
      <c r="J1071">
        <v>0</v>
      </c>
      <c r="K1071">
        <v>0</v>
      </c>
      <c r="L1071" s="7">
        <v>3.2</v>
      </c>
      <c r="M1071" s="7">
        <v>28.7</v>
      </c>
      <c r="N1071">
        <v>195</v>
      </c>
      <c r="O1071" s="15">
        <v>158</v>
      </c>
      <c r="P1071" s="8">
        <v>0.6</v>
      </c>
      <c r="Q1071">
        <v>177</v>
      </c>
      <c r="R1071" s="15">
        <v>165</v>
      </c>
      <c r="S1071" s="8">
        <v>0.59199999999999997</v>
      </c>
      <c r="T1071">
        <v>116</v>
      </c>
      <c r="U1071" s="15">
        <v>101</v>
      </c>
      <c r="V1071" s="8">
        <v>0.61176470588235299</v>
      </c>
      <c r="W1071">
        <f t="shared" si="16"/>
        <v>488</v>
      </c>
    </row>
    <row r="1072" spans="1:23">
      <c r="A1072" s="6">
        <v>45997</v>
      </c>
      <c r="B1072" t="s">
        <v>67</v>
      </c>
      <c r="C1072">
        <v>5</v>
      </c>
      <c r="D1072">
        <v>12</v>
      </c>
      <c r="E1072">
        <v>1</v>
      </c>
      <c r="F1072">
        <v>0</v>
      </c>
      <c r="H1072">
        <v>0</v>
      </c>
      <c r="I1072">
        <v>0</v>
      </c>
      <c r="J1072">
        <v>0</v>
      </c>
      <c r="K1072">
        <v>0</v>
      </c>
      <c r="L1072" s="7">
        <v>1.8</v>
      </c>
      <c r="M1072" s="7">
        <v>29</v>
      </c>
      <c r="N1072">
        <v>207</v>
      </c>
      <c r="O1072" s="15">
        <v>183</v>
      </c>
      <c r="P1072" s="8">
        <v>0.62857142857142856</v>
      </c>
      <c r="Q1072">
        <v>203</v>
      </c>
      <c r="R1072" s="15">
        <v>180</v>
      </c>
      <c r="S1072" s="8">
        <v>0.68</v>
      </c>
      <c r="T1072">
        <v>148</v>
      </c>
      <c r="U1072" s="15">
        <v>131</v>
      </c>
      <c r="V1072" s="8">
        <v>0.78823529411764703</v>
      </c>
      <c r="W1072">
        <f t="shared" si="16"/>
        <v>558</v>
      </c>
    </row>
    <row r="1073" spans="1:23">
      <c r="A1073" s="6">
        <v>45998</v>
      </c>
      <c r="B1073" t="s">
        <v>60</v>
      </c>
      <c r="C1073">
        <v>6</v>
      </c>
      <c r="D1073">
        <v>12</v>
      </c>
      <c r="E1073">
        <v>1</v>
      </c>
      <c r="F1073">
        <v>0</v>
      </c>
      <c r="H1073">
        <v>0</v>
      </c>
      <c r="I1073">
        <v>0</v>
      </c>
      <c r="J1073">
        <v>0</v>
      </c>
      <c r="K1073">
        <v>0</v>
      </c>
      <c r="L1073" s="7">
        <v>0.8</v>
      </c>
      <c r="M1073" s="7">
        <v>28.8</v>
      </c>
      <c r="N1073">
        <v>210</v>
      </c>
      <c r="O1073" s="15">
        <v>177</v>
      </c>
      <c r="P1073" s="8">
        <v>0.65</v>
      </c>
      <c r="Q1073">
        <v>202</v>
      </c>
      <c r="R1073" s="15">
        <v>177</v>
      </c>
      <c r="S1073" s="8">
        <v>0.68</v>
      </c>
      <c r="T1073">
        <v>131</v>
      </c>
      <c r="U1073" s="15">
        <v>117</v>
      </c>
      <c r="V1073" s="8">
        <v>0.71764705882352942</v>
      </c>
      <c r="W1073">
        <f t="shared" si="16"/>
        <v>543</v>
      </c>
    </row>
    <row r="1074" spans="1:23">
      <c r="A1074" s="6">
        <v>45999</v>
      </c>
      <c r="B1074" t="s">
        <v>62</v>
      </c>
      <c r="C1074">
        <v>0</v>
      </c>
      <c r="D1074">
        <v>12</v>
      </c>
      <c r="E1074">
        <v>0</v>
      </c>
      <c r="F1074">
        <v>0</v>
      </c>
      <c r="H1074">
        <v>0</v>
      </c>
      <c r="I1074">
        <v>0</v>
      </c>
      <c r="J1074">
        <v>0</v>
      </c>
      <c r="K1074">
        <v>0</v>
      </c>
      <c r="L1074" s="7">
        <v>2.6</v>
      </c>
      <c r="M1074" s="7">
        <v>29.7</v>
      </c>
      <c r="N1074">
        <v>226</v>
      </c>
      <c r="O1074" s="15">
        <v>207</v>
      </c>
      <c r="P1074" s="8">
        <v>0.66428571428571426</v>
      </c>
      <c r="Q1074">
        <v>185</v>
      </c>
      <c r="R1074" s="15">
        <v>171</v>
      </c>
      <c r="S1074" s="8">
        <v>0.64</v>
      </c>
      <c r="T1074">
        <v>131</v>
      </c>
      <c r="U1074" s="15">
        <v>106</v>
      </c>
      <c r="V1074" s="8">
        <v>0.6705882352941176</v>
      </c>
      <c r="W1074">
        <f t="shared" si="16"/>
        <v>542</v>
      </c>
    </row>
    <row r="1075" spans="1:23">
      <c r="A1075" s="6">
        <v>46000</v>
      </c>
      <c r="B1075" t="s">
        <v>63</v>
      </c>
      <c r="C1075">
        <v>1</v>
      </c>
      <c r="D1075">
        <v>12</v>
      </c>
      <c r="E1075">
        <v>0</v>
      </c>
      <c r="F1075">
        <v>0</v>
      </c>
      <c r="H1075">
        <v>0</v>
      </c>
      <c r="I1075">
        <v>0</v>
      </c>
      <c r="J1075">
        <v>0</v>
      </c>
      <c r="K1075">
        <v>0</v>
      </c>
      <c r="L1075" s="7">
        <v>0.1</v>
      </c>
      <c r="M1075" s="7">
        <v>28.7</v>
      </c>
      <c r="N1075">
        <v>210</v>
      </c>
      <c r="O1075" s="15">
        <v>192</v>
      </c>
      <c r="P1075" s="8">
        <v>0.62857142857142856</v>
      </c>
      <c r="Q1075">
        <v>187</v>
      </c>
      <c r="R1075" s="15">
        <v>169</v>
      </c>
      <c r="S1075" s="8">
        <v>0.64</v>
      </c>
      <c r="T1075">
        <v>130</v>
      </c>
      <c r="U1075" s="15">
        <v>109</v>
      </c>
      <c r="V1075" s="8">
        <v>0.6705882352941176</v>
      </c>
      <c r="W1075">
        <f t="shared" si="16"/>
        <v>527</v>
      </c>
    </row>
    <row r="1076" spans="1:23">
      <c r="A1076" s="6">
        <v>46001</v>
      </c>
      <c r="B1076" t="s">
        <v>64</v>
      </c>
      <c r="C1076">
        <v>2</v>
      </c>
      <c r="D1076">
        <v>12</v>
      </c>
      <c r="E1076">
        <v>0</v>
      </c>
      <c r="F1076">
        <v>0</v>
      </c>
      <c r="H1076">
        <v>0</v>
      </c>
      <c r="I1076">
        <v>0</v>
      </c>
      <c r="J1076">
        <v>0</v>
      </c>
      <c r="K1076">
        <v>0</v>
      </c>
      <c r="L1076" s="7">
        <v>0.8</v>
      </c>
      <c r="M1076" s="7">
        <v>28.3</v>
      </c>
      <c r="N1076">
        <v>217</v>
      </c>
      <c r="O1076" s="15">
        <v>177</v>
      </c>
      <c r="P1076" s="8">
        <v>0.6428571428571429</v>
      </c>
      <c r="Q1076">
        <v>173</v>
      </c>
      <c r="R1076" s="15">
        <v>153</v>
      </c>
      <c r="S1076" s="8">
        <v>0.59199999999999997</v>
      </c>
      <c r="T1076">
        <v>135</v>
      </c>
      <c r="U1076" s="15">
        <v>119</v>
      </c>
      <c r="V1076" s="8">
        <v>0.71764705882352942</v>
      </c>
      <c r="W1076">
        <f t="shared" si="16"/>
        <v>525</v>
      </c>
    </row>
    <row r="1077" spans="1:23">
      <c r="A1077" s="6">
        <v>46002</v>
      </c>
      <c r="B1077" t="s">
        <v>65</v>
      </c>
      <c r="C1077">
        <v>3</v>
      </c>
      <c r="D1077">
        <v>12</v>
      </c>
      <c r="E1077">
        <v>0</v>
      </c>
      <c r="F1077">
        <v>0</v>
      </c>
      <c r="H1077">
        <v>0</v>
      </c>
      <c r="I1077">
        <v>0</v>
      </c>
      <c r="J1077">
        <v>0</v>
      </c>
      <c r="K1077">
        <v>0</v>
      </c>
      <c r="L1077" s="7">
        <v>1.1000000000000001</v>
      </c>
      <c r="M1077" s="7">
        <v>29.3</v>
      </c>
      <c r="N1077">
        <v>210</v>
      </c>
      <c r="O1077" s="15">
        <v>193</v>
      </c>
      <c r="P1077" s="8">
        <v>0.6428571428571429</v>
      </c>
      <c r="Q1077">
        <v>196</v>
      </c>
      <c r="R1077" s="15">
        <v>157</v>
      </c>
      <c r="S1077" s="8">
        <v>0.63200000000000001</v>
      </c>
      <c r="T1077">
        <v>147</v>
      </c>
      <c r="U1077" s="15">
        <v>127</v>
      </c>
      <c r="V1077" s="8">
        <v>0.76470588235294112</v>
      </c>
      <c r="W1077">
        <f t="shared" si="16"/>
        <v>553</v>
      </c>
    </row>
    <row r="1078" spans="1:23">
      <c r="A1078" s="6">
        <v>46003</v>
      </c>
      <c r="B1078" t="s">
        <v>66</v>
      </c>
      <c r="C1078">
        <v>4</v>
      </c>
      <c r="D1078">
        <v>12</v>
      </c>
      <c r="E1078">
        <v>0</v>
      </c>
      <c r="F1078">
        <v>0</v>
      </c>
      <c r="H1078">
        <v>0</v>
      </c>
      <c r="I1078">
        <v>0</v>
      </c>
      <c r="J1078">
        <v>0</v>
      </c>
      <c r="K1078">
        <v>0</v>
      </c>
      <c r="L1078" s="7">
        <v>0</v>
      </c>
      <c r="M1078" s="7">
        <v>27.7</v>
      </c>
      <c r="N1078">
        <v>221</v>
      </c>
      <c r="O1078" s="15">
        <v>199</v>
      </c>
      <c r="P1078" s="8">
        <v>0.66428571428571426</v>
      </c>
      <c r="Q1078">
        <v>185</v>
      </c>
      <c r="R1078" s="15">
        <v>165</v>
      </c>
      <c r="S1078" s="8">
        <v>0.6</v>
      </c>
      <c r="T1078">
        <v>141</v>
      </c>
      <c r="U1078" s="15">
        <v>129</v>
      </c>
      <c r="V1078" s="8">
        <v>0.71764705882352942</v>
      </c>
      <c r="W1078">
        <f t="shared" si="16"/>
        <v>547</v>
      </c>
    </row>
    <row r="1079" spans="1:23">
      <c r="A1079" s="6">
        <v>46004</v>
      </c>
      <c r="B1079" t="s">
        <v>67</v>
      </c>
      <c r="C1079">
        <v>5</v>
      </c>
      <c r="D1079">
        <v>12</v>
      </c>
      <c r="E1079">
        <v>1</v>
      </c>
      <c r="F1079">
        <v>0</v>
      </c>
      <c r="H1079">
        <v>0</v>
      </c>
      <c r="I1079">
        <v>0</v>
      </c>
      <c r="J1079">
        <v>0</v>
      </c>
      <c r="K1079">
        <v>0</v>
      </c>
      <c r="L1079" s="7">
        <v>1.4</v>
      </c>
      <c r="M1079" s="7">
        <v>28.5</v>
      </c>
      <c r="N1079">
        <v>238</v>
      </c>
      <c r="O1079" s="15">
        <v>220</v>
      </c>
      <c r="P1079" s="8">
        <v>0.70714285714285718</v>
      </c>
      <c r="Q1079">
        <v>218</v>
      </c>
      <c r="R1079" s="15">
        <v>180</v>
      </c>
      <c r="S1079" s="8">
        <v>0.69599999999999995</v>
      </c>
      <c r="T1079">
        <v>171</v>
      </c>
      <c r="U1079" s="15">
        <v>137</v>
      </c>
      <c r="V1079" s="8">
        <v>0.88235294117647056</v>
      </c>
      <c r="W1079">
        <f t="shared" si="16"/>
        <v>627</v>
      </c>
    </row>
    <row r="1080" spans="1:23">
      <c r="A1080" s="6">
        <v>46005</v>
      </c>
      <c r="B1080" t="s">
        <v>60</v>
      </c>
      <c r="C1080">
        <v>6</v>
      </c>
      <c r="D1080">
        <v>12</v>
      </c>
      <c r="E1080">
        <v>1</v>
      </c>
      <c r="F1080">
        <v>0</v>
      </c>
      <c r="H1080">
        <v>0</v>
      </c>
      <c r="I1080">
        <v>0</v>
      </c>
      <c r="J1080">
        <v>0</v>
      </c>
      <c r="K1080">
        <v>0</v>
      </c>
      <c r="L1080" s="7">
        <v>0</v>
      </c>
      <c r="M1080" s="7">
        <v>29.5</v>
      </c>
      <c r="N1080">
        <v>232</v>
      </c>
      <c r="O1080" s="15">
        <v>210</v>
      </c>
      <c r="P1080" s="8">
        <v>0.72142857142857142</v>
      </c>
      <c r="Q1080">
        <v>212</v>
      </c>
      <c r="R1080" s="15">
        <v>175</v>
      </c>
      <c r="S1080" s="8">
        <v>0.72799999999999998</v>
      </c>
      <c r="T1080">
        <v>151</v>
      </c>
      <c r="U1080" s="15">
        <v>124</v>
      </c>
      <c r="V1080" s="8">
        <v>0.78823529411764703</v>
      </c>
      <c r="W1080">
        <f t="shared" si="16"/>
        <v>595</v>
      </c>
    </row>
    <row r="1081" spans="1:23">
      <c r="A1081" s="6">
        <v>46006</v>
      </c>
      <c r="B1081" t="s">
        <v>62</v>
      </c>
      <c r="C1081">
        <v>0</v>
      </c>
      <c r="D1081">
        <v>12</v>
      </c>
      <c r="E1081">
        <v>0</v>
      </c>
      <c r="F1081">
        <v>0</v>
      </c>
      <c r="H1081">
        <v>1</v>
      </c>
      <c r="I1081">
        <v>0</v>
      </c>
      <c r="J1081">
        <v>0</v>
      </c>
      <c r="K1081">
        <v>0</v>
      </c>
      <c r="L1081" s="7">
        <v>1</v>
      </c>
      <c r="M1081" s="7">
        <v>28.6</v>
      </c>
      <c r="N1081">
        <v>202</v>
      </c>
      <c r="O1081" s="15">
        <v>169</v>
      </c>
      <c r="P1081" s="8">
        <v>0.63571428571428568</v>
      </c>
      <c r="Q1081">
        <v>218</v>
      </c>
      <c r="R1081" s="15">
        <v>193</v>
      </c>
      <c r="S1081" s="8">
        <v>0.72799999999999998</v>
      </c>
      <c r="T1081">
        <v>144</v>
      </c>
      <c r="U1081" s="15">
        <v>120</v>
      </c>
      <c r="V1081" s="8">
        <v>0.76470588235294112</v>
      </c>
      <c r="W1081">
        <f t="shared" si="16"/>
        <v>564</v>
      </c>
    </row>
    <row r="1082" spans="1:23">
      <c r="A1082" s="6">
        <v>46007</v>
      </c>
      <c r="B1082" t="s">
        <v>63</v>
      </c>
      <c r="C1082">
        <v>1</v>
      </c>
      <c r="D1082">
        <v>12</v>
      </c>
      <c r="E1082">
        <v>0</v>
      </c>
      <c r="F1082">
        <v>0</v>
      </c>
      <c r="H1082">
        <v>1</v>
      </c>
      <c r="I1082">
        <v>0</v>
      </c>
      <c r="J1082">
        <v>0</v>
      </c>
      <c r="K1082">
        <v>0</v>
      </c>
      <c r="L1082" s="7">
        <v>0</v>
      </c>
      <c r="M1082" s="7">
        <v>29.1</v>
      </c>
      <c r="N1082">
        <v>228</v>
      </c>
      <c r="O1082" s="15">
        <v>185</v>
      </c>
      <c r="P1082" s="8">
        <v>0.69285714285714284</v>
      </c>
      <c r="Q1082">
        <v>227</v>
      </c>
      <c r="R1082" s="15">
        <v>200</v>
      </c>
      <c r="S1082" s="8">
        <v>0.76</v>
      </c>
      <c r="T1082">
        <v>164</v>
      </c>
      <c r="U1082" s="15">
        <v>153</v>
      </c>
      <c r="V1082" s="8">
        <v>0.83529411764705885</v>
      </c>
      <c r="W1082">
        <f t="shared" si="16"/>
        <v>619</v>
      </c>
    </row>
    <row r="1083" spans="1:23">
      <c r="A1083" s="6">
        <v>46008</v>
      </c>
      <c r="B1083" t="s">
        <v>64</v>
      </c>
      <c r="C1083">
        <v>2</v>
      </c>
      <c r="D1083">
        <v>12</v>
      </c>
      <c r="E1083">
        <v>0</v>
      </c>
      <c r="F1083">
        <v>0</v>
      </c>
      <c r="H1083">
        <v>1</v>
      </c>
      <c r="I1083">
        <v>0</v>
      </c>
      <c r="J1083">
        <v>0</v>
      </c>
      <c r="K1083">
        <v>0</v>
      </c>
      <c r="L1083" s="7">
        <v>2.2000000000000002</v>
      </c>
      <c r="M1083" s="7">
        <v>28.9</v>
      </c>
      <c r="N1083">
        <v>238</v>
      </c>
      <c r="O1083" s="15">
        <v>216</v>
      </c>
      <c r="P1083" s="8">
        <v>0.70714285714285718</v>
      </c>
      <c r="Q1083">
        <v>236</v>
      </c>
      <c r="R1083" s="15">
        <v>217</v>
      </c>
      <c r="S1083" s="8">
        <v>0.78400000000000003</v>
      </c>
      <c r="T1083">
        <v>154</v>
      </c>
      <c r="U1083" s="15">
        <v>144</v>
      </c>
      <c r="V1083" s="8">
        <v>0.8</v>
      </c>
      <c r="W1083">
        <f t="shared" si="16"/>
        <v>628</v>
      </c>
    </row>
    <row r="1084" spans="1:23">
      <c r="A1084" s="6">
        <v>46009</v>
      </c>
      <c r="B1084" t="s">
        <v>65</v>
      </c>
      <c r="C1084">
        <v>3</v>
      </c>
      <c r="D1084">
        <v>12</v>
      </c>
      <c r="E1084">
        <v>0</v>
      </c>
      <c r="F1084">
        <v>0</v>
      </c>
      <c r="H1084">
        <v>1</v>
      </c>
      <c r="I1084">
        <v>0</v>
      </c>
      <c r="J1084">
        <v>0</v>
      </c>
      <c r="K1084">
        <v>0</v>
      </c>
      <c r="L1084" s="7">
        <v>1.6</v>
      </c>
      <c r="M1084" s="7">
        <v>27.2</v>
      </c>
      <c r="N1084">
        <v>211</v>
      </c>
      <c r="O1084" s="15">
        <v>188</v>
      </c>
      <c r="P1084" s="8">
        <v>0.62857142857142856</v>
      </c>
      <c r="Q1084">
        <v>222</v>
      </c>
      <c r="R1084" s="15">
        <v>207</v>
      </c>
      <c r="S1084" s="8">
        <v>0.72799999999999998</v>
      </c>
      <c r="T1084">
        <v>156</v>
      </c>
      <c r="U1084" s="15">
        <v>145</v>
      </c>
      <c r="V1084" s="8">
        <v>0.81176470588235294</v>
      </c>
      <c r="W1084">
        <f t="shared" si="16"/>
        <v>589</v>
      </c>
    </row>
    <row r="1085" spans="1:23">
      <c r="A1085" s="6">
        <v>46010</v>
      </c>
      <c r="B1085" t="s">
        <v>66</v>
      </c>
      <c r="C1085">
        <v>4</v>
      </c>
      <c r="D1085">
        <v>12</v>
      </c>
      <c r="E1085">
        <v>0</v>
      </c>
      <c r="F1085">
        <v>0</v>
      </c>
      <c r="H1085">
        <v>1</v>
      </c>
      <c r="I1085">
        <v>0</v>
      </c>
      <c r="J1085">
        <v>0</v>
      </c>
      <c r="K1085">
        <v>0</v>
      </c>
      <c r="L1085" s="7">
        <v>0</v>
      </c>
      <c r="M1085" s="7">
        <v>29.3</v>
      </c>
      <c r="N1085">
        <v>241</v>
      </c>
      <c r="O1085" s="15">
        <v>220</v>
      </c>
      <c r="P1085" s="8">
        <v>0.7142857142857143</v>
      </c>
      <c r="Q1085">
        <v>229</v>
      </c>
      <c r="R1085" s="15">
        <v>214</v>
      </c>
      <c r="S1085" s="8">
        <v>0.76800000000000002</v>
      </c>
      <c r="T1085">
        <v>138</v>
      </c>
      <c r="U1085" s="15">
        <v>123</v>
      </c>
      <c r="V1085" s="8">
        <v>0.75294117647058822</v>
      </c>
      <c r="W1085">
        <f t="shared" si="16"/>
        <v>608</v>
      </c>
    </row>
    <row r="1086" spans="1:23">
      <c r="A1086" s="6">
        <v>46011</v>
      </c>
      <c r="B1086" t="s">
        <v>67</v>
      </c>
      <c r="C1086">
        <v>5</v>
      </c>
      <c r="D1086">
        <v>12</v>
      </c>
      <c r="E1086">
        <v>1</v>
      </c>
      <c r="F1086">
        <v>0</v>
      </c>
      <c r="H1086">
        <v>1</v>
      </c>
      <c r="I1086">
        <v>0</v>
      </c>
      <c r="J1086">
        <v>0</v>
      </c>
      <c r="K1086">
        <v>0</v>
      </c>
      <c r="L1086" s="7">
        <v>2.1</v>
      </c>
      <c r="M1086" s="7">
        <v>28.5</v>
      </c>
      <c r="N1086">
        <v>223</v>
      </c>
      <c r="O1086" s="15">
        <v>182</v>
      </c>
      <c r="P1086" s="8">
        <v>0.69285714285714284</v>
      </c>
      <c r="Q1086">
        <v>271</v>
      </c>
      <c r="R1086" s="15">
        <v>220</v>
      </c>
      <c r="S1086" s="8">
        <v>0.90400000000000003</v>
      </c>
      <c r="T1086">
        <v>177</v>
      </c>
      <c r="U1086" s="15">
        <v>162</v>
      </c>
      <c r="V1086" s="8">
        <v>0.94117647058823528</v>
      </c>
      <c r="W1086">
        <f t="shared" si="16"/>
        <v>671</v>
      </c>
    </row>
    <row r="1087" spans="1:23">
      <c r="A1087" s="6">
        <v>46012</v>
      </c>
      <c r="B1087" t="s">
        <v>60</v>
      </c>
      <c r="C1087">
        <v>6</v>
      </c>
      <c r="D1087">
        <v>12</v>
      </c>
      <c r="E1087">
        <v>1</v>
      </c>
      <c r="F1087">
        <v>0</v>
      </c>
      <c r="H1087">
        <v>1</v>
      </c>
      <c r="I1087">
        <v>0</v>
      </c>
      <c r="J1087">
        <v>0</v>
      </c>
      <c r="K1087">
        <v>0</v>
      </c>
      <c r="L1087" s="7">
        <v>2.4</v>
      </c>
      <c r="M1087" s="7">
        <v>28.9</v>
      </c>
      <c r="N1087">
        <v>256</v>
      </c>
      <c r="O1087" s="15">
        <v>213</v>
      </c>
      <c r="P1087" s="8">
        <v>0.77857142857142858</v>
      </c>
      <c r="Q1087">
        <v>258</v>
      </c>
      <c r="R1087" s="15">
        <v>227</v>
      </c>
      <c r="S1087" s="8">
        <v>0.88</v>
      </c>
      <c r="T1087">
        <v>189</v>
      </c>
      <c r="U1087" s="15">
        <v>171</v>
      </c>
      <c r="V1087" s="8">
        <v>0.96470588235294119</v>
      </c>
      <c r="W1087">
        <f t="shared" si="16"/>
        <v>703</v>
      </c>
    </row>
    <row r="1088" spans="1:23">
      <c r="A1088" s="6">
        <v>46013</v>
      </c>
      <c r="B1088" t="s">
        <v>62</v>
      </c>
      <c r="C1088">
        <v>0</v>
      </c>
      <c r="D1088">
        <v>12</v>
      </c>
      <c r="E1088">
        <v>0</v>
      </c>
      <c r="F1088">
        <v>0</v>
      </c>
      <c r="H1088">
        <v>1</v>
      </c>
      <c r="I1088">
        <v>0</v>
      </c>
      <c r="J1088">
        <v>0</v>
      </c>
      <c r="K1088">
        <v>0</v>
      </c>
      <c r="L1088" s="7">
        <v>1.4</v>
      </c>
      <c r="M1088" s="7">
        <v>27.8</v>
      </c>
      <c r="N1088">
        <v>228</v>
      </c>
      <c r="O1088" s="15">
        <v>183</v>
      </c>
      <c r="P1088" s="8">
        <v>0.68571428571428572</v>
      </c>
      <c r="Q1088">
        <v>235</v>
      </c>
      <c r="R1088" s="15">
        <v>189</v>
      </c>
      <c r="S1088" s="8">
        <v>0.76</v>
      </c>
      <c r="T1088">
        <v>173</v>
      </c>
      <c r="U1088" s="15">
        <v>161</v>
      </c>
      <c r="V1088" s="8">
        <v>0.88235294117647056</v>
      </c>
      <c r="W1088">
        <f t="shared" si="16"/>
        <v>636</v>
      </c>
    </row>
    <row r="1089" spans="1:23">
      <c r="A1089" s="6">
        <v>46014</v>
      </c>
      <c r="B1089" t="s">
        <v>63</v>
      </c>
      <c r="C1089">
        <v>1</v>
      </c>
      <c r="D1089">
        <v>12</v>
      </c>
      <c r="E1089">
        <v>0</v>
      </c>
      <c r="F1089">
        <v>0</v>
      </c>
      <c r="H1089">
        <v>1</v>
      </c>
      <c r="I1089">
        <v>0</v>
      </c>
      <c r="J1089">
        <v>0</v>
      </c>
      <c r="K1089">
        <v>0</v>
      </c>
      <c r="L1089" s="7">
        <v>2.5</v>
      </c>
      <c r="M1089" s="7">
        <v>28.6</v>
      </c>
      <c r="N1089">
        <v>212</v>
      </c>
      <c r="O1089" s="15">
        <v>184</v>
      </c>
      <c r="P1089" s="8">
        <v>0.66428571428571426</v>
      </c>
      <c r="Q1089">
        <v>230</v>
      </c>
      <c r="R1089" s="15">
        <v>207</v>
      </c>
      <c r="S1089" s="8">
        <v>0.74399999999999999</v>
      </c>
      <c r="T1089">
        <v>153</v>
      </c>
      <c r="U1089" s="15">
        <v>131</v>
      </c>
      <c r="V1089" s="8">
        <v>0.81176470588235294</v>
      </c>
      <c r="W1089">
        <f t="shared" si="16"/>
        <v>595</v>
      </c>
    </row>
    <row r="1090" spans="1:23">
      <c r="A1090" s="6">
        <v>46015</v>
      </c>
      <c r="B1090" t="s">
        <v>64</v>
      </c>
      <c r="C1090">
        <v>2</v>
      </c>
      <c r="D1090">
        <v>12</v>
      </c>
      <c r="E1090">
        <v>0</v>
      </c>
      <c r="F1090">
        <v>0</v>
      </c>
      <c r="H1090">
        <v>1</v>
      </c>
      <c r="I1090">
        <v>0</v>
      </c>
      <c r="J1090">
        <v>0</v>
      </c>
      <c r="K1090">
        <v>0</v>
      </c>
      <c r="L1090" s="7">
        <v>2.8</v>
      </c>
      <c r="M1090" s="7">
        <v>28.5</v>
      </c>
      <c r="N1090">
        <v>215</v>
      </c>
      <c r="O1090" s="15">
        <v>190</v>
      </c>
      <c r="P1090" s="8">
        <v>0.67142857142857137</v>
      </c>
      <c r="Q1090">
        <v>231</v>
      </c>
      <c r="R1090" s="15">
        <v>200</v>
      </c>
      <c r="S1090" s="8">
        <v>0.77600000000000002</v>
      </c>
      <c r="T1090">
        <v>151</v>
      </c>
      <c r="U1090" s="15">
        <v>127</v>
      </c>
      <c r="V1090" s="8">
        <v>0.8</v>
      </c>
      <c r="W1090">
        <f t="shared" ref="W1090:W1097" si="17">N1090+Q1090+T1090</f>
        <v>597</v>
      </c>
    </row>
    <row r="1091" spans="1:23">
      <c r="A1091" s="6">
        <v>46016</v>
      </c>
      <c r="B1091" t="s">
        <v>65</v>
      </c>
      <c r="C1091">
        <v>3</v>
      </c>
      <c r="D1091">
        <v>12</v>
      </c>
      <c r="E1091">
        <v>0</v>
      </c>
      <c r="F1091">
        <v>1</v>
      </c>
      <c r="G1091" t="s">
        <v>76</v>
      </c>
      <c r="H1091">
        <v>1</v>
      </c>
      <c r="I1091">
        <v>0</v>
      </c>
      <c r="J1091">
        <v>0</v>
      </c>
      <c r="K1091">
        <v>0</v>
      </c>
      <c r="L1091" s="7">
        <v>1.9</v>
      </c>
      <c r="M1091" s="7">
        <v>29.3</v>
      </c>
      <c r="N1091">
        <v>255</v>
      </c>
      <c r="O1091" s="15">
        <v>209</v>
      </c>
      <c r="P1091" s="8">
        <v>0.77857142857142858</v>
      </c>
      <c r="Q1091">
        <v>263</v>
      </c>
      <c r="R1091" s="15">
        <v>246</v>
      </c>
      <c r="S1091" s="8">
        <v>0.872</v>
      </c>
      <c r="T1091">
        <v>166</v>
      </c>
      <c r="U1091" s="15">
        <v>141</v>
      </c>
      <c r="V1091" s="8">
        <v>0.90588235294117647</v>
      </c>
      <c r="W1091">
        <f t="shared" si="17"/>
        <v>684</v>
      </c>
    </row>
    <row r="1092" spans="1:23">
      <c r="A1092" s="6">
        <v>46017</v>
      </c>
      <c r="B1092" t="s">
        <v>66</v>
      </c>
      <c r="C1092">
        <v>4</v>
      </c>
      <c r="D1092">
        <v>12</v>
      </c>
      <c r="E1092">
        <v>0</v>
      </c>
      <c r="F1092">
        <v>0</v>
      </c>
      <c r="H1092">
        <v>1</v>
      </c>
      <c r="I1092">
        <v>0</v>
      </c>
      <c r="J1092">
        <v>0</v>
      </c>
      <c r="K1092">
        <v>0</v>
      </c>
      <c r="L1092" s="7">
        <v>1.2</v>
      </c>
      <c r="M1092" s="7">
        <v>29.3</v>
      </c>
      <c r="N1092">
        <v>209</v>
      </c>
      <c r="O1092" s="15">
        <v>192</v>
      </c>
      <c r="P1092" s="8">
        <v>0.63571428571428568</v>
      </c>
      <c r="Q1092">
        <v>235</v>
      </c>
      <c r="R1092" s="15">
        <v>212</v>
      </c>
      <c r="S1092" s="8">
        <v>0.79200000000000004</v>
      </c>
      <c r="T1092">
        <v>157</v>
      </c>
      <c r="U1092" s="15">
        <v>127</v>
      </c>
      <c r="V1092" s="8">
        <v>0.81176470588235294</v>
      </c>
      <c r="W1092">
        <f t="shared" si="17"/>
        <v>601</v>
      </c>
    </row>
    <row r="1093" spans="1:23">
      <c r="A1093" s="6">
        <v>46018</v>
      </c>
      <c r="B1093" t="s">
        <v>67</v>
      </c>
      <c r="C1093">
        <v>5</v>
      </c>
      <c r="D1093">
        <v>12</v>
      </c>
      <c r="E1093">
        <v>1</v>
      </c>
      <c r="F1093">
        <v>0</v>
      </c>
      <c r="H1093">
        <v>1</v>
      </c>
      <c r="I1093">
        <v>0</v>
      </c>
      <c r="J1093">
        <v>0</v>
      </c>
      <c r="K1093">
        <v>0</v>
      </c>
      <c r="L1093" s="7">
        <v>2.1</v>
      </c>
      <c r="M1093" s="7">
        <v>28.6</v>
      </c>
      <c r="N1093">
        <v>243</v>
      </c>
      <c r="O1093" s="15">
        <v>218</v>
      </c>
      <c r="P1093" s="8">
        <v>0.75</v>
      </c>
      <c r="Q1093">
        <v>243</v>
      </c>
      <c r="R1093" s="15">
        <v>207</v>
      </c>
      <c r="S1093" s="8">
        <v>0.80800000000000005</v>
      </c>
      <c r="T1093">
        <v>163</v>
      </c>
      <c r="U1093" s="15">
        <v>152</v>
      </c>
      <c r="V1093" s="8">
        <v>0.87058823529411766</v>
      </c>
      <c r="W1093">
        <f t="shared" si="17"/>
        <v>649</v>
      </c>
    </row>
    <row r="1094" spans="1:23">
      <c r="A1094" s="6">
        <v>46019</v>
      </c>
      <c r="B1094" t="s">
        <v>60</v>
      </c>
      <c r="C1094">
        <v>6</v>
      </c>
      <c r="D1094">
        <v>12</v>
      </c>
      <c r="E1094">
        <v>1</v>
      </c>
      <c r="F1094">
        <v>0</v>
      </c>
      <c r="H1094">
        <v>1</v>
      </c>
      <c r="I1094">
        <v>0</v>
      </c>
      <c r="J1094">
        <v>1</v>
      </c>
      <c r="K1094">
        <v>0</v>
      </c>
      <c r="L1094" s="7">
        <v>0</v>
      </c>
      <c r="M1094" s="7">
        <v>29.6</v>
      </c>
      <c r="N1094">
        <v>303</v>
      </c>
      <c r="O1094" s="15">
        <v>274</v>
      </c>
      <c r="P1094" s="8">
        <v>0.9285714285714286</v>
      </c>
      <c r="Q1094">
        <v>284</v>
      </c>
      <c r="R1094" s="15">
        <v>256</v>
      </c>
      <c r="S1094" s="8">
        <v>0.96799999999999997</v>
      </c>
      <c r="T1094">
        <v>180</v>
      </c>
      <c r="U1094" s="15">
        <v>157</v>
      </c>
      <c r="V1094" s="8">
        <v>0.96470588235294119</v>
      </c>
      <c r="W1094">
        <f t="shared" si="17"/>
        <v>767</v>
      </c>
    </row>
    <row r="1095" spans="1:23">
      <c r="A1095" s="6">
        <v>46020</v>
      </c>
      <c r="B1095" t="s">
        <v>62</v>
      </c>
      <c r="C1095">
        <v>0</v>
      </c>
      <c r="D1095">
        <v>12</v>
      </c>
      <c r="E1095">
        <v>0</v>
      </c>
      <c r="F1095">
        <v>0</v>
      </c>
      <c r="H1095">
        <v>1</v>
      </c>
      <c r="I1095">
        <v>0</v>
      </c>
      <c r="J1095">
        <v>1</v>
      </c>
      <c r="K1095">
        <v>0</v>
      </c>
      <c r="L1095" s="7">
        <v>2.5</v>
      </c>
      <c r="M1095" s="7">
        <v>28.6</v>
      </c>
      <c r="N1095">
        <v>278</v>
      </c>
      <c r="O1095" s="15">
        <v>227</v>
      </c>
      <c r="P1095" s="8">
        <v>0.8214285714285714</v>
      </c>
      <c r="Q1095">
        <v>286</v>
      </c>
      <c r="R1095" s="15">
        <v>237</v>
      </c>
      <c r="S1095" s="8">
        <v>0.96799999999999997</v>
      </c>
      <c r="T1095">
        <v>192</v>
      </c>
      <c r="U1095" s="15">
        <v>158</v>
      </c>
      <c r="V1095" s="8">
        <v>0.96470588235294119</v>
      </c>
      <c r="W1095">
        <f t="shared" si="17"/>
        <v>756</v>
      </c>
    </row>
    <row r="1096" spans="1:23">
      <c r="A1096" s="6">
        <v>46021</v>
      </c>
      <c r="B1096" t="s">
        <v>63</v>
      </c>
      <c r="C1096">
        <v>1</v>
      </c>
      <c r="D1096">
        <v>12</v>
      </c>
      <c r="E1096">
        <v>0</v>
      </c>
      <c r="F1096">
        <v>0</v>
      </c>
      <c r="H1096">
        <v>1</v>
      </c>
      <c r="I1096">
        <v>0</v>
      </c>
      <c r="J1096">
        <v>1</v>
      </c>
      <c r="K1096">
        <v>0</v>
      </c>
      <c r="L1096" s="7">
        <v>0.1</v>
      </c>
      <c r="M1096" s="7">
        <v>29</v>
      </c>
      <c r="N1096">
        <v>234</v>
      </c>
      <c r="O1096" s="15">
        <v>214</v>
      </c>
      <c r="P1096" s="8">
        <v>0.74285714285714288</v>
      </c>
      <c r="Q1096">
        <v>250</v>
      </c>
      <c r="R1096" s="15">
        <v>215</v>
      </c>
      <c r="S1096" s="8">
        <v>0.83199999999999996</v>
      </c>
      <c r="T1096">
        <v>190</v>
      </c>
      <c r="U1096" s="15">
        <v>167</v>
      </c>
      <c r="V1096" s="8">
        <v>0.96470588235294119</v>
      </c>
      <c r="W1096">
        <f t="shared" si="17"/>
        <v>674</v>
      </c>
    </row>
    <row r="1097" spans="1:23">
      <c r="A1097" s="6">
        <v>46022</v>
      </c>
      <c r="B1097" t="s">
        <v>64</v>
      </c>
      <c r="C1097">
        <v>2</v>
      </c>
      <c r="D1097">
        <v>12</v>
      </c>
      <c r="E1097">
        <v>0</v>
      </c>
      <c r="F1097">
        <v>0</v>
      </c>
      <c r="H1097">
        <v>1</v>
      </c>
      <c r="I1097">
        <v>0</v>
      </c>
      <c r="J1097">
        <v>1</v>
      </c>
      <c r="K1097">
        <v>0</v>
      </c>
      <c r="L1097" s="7">
        <v>0</v>
      </c>
      <c r="M1097" s="7">
        <v>28.2</v>
      </c>
      <c r="N1097">
        <v>269</v>
      </c>
      <c r="O1097" s="15">
        <v>216</v>
      </c>
      <c r="P1097" s="8">
        <v>0.8</v>
      </c>
      <c r="Q1097">
        <v>260</v>
      </c>
      <c r="R1097" s="15">
        <v>215</v>
      </c>
      <c r="S1097" s="8">
        <v>0.86399999999999999</v>
      </c>
      <c r="T1097">
        <v>177</v>
      </c>
      <c r="U1097" s="15">
        <v>164</v>
      </c>
      <c r="V1097" s="8">
        <v>0.91764705882352937</v>
      </c>
      <c r="W1097">
        <f t="shared" si="17"/>
        <v>706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289"/>
  <sheetViews>
    <sheetView topLeftCell="W1" workbookViewId="0">
      <pane ySplit="1" topLeftCell="A2" activePane="bottomLeft" state="frozen"/>
      <selection pane="bottomLeft" activeCell="AF1" sqref="AF1:AF1048576"/>
    </sheetView>
  </sheetViews>
  <sheetFormatPr defaultRowHeight="13.8"/>
  <cols>
    <col min="1" max="1" width="13" customWidth="1"/>
    <col min="2" max="2" width="11" customWidth="1"/>
    <col min="3" max="3" width="31" customWidth="1"/>
    <col min="4" max="4" width="20" customWidth="1"/>
    <col min="5" max="5" width="22" customWidth="1"/>
    <col min="6" max="6" width="15" customWidth="1"/>
    <col min="7" max="7" width="20" customWidth="1"/>
    <col min="8" max="8" width="19" customWidth="1"/>
    <col min="9" max="9" width="17" customWidth="1"/>
    <col min="10" max="10" width="15" customWidth="1"/>
    <col min="11" max="11" width="18" customWidth="1"/>
    <col min="12" max="12" width="19" customWidth="1"/>
    <col min="13" max="13" width="24" customWidth="1"/>
    <col min="14" max="14" width="18" customWidth="1"/>
    <col min="15" max="15" width="12" customWidth="1"/>
    <col min="16" max="16" width="19" customWidth="1"/>
    <col min="17" max="17" width="13" customWidth="1"/>
    <col min="18" max="18" width="18" customWidth="1"/>
    <col min="19" max="19" width="9" customWidth="1"/>
    <col min="20" max="20" width="10" customWidth="1"/>
    <col min="21" max="22" width="16" customWidth="1"/>
    <col min="23" max="24" width="14" customWidth="1"/>
    <col min="25" max="25" width="15" customWidth="1"/>
    <col min="26" max="26" width="10" customWidth="1"/>
    <col min="27" max="27" width="34" customWidth="1"/>
    <col min="28" max="28" width="18" customWidth="1"/>
    <col min="29" max="30" width="12" customWidth="1"/>
    <col min="31" max="31" width="22" customWidth="1"/>
  </cols>
  <sheetData>
    <row r="1" spans="1:31" ht="27.6">
      <c r="A1" s="9" t="s">
        <v>46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28</v>
      </c>
      <c r="G1" s="9" t="s">
        <v>29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91</v>
      </c>
      <c r="M1" s="9" t="s">
        <v>92</v>
      </c>
      <c r="N1" s="9" t="s">
        <v>93</v>
      </c>
      <c r="O1" s="9" t="s">
        <v>58</v>
      </c>
      <c r="P1" s="9" t="s">
        <v>59</v>
      </c>
      <c r="Q1" s="9" t="s">
        <v>48</v>
      </c>
      <c r="R1" s="9" t="s">
        <v>47</v>
      </c>
      <c r="S1" s="9" t="s">
        <v>49</v>
      </c>
      <c r="T1" s="9" t="s">
        <v>50</v>
      </c>
      <c r="U1" s="9" t="s">
        <v>94</v>
      </c>
      <c r="V1" s="9" t="s">
        <v>95</v>
      </c>
      <c r="W1" s="9" t="s">
        <v>96</v>
      </c>
      <c r="X1" s="9" t="s">
        <v>97</v>
      </c>
      <c r="Y1" s="9" t="s">
        <v>51</v>
      </c>
      <c r="Z1" s="9" t="s">
        <v>52</v>
      </c>
      <c r="AA1" s="9" t="s">
        <v>53</v>
      </c>
      <c r="AB1" s="9" t="s">
        <v>54</v>
      </c>
      <c r="AC1" s="9" t="s">
        <v>55</v>
      </c>
      <c r="AD1" s="9" t="s">
        <v>56</v>
      </c>
      <c r="AE1" s="9" t="s">
        <v>57</v>
      </c>
    </row>
    <row r="2" spans="1:31">
      <c r="A2" s="6">
        <v>44927</v>
      </c>
      <c r="B2" t="s">
        <v>31</v>
      </c>
      <c r="C2" t="s">
        <v>32</v>
      </c>
      <c r="D2" t="s">
        <v>33</v>
      </c>
      <c r="E2" t="s">
        <v>34</v>
      </c>
      <c r="F2">
        <v>140</v>
      </c>
      <c r="G2">
        <v>360</v>
      </c>
      <c r="H2">
        <v>284</v>
      </c>
      <c r="I2">
        <v>121</v>
      </c>
      <c r="J2" s="8">
        <v>0.86428571428571432</v>
      </c>
      <c r="K2">
        <v>72</v>
      </c>
      <c r="L2">
        <v>57</v>
      </c>
      <c r="M2">
        <v>255</v>
      </c>
      <c r="N2" s="10">
        <v>487.62</v>
      </c>
      <c r="O2" s="7">
        <v>1.2</v>
      </c>
      <c r="P2" s="7">
        <v>28</v>
      </c>
      <c r="Q2">
        <v>6</v>
      </c>
      <c r="R2" t="s">
        <v>60</v>
      </c>
      <c r="S2">
        <v>1</v>
      </c>
      <c r="T2">
        <v>1</v>
      </c>
      <c r="U2" s="11">
        <v>-0.78183148246802991</v>
      </c>
      <c r="V2" s="11">
        <v>0.62348980185873337</v>
      </c>
      <c r="W2" s="11">
        <v>0</v>
      </c>
      <c r="X2" s="11">
        <v>1</v>
      </c>
      <c r="Y2">
        <v>1</v>
      </c>
      <c r="Z2">
        <v>1</v>
      </c>
      <c r="AA2" t="s">
        <v>61</v>
      </c>
      <c r="AB2">
        <v>1</v>
      </c>
      <c r="AC2">
        <v>0</v>
      </c>
      <c r="AD2">
        <v>1</v>
      </c>
      <c r="AE2">
        <v>0</v>
      </c>
    </row>
    <row r="3" spans="1:31">
      <c r="A3" s="6">
        <v>44927</v>
      </c>
      <c r="B3" t="s">
        <v>36</v>
      </c>
      <c r="C3" t="s">
        <v>37</v>
      </c>
      <c r="D3" t="s">
        <v>38</v>
      </c>
      <c r="E3" t="s">
        <v>39</v>
      </c>
      <c r="F3">
        <v>125</v>
      </c>
      <c r="G3">
        <v>320</v>
      </c>
      <c r="H3">
        <v>284</v>
      </c>
      <c r="I3">
        <v>121</v>
      </c>
      <c r="J3" s="8">
        <v>0.96799999999999997</v>
      </c>
      <c r="K3">
        <v>39</v>
      </c>
      <c r="L3">
        <v>72</v>
      </c>
      <c r="M3">
        <v>259</v>
      </c>
      <c r="N3" s="10">
        <v>725.63</v>
      </c>
      <c r="O3" s="7">
        <v>1.2</v>
      </c>
      <c r="P3" s="7">
        <v>28</v>
      </c>
      <c r="Q3">
        <v>6</v>
      </c>
      <c r="R3" t="s">
        <v>60</v>
      </c>
      <c r="S3">
        <v>1</v>
      </c>
      <c r="T3">
        <v>1</v>
      </c>
      <c r="U3" s="11">
        <v>-0.78183148246802991</v>
      </c>
      <c r="V3" s="11">
        <v>0.62348980185873337</v>
      </c>
      <c r="W3" s="11">
        <v>0</v>
      </c>
      <c r="X3" s="11">
        <v>1</v>
      </c>
      <c r="Y3">
        <v>1</v>
      </c>
      <c r="Z3">
        <v>1</v>
      </c>
      <c r="AA3" t="s">
        <v>61</v>
      </c>
      <c r="AB3">
        <v>1</v>
      </c>
      <c r="AC3">
        <v>0</v>
      </c>
      <c r="AD3">
        <v>1</v>
      </c>
      <c r="AE3">
        <v>0</v>
      </c>
    </row>
    <row r="4" spans="1:31">
      <c r="A4" s="6">
        <v>44927</v>
      </c>
      <c r="B4" t="s">
        <v>41</v>
      </c>
      <c r="C4" t="s">
        <v>42</v>
      </c>
      <c r="D4" t="s">
        <v>43</v>
      </c>
      <c r="E4" t="s">
        <v>44</v>
      </c>
      <c r="F4">
        <v>85</v>
      </c>
      <c r="G4">
        <v>210</v>
      </c>
      <c r="H4">
        <v>188</v>
      </c>
      <c r="I4">
        <v>82</v>
      </c>
      <c r="J4" s="8">
        <v>0.96470588235294119</v>
      </c>
      <c r="K4">
        <v>27</v>
      </c>
      <c r="L4">
        <v>49</v>
      </c>
      <c r="M4">
        <v>158</v>
      </c>
      <c r="N4" s="10">
        <v>602.95000000000005</v>
      </c>
      <c r="O4" s="7">
        <v>1.2</v>
      </c>
      <c r="P4" s="7">
        <v>28</v>
      </c>
      <c r="Q4">
        <v>6</v>
      </c>
      <c r="R4" t="s">
        <v>60</v>
      </c>
      <c r="S4">
        <v>1</v>
      </c>
      <c r="T4">
        <v>1</v>
      </c>
      <c r="U4" s="11">
        <v>-0.78183148246802991</v>
      </c>
      <c r="V4" s="11">
        <v>0.62348980185873337</v>
      </c>
      <c r="W4" s="11">
        <v>0</v>
      </c>
      <c r="X4" s="11">
        <v>1</v>
      </c>
      <c r="Y4">
        <v>1</v>
      </c>
      <c r="Z4">
        <v>1</v>
      </c>
      <c r="AA4" t="s">
        <v>61</v>
      </c>
      <c r="AB4">
        <v>1</v>
      </c>
      <c r="AC4">
        <v>0</v>
      </c>
      <c r="AD4">
        <v>1</v>
      </c>
      <c r="AE4">
        <v>0</v>
      </c>
    </row>
    <row r="5" spans="1:31">
      <c r="A5" s="6">
        <v>44928</v>
      </c>
      <c r="B5" t="s">
        <v>31</v>
      </c>
      <c r="C5" t="s">
        <v>32</v>
      </c>
      <c r="D5" t="s">
        <v>33</v>
      </c>
      <c r="E5" t="s">
        <v>34</v>
      </c>
      <c r="F5">
        <v>140</v>
      </c>
      <c r="G5">
        <v>360</v>
      </c>
      <c r="H5">
        <v>260</v>
      </c>
      <c r="I5">
        <v>112</v>
      </c>
      <c r="J5" s="8">
        <v>0.8</v>
      </c>
      <c r="K5">
        <v>50</v>
      </c>
      <c r="L5">
        <v>53</v>
      </c>
      <c r="M5">
        <v>244</v>
      </c>
      <c r="N5" s="10">
        <v>443.38</v>
      </c>
      <c r="O5" s="7">
        <v>1.4</v>
      </c>
      <c r="P5" s="7">
        <v>28</v>
      </c>
      <c r="Q5">
        <v>0</v>
      </c>
      <c r="R5" t="s">
        <v>62</v>
      </c>
      <c r="S5">
        <v>1</v>
      </c>
      <c r="T5">
        <v>2</v>
      </c>
      <c r="U5" s="11">
        <v>0</v>
      </c>
      <c r="V5" s="11">
        <v>1</v>
      </c>
      <c r="W5" s="11">
        <v>1.7201575418260506E-2</v>
      </c>
      <c r="X5" s="11">
        <v>0.99985204195577349</v>
      </c>
      <c r="Y5">
        <v>0</v>
      </c>
      <c r="Z5">
        <v>0</v>
      </c>
      <c r="AB5">
        <v>1</v>
      </c>
      <c r="AC5">
        <v>0</v>
      </c>
      <c r="AD5">
        <v>1</v>
      </c>
      <c r="AE5">
        <v>0</v>
      </c>
    </row>
    <row r="6" spans="1:31">
      <c r="A6" s="6">
        <v>44928</v>
      </c>
      <c r="B6" t="s">
        <v>36</v>
      </c>
      <c r="C6" t="s">
        <v>37</v>
      </c>
      <c r="D6" t="s">
        <v>38</v>
      </c>
      <c r="E6" t="s">
        <v>39</v>
      </c>
      <c r="F6">
        <v>125</v>
      </c>
      <c r="G6">
        <v>320</v>
      </c>
      <c r="H6">
        <v>269</v>
      </c>
      <c r="I6">
        <v>112</v>
      </c>
      <c r="J6" s="8">
        <v>0.89600000000000002</v>
      </c>
      <c r="K6">
        <v>47</v>
      </c>
      <c r="L6">
        <v>60</v>
      </c>
      <c r="M6">
        <v>237</v>
      </c>
      <c r="N6" s="10">
        <v>607.63</v>
      </c>
      <c r="O6" s="7">
        <v>1.4</v>
      </c>
      <c r="P6" s="7">
        <v>28</v>
      </c>
      <c r="Q6">
        <v>0</v>
      </c>
      <c r="R6" t="s">
        <v>62</v>
      </c>
      <c r="S6">
        <v>1</v>
      </c>
      <c r="T6">
        <v>2</v>
      </c>
      <c r="U6" s="11">
        <v>0</v>
      </c>
      <c r="V6" s="11">
        <v>1</v>
      </c>
      <c r="W6" s="11">
        <v>1.7201575418260506E-2</v>
      </c>
      <c r="X6" s="11">
        <v>0.99985204195577349</v>
      </c>
      <c r="Y6">
        <v>0</v>
      </c>
      <c r="Z6">
        <v>0</v>
      </c>
      <c r="AB6">
        <v>1</v>
      </c>
      <c r="AC6">
        <v>0</v>
      </c>
      <c r="AD6">
        <v>1</v>
      </c>
      <c r="AE6">
        <v>0</v>
      </c>
    </row>
    <row r="7" spans="1:31">
      <c r="A7" s="6">
        <v>44928</v>
      </c>
      <c r="B7" t="s">
        <v>41</v>
      </c>
      <c r="C7" t="s">
        <v>42</v>
      </c>
      <c r="D7" t="s">
        <v>43</v>
      </c>
      <c r="E7" t="s">
        <v>44</v>
      </c>
      <c r="F7">
        <v>85</v>
      </c>
      <c r="G7">
        <v>210</v>
      </c>
      <c r="H7">
        <v>186</v>
      </c>
      <c r="I7">
        <v>82</v>
      </c>
      <c r="J7" s="8">
        <v>0.96470588235294119</v>
      </c>
      <c r="K7">
        <v>41</v>
      </c>
      <c r="L7">
        <v>35</v>
      </c>
      <c r="M7">
        <v>168</v>
      </c>
      <c r="N7" s="10">
        <v>572.84</v>
      </c>
      <c r="O7" s="7">
        <v>1.4</v>
      </c>
      <c r="P7" s="7">
        <v>28</v>
      </c>
      <c r="Q7">
        <v>0</v>
      </c>
      <c r="R7" t="s">
        <v>62</v>
      </c>
      <c r="S7">
        <v>1</v>
      </c>
      <c r="T7">
        <v>2</v>
      </c>
      <c r="U7" s="11">
        <v>0</v>
      </c>
      <c r="V7" s="11">
        <v>1</v>
      </c>
      <c r="W7" s="11">
        <v>1.7201575418260506E-2</v>
      </c>
      <c r="X7" s="11">
        <v>0.99985204195577349</v>
      </c>
      <c r="Y7">
        <v>0</v>
      </c>
      <c r="Z7">
        <v>0</v>
      </c>
      <c r="AB7">
        <v>1</v>
      </c>
      <c r="AC7">
        <v>0</v>
      </c>
      <c r="AD7">
        <v>1</v>
      </c>
      <c r="AE7">
        <v>0</v>
      </c>
    </row>
    <row r="8" spans="1:31">
      <c r="A8" s="6">
        <v>44929</v>
      </c>
      <c r="B8" t="s">
        <v>31</v>
      </c>
      <c r="C8" t="s">
        <v>32</v>
      </c>
      <c r="D8" t="s">
        <v>33</v>
      </c>
      <c r="E8" t="s">
        <v>34</v>
      </c>
      <c r="F8">
        <v>140</v>
      </c>
      <c r="G8">
        <v>360</v>
      </c>
      <c r="H8">
        <v>219</v>
      </c>
      <c r="I8">
        <v>93</v>
      </c>
      <c r="J8" s="8">
        <v>0.66428571428571426</v>
      </c>
      <c r="K8">
        <v>41</v>
      </c>
      <c r="L8">
        <v>28</v>
      </c>
      <c r="M8">
        <v>193</v>
      </c>
      <c r="N8" s="10">
        <v>502.23</v>
      </c>
      <c r="O8" s="7">
        <v>0</v>
      </c>
      <c r="P8" s="7">
        <v>29.9</v>
      </c>
      <c r="Q8">
        <v>1</v>
      </c>
      <c r="R8" t="s">
        <v>63</v>
      </c>
      <c r="S8">
        <v>1</v>
      </c>
      <c r="T8">
        <v>3</v>
      </c>
      <c r="U8" s="11">
        <v>0.7818314824680298</v>
      </c>
      <c r="V8" s="11">
        <v>0.62348980185873359</v>
      </c>
      <c r="W8" s="11">
        <v>3.4398060613608013E-2</v>
      </c>
      <c r="X8" s="11">
        <v>0.99940821160625981</v>
      </c>
      <c r="Y8">
        <v>0</v>
      </c>
      <c r="Z8">
        <v>0</v>
      </c>
      <c r="AB8">
        <v>1</v>
      </c>
      <c r="AC8">
        <v>0</v>
      </c>
      <c r="AD8">
        <v>0</v>
      </c>
      <c r="AE8">
        <v>0</v>
      </c>
    </row>
    <row r="9" spans="1:31">
      <c r="A9" s="6">
        <v>44929</v>
      </c>
      <c r="B9" t="s">
        <v>36</v>
      </c>
      <c r="C9" t="s">
        <v>37</v>
      </c>
      <c r="D9" t="s">
        <v>38</v>
      </c>
      <c r="E9" t="s">
        <v>39</v>
      </c>
      <c r="F9">
        <v>125</v>
      </c>
      <c r="G9">
        <v>320</v>
      </c>
      <c r="H9">
        <v>211</v>
      </c>
      <c r="I9">
        <v>88</v>
      </c>
      <c r="J9" s="8">
        <v>0.70399999999999996</v>
      </c>
      <c r="K9">
        <v>32</v>
      </c>
      <c r="L9">
        <v>59</v>
      </c>
      <c r="M9">
        <v>195</v>
      </c>
      <c r="N9" s="10">
        <v>633.46</v>
      </c>
      <c r="O9" s="7">
        <v>0</v>
      </c>
      <c r="P9" s="7">
        <v>29.9</v>
      </c>
      <c r="Q9">
        <v>1</v>
      </c>
      <c r="R9" t="s">
        <v>63</v>
      </c>
      <c r="S9">
        <v>1</v>
      </c>
      <c r="T9">
        <v>3</v>
      </c>
      <c r="U9" s="11">
        <v>0.7818314824680298</v>
      </c>
      <c r="V9" s="11">
        <v>0.62348980185873359</v>
      </c>
      <c r="W9" s="11">
        <v>3.4398060613608013E-2</v>
      </c>
      <c r="X9" s="11">
        <v>0.99940821160625981</v>
      </c>
      <c r="Y9">
        <v>0</v>
      </c>
      <c r="Z9">
        <v>0</v>
      </c>
      <c r="AB9">
        <v>1</v>
      </c>
      <c r="AC9">
        <v>0</v>
      </c>
      <c r="AD9">
        <v>0</v>
      </c>
      <c r="AE9">
        <v>0</v>
      </c>
    </row>
    <row r="10" spans="1:31">
      <c r="A10" s="6">
        <v>44929</v>
      </c>
      <c r="B10" t="s">
        <v>41</v>
      </c>
      <c r="C10" t="s">
        <v>42</v>
      </c>
      <c r="D10" t="s">
        <v>43</v>
      </c>
      <c r="E10" t="s">
        <v>44</v>
      </c>
      <c r="F10">
        <v>85</v>
      </c>
      <c r="G10">
        <v>210</v>
      </c>
      <c r="H10">
        <v>140</v>
      </c>
      <c r="I10">
        <v>63</v>
      </c>
      <c r="J10" s="8">
        <v>0.74117647058823533</v>
      </c>
      <c r="K10">
        <v>35</v>
      </c>
      <c r="L10">
        <v>34</v>
      </c>
      <c r="M10">
        <v>121</v>
      </c>
      <c r="N10" s="10">
        <v>595.28</v>
      </c>
      <c r="O10" s="7">
        <v>0</v>
      </c>
      <c r="P10" s="7">
        <v>29.9</v>
      </c>
      <c r="Q10">
        <v>1</v>
      </c>
      <c r="R10" t="s">
        <v>63</v>
      </c>
      <c r="S10">
        <v>1</v>
      </c>
      <c r="T10">
        <v>3</v>
      </c>
      <c r="U10" s="11">
        <v>0.7818314824680298</v>
      </c>
      <c r="V10" s="11">
        <v>0.62348980185873359</v>
      </c>
      <c r="W10" s="11">
        <v>3.4398060613608013E-2</v>
      </c>
      <c r="X10" s="11">
        <v>0.99940821160625981</v>
      </c>
      <c r="Y10">
        <v>0</v>
      </c>
      <c r="Z10">
        <v>0</v>
      </c>
      <c r="AB10">
        <v>1</v>
      </c>
      <c r="AC10">
        <v>0</v>
      </c>
      <c r="AD10">
        <v>0</v>
      </c>
      <c r="AE10">
        <v>0</v>
      </c>
    </row>
    <row r="11" spans="1:31">
      <c r="A11" s="6">
        <v>44930</v>
      </c>
      <c r="B11" t="s">
        <v>31</v>
      </c>
      <c r="C11" t="s">
        <v>32</v>
      </c>
      <c r="D11" t="s">
        <v>33</v>
      </c>
      <c r="E11" t="s">
        <v>34</v>
      </c>
      <c r="F11">
        <v>140</v>
      </c>
      <c r="G11">
        <v>360</v>
      </c>
      <c r="H11">
        <v>205</v>
      </c>
      <c r="I11">
        <v>90</v>
      </c>
      <c r="J11" s="8">
        <v>0.6428571428571429</v>
      </c>
      <c r="K11">
        <v>47</v>
      </c>
      <c r="L11">
        <v>45</v>
      </c>
      <c r="M11">
        <v>187</v>
      </c>
      <c r="N11" s="10">
        <v>474.96</v>
      </c>
      <c r="O11" s="7">
        <v>0</v>
      </c>
      <c r="P11" s="7">
        <v>29</v>
      </c>
      <c r="Q11">
        <v>2</v>
      </c>
      <c r="R11" t="s">
        <v>64</v>
      </c>
      <c r="S11">
        <v>1</v>
      </c>
      <c r="T11">
        <v>4</v>
      </c>
      <c r="U11" s="11">
        <v>0.97492791218182362</v>
      </c>
      <c r="V11" s="11">
        <v>-0.22252093395631434</v>
      </c>
      <c r="W11" s="11">
        <v>5.1584366869408364E-2</v>
      </c>
      <c r="X11" s="11">
        <v>0.99866864028799973</v>
      </c>
      <c r="Y11">
        <v>0</v>
      </c>
      <c r="Z11">
        <v>0</v>
      </c>
      <c r="AB11">
        <v>1</v>
      </c>
      <c r="AC11">
        <v>0</v>
      </c>
      <c r="AD11">
        <v>0</v>
      </c>
      <c r="AE11">
        <v>0</v>
      </c>
    </row>
    <row r="12" spans="1:31">
      <c r="A12" s="6">
        <v>44930</v>
      </c>
      <c r="B12" t="s">
        <v>36</v>
      </c>
      <c r="C12" t="s">
        <v>37</v>
      </c>
      <c r="D12" t="s">
        <v>38</v>
      </c>
      <c r="E12" t="s">
        <v>39</v>
      </c>
      <c r="F12">
        <v>125</v>
      </c>
      <c r="G12">
        <v>320</v>
      </c>
      <c r="H12">
        <v>243</v>
      </c>
      <c r="I12">
        <v>99</v>
      </c>
      <c r="J12" s="8">
        <v>0.79200000000000004</v>
      </c>
      <c r="K12">
        <v>35</v>
      </c>
      <c r="L12">
        <v>36</v>
      </c>
      <c r="M12">
        <v>197</v>
      </c>
      <c r="N12" s="10">
        <v>729.99</v>
      </c>
      <c r="O12" s="7">
        <v>0</v>
      </c>
      <c r="P12" s="7">
        <v>29</v>
      </c>
      <c r="Q12">
        <v>2</v>
      </c>
      <c r="R12" t="s">
        <v>64</v>
      </c>
      <c r="S12">
        <v>1</v>
      </c>
      <c r="T12">
        <v>4</v>
      </c>
      <c r="U12" s="11">
        <v>0.97492791218182362</v>
      </c>
      <c r="V12" s="11">
        <v>-0.22252093395631434</v>
      </c>
      <c r="W12" s="11">
        <v>5.1584366869408364E-2</v>
      </c>
      <c r="X12" s="11">
        <v>0.99866864028799973</v>
      </c>
      <c r="Y12">
        <v>0</v>
      </c>
      <c r="Z12">
        <v>0</v>
      </c>
      <c r="AB12">
        <v>1</v>
      </c>
      <c r="AC12">
        <v>0</v>
      </c>
      <c r="AD12">
        <v>0</v>
      </c>
      <c r="AE12">
        <v>0</v>
      </c>
    </row>
    <row r="13" spans="1:31">
      <c r="A13" s="6">
        <v>44930</v>
      </c>
      <c r="B13" t="s">
        <v>41</v>
      </c>
      <c r="C13" t="s">
        <v>42</v>
      </c>
      <c r="D13" t="s">
        <v>43</v>
      </c>
      <c r="E13" t="s">
        <v>44</v>
      </c>
      <c r="F13">
        <v>85</v>
      </c>
      <c r="G13">
        <v>210</v>
      </c>
      <c r="H13">
        <v>152</v>
      </c>
      <c r="I13">
        <v>67</v>
      </c>
      <c r="J13" s="8">
        <v>0.78823529411764703</v>
      </c>
      <c r="K13">
        <v>19</v>
      </c>
      <c r="L13">
        <v>28</v>
      </c>
      <c r="M13">
        <v>130</v>
      </c>
      <c r="N13" s="10">
        <v>548.59</v>
      </c>
      <c r="O13" s="7">
        <v>0</v>
      </c>
      <c r="P13" s="7">
        <v>29</v>
      </c>
      <c r="Q13">
        <v>2</v>
      </c>
      <c r="R13" t="s">
        <v>64</v>
      </c>
      <c r="S13">
        <v>1</v>
      </c>
      <c r="T13">
        <v>4</v>
      </c>
      <c r="U13" s="11">
        <v>0.97492791218182362</v>
      </c>
      <c r="V13" s="11">
        <v>-0.22252093395631434</v>
      </c>
      <c r="W13" s="11">
        <v>5.1584366869408364E-2</v>
      </c>
      <c r="X13" s="11">
        <v>0.99866864028799973</v>
      </c>
      <c r="Y13">
        <v>0</v>
      </c>
      <c r="Z13">
        <v>0</v>
      </c>
      <c r="AB13">
        <v>1</v>
      </c>
      <c r="AC13">
        <v>0</v>
      </c>
      <c r="AD13">
        <v>0</v>
      </c>
      <c r="AE13">
        <v>0</v>
      </c>
    </row>
    <row r="14" spans="1:31">
      <c r="A14" s="6">
        <v>44931</v>
      </c>
      <c r="B14" t="s">
        <v>31</v>
      </c>
      <c r="C14" t="s">
        <v>32</v>
      </c>
      <c r="D14" t="s">
        <v>33</v>
      </c>
      <c r="E14" t="s">
        <v>34</v>
      </c>
      <c r="F14">
        <v>140</v>
      </c>
      <c r="G14">
        <v>360</v>
      </c>
      <c r="H14">
        <v>221</v>
      </c>
      <c r="I14">
        <v>91</v>
      </c>
      <c r="J14" s="8">
        <v>0.65</v>
      </c>
      <c r="K14">
        <v>42</v>
      </c>
      <c r="L14">
        <v>38</v>
      </c>
      <c r="M14">
        <v>206</v>
      </c>
      <c r="N14" s="10">
        <v>471.22</v>
      </c>
      <c r="O14" s="7">
        <v>0</v>
      </c>
      <c r="P14" s="7">
        <v>29.3</v>
      </c>
      <c r="Q14">
        <v>3</v>
      </c>
      <c r="R14" t="s">
        <v>65</v>
      </c>
      <c r="S14">
        <v>1</v>
      </c>
      <c r="T14">
        <v>5</v>
      </c>
      <c r="U14" s="11">
        <v>0.43388373911755823</v>
      </c>
      <c r="V14" s="11">
        <v>-0.90096886790241903</v>
      </c>
      <c r="W14" s="11">
        <v>6.875540848113941E-2</v>
      </c>
      <c r="X14" s="11">
        <v>0.99763354685204508</v>
      </c>
      <c r="Y14">
        <v>0</v>
      </c>
      <c r="Z14">
        <v>0</v>
      </c>
      <c r="AB14">
        <v>1</v>
      </c>
      <c r="AC14">
        <v>0</v>
      </c>
      <c r="AD14">
        <v>0</v>
      </c>
      <c r="AE14">
        <v>0</v>
      </c>
    </row>
    <row r="15" spans="1:31">
      <c r="A15" s="6">
        <v>44931</v>
      </c>
      <c r="B15" t="s">
        <v>36</v>
      </c>
      <c r="C15" t="s">
        <v>37</v>
      </c>
      <c r="D15" t="s">
        <v>38</v>
      </c>
      <c r="E15" t="s">
        <v>39</v>
      </c>
      <c r="F15">
        <v>125</v>
      </c>
      <c r="G15">
        <v>320</v>
      </c>
      <c r="H15">
        <v>226</v>
      </c>
      <c r="I15">
        <v>96</v>
      </c>
      <c r="J15" s="8">
        <v>0.76800000000000002</v>
      </c>
      <c r="K15">
        <v>31</v>
      </c>
      <c r="L15">
        <v>29</v>
      </c>
      <c r="M15">
        <v>201</v>
      </c>
      <c r="N15" s="10">
        <v>624.97</v>
      </c>
      <c r="O15" s="7">
        <v>0</v>
      </c>
      <c r="P15" s="7">
        <v>29.3</v>
      </c>
      <c r="Q15">
        <v>3</v>
      </c>
      <c r="R15" t="s">
        <v>65</v>
      </c>
      <c r="S15">
        <v>1</v>
      </c>
      <c r="T15">
        <v>5</v>
      </c>
      <c r="U15" s="11">
        <v>0.43388373911755823</v>
      </c>
      <c r="V15" s="11">
        <v>-0.90096886790241903</v>
      </c>
      <c r="W15" s="11">
        <v>6.875540848113941E-2</v>
      </c>
      <c r="X15" s="11">
        <v>0.99763354685204508</v>
      </c>
      <c r="Y15">
        <v>0</v>
      </c>
      <c r="Z15">
        <v>0</v>
      </c>
      <c r="AB15">
        <v>1</v>
      </c>
      <c r="AC15">
        <v>0</v>
      </c>
      <c r="AD15">
        <v>0</v>
      </c>
      <c r="AE15">
        <v>0</v>
      </c>
    </row>
    <row r="16" spans="1:31">
      <c r="A16" s="6">
        <v>44931</v>
      </c>
      <c r="B16" t="s">
        <v>41</v>
      </c>
      <c r="C16" t="s">
        <v>42</v>
      </c>
      <c r="D16" t="s">
        <v>43</v>
      </c>
      <c r="E16" t="s">
        <v>44</v>
      </c>
      <c r="F16">
        <v>85</v>
      </c>
      <c r="G16">
        <v>210</v>
      </c>
      <c r="H16">
        <v>150</v>
      </c>
      <c r="I16">
        <v>68</v>
      </c>
      <c r="J16" s="8">
        <v>0.8</v>
      </c>
      <c r="K16">
        <v>29</v>
      </c>
      <c r="L16">
        <v>33</v>
      </c>
      <c r="M16">
        <v>134</v>
      </c>
      <c r="N16" s="10">
        <v>550.32000000000005</v>
      </c>
      <c r="O16" s="7">
        <v>0</v>
      </c>
      <c r="P16" s="7">
        <v>29.3</v>
      </c>
      <c r="Q16">
        <v>3</v>
      </c>
      <c r="R16" t="s">
        <v>65</v>
      </c>
      <c r="S16">
        <v>1</v>
      </c>
      <c r="T16">
        <v>5</v>
      </c>
      <c r="U16" s="11">
        <v>0.43388373911755823</v>
      </c>
      <c r="V16" s="11">
        <v>-0.90096886790241903</v>
      </c>
      <c r="W16" s="11">
        <v>6.875540848113941E-2</v>
      </c>
      <c r="X16" s="11">
        <v>0.99763354685204508</v>
      </c>
      <c r="Y16">
        <v>0</v>
      </c>
      <c r="Z16">
        <v>0</v>
      </c>
      <c r="AB16">
        <v>1</v>
      </c>
      <c r="AC16">
        <v>0</v>
      </c>
      <c r="AD16">
        <v>0</v>
      </c>
      <c r="AE16">
        <v>0</v>
      </c>
    </row>
    <row r="17" spans="1:31">
      <c r="A17" s="6">
        <v>44932</v>
      </c>
      <c r="B17" t="s">
        <v>31</v>
      </c>
      <c r="C17" t="s">
        <v>32</v>
      </c>
      <c r="D17" t="s">
        <v>33</v>
      </c>
      <c r="E17" t="s">
        <v>34</v>
      </c>
      <c r="F17">
        <v>140</v>
      </c>
      <c r="G17">
        <v>360</v>
      </c>
      <c r="H17">
        <v>230</v>
      </c>
      <c r="I17">
        <v>98</v>
      </c>
      <c r="J17" s="8">
        <v>0.7</v>
      </c>
      <c r="K17">
        <v>35</v>
      </c>
      <c r="L17">
        <v>28</v>
      </c>
      <c r="M17">
        <v>206</v>
      </c>
      <c r="N17" s="10">
        <v>452.03</v>
      </c>
      <c r="O17" s="7">
        <v>1.1000000000000001</v>
      </c>
      <c r="P17" s="7">
        <v>28.2</v>
      </c>
      <c r="Q17">
        <v>4</v>
      </c>
      <c r="R17" t="s">
        <v>66</v>
      </c>
      <c r="S17">
        <v>1</v>
      </c>
      <c r="T17">
        <v>6</v>
      </c>
      <c r="U17" s="11">
        <v>-0.43388373911755801</v>
      </c>
      <c r="V17" s="11">
        <v>-0.90096886790241915</v>
      </c>
      <c r="W17" s="11">
        <v>8.5906104261332716E-2</v>
      </c>
      <c r="X17" s="11">
        <v>0.99630323759919648</v>
      </c>
      <c r="Y17">
        <v>0</v>
      </c>
      <c r="Z17">
        <v>0</v>
      </c>
      <c r="AB17">
        <v>1</v>
      </c>
      <c r="AC17">
        <v>0</v>
      </c>
      <c r="AD17">
        <v>0</v>
      </c>
      <c r="AE17">
        <v>0</v>
      </c>
    </row>
    <row r="18" spans="1:31">
      <c r="A18" s="6">
        <v>44932</v>
      </c>
      <c r="B18" t="s">
        <v>36</v>
      </c>
      <c r="C18" t="s">
        <v>37</v>
      </c>
      <c r="D18" t="s">
        <v>38</v>
      </c>
      <c r="E18" t="s">
        <v>39</v>
      </c>
      <c r="F18">
        <v>125</v>
      </c>
      <c r="G18">
        <v>320</v>
      </c>
      <c r="H18">
        <v>211</v>
      </c>
      <c r="I18">
        <v>89</v>
      </c>
      <c r="J18" s="8">
        <v>0.71199999999999997</v>
      </c>
      <c r="K18">
        <v>45</v>
      </c>
      <c r="L18">
        <v>32</v>
      </c>
      <c r="M18">
        <v>178</v>
      </c>
      <c r="N18" s="10">
        <v>619.91999999999996</v>
      </c>
      <c r="O18" s="7">
        <v>1.1000000000000001</v>
      </c>
      <c r="P18" s="7">
        <v>28.2</v>
      </c>
      <c r="Q18">
        <v>4</v>
      </c>
      <c r="R18" t="s">
        <v>66</v>
      </c>
      <c r="S18">
        <v>1</v>
      </c>
      <c r="T18">
        <v>6</v>
      </c>
      <c r="U18" s="11">
        <v>-0.43388373911755801</v>
      </c>
      <c r="V18" s="11">
        <v>-0.90096886790241915</v>
      </c>
      <c r="W18" s="11">
        <v>8.5906104261332716E-2</v>
      </c>
      <c r="X18" s="11">
        <v>0.99630323759919648</v>
      </c>
      <c r="Y18">
        <v>0</v>
      </c>
      <c r="Z18">
        <v>0</v>
      </c>
      <c r="AB18">
        <v>1</v>
      </c>
      <c r="AC18">
        <v>0</v>
      </c>
      <c r="AD18">
        <v>0</v>
      </c>
      <c r="AE18">
        <v>0</v>
      </c>
    </row>
    <row r="19" spans="1:31">
      <c r="A19" s="6">
        <v>44932</v>
      </c>
      <c r="B19" t="s">
        <v>41</v>
      </c>
      <c r="C19" t="s">
        <v>42</v>
      </c>
      <c r="D19" t="s">
        <v>43</v>
      </c>
      <c r="E19" t="s">
        <v>44</v>
      </c>
      <c r="F19">
        <v>85</v>
      </c>
      <c r="G19">
        <v>210</v>
      </c>
      <c r="H19">
        <v>151</v>
      </c>
      <c r="I19">
        <v>64</v>
      </c>
      <c r="J19" s="8">
        <v>0.75294117647058822</v>
      </c>
      <c r="K19">
        <v>45</v>
      </c>
      <c r="L19">
        <v>32</v>
      </c>
      <c r="M19">
        <v>136</v>
      </c>
      <c r="N19" s="10">
        <v>537.14</v>
      </c>
      <c r="O19" s="7">
        <v>1.1000000000000001</v>
      </c>
      <c r="P19" s="7">
        <v>28.2</v>
      </c>
      <c r="Q19">
        <v>4</v>
      </c>
      <c r="R19" t="s">
        <v>66</v>
      </c>
      <c r="S19">
        <v>1</v>
      </c>
      <c r="T19">
        <v>6</v>
      </c>
      <c r="U19" s="11">
        <v>-0.43388373911755801</v>
      </c>
      <c r="V19" s="11">
        <v>-0.90096886790241915</v>
      </c>
      <c r="W19" s="11">
        <v>8.5906104261332716E-2</v>
      </c>
      <c r="X19" s="11">
        <v>0.99630323759919648</v>
      </c>
      <c r="Y19">
        <v>0</v>
      </c>
      <c r="Z19">
        <v>0</v>
      </c>
      <c r="AB19">
        <v>1</v>
      </c>
      <c r="AC19">
        <v>0</v>
      </c>
      <c r="AD19">
        <v>0</v>
      </c>
      <c r="AE19">
        <v>0</v>
      </c>
    </row>
    <row r="20" spans="1:31">
      <c r="A20" s="6">
        <v>44933</v>
      </c>
      <c r="B20" t="s">
        <v>31</v>
      </c>
      <c r="C20" t="s">
        <v>32</v>
      </c>
      <c r="D20" t="s">
        <v>33</v>
      </c>
      <c r="E20" t="s">
        <v>34</v>
      </c>
      <c r="F20">
        <v>140</v>
      </c>
      <c r="G20">
        <v>360</v>
      </c>
      <c r="H20">
        <v>248</v>
      </c>
      <c r="I20">
        <v>104</v>
      </c>
      <c r="J20" s="8">
        <v>0.74285714285714288</v>
      </c>
      <c r="K20">
        <v>54</v>
      </c>
      <c r="L20">
        <v>51</v>
      </c>
      <c r="M20">
        <v>231</v>
      </c>
      <c r="N20" s="10">
        <v>486.66</v>
      </c>
      <c r="O20" s="7">
        <v>0</v>
      </c>
      <c r="P20" s="7">
        <v>28.6</v>
      </c>
      <c r="Q20">
        <v>5</v>
      </c>
      <c r="R20" t="s">
        <v>67</v>
      </c>
      <c r="S20">
        <v>1</v>
      </c>
      <c r="T20">
        <v>7</v>
      </c>
      <c r="U20" s="11">
        <v>-0.97492791218182362</v>
      </c>
      <c r="V20" s="11">
        <v>-0.22252093395631459</v>
      </c>
      <c r="W20" s="11">
        <v>0.10303137904317879</v>
      </c>
      <c r="X20" s="11">
        <v>0.99467810618936459</v>
      </c>
      <c r="Y20">
        <v>1</v>
      </c>
      <c r="Z20">
        <v>0</v>
      </c>
      <c r="AB20">
        <v>1</v>
      </c>
      <c r="AC20">
        <v>0</v>
      </c>
      <c r="AD20">
        <v>0</v>
      </c>
      <c r="AE20">
        <v>0</v>
      </c>
    </row>
    <row r="21" spans="1:31">
      <c r="A21" s="6">
        <v>44933</v>
      </c>
      <c r="B21" t="s">
        <v>36</v>
      </c>
      <c r="C21" t="s">
        <v>37</v>
      </c>
      <c r="D21" t="s">
        <v>38</v>
      </c>
      <c r="E21" t="s">
        <v>39</v>
      </c>
      <c r="F21">
        <v>125</v>
      </c>
      <c r="G21">
        <v>320</v>
      </c>
      <c r="H21">
        <v>253</v>
      </c>
      <c r="I21">
        <v>106</v>
      </c>
      <c r="J21" s="8">
        <v>0.84799999999999998</v>
      </c>
      <c r="K21">
        <v>53</v>
      </c>
      <c r="L21">
        <v>51</v>
      </c>
      <c r="M21">
        <v>227</v>
      </c>
      <c r="N21" s="10">
        <v>751.97</v>
      </c>
      <c r="O21" s="7">
        <v>0</v>
      </c>
      <c r="P21" s="7">
        <v>28.6</v>
      </c>
      <c r="Q21">
        <v>5</v>
      </c>
      <c r="R21" t="s">
        <v>67</v>
      </c>
      <c r="S21">
        <v>1</v>
      </c>
      <c r="T21">
        <v>7</v>
      </c>
      <c r="U21" s="11">
        <v>-0.97492791218182362</v>
      </c>
      <c r="V21" s="11">
        <v>-0.22252093395631459</v>
      </c>
      <c r="W21" s="11">
        <v>0.10303137904317879</v>
      </c>
      <c r="X21" s="11">
        <v>0.99467810618936459</v>
      </c>
      <c r="Y21">
        <v>1</v>
      </c>
      <c r="Z21">
        <v>0</v>
      </c>
      <c r="AB21">
        <v>1</v>
      </c>
      <c r="AC21">
        <v>0</v>
      </c>
      <c r="AD21">
        <v>0</v>
      </c>
      <c r="AE21">
        <v>0</v>
      </c>
    </row>
    <row r="22" spans="1:31">
      <c r="A22" s="6">
        <v>44933</v>
      </c>
      <c r="B22" t="s">
        <v>41</v>
      </c>
      <c r="C22" t="s">
        <v>42</v>
      </c>
      <c r="D22" t="s">
        <v>43</v>
      </c>
      <c r="E22" t="s">
        <v>44</v>
      </c>
      <c r="F22">
        <v>85</v>
      </c>
      <c r="G22">
        <v>210</v>
      </c>
      <c r="H22">
        <v>182</v>
      </c>
      <c r="I22">
        <v>81</v>
      </c>
      <c r="J22" s="8">
        <v>0.95294117647058818</v>
      </c>
      <c r="K22">
        <v>22</v>
      </c>
      <c r="L22">
        <v>37</v>
      </c>
      <c r="M22">
        <v>155</v>
      </c>
      <c r="N22" s="10">
        <v>683.25</v>
      </c>
      <c r="O22" s="7">
        <v>0</v>
      </c>
      <c r="P22" s="7">
        <v>28.6</v>
      </c>
      <c r="Q22">
        <v>5</v>
      </c>
      <c r="R22" t="s">
        <v>67</v>
      </c>
      <c r="S22">
        <v>1</v>
      </c>
      <c r="T22">
        <v>7</v>
      </c>
      <c r="U22" s="11">
        <v>-0.97492791218182362</v>
      </c>
      <c r="V22" s="11">
        <v>-0.22252093395631459</v>
      </c>
      <c r="W22" s="11">
        <v>0.10303137904317879</v>
      </c>
      <c r="X22" s="11">
        <v>0.99467810618936459</v>
      </c>
      <c r="Y22">
        <v>1</v>
      </c>
      <c r="Z22">
        <v>0</v>
      </c>
      <c r="AB22">
        <v>1</v>
      </c>
      <c r="AC22">
        <v>0</v>
      </c>
      <c r="AD22">
        <v>0</v>
      </c>
      <c r="AE22">
        <v>0</v>
      </c>
    </row>
    <row r="23" spans="1:31">
      <c r="A23" s="6">
        <v>44934</v>
      </c>
      <c r="B23" t="s">
        <v>31</v>
      </c>
      <c r="C23" t="s">
        <v>32</v>
      </c>
      <c r="D23" t="s">
        <v>33</v>
      </c>
      <c r="E23" t="s">
        <v>34</v>
      </c>
      <c r="F23">
        <v>140</v>
      </c>
      <c r="G23">
        <v>360</v>
      </c>
      <c r="H23">
        <v>246</v>
      </c>
      <c r="I23">
        <v>104</v>
      </c>
      <c r="J23" s="8">
        <v>0.74285714285714288</v>
      </c>
      <c r="K23">
        <v>58</v>
      </c>
      <c r="L23">
        <v>25</v>
      </c>
      <c r="M23">
        <v>220</v>
      </c>
      <c r="N23" s="10">
        <v>550.80999999999995</v>
      </c>
      <c r="O23" s="7">
        <v>18.7</v>
      </c>
      <c r="P23" s="7">
        <v>27.4</v>
      </c>
      <c r="Q23">
        <v>6</v>
      </c>
      <c r="R23" t="s">
        <v>60</v>
      </c>
      <c r="S23">
        <v>1</v>
      </c>
      <c r="T23">
        <v>8</v>
      </c>
      <c r="U23" s="11">
        <v>-0.78183148246802991</v>
      </c>
      <c r="V23" s="11">
        <v>0.62348980185873337</v>
      </c>
      <c r="W23" s="11">
        <v>0.1201261651823505</v>
      </c>
      <c r="X23" s="11">
        <v>0.99275863352507931</v>
      </c>
      <c r="Y23">
        <v>1</v>
      </c>
      <c r="Z23">
        <v>0</v>
      </c>
      <c r="AB23">
        <v>1</v>
      </c>
      <c r="AC23">
        <v>0</v>
      </c>
      <c r="AD23">
        <v>0</v>
      </c>
      <c r="AE23">
        <v>0</v>
      </c>
    </row>
    <row r="24" spans="1:31">
      <c r="A24" s="6">
        <v>44934</v>
      </c>
      <c r="B24" t="s">
        <v>36</v>
      </c>
      <c r="C24" t="s">
        <v>37</v>
      </c>
      <c r="D24" t="s">
        <v>38</v>
      </c>
      <c r="E24" t="s">
        <v>39</v>
      </c>
      <c r="F24">
        <v>125</v>
      </c>
      <c r="G24">
        <v>320</v>
      </c>
      <c r="H24">
        <v>259</v>
      </c>
      <c r="I24">
        <v>109</v>
      </c>
      <c r="J24" s="8">
        <v>0.872</v>
      </c>
      <c r="K24">
        <v>34</v>
      </c>
      <c r="L24">
        <v>60</v>
      </c>
      <c r="M24">
        <v>239</v>
      </c>
      <c r="N24" s="10">
        <v>747.49</v>
      </c>
      <c r="O24" s="7">
        <v>18.7</v>
      </c>
      <c r="P24" s="7">
        <v>27.4</v>
      </c>
      <c r="Q24">
        <v>6</v>
      </c>
      <c r="R24" t="s">
        <v>60</v>
      </c>
      <c r="S24">
        <v>1</v>
      </c>
      <c r="T24">
        <v>8</v>
      </c>
      <c r="U24" s="11">
        <v>-0.78183148246802991</v>
      </c>
      <c r="V24" s="11">
        <v>0.62348980185873337</v>
      </c>
      <c r="W24" s="11">
        <v>0.1201261651823505</v>
      </c>
      <c r="X24" s="11">
        <v>0.99275863352507931</v>
      </c>
      <c r="Y24">
        <v>1</v>
      </c>
      <c r="Z24">
        <v>0</v>
      </c>
      <c r="AB24">
        <v>1</v>
      </c>
      <c r="AC24">
        <v>0</v>
      </c>
      <c r="AD24">
        <v>0</v>
      </c>
      <c r="AE24">
        <v>0</v>
      </c>
    </row>
    <row r="25" spans="1:31">
      <c r="A25" s="6">
        <v>44934</v>
      </c>
      <c r="B25" t="s">
        <v>41</v>
      </c>
      <c r="C25" t="s">
        <v>42</v>
      </c>
      <c r="D25" t="s">
        <v>43</v>
      </c>
      <c r="E25" t="s">
        <v>44</v>
      </c>
      <c r="F25">
        <v>85</v>
      </c>
      <c r="G25">
        <v>210</v>
      </c>
      <c r="H25">
        <v>181</v>
      </c>
      <c r="I25">
        <v>79</v>
      </c>
      <c r="J25" s="8">
        <v>0.92941176470588238</v>
      </c>
      <c r="K25">
        <v>39</v>
      </c>
      <c r="L25">
        <v>35</v>
      </c>
      <c r="M25">
        <v>165</v>
      </c>
      <c r="N25" s="10">
        <v>616.47</v>
      </c>
      <c r="O25" s="7">
        <v>18.7</v>
      </c>
      <c r="P25" s="7">
        <v>27.4</v>
      </c>
      <c r="Q25">
        <v>6</v>
      </c>
      <c r="R25" t="s">
        <v>60</v>
      </c>
      <c r="S25">
        <v>1</v>
      </c>
      <c r="T25">
        <v>8</v>
      </c>
      <c r="U25" s="11">
        <v>-0.78183148246802991</v>
      </c>
      <c r="V25" s="11">
        <v>0.62348980185873337</v>
      </c>
      <c r="W25" s="11">
        <v>0.1201261651823505</v>
      </c>
      <c r="X25" s="11">
        <v>0.99275863352507931</v>
      </c>
      <c r="Y25">
        <v>1</v>
      </c>
      <c r="Z25">
        <v>0</v>
      </c>
      <c r="AB25">
        <v>1</v>
      </c>
      <c r="AC25">
        <v>0</v>
      </c>
      <c r="AD25">
        <v>0</v>
      </c>
      <c r="AE25">
        <v>0</v>
      </c>
    </row>
    <row r="26" spans="1:31">
      <c r="A26" s="6">
        <v>44935</v>
      </c>
      <c r="B26" t="s">
        <v>31</v>
      </c>
      <c r="C26" t="s">
        <v>32</v>
      </c>
      <c r="D26" t="s">
        <v>33</v>
      </c>
      <c r="E26" t="s">
        <v>34</v>
      </c>
      <c r="F26">
        <v>140</v>
      </c>
      <c r="G26">
        <v>360</v>
      </c>
      <c r="H26">
        <v>211</v>
      </c>
      <c r="I26">
        <v>88</v>
      </c>
      <c r="J26" s="8">
        <v>0.62857142857142856</v>
      </c>
      <c r="K26">
        <v>48</v>
      </c>
      <c r="L26">
        <v>50</v>
      </c>
      <c r="M26">
        <v>178</v>
      </c>
      <c r="N26" s="10">
        <v>421.23</v>
      </c>
      <c r="O26" s="7">
        <v>3.8</v>
      </c>
      <c r="P26" s="7">
        <v>28.4</v>
      </c>
      <c r="Q26">
        <v>0</v>
      </c>
      <c r="R26" t="s">
        <v>62</v>
      </c>
      <c r="S26">
        <v>1</v>
      </c>
      <c r="T26">
        <v>9</v>
      </c>
      <c r="U26" s="11">
        <v>0</v>
      </c>
      <c r="V26" s="11">
        <v>1</v>
      </c>
      <c r="W26" s="11">
        <v>0.13718540405660057</v>
      </c>
      <c r="X26" s="11">
        <v>0.99054538760918331</v>
      </c>
      <c r="Y26">
        <v>0</v>
      </c>
      <c r="Z26">
        <v>0</v>
      </c>
      <c r="AB26">
        <v>1</v>
      </c>
      <c r="AC26">
        <v>0</v>
      </c>
      <c r="AD26">
        <v>0</v>
      </c>
      <c r="AE26">
        <v>0</v>
      </c>
    </row>
    <row r="27" spans="1:31">
      <c r="A27" s="6">
        <v>44935</v>
      </c>
      <c r="B27" t="s">
        <v>36</v>
      </c>
      <c r="C27" t="s">
        <v>37</v>
      </c>
      <c r="D27" t="s">
        <v>38</v>
      </c>
      <c r="E27" t="s">
        <v>39</v>
      </c>
      <c r="F27">
        <v>125</v>
      </c>
      <c r="G27">
        <v>320</v>
      </c>
      <c r="H27">
        <v>217</v>
      </c>
      <c r="I27">
        <v>93</v>
      </c>
      <c r="J27" s="8">
        <v>0.74399999999999999</v>
      </c>
      <c r="K27">
        <v>46</v>
      </c>
      <c r="L27">
        <v>29</v>
      </c>
      <c r="M27">
        <v>192</v>
      </c>
      <c r="N27" s="10">
        <v>647.76</v>
      </c>
      <c r="O27" s="7">
        <v>3.8</v>
      </c>
      <c r="P27" s="7">
        <v>28.4</v>
      </c>
      <c r="Q27">
        <v>0</v>
      </c>
      <c r="R27" t="s">
        <v>62</v>
      </c>
      <c r="S27">
        <v>1</v>
      </c>
      <c r="T27">
        <v>9</v>
      </c>
      <c r="U27" s="11">
        <v>0</v>
      </c>
      <c r="V27" s="11">
        <v>1</v>
      </c>
      <c r="W27" s="11">
        <v>0.13718540405660057</v>
      </c>
      <c r="X27" s="11">
        <v>0.99054538760918331</v>
      </c>
      <c r="Y27">
        <v>0</v>
      </c>
      <c r="Z27">
        <v>0</v>
      </c>
      <c r="AB27">
        <v>1</v>
      </c>
      <c r="AC27">
        <v>0</v>
      </c>
      <c r="AD27">
        <v>0</v>
      </c>
      <c r="AE27">
        <v>0</v>
      </c>
    </row>
    <row r="28" spans="1:31">
      <c r="A28" s="6">
        <v>44935</v>
      </c>
      <c r="B28" t="s">
        <v>41</v>
      </c>
      <c r="C28" t="s">
        <v>42</v>
      </c>
      <c r="D28" t="s">
        <v>43</v>
      </c>
      <c r="E28" t="s">
        <v>44</v>
      </c>
      <c r="F28">
        <v>85</v>
      </c>
      <c r="G28">
        <v>210</v>
      </c>
      <c r="H28">
        <v>155</v>
      </c>
      <c r="I28">
        <v>70</v>
      </c>
      <c r="J28" s="8">
        <v>0.82352941176470584</v>
      </c>
      <c r="K28">
        <v>32</v>
      </c>
      <c r="L28">
        <v>32</v>
      </c>
      <c r="M28">
        <v>130</v>
      </c>
      <c r="N28" s="10">
        <v>531.98</v>
      </c>
      <c r="O28" s="7">
        <v>3.8</v>
      </c>
      <c r="P28" s="7">
        <v>28.4</v>
      </c>
      <c r="Q28">
        <v>0</v>
      </c>
      <c r="R28" t="s">
        <v>62</v>
      </c>
      <c r="S28">
        <v>1</v>
      </c>
      <c r="T28">
        <v>9</v>
      </c>
      <c r="U28" s="11">
        <v>0</v>
      </c>
      <c r="V28" s="11">
        <v>1</v>
      </c>
      <c r="W28" s="11">
        <v>0.13718540405660057</v>
      </c>
      <c r="X28" s="11">
        <v>0.99054538760918331</v>
      </c>
      <c r="Y28">
        <v>0</v>
      </c>
      <c r="Z28">
        <v>0</v>
      </c>
      <c r="AB28">
        <v>1</v>
      </c>
      <c r="AC28">
        <v>0</v>
      </c>
      <c r="AD28">
        <v>0</v>
      </c>
      <c r="AE28">
        <v>0</v>
      </c>
    </row>
    <row r="29" spans="1:31">
      <c r="A29" s="6">
        <v>44936</v>
      </c>
      <c r="B29" t="s">
        <v>31</v>
      </c>
      <c r="C29" t="s">
        <v>32</v>
      </c>
      <c r="D29" t="s">
        <v>33</v>
      </c>
      <c r="E29" t="s">
        <v>34</v>
      </c>
      <c r="F29">
        <v>140</v>
      </c>
      <c r="G29">
        <v>360</v>
      </c>
      <c r="H29">
        <v>213</v>
      </c>
      <c r="I29">
        <v>92</v>
      </c>
      <c r="J29" s="8">
        <v>0.65714285714285714</v>
      </c>
      <c r="K29">
        <v>31</v>
      </c>
      <c r="L29">
        <v>26</v>
      </c>
      <c r="M29">
        <v>174</v>
      </c>
      <c r="N29" s="10">
        <v>453.61</v>
      </c>
      <c r="O29" s="7">
        <v>1</v>
      </c>
      <c r="P29" s="7">
        <v>28.5</v>
      </c>
      <c r="Q29">
        <v>1</v>
      </c>
      <c r="R29" t="s">
        <v>63</v>
      </c>
      <c r="S29">
        <v>1</v>
      </c>
      <c r="T29">
        <v>10</v>
      </c>
      <c r="U29" s="11">
        <v>0.7818314824680298</v>
      </c>
      <c r="V29" s="11">
        <v>0.62348980185873359</v>
      </c>
      <c r="W29" s="11">
        <v>0.15420404756268941</v>
      </c>
      <c r="X29" s="11">
        <v>0.98803902337675098</v>
      </c>
      <c r="Y29">
        <v>0</v>
      </c>
      <c r="Z29">
        <v>0</v>
      </c>
      <c r="AB29">
        <v>1</v>
      </c>
      <c r="AC29">
        <v>0</v>
      </c>
      <c r="AD29">
        <v>0</v>
      </c>
      <c r="AE29">
        <v>0</v>
      </c>
    </row>
    <row r="30" spans="1:31">
      <c r="A30" s="6">
        <v>44936</v>
      </c>
      <c r="B30" t="s">
        <v>36</v>
      </c>
      <c r="C30" t="s">
        <v>37</v>
      </c>
      <c r="D30" t="s">
        <v>38</v>
      </c>
      <c r="E30" t="s">
        <v>39</v>
      </c>
      <c r="F30">
        <v>125</v>
      </c>
      <c r="G30">
        <v>320</v>
      </c>
      <c r="H30">
        <v>228</v>
      </c>
      <c r="I30">
        <v>96</v>
      </c>
      <c r="J30" s="8">
        <v>0.76800000000000002</v>
      </c>
      <c r="K30">
        <v>59</v>
      </c>
      <c r="L30">
        <v>53</v>
      </c>
      <c r="M30">
        <v>204</v>
      </c>
      <c r="N30" s="10">
        <v>617.54</v>
      </c>
      <c r="O30" s="7">
        <v>1</v>
      </c>
      <c r="P30" s="7">
        <v>28.5</v>
      </c>
      <c r="Q30">
        <v>1</v>
      </c>
      <c r="R30" t="s">
        <v>63</v>
      </c>
      <c r="S30">
        <v>1</v>
      </c>
      <c r="T30">
        <v>10</v>
      </c>
      <c r="U30" s="11">
        <v>0.7818314824680298</v>
      </c>
      <c r="V30" s="11">
        <v>0.62348980185873359</v>
      </c>
      <c r="W30" s="11">
        <v>0.15420404756268941</v>
      </c>
      <c r="X30" s="11">
        <v>0.98803902337675098</v>
      </c>
      <c r="Y30">
        <v>0</v>
      </c>
      <c r="Z30">
        <v>0</v>
      </c>
      <c r="AB30">
        <v>1</v>
      </c>
      <c r="AC30">
        <v>0</v>
      </c>
      <c r="AD30">
        <v>0</v>
      </c>
      <c r="AE30">
        <v>0</v>
      </c>
    </row>
    <row r="31" spans="1:31">
      <c r="A31" s="6">
        <v>44936</v>
      </c>
      <c r="B31" t="s">
        <v>41</v>
      </c>
      <c r="C31" t="s">
        <v>42</v>
      </c>
      <c r="D31" t="s">
        <v>43</v>
      </c>
      <c r="E31" t="s">
        <v>44</v>
      </c>
      <c r="F31">
        <v>85</v>
      </c>
      <c r="G31">
        <v>210</v>
      </c>
      <c r="H31">
        <v>169</v>
      </c>
      <c r="I31">
        <v>74</v>
      </c>
      <c r="J31" s="8">
        <v>0.87058823529411766</v>
      </c>
      <c r="K31">
        <v>42</v>
      </c>
      <c r="L31">
        <v>45</v>
      </c>
      <c r="M31">
        <v>152</v>
      </c>
      <c r="N31" s="10">
        <v>579.36</v>
      </c>
      <c r="O31" s="7">
        <v>1</v>
      </c>
      <c r="P31" s="7">
        <v>28.5</v>
      </c>
      <c r="Q31">
        <v>1</v>
      </c>
      <c r="R31" t="s">
        <v>63</v>
      </c>
      <c r="S31">
        <v>1</v>
      </c>
      <c r="T31">
        <v>10</v>
      </c>
      <c r="U31" s="11">
        <v>0.7818314824680298</v>
      </c>
      <c r="V31" s="11">
        <v>0.62348980185873359</v>
      </c>
      <c r="W31" s="11">
        <v>0.15420404756268941</v>
      </c>
      <c r="X31" s="11">
        <v>0.98803902337675098</v>
      </c>
      <c r="Y31">
        <v>0</v>
      </c>
      <c r="Z31">
        <v>0</v>
      </c>
      <c r="AB31">
        <v>1</v>
      </c>
      <c r="AC31">
        <v>0</v>
      </c>
      <c r="AD31">
        <v>0</v>
      </c>
      <c r="AE31">
        <v>0</v>
      </c>
    </row>
    <row r="32" spans="1:31">
      <c r="A32" s="6">
        <v>44937</v>
      </c>
      <c r="B32" t="s">
        <v>31</v>
      </c>
      <c r="C32" t="s">
        <v>32</v>
      </c>
      <c r="D32" t="s">
        <v>33</v>
      </c>
      <c r="E32" t="s">
        <v>34</v>
      </c>
      <c r="F32">
        <v>140</v>
      </c>
      <c r="G32">
        <v>360</v>
      </c>
      <c r="H32">
        <v>201</v>
      </c>
      <c r="I32">
        <v>85</v>
      </c>
      <c r="J32" s="8">
        <v>0.6071428571428571</v>
      </c>
      <c r="K32">
        <v>35</v>
      </c>
      <c r="L32">
        <v>27</v>
      </c>
      <c r="M32">
        <v>176</v>
      </c>
      <c r="N32" s="10">
        <v>438.97</v>
      </c>
      <c r="O32" s="7">
        <v>0</v>
      </c>
      <c r="P32" s="7">
        <v>28.8</v>
      </c>
      <c r="Q32">
        <v>2</v>
      </c>
      <c r="R32" t="s">
        <v>64</v>
      </c>
      <c r="S32">
        <v>1</v>
      </c>
      <c r="T32">
        <v>11</v>
      </c>
      <c r="U32" s="11">
        <v>0.97492791218182362</v>
      </c>
      <c r="V32" s="11">
        <v>-0.22252093395631434</v>
      </c>
      <c r="W32" s="11">
        <v>0.17117705961019986</v>
      </c>
      <c r="X32" s="11">
        <v>0.98524028250128204</v>
      </c>
      <c r="Y32">
        <v>0</v>
      </c>
      <c r="Z32">
        <v>0</v>
      </c>
      <c r="AB32">
        <v>1</v>
      </c>
      <c r="AC32">
        <v>0</v>
      </c>
      <c r="AD32">
        <v>0</v>
      </c>
      <c r="AE32">
        <v>0</v>
      </c>
    </row>
    <row r="33" spans="1:31">
      <c r="A33" s="6">
        <v>44937</v>
      </c>
      <c r="B33" t="s">
        <v>36</v>
      </c>
      <c r="C33" t="s">
        <v>37</v>
      </c>
      <c r="D33" t="s">
        <v>38</v>
      </c>
      <c r="E33" t="s">
        <v>39</v>
      </c>
      <c r="F33">
        <v>125</v>
      </c>
      <c r="G33">
        <v>320</v>
      </c>
      <c r="H33">
        <v>221</v>
      </c>
      <c r="I33">
        <v>90</v>
      </c>
      <c r="J33" s="8">
        <v>0.72</v>
      </c>
      <c r="K33">
        <v>46</v>
      </c>
      <c r="L33">
        <v>28</v>
      </c>
      <c r="M33">
        <v>206</v>
      </c>
      <c r="N33" s="10">
        <v>612.25</v>
      </c>
      <c r="O33" s="7">
        <v>0</v>
      </c>
      <c r="P33" s="7">
        <v>28.8</v>
      </c>
      <c r="Q33">
        <v>2</v>
      </c>
      <c r="R33" t="s">
        <v>64</v>
      </c>
      <c r="S33">
        <v>1</v>
      </c>
      <c r="T33">
        <v>11</v>
      </c>
      <c r="U33" s="11">
        <v>0.97492791218182362</v>
      </c>
      <c r="V33" s="11">
        <v>-0.22252093395631434</v>
      </c>
      <c r="W33" s="11">
        <v>0.17117705961019986</v>
      </c>
      <c r="X33" s="11">
        <v>0.98524028250128204</v>
      </c>
      <c r="Y33">
        <v>0</v>
      </c>
      <c r="Z33">
        <v>0</v>
      </c>
      <c r="AB33">
        <v>1</v>
      </c>
      <c r="AC33">
        <v>0</v>
      </c>
      <c r="AD33">
        <v>0</v>
      </c>
      <c r="AE33">
        <v>0</v>
      </c>
    </row>
    <row r="34" spans="1:31">
      <c r="A34" s="6">
        <v>44937</v>
      </c>
      <c r="B34" t="s">
        <v>41</v>
      </c>
      <c r="C34" t="s">
        <v>42</v>
      </c>
      <c r="D34" t="s">
        <v>43</v>
      </c>
      <c r="E34" t="s">
        <v>44</v>
      </c>
      <c r="F34">
        <v>85</v>
      </c>
      <c r="G34">
        <v>210</v>
      </c>
      <c r="H34">
        <v>156</v>
      </c>
      <c r="I34">
        <v>71</v>
      </c>
      <c r="J34" s="8">
        <v>0.83529411764705885</v>
      </c>
      <c r="K34">
        <v>45</v>
      </c>
      <c r="L34">
        <v>37</v>
      </c>
      <c r="M34">
        <v>143</v>
      </c>
      <c r="N34" s="10">
        <v>528.37</v>
      </c>
      <c r="O34" s="7">
        <v>0</v>
      </c>
      <c r="P34" s="7">
        <v>28.8</v>
      </c>
      <c r="Q34">
        <v>2</v>
      </c>
      <c r="R34" t="s">
        <v>64</v>
      </c>
      <c r="S34">
        <v>1</v>
      </c>
      <c r="T34">
        <v>11</v>
      </c>
      <c r="U34" s="11">
        <v>0.97492791218182362</v>
      </c>
      <c r="V34" s="11">
        <v>-0.22252093395631434</v>
      </c>
      <c r="W34" s="11">
        <v>0.17117705961019986</v>
      </c>
      <c r="X34" s="11">
        <v>0.98524028250128204</v>
      </c>
      <c r="Y34">
        <v>0</v>
      </c>
      <c r="Z34">
        <v>0</v>
      </c>
      <c r="AB34">
        <v>1</v>
      </c>
      <c r="AC34">
        <v>0</v>
      </c>
      <c r="AD34">
        <v>0</v>
      </c>
      <c r="AE34">
        <v>0</v>
      </c>
    </row>
    <row r="35" spans="1:31">
      <c r="A35" s="6">
        <v>44938</v>
      </c>
      <c r="B35" t="s">
        <v>31</v>
      </c>
      <c r="C35" t="s">
        <v>32</v>
      </c>
      <c r="D35" t="s">
        <v>33</v>
      </c>
      <c r="E35" t="s">
        <v>34</v>
      </c>
      <c r="F35">
        <v>140</v>
      </c>
      <c r="G35">
        <v>360</v>
      </c>
      <c r="H35">
        <v>244</v>
      </c>
      <c r="I35">
        <v>104</v>
      </c>
      <c r="J35" s="8">
        <v>0.74285714285714288</v>
      </c>
      <c r="K35">
        <v>34</v>
      </c>
      <c r="L35">
        <v>55</v>
      </c>
      <c r="M35">
        <v>207</v>
      </c>
      <c r="N35" s="10">
        <v>459.57</v>
      </c>
      <c r="O35" s="7">
        <v>0</v>
      </c>
      <c r="P35" s="7">
        <v>28.1</v>
      </c>
      <c r="Q35">
        <v>3</v>
      </c>
      <c r="R35" t="s">
        <v>65</v>
      </c>
      <c r="S35">
        <v>1</v>
      </c>
      <c r="T35">
        <v>12</v>
      </c>
      <c r="U35" s="11">
        <v>0.43388373911755823</v>
      </c>
      <c r="V35" s="11">
        <v>-0.90096886790241903</v>
      </c>
      <c r="W35" s="11">
        <v>0.18809941761179758</v>
      </c>
      <c r="X35" s="11">
        <v>0.98214999317522911</v>
      </c>
      <c r="Y35">
        <v>0</v>
      </c>
      <c r="Z35">
        <v>0</v>
      </c>
      <c r="AB35">
        <v>1</v>
      </c>
      <c r="AC35">
        <v>0</v>
      </c>
      <c r="AD35">
        <v>0</v>
      </c>
      <c r="AE35">
        <v>0</v>
      </c>
    </row>
    <row r="36" spans="1:31">
      <c r="A36" s="6">
        <v>44938</v>
      </c>
      <c r="B36" t="s">
        <v>36</v>
      </c>
      <c r="C36" t="s">
        <v>37</v>
      </c>
      <c r="D36" t="s">
        <v>38</v>
      </c>
      <c r="E36" t="s">
        <v>39</v>
      </c>
      <c r="F36">
        <v>125</v>
      </c>
      <c r="G36">
        <v>320</v>
      </c>
      <c r="H36">
        <v>233</v>
      </c>
      <c r="I36">
        <v>98</v>
      </c>
      <c r="J36" s="8">
        <v>0.78400000000000003</v>
      </c>
      <c r="K36">
        <v>43</v>
      </c>
      <c r="L36">
        <v>50</v>
      </c>
      <c r="M36">
        <v>216</v>
      </c>
      <c r="N36" s="10">
        <v>729.08</v>
      </c>
      <c r="O36" s="7">
        <v>0</v>
      </c>
      <c r="P36" s="7">
        <v>28.1</v>
      </c>
      <c r="Q36">
        <v>3</v>
      </c>
      <c r="R36" t="s">
        <v>65</v>
      </c>
      <c r="S36">
        <v>1</v>
      </c>
      <c r="T36">
        <v>12</v>
      </c>
      <c r="U36" s="11">
        <v>0.43388373911755823</v>
      </c>
      <c r="V36" s="11">
        <v>-0.90096886790241903</v>
      </c>
      <c r="W36" s="11">
        <v>0.18809941761179758</v>
      </c>
      <c r="X36" s="11">
        <v>0.98214999317522911</v>
      </c>
      <c r="Y36">
        <v>0</v>
      </c>
      <c r="Z36">
        <v>0</v>
      </c>
      <c r="AB36">
        <v>1</v>
      </c>
      <c r="AC36">
        <v>0</v>
      </c>
      <c r="AD36">
        <v>0</v>
      </c>
      <c r="AE36">
        <v>0</v>
      </c>
    </row>
    <row r="37" spans="1:31">
      <c r="A37" s="6">
        <v>44938</v>
      </c>
      <c r="B37" t="s">
        <v>41</v>
      </c>
      <c r="C37" t="s">
        <v>42</v>
      </c>
      <c r="D37" t="s">
        <v>43</v>
      </c>
      <c r="E37" t="s">
        <v>44</v>
      </c>
      <c r="F37">
        <v>85</v>
      </c>
      <c r="G37">
        <v>210</v>
      </c>
      <c r="H37">
        <v>157</v>
      </c>
      <c r="I37">
        <v>70</v>
      </c>
      <c r="J37" s="8">
        <v>0.82352941176470584</v>
      </c>
      <c r="K37">
        <v>25</v>
      </c>
      <c r="L37">
        <v>31</v>
      </c>
      <c r="M37">
        <v>131</v>
      </c>
      <c r="N37" s="10">
        <v>588.79</v>
      </c>
      <c r="O37" s="7">
        <v>0</v>
      </c>
      <c r="P37" s="7">
        <v>28.1</v>
      </c>
      <c r="Q37">
        <v>3</v>
      </c>
      <c r="R37" t="s">
        <v>65</v>
      </c>
      <c r="S37">
        <v>1</v>
      </c>
      <c r="T37">
        <v>12</v>
      </c>
      <c r="U37" s="11">
        <v>0.43388373911755823</v>
      </c>
      <c r="V37" s="11">
        <v>-0.90096886790241903</v>
      </c>
      <c r="W37" s="11">
        <v>0.18809941761179758</v>
      </c>
      <c r="X37" s="11">
        <v>0.98214999317522911</v>
      </c>
      <c r="Y37">
        <v>0</v>
      </c>
      <c r="Z37">
        <v>0</v>
      </c>
      <c r="AB37">
        <v>1</v>
      </c>
      <c r="AC37">
        <v>0</v>
      </c>
      <c r="AD37">
        <v>0</v>
      </c>
      <c r="AE37">
        <v>0</v>
      </c>
    </row>
    <row r="38" spans="1:31">
      <c r="A38" s="6">
        <v>44939</v>
      </c>
      <c r="B38" t="s">
        <v>31</v>
      </c>
      <c r="C38" t="s">
        <v>32</v>
      </c>
      <c r="D38" t="s">
        <v>33</v>
      </c>
      <c r="E38" t="s">
        <v>34</v>
      </c>
      <c r="F38">
        <v>140</v>
      </c>
      <c r="G38">
        <v>360</v>
      </c>
      <c r="H38">
        <v>242</v>
      </c>
      <c r="I38">
        <v>103</v>
      </c>
      <c r="J38" s="8">
        <v>0.73571428571428577</v>
      </c>
      <c r="K38">
        <v>67</v>
      </c>
      <c r="L38">
        <v>24</v>
      </c>
      <c r="M38">
        <v>198</v>
      </c>
      <c r="N38" s="10">
        <v>448.51</v>
      </c>
      <c r="O38" s="7">
        <v>0</v>
      </c>
      <c r="P38" s="7">
        <v>29.8</v>
      </c>
      <c r="Q38">
        <v>4</v>
      </c>
      <c r="R38" t="s">
        <v>66</v>
      </c>
      <c r="S38">
        <v>1</v>
      </c>
      <c r="T38">
        <v>13</v>
      </c>
      <c r="U38" s="11">
        <v>-0.43388373911755801</v>
      </c>
      <c r="V38" s="11">
        <v>-0.90096886790241915</v>
      </c>
      <c r="W38" s="11">
        <v>0.20496611396949532</v>
      </c>
      <c r="X38" s="11">
        <v>0.97876906986492163</v>
      </c>
      <c r="Y38">
        <v>0</v>
      </c>
      <c r="Z38">
        <v>0</v>
      </c>
      <c r="AB38">
        <v>1</v>
      </c>
      <c r="AC38">
        <v>0</v>
      </c>
      <c r="AD38">
        <v>0</v>
      </c>
      <c r="AE38">
        <v>0</v>
      </c>
    </row>
    <row r="39" spans="1:31">
      <c r="A39" s="6">
        <v>44939</v>
      </c>
      <c r="B39" t="s">
        <v>36</v>
      </c>
      <c r="C39" t="s">
        <v>37</v>
      </c>
      <c r="D39" t="s">
        <v>38</v>
      </c>
      <c r="E39" t="s">
        <v>39</v>
      </c>
      <c r="F39">
        <v>125</v>
      </c>
      <c r="G39">
        <v>320</v>
      </c>
      <c r="H39">
        <v>218</v>
      </c>
      <c r="I39">
        <v>92</v>
      </c>
      <c r="J39" s="8">
        <v>0.73599999999999999</v>
      </c>
      <c r="K39">
        <v>25</v>
      </c>
      <c r="L39">
        <v>31</v>
      </c>
      <c r="M39">
        <v>196</v>
      </c>
      <c r="N39" s="10">
        <v>634.9</v>
      </c>
      <c r="O39" s="7">
        <v>0</v>
      </c>
      <c r="P39" s="7">
        <v>29.8</v>
      </c>
      <c r="Q39">
        <v>4</v>
      </c>
      <c r="R39" t="s">
        <v>66</v>
      </c>
      <c r="S39">
        <v>1</v>
      </c>
      <c r="T39">
        <v>13</v>
      </c>
      <c r="U39" s="11">
        <v>-0.43388373911755801</v>
      </c>
      <c r="V39" s="11">
        <v>-0.90096886790241915</v>
      </c>
      <c r="W39" s="11">
        <v>0.20496611396949532</v>
      </c>
      <c r="X39" s="11">
        <v>0.97876906986492163</v>
      </c>
      <c r="Y39">
        <v>0</v>
      </c>
      <c r="Z39">
        <v>0</v>
      </c>
      <c r="AB39">
        <v>1</v>
      </c>
      <c r="AC39">
        <v>0</v>
      </c>
      <c r="AD39">
        <v>0</v>
      </c>
      <c r="AE39">
        <v>0</v>
      </c>
    </row>
    <row r="40" spans="1:31">
      <c r="A40" s="6">
        <v>44939</v>
      </c>
      <c r="B40" t="s">
        <v>41</v>
      </c>
      <c r="C40" t="s">
        <v>42</v>
      </c>
      <c r="D40" t="s">
        <v>43</v>
      </c>
      <c r="E40" t="s">
        <v>44</v>
      </c>
      <c r="F40">
        <v>85</v>
      </c>
      <c r="G40">
        <v>210</v>
      </c>
      <c r="H40">
        <v>160</v>
      </c>
      <c r="I40">
        <v>71</v>
      </c>
      <c r="J40" s="8">
        <v>0.83529411764705885</v>
      </c>
      <c r="K40">
        <v>48</v>
      </c>
      <c r="L40">
        <v>20</v>
      </c>
      <c r="M40">
        <v>147</v>
      </c>
      <c r="N40" s="10">
        <v>539.57000000000005</v>
      </c>
      <c r="O40" s="7">
        <v>0</v>
      </c>
      <c r="P40" s="7">
        <v>29.8</v>
      </c>
      <c r="Q40">
        <v>4</v>
      </c>
      <c r="R40" t="s">
        <v>66</v>
      </c>
      <c r="S40">
        <v>1</v>
      </c>
      <c r="T40">
        <v>13</v>
      </c>
      <c r="U40" s="11">
        <v>-0.43388373911755801</v>
      </c>
      <c r="V40" s="11">
        <v>-0.90096886790241915</v>
      </c>
      <c r="W40" s="11">
        <v>0.20496611396949532</v>
      </c>
      <c r="X40" s="11">
        <v>0.97876906986492163</v>
      </c>
      <c r="Y40">
        <v>0</v>
      </c>
      <c r="Z40">
        <v>0</v>
      </c>
      <c r="AB40">
        <v>1</v>
      </c>
      <c r="AC40">
        <v>0</v>
      </c>
      <c r="AD40">
        <v>0</v>
      </c>
      <c r="AE40">
        <v>0</v>
      </c>
    </row>
    <row r="41" spans="1:31">
      <c r="A41" s="6">
        <v>44940</v>
      </c>
      <c r="B41" t="s">
        <v>31</v>
      </c>
      <c r="C41" t="s">
        <v>32</v>
      </c>
      <c r="D41" t="s">
        <v>33</v>
      </c>
      <c r="E41" t="s">
        <v>34</v>
      </c>
      <c r="F41">
        <v>140</v>
      </c>
      <c r="G41">
        <v>360</v>
      </c>
      <c r="H41">
        <v>259</v>
      </c>
      <c r="I41">
        <v>108</v>
      </c>
      <c r="J41" s="8">
        <v>0.77142857142857146</v>
      </c>
      <c r="K41">
        <v>40</v>
      </c>
      <c r="L41">
        <v>68</v>
      </c>
      <c r="M41">
        <v>239</v>
      </c>
      <c r="N41" s="10">
        <v>486.99</v>
      </c>
      <c r="O41" s="7">
        <v>2.5</v>
      </c>
      <c r="P41" s="7">
        <v>27.5</v>
      </c>
      <c r="Q41">
        <v>5</v>
      </c>
      <c r="R41" t="s">
        <v>67</v>
      </c>
      <c r="S41">
        <v>1</v>
      </c>
      <c r="T41">
        <v>14</v>
      </c>
      <c r="U41" s="11">
        <v>-0.97492791218182362</v>
      </c>
      <c r="V41" s="11">
        <v>-0.22252093395631459</v>
      </c>
      <c r="W41" s="11">
        <v>0.22177215755648186</v>
      </c>
      <c r="X41" s="11">
        <v>0.97509851303996098</v>
      </c>
      <c r="Y41">
        <v>1</v>
      </c>
      <c r="Z41">
        <v>0</v>
      </c>
      <c r="AB41">
        <v>1</v>
      </c>
      <c r="AC41">
        <v>0</v>
      </c>
      <c r="AD41">
        <v>0</v>
      </c>
      <c r="AE41">
        <v>0</v>
      </c>
    </row>
    <row r="42" spans="1:31">
      <c r="A42" s="6">
        <v>44940</v>
      </c>
      <c r="B42" t="s">
        <v>36</v>
      </c>
      <c r="C42" t="s">
        <v>37</v>
      </c>
      <c r="D42" t="s">
        <v>38</v>
      </c>
      <c r="E42" t="s">
        <v>39</v>
      </c>
      <c r="F42">
        <v>125</v>
      </c>
      <c r="G42">
        <v>320</v>
      </c>
      <c r="H42">
        <v>260</v>
      </c>
      <c r="I42">
        <v>108</v>
      </c>
      <c r="J42" s="8">
        <v>0.86399999999999999</v>
      </c>
      <c r="K42">
        <v>29</v>
      </c>
      <c r="L42">
        <v>50</v>
      </c>
      <c r="M42">
        <v>242</v>
      </c>
      <c r="N42" s="10">
        <v>800.11</v>
      </c>
      <c r="O42" s="7">
        <v>2.5</v>
      </c>
      <c r="P42" s="7">
        <v>27.5</v>
      </c>
      <c r="Q42">
        <v>5</v>
      </c>
      <c r="R42" t="s">
        <v>67</v>
      </c>
      <c r="S42">
        <v>1</v>
      </c>
      <c r="T42">
        <v>14</v>
      </c>
      <c r="U42" s="11">
        <v>-0.97492791218182362</v>
      </c>
      <c r="V42" s="11">
        <v>-0.22252093395631459</v>
      </c>
      <c r="W42" s="11">
        <v>0.22177215755648186</v>
      </c>
      <c r="X42" s="11">
        <v>0.97509851303996098</v>
      </c>
      <c r="Y42">
        <v>1</v>
      </c>
      <c r="Z42">
        <v>0</v>
      </c>
      <c r="AB42">
        <v>1</v>
      </c>
      <c r="AC42">
        <v>0</v>
      </c>
      <c r="AD42">
        <v>0</v>
      </c>
      <c r="AE42">
        <v>0</v>
      </c>
    </row>
    <row r="43" spans="1:31">
      <c r="A43" s="6">
        <v>44940</v>
      </c>
      <c r="B43" t="s">
        <v>41</v>
      </c>
      <c r="C43" t="s">
        <v>42</v>
      </c>
      <c r="D43" t="s">
        <v>43</v>
      </c>
      <c r="E43" t="s">
        <v>44</v>
      </c>
      <c r="F43">
        <v>85</v>
      </c>
      <c r="G43">
        <v>210</v>
      </c>
      <c r="H43">
        <v>184</v>
      </c>
      <c r="I43">
        <v>80</v>
      </c>
      <c r="J43" s="8">
        <v>0.94117647058823528</v>
      </c>
      <c r="K43">
        <v>34</v>
      </c>
      <c r="L43">
        <v>34</v>
      </c>
      <c r="M43">
        <v>153</v>
      </c>
      <c r="N43" s="10">
        <v>686.74</v>
      </c>
      <c r="O43" s="7">
        <v>2.5</v>
      </c>
      <c r="P43" s="7">
        <v>27.5</v>
      </c>
      <c r="Q43">
        <v>5</v>
      </c>
      <c r="R43" t="s">
        <v>67</v>
      </c>
      <c r="S43">
        <v>1</v>
      </c>
      <c r="T43">
        <v>14</v>
      </c>
      <c r="U43" s="11">
        <v>-0.97492791218182362</v>
      </c>
      <c r="V43" s="11">
        <v>-0.22252093395631459</v>
      </c>
      <c r="W43" s="11">
        <v>0.22177215755648186</v>
      </c>
      <c r="X43" s="11">
        <v>0.97509851303996098</v>
      </c>
      <c r="Y43">
        <v>1</v>
      </c>
      <c r="Z43">
        <v>0</v>
      </c>
      <c r="AB43">
        <v>1</v>
      </c>
      <c r="AC43">
        <v>0</v>
      </c>
      <c r="AD43">
        <v>0</v>
      </c>
      <c r="AE43">
        <v>0</v>
      </c>
    </row>
    <row r="44" spans="1:31">
      <c r="A44" s="6">
        <v>44941</v>
      </c>
      <c r="B44" t="s">
        <v>31</v>
      </c>
      <c r="C44" t="s">
        <v>32</v>
      </c>
      <c r="D44" t="s">
        <v>33</v>
      </c>
      <c r="E44" t="s">
        <v>34</v>
      </c>
      <c r="F44">
        <v>140</v>
      </c>
      <c r="G44">
        <v>360</v>
      </c>
      <c r="H44">
        <v>267</v>
      </c>
      <c r="I44">
        <v>113</v>
      </c>
      <c r="J44" s="8">
        <v>0.80714285714285716</v>
      </c>
      <c r="K44">
        <v>46</v>
      </c>
      <c r="L44">
        <v>35</v>
      </c>
      <c r="M44">
        <v>220</v>
      </c>
      <c r="N44" s="10">
        <v>494.64</v>
      </c>
      <c r="O44" s="7">
        <v>1.9</v>
      </c>
      <c r="P44" s="7">
        <v>29.5</v>
      </c>
      <c r="Q44">
        <v>6</v>
      </c>
      <c r="R44" t="s">
        <v>60</v>
      </c>
      <c r="S44">
        <v>1</v>
      </c>
      <c r="T44">
        <v>15</v>
      </c>
      <c r="U44" s="11">
        <v>-0.78183148246802991</v>
      </c>
      <c r="V44" s="11">
        <v>0.62348980185873337</v>
      </c>
      <c r="W44" s="11">
        <v>0.23851257519407648</v>
      </c>
      <c r="X44" s="11">
        <v>0.97113940887716532</v>
      </c>
      <c r="Y44">
        <v>1</v>
      </c>
      <c r="Z44">
        <v>0</v>
      </c>
      <c r="AB44">
        <v>1</v>
      </c>
      <c r="AC44">
        <v>0</v>
      </c>
      <c r="AD44">
        <v>0</v>
      </c>
      <c r="AE44">
        <v>0</v>
      </c>
    </row>
    <row r="45" spans="1:31">
      <c r="A45" s="6">
        <v>44941</v>
      </c>
      <c r="B45" t="s">
        <v>36</v>
      </c>
      <c r="C45" t="s">
        <v>37</v>
      </c>
      <c r="D45" t="s">
        <v>38</v>
      </c>
      <c r="E45" t="s">
        <v>39</v>
      </c>
      <c r="F45">
        <v>125</v>
      </c>
      <c r="G45">
        <v>320</v>
      </c>
      <c r="H45">
        <v>246</v>
      </c>
      <c r="I45">
        <v>103</v>
      </c>
      <c r="J45" s="8">
        <v>0.82399999999999995</v>
      </c>
      <c r="K45">
        <v>31</v>
      </c>
      <c r="L45">
        <v>58</v>
      </c>
      <c r="M45">
        <v>212</v>
      </c>
      <c r="N45" s="10">
        <v>776.64</v>
      </c>
      <c r="O45" s="7">
        <v>1.9</v>
      </c>
      <c r="P45" s="7">
        <v>29.5</v>
      </c>
      <c r="Q45">
        <v>6</v>
      </c>
      <c r="R45" t="s">
        <v>60</v>
      </c>
      <c r="S45">
        <v>1</v>
      </c>
      <c r="T45">
        <v>15</v>
      </c>
      <c r="U45" s="11">
        <v>-0.78183148246802991</v>
      </c>
      <c r="V45" s="11">
        <v>0.62348980185873337</v>
      </c>
      <c r="W45" s="11">
        <v>0.23851257519407648</v>
      </c>
      <c r="X45" s="11">
        <v>0.97113940887716532</v>
      </c>
      <c r="Y45">
        <v>1</v>
      </c>
      <c r="Z45">
        <v>0</v>
      </c>
      <c r="AB45">
        <v>1</v>
      </c>
      <c r="AC45">
        <v>0</v>
      </c>
      <c r="AD45">
        <v>0</v>
      </c>
      <c r="AE45">
        <v>0</v>
      </c>
    </row>
    <row r="46" spans="1:31">
      <c r="A46" s="6">
        <v>44941</v>
      </c>
      <c r="B46" t="s">
        <v>41</v>
      </c>
      <c r="C46" t="s">
        <v>42</v>
      </c>
      <c r="D46" t="s">
        <v>43</v>
      </c>
      <c r="E46" t="s">
        <v>44</v>
      </c>
      <c r="F46">
        <v>85</v>
      </c>
      <c r="G46">
        <v>210</v>
      </c>
      <c r="H46">
        <v>163</v>
      </c>
      <c r="I46">
        <v>76</v>
      </c>
      <c r="J46" s="8">
        <v>0.89411764705882357</v>
      </c>
      <c r="K46">
        <v>32</v>
      </c>
      <c r="L46">
        <v>41</v>
      </c>
      <c r="M46">
        <v>133</v>
      </c>
      <c r="N46" s="10">
        <v>593.12</v>
      </c>
      <c r="O46" s="7">
        <v>1.9</v>
      </c>
      <c r="P46" s="7">
        <v>29.5</v>
      </c>
      <c r="Q46">
        <v>6</v>
      </c>
      <c r="R46" t="s">
        <v>60</v>
      </c>
      <c r="S46">
        <v>1</v>
      </c>
      <c r="T46">
        <v>15</v>
      </c>
      <c r="U46" s="11">
        <v>-0.78183148246802991</v>
      </c>
      <c r="V46" s="11">
        <v>0.62348980185873337</v>
      </c>
      <c r="W46" s="11">
        <v>0.23851257519407648</v>
      </c>
      <c r="X46" s="11">
        <v>0.97113940887716532</v>
      </c>
      <c r="Y46">
        <v>1</v>
      </c>
      <c r="Z46">
        <v>0</v>
      </c>
      <c r="AB46">
        <v>1</v>
      </c>
      <c r="AC46">
        <v>0</v>
      </c>
      <c r="AD46">
        <v>0</v>
      </c>
      <c r="AE46">
        <v>0</v>
      </c>
    </row>
    <row r="47" spans="1:31">
      <c r="A47" s="6">
        <v>44942</v>
      </c>
      <c r="B47" t="s">
        <v>31</v>
      </c>
      <c r="C47" t="s">
        <v>32</v>
      </c>
      <c r="D47" t="s">
        <v>33</v>
      </c>
      <c r="E47" t="s">
        <v>34</v>
      </c>
      <c r="F47">
        <v>140</v>
      </c>
      <c r="G47">
        <v>360</v>
      </c>
      <c r="H47">
        <v>225</v>
      </c>
      <c r="I47">
        <v>97</v>
      </c>
      <c r="J47" s="8">
        <v>0.69285714285714284</v>
      </c>
      <c r="K47">
        <v>54</v>
      </c>
      <c r="L47">
        <v>43</v>
      </c>
      <c r="M47">
        <v>199</v>
      </c>
      <c r="N47" s="10">
        <v>421.25</v>
      </c>
      <c r="O47" s="7">
        <v>0</v>
      </c>
      <c r="P47" s="7">
        <v>28.4</v>
      </c>
      <c r="Q47">
        <v>0</v>
      </c>
      <c r="R47" t="s">
        <v>62</v>
      </c>
      <c r="S47">
        <v>1</v>
      </c>
      <c r="T47">
        <v>16</v>
      </c>
      <c r="U47" s="11">
        <v>0</v>
      </c>
      <c r="V47" s="11">
        <v>1</v>
      </c>
      <c r="W47" s="11">
        <v>0.25518241312337281</v>
      </c>
      <c r="X47" s="11">
        <v>0.96689292893915213</v>
      </c>
      <c r="Y47">
        <v>0</v>
      </c>
      <c r="Z47">
        <v>0</v>
      </c>
      <c r="AB47">
        <v>1</v>
      </c>
      <c r="AC47">
        <v>0</v>
      </c>
      <c r="AD47">
        <v>0</v>
      </c>
      <c r="AE47">
        <v>0</v>
      </c>
    </row>
    <row r="48" spans="1:31">
      <c r="A48" s="6">
        <v>44942</v>
      </c>
      <c r="B48" t="s">
        <v>36</v>
      </c>
      <c r="C48" t="s">
        <v>37</v>
      </c>
      <c r="D48" t="s">
        <v>38</v>
      </c>
      <c r="E48" t="s">
        <v>39</v>
      </c>
      <c r="F48">
        <v>125</v>
      </c>
      <c r="G48">
        <v>320</v>
      </c>
      <c r="H48">
        <v>219</v>
      </c>
      <c r="I48">
        <v>93</v>
      </c>
      <c r="J48" s="8">
        <v>0.74399999999999999</v>
      </c>
      <c r="K48">
        <v>50</v>
      </c>
      <c r="L48">
        <v>51</v>
      </c>
      <c r="M48">
        <v>187</v>
      </c>
      <c r="N48" s="10">
        <v>671.01</v>
      </c>
      <c r="O48" s="7">
        <v>0</v>
      </c>
      <c r="P48" s="7">
        <v>28.4</v>
      </c>
      <c r="Q48">
        <v>0</v>
      </c>
      <c r="R48" t="s">
        <v>62</v>
      </c>
      <c r="S48">
        <v>1</v>
      </c>
      <c r="T48">
        <v>16</v>
      </c>
      <c r="U48" s="11">
        <v>0</v>
      </c>
      <c r="V48" s="11">
        <v>1</v>
      </c>
      <c r="W48" s="11">
        <v>0.25518241312337281</v>
      </c>
      <c r="X48" s="11">
        <v>0.96689292893915213</v>
      </c>
      <c r="Y48">
        <v>0</v>
      </c>
      <c r="Z48">
        <v>0</v>
      </c>
      <c r="AB48">
        <v>1</v>
      </c>
      <c r="AC48">
        <v>0</v>
      </c>
      <c r="AD48">
        <v>0</v>
      </c>
      <c r="AE48">
        <v>0</v>
      </c>
    </row>
    <row r="49" spans="1:31">
      <c r="A49" s="6">
        <v>44942</v>
      </c>
      <c r="B49" t="s">
        <v>41</v>
      </c>
      <c r="C49" t="s">
        <v>42</v>
      </c>
      <c r="D49" t="s">
        <v>43</v>
      </c>
      <c r="E49" t="s">
        <v>44</v>
      </c>
      <c r="F49">
        <v>85</v>
      </c>
      <c r="G49">
        <v>210</v>
      </c>
      <c r="H49">
        <v>175</v>
      </c>
      <c r="I49">
        <v>74</v>
      </c>
      <c r="J49" s="8">
        <v>0.87058823529411766</v>
      </c>
      <c r="K49">
        <v>27</v>
      </c>
      <c r="L49">
        <v>41</v>
      </c>
      <c r="M49">
        <v>164</v>
      </c>
      <c r="N49" s="10">
        <v>540.41999999999996</v>
      </c>
      <c r="O49" s="7">
        <v>0</v>
      </c>
      <c r="P49" s="7">
        <v>28.4</v>
      </c>
      <c r="Q49">
        <v>0</v>
      </c>
      <c r="R49" t="s">
        <v>62</v>
      </c>
      <c r="S49">
        <v>1</v>
      </c>
      <c r="T49">
        <v>16</v>
      </c>
      <c r="U49" s="11">
        <v>0</v>
      </c>
      <c r="V49" s="11">
        <v>1</v>
      </c>
      <c r="W49" s="11">
        <v>0.25518241312337281</v>
      </c>
      <c r="X49" s="11">
        <v>0.96689292893915213</v>
      </c>
      <c r="Y49">
        <v>0</v>
      </c>
      <c r="Z49">
        <v>0</v>
      </c>
      <c r="AB49">
        <v>1</v>
      </c>
      <c r="AC49">
        <v>0</v>
      </c>
      <c r="AD49">
        <v>0</v>
      </c>
      <c r="AE49">
        <v>0</v>
      </c>
    </row>
    <row r="50" spans="1:31">
      <c r="A50" s="6">
        <v>44943</v>
      </c>
      <c r="B50" t="s">
        <v>31</v>
      </c>
      <c r="C50" t="s">
        <v>32</v>
      </c>
      <c r="D50" t="s">
        <v>33</v>
      </c>
      <c r="E50" t="s">
        <v>34</v>
      </c>
      <c r="F50">
        <v>140</v>
      </c>
      <c r="G50">
        <v>360</v>
      </c>
      <c r="H50">
        <v>232</v>
      </c>
      <c r="I50">
        <v>99</v>
      </c>
      <c r="J50" s="8">
        <v>0.70714285714285718</v>
      </c>
      <c r="K50">
        <v>55</v>
      </c>
      <c r="L50">
        <v>61</v>
      </c>
      <c r="M50">
        <v>186</v>
      </c>
      <c r="N50" s="10">
        <v>432.03</v>
      </c>
      <c r="O50" s="7">
        <v>3.3</v>
      </c>
      <c r="P50" s="7">
        <v>27.8</v>
      </c>
      <c r="Q50">
        <v>1</v>
      </c>
      <c r="R50" t="s">
        <v>63</v>
      </c>
      <c r="S50">
        <v>1</v>
      </c>
      <c r="T50">
        <v>17</v>
      </c>
      <c r="U50" s="11">
        <v>0.7818314824680298</v>
      </c>
      <c r="V50" s="11">
        <v>0.62348980185873359</v>
      </c>
      <c r="W50" s="11">
        <v>0.2717767384711357</v>
      </c>
      <c r="X50" s="11">
        <v>0.96236032982765451</v>
      </c>
      <c r="Y50">
        <v>0</v>
      </c>
      <c r="Z50">
        <v>0</v>
      </c>
      <c r="AB50">
        <v>1</v>
      </c>
      <c r="AC50">
        <v>0</v>
      </c>
      <c r="AD50">
        <v>0</v>
      </c>
      <c r="AE50">
        <v>0</v>
      </c>
    </row>
    <row r="51" spans="1:31">
      <c r="A51" s="6">
        <v>44943</v>
      </c>
      <c r="B51" t="s">
        <v>36</v>
      </c>
      <c r="C51" t="s">
        <v>37</v>
      </c>
      <c r="D51" t="s">
        <v>38</v>
      </c>
      <c r="E51" t="s">
        <v>39</v>
      </c>
      <c r="F51">
        <v>125</v>
      </c>
      <c r="G51">
        <v>320</v>
      </c>
      <c r="H51">
        <v>215</v>
      </c>
      <c r="I51">
        <v>94</v>
      </c>
      <c r="J51" s="8">
        <v>0.752</v>
      </c>
      <c r="K51">
        <v>37</v>
      </c>
      <c r="L51">
        <v>40</v>
      </c>
      <c r="M51">
        <v>197</v>
      </c>
      <c r="N51" s="10">
        <v>663.3</v>
      </c>
      <c r="O51" s="7">
        <v>3.3</v>
      </c>
      <c r="P51" s="7">
        <v>27.8</v>
      </c>
      <c r="Q51">
        <v>1</v>
      </c>
      <c r="R51" t="s">
        <v>63</v>
      </c>
      <c r="S51">
        <v>1</v>
      </c>
      <c r="T51">
        <v>17</v>
      </c>
      <c r="U51" s="11">
        <v>0.7818314824680298</v>
      </c>
      <c r="V51" s="11">
        <v>0.62348980185873359</v>
      </c>
      <c r="W51" s="11">
        <v>0.2717767384711357</v>
      </c>
      <c r="X51" s="11">
        <v>0.96236032982765451</v>
      </c>
      <c r="Y51">
        <v>0</v>
      </c>
      <c r="Z51">
        <v>0</v>
      </c>
      <c r="AB51">
        <v>1</v>
      </c>
      <c r="AC51">
        <v>0</v>
      </c>
      <c r="AD51">
        <v>0</v>
      </c>
      <c r="AE51">
        <v>0</v>
      </c>
    </row>
    <row r="52" spans="1:31">
      <c r="A52" s="6">
        <v>44943</v>
      </c>
      <c r="B52" t="s">
        <v>41</v>
      </c>
      <c r="C52" t="s">
        <v>42</v>
      </c>
      <c r="D52" t="s">
        <v>43</v>
      </c>
      <c r="E52" t="s">
        <v>44</v>
      </c>
      <c r="F52">
        <v>85</v>
      </c>
      <c r="G52">
        <v>210</v>
      </c>
      <c r="H52">
        <v>163</v>
      </c>
      <c r="I52">
        <v>71</v>
      </c>
      <c r="J52" s="8">
        <v>0.83529411764705885</v>
      </c>
      <c r="K52">
        <v>22</v>
      </c>
      <c r="L52">
        <v>42</v>
      </c>
      <c r="M52">
        <v>139</v>
      </c>
      <c r="N52" s="10">
        <v>589.94000000000005</v>
      </c>
      <c r="O52" s="7">
        <v>3.3</v>
      </c>
      <c r="P52" s="7">
        <v>27.8</v>
      </c>
      <c r="Q52">
        <v>1</v>
      </c>
      <c r="R52" t="s">
        <v>63</v>
      </c>
      <c r="S52">
        <v>1</v>
      </c>
      <c r="T52">
        <v>17</v>
      </c>
      <c r="U52" s="11">
        <v>0.7818314824680298</v>
      </c>
      <c r="V52" s="11">
        <v>0.62348980185873359</v>
      </c>
      <c r="W52" s="11">
        <v>0.2717767384711357</v>
      </c>
      <c r="X52" s="11">
        <v>0.96236032982765451</v>
      </c>
      <c r="Y52">
        <v>0</v>
      </c>
      <c r="Z52">
        <v>0</v>
      </c>
      <c r="AB52">
        <v>1</v>
      </c>
      <c r="AC52">
        <v>0</v>
      </c>
      <c r="AD52">
        <v>0</v>
      </c>
      <c r="AE52">
        <v>0</v>
      </c>
    </row>
    <row r="53" spans="1:31">
      <c r="A53" s="6">
        <v>44944</v>
      </c>
      <c r="B53" t="s">
        <v>31</v>
      </c>
      <c r="C53" t="s">
        <v>32</v>
      </c>
      <c r="D53" t="s">
        <v>33</v>
      </c>
      <c r="E53" t="s">
        <v>34</v>
      </c>
      <c r="F53">
        <v>140</v>
      </c>
      <c r="G53">
        <v>360</v>
      </c>
      <c r="H53">
        <v>222</v>
      </c>
      <c r="I53">
        <v>94</v>
      </c>
      <c r="J53" s="8">
        <v>0.67142857142857137</v>
      </c>
      <c r="K53">
        <v>38</v>
      </c>
      <c r="L53">
        <v>30</v>
      </c>
      <c r="M53">
        <v>193</v>
      </c>
      <c r="N53" s="10">
        <v>482.6</v>
      </c>
      <c r="O53" s="7">
        <v>15.8</v>
      </c>
      <c r="P53" s="7">
        <v>29.4</v>
      </c>
      <c r="Q53">
        <v>2</v>
      </c>
      <c r="R53" t="s">
        <v>64</v>
      </c>
      <c r="S53">
        <v>1</v>
      </c>
      <c r="T53">
        <v>18</v>
      </c>
      <c r="U53" s="11">
        <v>0.97492791218182362</v>
      </c>
      <c r="V53" s="11">
        <v>-0.22252093395631434</v>
      </c>
      <c r="W53" s="11">
        <v>0.28829064070951771</v>
      </c>
      <c r="X53" s="11">
        <v>0.9575429528116719</v>
      </c>
      <c r="Y53">
        <v>0</v>
      </c>
      <c r="Z53">
        <v>0</v>
      </c>
      <c r="AB53">
        <v>1</v>
      </c>
      <c r="AC53">
        <v>0</v>
      </c>
      <c r="AD53">
        <v>0</v>
      </c>
      <c r="AE53">
        <v>0</v>
      </c>
    </row>
    <row r="54" spans="1:31">
      <c r="A54" s="6">
        <v>44944</v>
      </c>
      <c r="B54" t="s">
        <v>36</v>
      </c>
      <c r="C54" t="s">
        <v>37</v>
      </c>
      <c r="D54" t="s">
        <v>38</v>
      </c>
      <c r="E54" t="s">
        <v>39</v>
      </c>
      <c r="F54">
        <v>125</v>
      </c>
      <c r="G54">
        <v>320</v>
      </c>
      <c r="H54">
        <v>224</v>
      </c>
      <c r="I54">
        <v>93</v>
      </c>
      <c r="J54" s="8">
        <v>0.74399999999999999</v>
      </c>
      <c r="K54">
        <v>46</v>
      </c>
      <c r="L54">
        <v>38</v>
      </c>
      <c r="M54">
        <v>180</v>
      </c>
      <c r="N54" s="10">
        <v>674.94</v>
      </c>
      <c r="O54" s="7">
        <v>15.8</v>
      </c>
      <c r="P54" s="7">
        <v>29.4</v>
      </c>
      <c r="Q54">
        <v>2</v>
      </c>
      <c r="R54" t="s">
        <v>64</v>
      </c>
      <c r="S54">
        <v>1</v>
      </c>
      <c r="T54">
        <v>18</v>
      </c>
      <c r="U54" s="11">
        <v>0.97492791218182362</v>
      </c>
      <c r="V54" s="11">
        <v>-0.22252093395631434</v>
      </c>
      <c r="W54" s="11">
        <v>0.28829064070951771</v>
      </c>
      <c r="X54" s="11">
        <v>0.9575429528116719</v>
      </c>
      <c r="Y54">
        <v>0</v>
      </c>
      <c r="Z54">
        <v>0</v>
      </c>
      <c r="AB54">
        <v>1</v>
      </c>
      <c r="AC54">
        <v>0</v>
      </c>
      <c r="AD54">
        <v>0</v>
      </c>
      <c r="AE54">
        <v>0</v>
      </c>
    </row>
    <row r="55" spans="1:31">
      <c r="A55" s="6">
        <v>44944</v>
      </c>
      <c r="B55" t="s">
        <v>41</v>
      </c>
      <c r="C55" t="s">
        <v>42</v>
      </c>
      <c r="D55" t="s">
        <v>43</v>
      </c>
      <c r="E55" t="s">
        <v>44</v>
      </c>
      <c r="F55">
        <v>85</v>
      </c>
      <c r="G55">
        <v>210</v>
      </c>
      <c r="H55">
        <v>159</v>
      </c>
      <c r="I55">
        <v>68</v>
      </c>
      <c r="J55" s="8">
        <v>0.8</v>
      </c>
      <c r="K55">
        <v>42</v>
      </c>
      <c r="L55">
        <v>42</v>
      </c>
      <c r="M55">
        <v>134</v>
      </c>
      <c r="N55" s="10">
        <v>532.63</v>
      </c>
      <c r="O55" s="7">
        <v>15.8</v>
      </c>
      <c r="P55" s="7">
        <v>29.4</v>
      </c>
      <c r="Q55">
        <v>2</v>
      </c>
      <c r="R55" t="s">
        <v>64</v>
      </c>
      <c r="S55">
        <v>1</v>
      </c>
      <c r="T55">
        <v>18</v>
      </c>
      <c r="U55" s="11">
        <v>0.97492791218182362</v>
      </c>
      <c r="V55" s="11">
        <v>-0.22252093395631434</v>
      </c>
      <c r="W55" s="11">
        <v>0.28829064070951771</v>
      </c>
      <c r="X55" s="11">
        <v>0.9575429528116719</v>
      </c>
      <c r="Y55">
        <v>0</v>
      </c>
      <c r="Z55">
        <v>0</v>
      </c>
      <c r="AB55">
        <v>1</v>
      </c>
      <c r="AC55">
        <v>0</v>
      </c>
      <c r="AD55">
        <v>0</v>
      </c>
      <c r="AE55">
        <v>0</v>
      </c>
    </row>
    <row r="56" spans="1:31">
      <c r="A56" s="6">
        <v>44945</v>
      </c>
      <c r="B56" t="s">
        <v>31</v>
      </c>
      <c r="C56" t="s">
        <v>32</v>
      </c>
      <c r="D56" t="s">
        <v>33</v>
      </c>
      <c r="E56" t="s">
        <v>34</v>
      </c>
      <c r="F56">
        <v>140</v>
      </c>
      <c r="G56">
        <v>360</v>
      </c>
      <c r="H56">
        <v>245</v>
      </c>
      <c r="I56">
        <v>103</v>
      </c>
      <c r="J56" s="8">
        <v>0.73571428571428577</v>
      </c>
      <c r="K56">
        <v>29</v>
      </c>
      <c r="L56">
        <v>32</v>
      </c>
      <c r="M56">
        <v>227</v>
      </c>
      <c r="N56" s="10">
        <v>429.26</v>
      </c>
      <c r="O56" s="7">
        <v>0.8</v>
      </c>
      <c r="P56" s="7">
        <v>27.4</v>
      </c>
      <c r="Q56">
        <v>3</v>
      </c>
      <c r="R56" t="s">
        <v>65</v>
      </c>
      <c r="S56">
        <v>1</v>
      </c>
      <c r="T56">
        <v>19</v>
      </c>
      <c r="U56" s="11">
        <v>0.43388373911755823</v>
      </c>
      <c r="V56" s="11">
        <v>-0.90096886790241903</v>
      </c>
      <c r="W56" s="11">
        <v>0.30471923310916338</v>
      </c>
      <c r="X56" s="11">
        <v>0.95244222343056761</v>
      </c>
      <c r="Y56">
        <v>0</v>
      </c>
      <c r="Z56">
        <v>0</v>
      </c>
      <c r="AB56">
        <v>1</v>
      </c>
      <c r="AC56">
        <v>0</v>
      </c>
      <c r="AD56">
        <v>0</v>
      </c>
      <c r="AE56">
        <v>0</v>
      </c>
    </row>
    <row r="57" spans="1:31">
      <c r="A57" s="6">
        <v>44945</v>
      </c>
      <c r="B57" t="s">
        <v>36</v>
      </c>
      <c r="C57" t="s">
        <v>37</v>
      </c>
      <c r="D57" t="s">
        <v>38</v>
      </c>
      <c r="E57" t="s">
        <v>39</v>
      </c>
      <c r="F57">
        <v>125</v>
      </c>
      <c r="G57">
        <v>320</v>
      </c>
      <c r="H57">
        <v>198</v>
      </c>
      <c r="I57">
        <v>85</v>
      </c>
      <c r="J57" s="8">
        <v>0.68</v>
      </c>
      <c r="K57">
        <v>36</v>
      </c>
      <c r="L57">
        <v>52</v>
      </c>
      <c r="M57">
        <v>160</v>
      </c>
      <c r="N57" s="10">
        <v>694.16</v>
      </c>
      <c r="O57" s="7">
        <v>0.8</v>
      </c>
      <c r="P57" s="7">
        <v>27.4</v>
      </c>
      <c r="Q57">
        <v>3</v>
      </c>
      <c r="R57" t="s">
        <v>65</v>
      </c>
      <c r="S57">
        <v>1</v>
      </c>
      <c r="T57">
        <v>19</v>
      </c>
      <c r="U57" s="11">
        <v>0.43388373911755823</v>
      </c>
      <c r="V57" s="11">
        <v>-0.90096886790241903</v>
      </c>
      <c r="W57" s="11">
        <v>0.30471923310916338</v>
      </c>
      <c r="X57" s="11">
        <v>0.95244222343056761</v>
      </c>
      <c r="Y57">
        <v>0</v>
      </c>
      <c r="Z57">
        <v>0</v>
      </c>
      <c r="AB57">
        <v>1</v>
      </c>
      <c r="AC57">
        <v>0</v>
      </c>
      <c r="AD57">
        <v>0</v>
      </c>
      <c r="AE57">
        <v>0</v>
      </c>
    </row>
    <row r="58" spans="1:31">
      <c r="A58" s="6">
        <v>44945</v>
      </c>
      <c r="B58" t="s">
        <v>41</v>
      </c>
      <c r="C58" t="s">
        <v>42</v>
      </c>
      <c r="D58" t="s">
        <v>43</v>
      </c>
      <c r="E58" t="s">
        <v>44</v>
      </c>
      <c r="F58">
        <v>85</v>
      </c>
      <c r="G58">
        <v>210</v>
      </c>
      <c r="H58">
        <v>157</v>
      </c>
      <c r="I58">
        <v>70</v>
      </c>
      <c r="J58" s="8">
        <v>0.82352941176470584</v>
      </c>
      <c r="K58">
        <v>32</v>
      </c>
      <c r="L58">
        <v>33</v>
      </c>
      <c r="M58">
        <v>143</v>
      </c>
      <c r="N58" s="10">
        <v>605.44000000000005</v>
      </c>
      <c r="O58" s="7">
        <v>0.8</v>
      </c>
      <c r="P58" s="7">
        <v>27.4</v>
      </c>
      <c r="Q58">
        <v>3</v>
      </c>
      <c r="R58" t="s">
        <v>65</v>
      </c>
      <c r="S58">
        <v>1</v>
      </c>
      <c r="T58">
        <v>19</v>
      </c>
      <c r="U58" s="11">
        <v>0.43388373911755823</v>
      </c>
      <c r="V58" s="11">
        <v>-0.90096886790241903</v>
      </c>
      <c r="W58" s="11">
        <v>0.30471923310916338</v>
      </c>
      <c r="X58" s="11">
        <v>0.95244222343056761</v>
      </c>
      <c r="Y58">
        <v>0</v>
      </c>
      <c r="Z58">
        <v>0</v>
      </c>
      <c r="AB58">
        <v>1</v>
      </c>
      <c r="AC58">
        <v>0</v>
      </c>
      <c r="AD58">
        <v>0</v>
      </c>
      <c r="AE58">
        <v>0</v>
      </c>
    </row>
    <row r="59" spans="1:31">
      <c r="A59" s="6">
        <v>44946</v>
      </c>
      <c r="B59" t="s">
        <v>31</v>
      </c>
      <c r="C59" t="s">
        <v>32</v>
      </c>
      <c r="D59" t="s">
        <v>33</v>
      </c>
      <c r="E59" t="s">
        <v>34</v>
      </c>
      <c r="F59">
        <v>140</v>
      </c>
      <c r="G59">
        <v>360</v>
      </c>
      <c r="H59">
        <v>221</v>
      </c>
      <c r="I59">
        <v>93</v>
      </c>
      <c r="J59" s="8">
        <v>0.66428571428571426</v>
      </c>
      <c r="K59">
        <v>44</v>
      </c>
      <c r="L59">
        <v>28</v>
      </c>
      <c r="M59">
        <v>189</v>
      </c>
      <c r="N59" s="10">
        <v>423.08</v>
      </c>
      <c r="O59" s="7">
        <v>2.8</v>
      </c>
      <c r="P59" s="7">
        <v>29</v>
      </c>
      <c r="Q59">
        <v>4</v>
      </c>
      <c r="R59" t="s">
        <v>66</v>
      </c>
      <c r="S59">
        <v>1</v>
      </c>
      <c r="T59">
        <v>20</v>
      </c>
      <c r="U59" s="11">
        <v>-0.43388373911755801</v>
      </c>
      <c r="V59" s="11">
        <v>-0.90096886790241915</v>
      </c>
      <c r="W59" s="11">
        <v>0.32105765418527099</v>
      </c>
      <c r="X59" s="11">
        <v>0.94705965107222834</v>
      </c>
      <c r="Y59">
        <v>0</v>
      </c>
      <c r="Z59">
        <v>0</v>
      </c>
      <c r="AB59">
        <v>1</v>
      </c>
      <c r="AC59">
        <v>0</v>
      </c>
      <c r="AD59">
        <v>0</v>
      </c>
      <c r="AE59">
        <v>0</v>
      </c>
    </row>
    <row r="60" spans="1:31">
      <c r="A60" s="6">
        <v>44946</v>
      </c>
      <c r="B60" t="s">
        <v>36</v>
      </c>
      <c r="C60" t="s">
        <v>37</v>
      </c>
      <c r="D60" t="s">
        <v>38</v>
      </c>
      <c r="E60" t="s">
        <v>39</v>
      </c>
      <c r="F60">
        <v>125</v>
      </c>
      <c r="G60">
        <v>320</v>
      </c>
      <c r="H60">
        <v>219</v>
      </c>
      <c r="I60">
        <v>93</v>
      </c>
      <c r="J60" s="8">
        <v>0.74399999999999999</v>
      </c>
      <c r="K60">
        <v>33</v>
      </c>
      <c r="L60">
        <v>52</v>
      </c>
      <c r="M60">
        <v>191</v>
      </c>
      <c r="N60" s="10">
        <v>651.95000000000005</v>
      </c>
      <c r="O60" s="7">
        <v>2.8</v>
      </c>
      <c r="P60" s="7">
        <v>29</v>
      </c>
      <c r="Q60">
        <v>4</v>
      </c>
      <c r="R60" t="s">
        <v>66</v>
      </c>
      <c r="S60">
        <v>1</v>
      </c>
      <c r="T60">
        <v>20</v>
      </c>
      <c r="U60" s="11">
        <v>-0.43388373911755801</v>
      </c>
      <c r="V60" s="11">
        <v>-0.90096886790241915</v>
      </c>
      <c r="W60" s="11">
        <v>0.32105765418527099</v>
      </c>
      <c r="X60" s="11">
        <v>0.94705965107222834</v>
      </c>
      <c r="Y60">
        <v>0</v>
      </c>
      <c r="Z60">
        <v>0</v>
      </c>
      <c r="AB60">
        <v>1</v>
      </c>
      <c r="AC60">
        <v>0</v>
      </c>
      <c r="AD60">
        <v>0</v>
      </c>
      <c r="AE60">
        <v>0</v>
      </c>
    </row>
    <row r="61" spans="1:31">
      <c r="A61" s="6">
        <v>44946</v>
      </c>
      <c r="B61" t="s">
        <v>41</v>
      </c>
      <c r="C61" t="s">
        <v>42</v>
      </c>
      <c r="D61" t="s">
        <v>43</v>
      </c>
      <c r="E61" t="s">
        <v>44</v>
      </c>
      <c r="F61">
        <v>85</v>
      </c>
      <c r="G61">
        <v>210</v>
      </c>
      <c r="H61">
        <v>158</v>
      </c>
      <c r="I61">
        <v>69</v>
      </c>
      <c r="J61" s="8">
        <v>0.81176470588235294</v>
      </c>
      <c r="K61">
        <v>40</v>
      </c>
      <c r="L61">
        <v>31</v>
      </c>
      <c r="M61">
        <v>133</v>
      </c>
      <c r="N61" s="10">
        <v>588.79999999999995</v>
      </c>
      <c r="O61" s="7">
        <v>2.8</v>
      </c>
      <c r="P61" s="7">
        <v>29</v>
      </c>
      <c r="Q61">
        <v>4</v>
      </c>
      <c r="R61" t="s">
        <v>66</v>
      </c>
      <c r="S61">
        <v>1</v>
      </c>
      <c r="T61">
        <v>20</v>
      </c>
      <c r="U61" s="11">
        <v>-0.43388373911755801</v>
      </c>
      <c r="V61" s="11">
        <v>-0.90096886790241915</v>
      </c>
      <c r="W61" s="11">
        <v>0.32105765418527099</v>
      </c>
      <c r="X61" s="11">
        <v>0.94705965107222834</v>
      </c>
      <c r="Y61">
        <v>0</v>
      </c>
      <c r="Z61">
        <v>0</v>
      </c>
      <c r="AB61">
        <v>1</v>
      </c>
      <c r="AC61">
        <v>0</v>
      </c>
      <c r="AD61">
        <v>0</v>
      </c>
      <c r="AE61">
        <v>0</v>
      </c>
    </row>
    <row r="62" spans="1:31">
      <c r="A62" s="6">
        <v>44947</v>
      </c>
      <c r="B62" t="s">
        <v>31</v>
      </c>
      <c r="C62" t="s">
        <v>32</v>
      </c>
      <c r="D62" t="s">
        <v>33</v>
      </c>
      <c r="E62" t="s">
        <v>34</v>
      </c>
      <c r="F62">
        <v>140</v>
      </c>
      <c r="G62">
        <v>360</v>
      </c>
      <c r="H62">
        <v>226</v>
      </c>
      <c r="I62">
        <v>97</v>
      </c>
      <c r="J62" s="8">
        <v>0.69285714285714284</v>
      </c>
      <c r="K62">
        <v>56</v>
      </c>
      <c r="L62">
        <v>31</v>
      </c>
      <c r="M62">
        <v>198</v>
      </c>
      <c r="N62" s="10">
        <v>517.82000000000005</v>
      </c>
      <c r="O62" s="7">
        <v>11.9</v>
      </c>
      <c r="P62" s="7">
        <v>27.7</v>
      </c>
      <c r="Q62">
        <v>5</v>
      </c>
      <c r="R62" t="s">
        <v>67</v>
      </c>
      <c r="S62">
        <v>1</v>
      </c>
      <c r="T62">
        <v>21</v>
      </c>
      <c r="U62" s="11">
        <v>-0.97492791218182362</v>
      </c>
      <c r="V62" s="11">
        <v>-0.22252093395631459</v>
      </c>
      <c r="W62" s="11">
        <v>0.33730106913618418</v>
      </c>
      <c r="X62" s="11">
        <v>0.94139682852641215</v>
      </c>
      <c r="Y62">
        <v>1</v>
      </c>
      <c r="Z62">
        <v>0</v>
      </c>
      <c r="AB62">
        <v>1</v>
      </c>
      <c r="AC62">
        <v>0</v>
      </c>
      <c r="AD62">
        <v>0</v>
      </c>
      <c r="AE62">
        <v>0</v>
      </c>
    </row>
    <row r="63" spans="1:31">
      <c r="A63" s="6">
        <v>44947</v>
      </c>
      <c r="B63" t="s">
        <v>36</v>
      </c>
      <c r="C63" t="s">
        <v>37</v>
      </c>
      <c r="D63" t="s">
        <v>38</v>
      </c>
      <c r="E63" t="s">
        <v>39</v>
      </c>
      <c r="F63">
        <v>125</v>
      </c>
      <c r="G63">
        <v>320</v>
      </c>
      <c r="H63">
        <v>255</v>
      </c>
      <c r="I63">
        <v>107</v>
      </c>
      <c r="J63" s="8">
        <v>0.85599999999999998</v>
      </c>
      <c r="K63">
        <v>43</v>
      </c>
      <c r="L63">
        <v>49</v>
      </c>
      <c r="M63">
        <v>221</v>
      </c>
      <c r="N63" s="10">
        <v>779.14</v>
      </c>
      <c r="O63" s="7">
        <v>11.9</v>
      </c>
      <c r="P63" s="7">
        <v>27.7</v>
      </c>
      <c r="Q63">
        <v>5</v>
      </c>
      <c r="R63" t="s">
        <v>67</v>
      </c>
      <c r="S63">
        <v>1</v>
      </c>
      <c r="T63">
        <v>21</v>
      </c>
      <c r="U63" s="11">
        <v>-0.97492791218182362</v>
      </c>
      <c r="V63" s="11">
        <v>-0.22252093395631459</v>
      </c>
      <c r="W63" s="11">
        <v>0.33730106913618418</v>
      </c>
      <c r="X63" s="11">
        <v>0.94139682852641215</v>
      </c>
      <c r="Y63">
        <v>1</v>
      </c>
      <c r="Z63">
        <v>0</v>
      </c>
      <c r="AB63">
        <v>1</v>
      </c>
      <c r="AC63">
        <v>0</v>
      </c>
      <c r="AD63">
        <v>0</v>
      </c>
      <c r="AE63">
        <v>0</v>
      </c>
    </row>
    <row r="64" spans="1:31">
      <c r="A64" s="6">
        <v>44947</v>
      </c>
      <c r="B64" t="s">
        <v>41</v>
      </c>
      <c r="C64" t="s">
        <v>42</v>
      </c>
      <c r="D64" t="s">
        <v>43</v>
      </c>
      <c r="E64" t="s">
        <v>44</v>
      </c>
      <c r="F64">
        <v>85</v>
      </c>
      <c r="G64">
        <v>210</v>
      </c>
      <c r="H64">
        <v>174</v>
      </c>
      <c r="I64">
        <v>77</v>
      </c>
      <c r="J64" s="8">
        <v>0.90588235294117647</v>
      </c>
      <c r="K64">
        <v>23</v>
      </c>
      <c r="L64">
        <v>31</v>
      </c>
      <c r="M64">
        <v>154</v>
      </c>
      <c r="N64" s="10">
        <v>671.1</v>
      </c>
      <c r="O64" s="7">
        <v>11.9</v>
      </c>
      <c r="P64" s="7">
        <v>27.7</v>
      </c>
      <c r="Q64">
        <v>5</v>
      </c>
      <c r="R64" t="s">
        <v>67</v>
      </c>
      <c r="S64">
        <v>1</v>
      </c>
      <c r="T64">
        <v>21</v>
      </c>
      <c r="U64" s="11">
        <v>-0.97492791218182362</v>
      </c>
      <c r="V64" s="11">
        <v>-0.22252093395631459</v>
      </c>
      <c r="W64" s="11">
        <v>0.33730106913618418</v>
      </c>
      <c r="X64" s="11">
        <v>0.94139682852641215</v>
      </c>
      <c r="Y64">
        <v>1</v>
      </c>
      <c r="Z64">
        <v>0</v>
      </c>
      <c r="AB64">
        <v>1</v>
      </c>
      <c r="AC64">
        <v>0</v>
      </c>
      <c r="AD64">
        <v>0</v>
      </c>
      <c r="AE64">
        <v>0</v>
      </c>
    </row>
    <row r="65" spans="1:31">
      <c r="A65" s="6">
        <v>44948</v>
      </c>
      <c r="B65" t="s">
        <v>31</v>
      </c>
      <c r="C65" t="s">
        <v>32</v>
      </c>
      <c r="D65" t="s">
        <v>33</v>
      </c>
      <c r="E65" t="s">
        <v>34</v>
      </c>
      <c r="F65">
        <v>140</v>
      </c>
      <c r="G65">
        <v>360</v>
      </c>
      <c r="H65">
        <v>228</v>
      </c>
      <c r="I65">
        <v>99</v>
      </c>
      <c r="J65" s="8">
        <v>0.70714285714285718</v>
      </c>
      <c r="K65">
        <v>49</v>
      </c>
      <c r="L65">
        <v>61</v>
      </c>
      <c r="M65">
        <v>185</v>
      </c>
      <c r="N65" s="10">
        <v>500.51</v>
      </c>
      <c r="O65" s="7">
        <v>0</v>
      </c>
      <c r="P65" s="7">
        <v>29.2</v>
      </c>
      <c r="Q65">
        <v>6</v>
      </c>
      <c r="R65" t="s">
        <v>60</v>
      </c>
      <c r="S65">
        <v>1</v>
      </c>
      <c r="T65">
        <v>22</v>
      </c>
      <c r="U65" s="11">
        <v>-0.78183148246802991</v>
      </c>
      <c r="V65" s="11">
        <v>0.62348980185873337</v>
      </c>
      <c r="W65" s="11">
        <v>0.35344467127408769</v>
      </c>
      <c r="X65" s="11">
        <v>0.93545543151341637</v>
      </c>
      <c r="Y65">
        <v>1</v>
      </c>
      <c r="Z65">
        <v>0</v>
      </c>
      <c r="AB65">
        <v>1</v>
      </c>
      <c r="AC65">
        <v>0</v>
      </c>
      <c r="AD65">
        <v>0</v>
      </c>
      <c r="AE65">
        <v>0</v>
      </c>
    </row>
    <row r="66" spans="1:31">
      <c r="A66" s="6">
        <v>44948</v>
      </c>
      <c r="B66" t="s">
        <v>36</v>
      </c>
      <c r="C66" t="s">
        <v>37</v>
      </c>
      <c r="D66" t="s">
        <v>38</v>
      </c>
      <c r="E66" t="s">
        <v>39</v>
      </c>
      <c r="F66">
        <v>125</v>
      </c>
      <c r="G66">
        <v>320</v>
      </c>
      <c r="H66">
        <v>259</v>
      </c>
      <c r="I66">
        <v>107</v>
      </c>
      <c r="J66" s="8">
        <v>0.85599999999999998</v>
      </c>
      <c r="K66">
        <v>59</v>
      </c>
      <c r="L66">
        <v>44</v>
      </c>
      <c r="M66">
        <v>235</v>
      </c>
      <c r="N66" s="10">
        <v>821.21</v>
      </c>
      <c r="O66" s="7">
        <v>0</v>
      </c>
      <c r="P66" s="7">
        <v>29.2</v>
      </c>
      <c r="Q66">
        <v>6</v>
      </c>
      <c r="R66" t="s">
        <v>60</v>
      </c>
      <c r="S66">
        <v>1</v>
      </c>
      <c r="T66">
        <v>22</v>
      </c>
      <c r="U66" s="11">
        <v>-0.78183148246802991</v>
      </c>
      <c r="V66" s="11">
        <v>0.62348980185873337</v>
      </c>
      <c r="W66" s="11">
        <v>0.35344467127408769</v>
      </c>
      <c r="X66" s="11">
        <v>0.93545543151341637</v>
      </c>
      <c r="Y66">
        <v>1</v>
      </c>
      <c r="Z66">
        <v>0</v>
      </c>
      <c r="AB66">
        <v>1</v>
      </c>
      <c r="AC66">
        <v>0</v>
      </c>
      <c r="AD66">
        <v>0</v>
      </c>
      <c r="AE66">
        <v>0</v>
      </c>
    </row>
    <row r="67" spans="1:31">
      <c r="A67" s="6">
        <v>44948</v>
      </c>
      <c r="B67" t="s">
        <v>41</v>
      </c>
      <c r="C67" t="s">
        <v>42</v>
      </c>
      <c r="D67" t="s">
        <v>43</v>
      </c>
      <c r="E67" t="s">
        <v>44</v>
      </c>
      <c r="F67">
        <v>85</v>
      </c>
      <c r="G67">
        <v>210</v>
      </c>
      <c r="H67">
        <v>175</v>
      </c>
      <c r="I67">
        <v>82</v>
      </c>
      <c r="J67" s="8">
        <v>0.96470588235294119</v>
      </c>
      <c r="K67">
        <v>48</v>
      </c>
      <c r="L67">
        <v>15</v>
      </c>
      <c r="M67">
        <v>152</v>
      </c>
      <c r="N67" s="10">
        <v>604.9</v>
      </c>
      <c r="O67" s="7">
        <v>0</v>
      </c>
      <c r="P67" s="7">
        <v>29.2</v>
      </c>
      <c r="Q67">
        <v>6</v>
      </c>
      <c r="R67" t="s">
        <v>60</v>
      </c>
      <c r="S67">
        <v>1</v>
      </c>
      <c r="T67">
        <v>22</v>
      </c>
      <c r="U67" s="11">
        <v>-0.78183148246802991</v>
      </c>
      <c r="V67" s="11">
        <v>0.62348980185873337</v>
      </c>
      <c r="W67" s="11">
        <v>0.35344467127408769</v>
      </c>
      <c r="X67" s="11">
        <v>0.93545543151341637</v>
      </c>
      <c r="Y67">
        <v>1</v>
      </c>
      <c r="Z67">
        <v>0</v>
      </c>
      <c r="AB67">
        <v>1</v>
      </c>
      <c r="AC67">
        <v>0</v>
      </c>
      <c r="AD67">
        <v>0</v>
      </c>
      <c r="AE67">
        <v>0</v>
      </c>
    </row>
    <row r="68" spans="1:31">
      <c r="A68" s="6">
        <v>44949</v>
      </c>
      <c r="B68" t="s">
        <v>31</v>
      </c>
      <c r="C68" t="s">
        <v>32</v>
      </c>
      <c r="D68" t="s">
        <v>33</v>
      </c>
      <c r="E68" t="s">
        <v>34</v>
      </c>
      <c r="F68">
        <v>140</v>
      </c>
      <c r="G68">
        <v>360</v>
      </c>
      <c r="H68">
        <v>238</v>
      </c>
      <c r="I68">
        <v>100</v>
      </c>
      <c r="J68" s="8">
        <v>0.7142857142857143</v>
      </c>
      <c r="K68">
        <v>51</v>
      </c>
      <c r="L68">
        <v>23</v>
      </c>
      <c r="M68">
        <v>191</v>
      </c>
      <c r="N68" s="10">
        <v>472.72</v>
      </c>
      <c r="O68" s="7">
        <v>0</v>
      </c>
      <c r="P68" s="7">
        <v>28.4</v>
      </c>
      <c r="Q68">
        <v>0</v>
      </c>
      <c r="R68" t="s">
        <v>62</v>
      </c>
      <c r="S68">
        <v>1</v>
      </c>
      <c r="T68">
        <v>23</v>
      </c>
      <c r="U68" s="11">
        <v>0</v>
      </c>
      <c r="V68" s="11">
        <v>1</v>
      </c>
      <c r="W68" s="11">
        <v>0.36948368344738308</v>
      </c>
      <c r="X68" s="11">
        <v>0.92923721818820515</v>
      </c>
      <c r="Y68">
        <v>0</v>
      </c>
      <c r="Z68">
        <v>0</v>
      </c>
      <c r="AB68">
        <v>1</v>
      </c>
      <c r="AC68">
        <v>0</v>
      </c>
      <c r="AD68">
        <v>0</v>
      </c>
      <c r="AE68">
        <v>0</v>
      </c>
    </row>
    <row r="69" spans="1:31">
      <c r="A69" s="6">
        <v>44949</v>
      </c>
      <c r="B69" t="s">
        <v>36</v>
      </c>
      <c r="C69" t="s">
        <v>37</v>
      </c>
      <c r="D69" t="s">
        <v>38</v>
      </c>
      <c r="E69" t="s">
        <v>39</v>
      </c>
      <c r="F69">
        <v>125</v>
      </c>
      <c r="G69">
        <v>320</v>
      </c>
      <c r="H69">
        <v>216</v>
      </c>
      <c r="I69">
        <v>93</v>
      </c>
      <c r="J69" s="8">
        <v>0.74399999999999999</v>
      </c>
      <c r="K69">
        <v>40</v>
      </c>
      <c r="L69">
        <v>48</v>
      </c>
      <c r="M69">
        <v>196</v>
      </c>
      <c r="N69" s="10">
        <v>633.12</v>
      </c>
      <c r="O69" s="7">
        <v>0</v>
      </c>
      <c r="P69" s="7">
        <v>28.4</v>
      </c>
      <c r="Q69">
        <v>0</v>
      </c>
      <c r="R69" t="s">
        <v>62</v>
      </c>
      <c r="S69">
        <v>1</v>
      </c>
      <c r="T69">
        <v>23</v>
      </c>
      <c r="U69" s="11">
        <v>0</v>
      </c>
      <c r="V69" s="11">
        <v>1</v>
      </c>
      <c r="W69" s="11">
        <v>0.36948368344738308</v>
      </c>
      <c r="X69" s="11">
        <v>0.92923721818820515</v>
      </c>
      <c r="Y69">
        <v>0</v>
      </c>
      <c r="Z69">
        <v>0</v>
      </c>
      <c r="AB69">
        <v>1</v>
      </c>
      <c r="AC69">
        <v>0</v>
      </c>
      <c r="AD69">
        <v>0</v>
      </c>
      <c r="AE69">
        <v>0</v>
      </c>
    </row>
    <row r="70" spans="1:31">
      <c r="A70" s="6">
        <v>44949</v>
      </c>
      <c r="B70" t="s">
        <v>41</v>
      </c>
      <c r="C70" t="s">
        <v>42</v>
      </c>
      <c r="D70" t="s">
        <v>43</v>
      </c>
      <c r="E70" t="s">
        <v>44</v>
      </c>
      <c r="F70">
        <v>85</v>
      </c>
      <c r="G70">
        <v>210</v>
      </c>
      <c r="H70">
        <v>157</v>
      </c>
      <c r="I70">
        <v>70</v>
      </c>
      <c r="J70" s="8">
        <v>0.82352941176470584</v>
      </c>
      <c r="K70">
        <v>38</v>
      </c>
      <c r="L70">
        <v>16</v>
      </c>
      <c r="M70">
        <v>126</v>
      </c>
      <c r="N70" s="10">
        <v>621.04999999999995</v>
      </c>
      <c r="O70" s="7">
        <v>0</v>
      </c>
      <c r="P70" s="7">
        <v>28.4</v>
      </c>
      <c r="Q70">
        <v>0</v>
      </c>
      <c r="R70" t="s">
        <v>62</v>
      </c>
      <c r="S70">
        <v>1</v>
      </c>
      <c r="T70">
        <v>23</v>
      </c>
      <c r="U70" s="11">
        <v>0</v>
      </c>
      <c r="V70" s="11">
        <v>1</v>
      </c>
      <c r="W70" s="11">
        <v>0.36948368344738308</v>
      </c>
      <c r="X70" s="11">
        <v>0.92923721818820515</v>
      </c>
      <c r="Y70">
        <v>0</v>
      </c>
      <c r="Z70">
        <v>0</v>
      </c>
      <c r="AB70">
        <v>1</v>
      </c>
      <c r="AC70">
        <v>0</v>
      </c>
      <c r="AD70">
        <v>0</v>
      </c>
      <c r="AE70">
        <v>0</v>
      </c>
    </row>
    <row r="71" spans="1:31">
      <c r="A71" s="6">
        <v>44950</v>
      </c>
      <c r="B71" t="s">
        <v>31</v>
      </c>
      <c r="C71" t="s">
        <v>32</v>
      </c>
      <c r="D71" t="s">
        <v>33</v>
      </c>
      <c r="E71" t="s">
        <v>34</v>
      </c>
      <c r="F71">
        <v>140</v>
      </c>
      <c r="G71">
        <v>360</v>
      </c>
      <c r="H71">
        <v>231</v>
      </c>
      <c r="I71">
        <v>97</v>
      </c>
      <c r="J71" s="8">
        <v>0.69285714285714284</v>
      </c>
      <c r="K71">
        <v>44</v>
      </c>
      <c r="L71">
        <v>64</v>
      </c>
      <c r="M71">
        <v>214</v>
      </c>
      <c r="N71" s="10">
        <v>437.14</v>
      </c>
      <c r="O71" s="7">
        <v>12.3</v>
      </c>
      <c r="P71" s="7">
        <v>29</v>
      </c>
      <c r="Q71">
        <v>1</v>
      </c>
      <c r="R71" t="s">
        <v>63</v>
      </c>
      <c r="S71">
        <v>1</v>
      </c>
      <c r="T71">
        <v>24</v>
      </c>
      <c r="U71" s="11">
        <v>0.7818314824680298</v>
      </c>
      <c r="V71" s="11">
        <v>0.62348980185873359</v>
      </c>
      <c r="W71" s="11">
        <v>0.38541335945432564</v>
      </c>
      <c r="X71" s="11">
        <v>0.92274402862014271</v>
      </c>
      <c r="Y71">
        <v>0</v>
      </c>
      <c r="Z71">
        <v>0</v>
      </c>
      <c r="AB71">
        <v>1</v>
      </c>
      <c r="AC71">
        <v>0</v>
      </c>
      <c r="AD71">
        <v>0</v>
      </c>
      <c r="AE71">
        <v>0</v>
      </c>
    </row>
    <row r="72" spans="1:31">
      <c r="A72" s="6">
        <v>44950</v>
      </c>
      <c r="B72" t="s">
        <v>36</v>
      </c>
      <c r="C72" t="s">
        <v>37</v>
      </c>
      <c r="D72" t="s">
        <v>38</v>
      </c>
      <c r="E72" t="s">
        <v>39</v>
      </c>
      <c r="F72">
        <v>125</v>
      </c>
      <c r="G72">
        <v>320</v>
      </c>
      <c r="H72">
        <v>213</v>
      </c>
      <c r="I72">
        <v>87</v>
      </c>
      <c r="J72" s="8">
        <v>0.69599999999999995</v>
      </c>
      <c r="K72">
        <v>37</v>
      </c>
      <c r="L72">
        <v>37</v>
      </c>
      <c r="M72">
        <v>194</v>
      </c>
      <c r="N72" s="10">
        <v>697.16</v>
      </c>
      <c r="O72" s="7">
        <v>12.3</v>
      </c>
      <c r="P72" s="7">
        <v>29</v>
      </c>
      <c r="Q72">
        <v>1</v>
      </c>
      <c r="R72" t="s">
        <v>63</v>
      </c>
      <c r="S72">
        <v>1</v>
      </c>
      <c r="T72">
        <v>24</v>
      </c>
      <c r="U72" s="11">
        <v>0.7818314824680298</v>
      </c>
      <c r="V72" s="11">
        <v>0.62348980185873359</v>
      </c>
      <c r="W72" s="11">
        <v>0.38541335945432564</v>
      </c>
      <c r="X72" s="11">
        <v>0.92274402862014271</v>
      </c>
      <c r="Y72">
        <v>0</v>
      </c>
      <c r="Z72">
        <v>0</v>
      </c>
      <c r="AB72">
        <v>1</v>
      </c>
      <c r="AC72">
        <v>0</v>
      </c>
      <c r="AD72">
        <v>0</v>
      </c>
      <c r="AE72">
        <v>0</v>
      </c>
    </row>
    <row r="73" spans="1:31">
      <c r="A73" s="6">
        <v>44950</v>
      </c>
      <c r="B73" t="s">
        <v>41</v>
      </c>
      <c r="C73" t="s">
        <v>42</v>
      </c>
      <c r="D73" t="s">
        <v>43</v>
      </c>
      <c r="E73" t="s">
        <v>44</v>
      </c>
      <c r="F73">
        <v>85</v>
      </c>
      <c r="G73">
        <v>210</v>
      </c>
      <c r="H73">
        <v>151</v>
      </c>
      <c r="I73">
        <v>67</v>
      </c>
      <c r="J73" s="8">
        <v>0.78823529411764703</v>
      </c>
      <c r="K73">
        <v>43</v>
      </c>
      <c r="L73">
        <v>40</v>
      </c>
      <c r="M73">
        <v>133</v>
      </c>
      <c r="N73" s="10">
        <v>614.41999999999996</v>
      </c>
      <c r="O73" s="7">
        <v>12.3</v>
      </c>
      <c r="P73" s="7">
        <v>29</v>
      </c>
      <c r="Q73">
        <v>1</v>
      </c>
      <c r="R73" t="s">
        <v>63</v>
      </c>
      <c r="S73">
        <v>1</v>
      </c>
      <c r="T73">
        <v>24</v>
      </c>
      <c r="U73" s="11">
        <v>0.7818314824680298</v>
      </c>
      <c r="V73" s="11">
        <v>0.62348980185873359</v>
      </c>
      <c r="W73" s="11">
        <v>0.38541335945432564</v>
      </c>
      <c r="X73" s="11">
        <v>0.92274402862014271</v>
      </c>
      <c r="Y73">
        <v>0</v>
      </c>
      <c r="Z73">
        <v>0</v>
      </c>
      <c r="AB73">
        <v>1</v>
      </c>
      <c r="AC73">
        <v>0</v>
      </c>
      <c r="AD73">
        <v>0</v>
      </c>
      <c r="AE73">
        <v>0</v>
      </c>
    </row>
    <row r="74" spans="1:31">
      <c r="A74" s="6">
        <v>44951</v>
      </c>
      <c r="B74" t="s">
        <v>31</v>
      </c>
      <c r="C74" t="s">
        <v>32</v>
      </c>
      <c r="D74" t="s">
        <v>33</v>
      </c>
      <c r="E74" t="s">
        <v>34</v>
      </c>
      <c r="F74">
        <v>140</v>
      </c>
      <c r="G74">
        <v>360</v>
      </c>
      <c r="H74">
        <v>214</v>
      </c>
      <c r="I74">
        <v>89</v>
      </c>
      <c r="J74" s="8">
        <v>0.63571428571428568</v>
      </c>
      <c r="K74">
        <v>42</v>
      </c>
      <c r="L74">
        <v>39</v>
      </c>
      <c r="M74">
        <v>190</v>
      </c>
      <c r="N74" s="10">
        <v>456.26</v>
      </c>
      <c r="O74" s="7">
        <v>9</v>
      </c>
      <c r="P74" s="7">
        <v>29.3</v>
      </c>
      <c r="Q74">
        <v>2</v>
      </c>
      <c r="R74" t="s">
        <v>64</v>
      </c>
      <c r="S74">
        <v>1</v>
      </c>
      <c r="T74">
        <v>25</v>
      </c>
      <c r="U74" s="11">
        <v>0.97492791218182362</v>
      </c>
      <c r="V74" s="11">
        <v>-0.22252093395631434</v>
      </c>
      <c r="W74" s="11">
        <v>0.40122898544750091</v>
      </c>
      <c r="X74" s="11">
        <v>0.91597778424848775</v>
      </c>
      <c r="Y74">
        <v>0</v>
      </c>
      <c r="Z74">
        <v>0</v>
      </c>
      <c r="AB74">
        <v>1</v>
      </c>
      <c r="AC74">
        <v>0</v>
      </c>
      <c r="AD74">
        <v>0</v>
      </c>
      <c r="AE74">
        <v>0</v>
      </c>
    </row>
    <row r="75" spans="1:31">
      <c r="A75" s="6">
        <v>44951</v>
      </c>
      <c r="B75" t="s">
        <v>36</v>
      </c>
      <c r="C75" t="s">
        <v>37</v>
      </c>
      <c r="D75" t="s">
        <v>38</v>
      </c>
      <c r="E75" t="s">
        <v>39</v>
      </c>
      <c r="F75">
        <v>125</v>
      </c>
      <c r="G75">
        <v>320</v>
      </c>
      <c r="H75">
        <v>230</v>
      </c>
      <c r="I75">
        <v>94</v>
      </c>
      <c r="J75" s="8">
        <v>0.752</v>
      </c>
      <c r="K75">
        <v>34</v>
      </c>
      <c r="L75">
        <v>38</v>
      </c>
      <c r="M75">
        <v>208</v>
      </c>
      <c r="N75" s="10">
        <v>737.63</v>
      </c>
      <c r="O75" s="7">
        <v>9</v>
      </c>
      <c r="P75" s="7">
        <v>29.3</v>
      </c>
      <c r="Q75">
        <v>2</v>
      </c>
      <c r="R75" t="s">
        <v>64</v>
      </c>
      <c r="S75">
        <v>1</v>
      </c>
      <c r="T75">
        <v>25</v>
      </c>
      <c r="U75" s="11">
        <v>0.97492791218182362</v>
      </c>
      <c r="V75" s="11">
        <v>-0.22252093395631434</v>
      </c>
      <c r="W75" s="11">
        <v>0.40122898544750091</v>
      </c>
      <c r="X75" s="11">
        <v>0.91597778424848775</v>
      </c>
      <c r="Y75">
        <v>0</v>
      </c>
      <c r="Z75">
        <v>0</v>
      </c>
      <c r="AB75">
        <v>1</v>
      </c>
      <c r="AC75">
        <v>0</v>
      </c>
      <c r="AD75">
        <v>0</v>
      </c>
      <c r="AE75">
        <v>0</v>
      </c>
    </row>
    <row r="76" spans="1:31">
      <c r="A76" s="6">
        <v>44951</v>
      </c>
      <c r="B76" t="s">
        <v>41</v>
      </c>
      <c r="C76" t="s">
        <v>42</v>
      </c>
      <c r="D76" t="s">
        <v>43</v>
      </c>
      <c r="E76" t="s">
        <v>44</v>
      </c>
      <c r="F76">
        <v>85</v>
      </c>
      <c r="G76">
        <v>210</v>
      </c>
      <c r="H76">
        <v>155</v>
      </c>
      <c r="I76">
        <v>70</v>
      </c>
      <c r="J76" s="8">
        <v>0.82352941176470584</v>
      </c>
      <c r="K76">
        <v>25</v>
      </c>
      <c r="L76">
        <v>39</v>
      </c>
      <c r="M76">
        <v>142</v>
      </c>
      <c r="N76" s="10">
        <v>605.13</v>
      </c>
      <c r="O76" s="7">
        <v>9</v>
      </c>
      <c r="P76" s="7">
        <v>29.3</v>
      </c>
      <c r="Q76">
        <v>2</v>
      </c>
      <c r="R76" t="s">
        <v>64</v>
      </c>
      <c r="S76">
        <v>1</v>
      </c>
      <c r="T76">
        <v>25</v>
      </c>
      <c r="U76" s="11">
        <v>0.97492791218182362</v>
      </c>
      <c r="V76" s="11">
        <v>-0.22252093395631434</v>
      </c>
      <c r="W76" s="11">
        <v>0.40122898544750091</v>
      </c>
      <c r="X76" s="11">
        <v>0.91597778424848775</v>
      </c>
      <c r="Y76">
        <v>0</v>
      </c>
      <c r="Z76">
        <v>0</v>
      </c>
      <c r="AB76">
        <v>1</v>
      </c>
      <c r="AC76">
        <v>0</v>
      </c>
      <c r="AD76">
        <v>0</v>
      </c>
      <c r="AE76">
        <v>0</v>
      </c>
    </row>
    <row r="77" spans="1:31">
      <c r="A77" s="6">
        <v>44952</v>
      </c>
      <c r="B77" t="s">
        <v>31</v>
      </c>
      <c r="C77" t="s">
        <v>32</v>
      </c>
      <c r="D77" t="s">
        <v>33</v>
      </c>
      <c r="E77" t="s">
        <v>34</v>
      </c>
      <c r="F77">
        <v>140</v>
      </c>
      <c r="G77">
        <v>360</v>
      </c>
      <c r="H77">
        <v>216</v>
      </c>
      <c r="I77">
        <v>94</v>
      </c>
      <c r="J77" s="8">
        <v>0.67142857142857137</v>
      </c>
      <c r="K77">
        <v>46</v>
      </c>
      <c r="L77">
        <v>25</v>
      </c>
      <c r="M77">
        <v>194</v>
      </c>
      <c r="N77" s="10">
        <v>446.52</v>
      </c>
      <c r="O77" s="7">
        <v>1.9</v>
      </c>
      <c r="P77" s="7">
        <v>29.1</v>
      </c>
      <c r="Q77">
        <v>3</v>
      </c>
      <c r="R77" t="s">
        <v>65</v>
      </c>
      <c r="S77">
        <v>1</v>
      </c>
      <c r="T77">
        <v>26</v>
      </c>
      <c r="U77" s="11">
        <v>0.43388373911755823</v>
      </c>
      <c r="V77" s="11">
        <v>-0.90096886790241903</v>
      </c>
      <c r="W77" s="11">
        <v>0.41692588132872871</v>
      </c>
      <c r="X77" s="11">
        <v>0.90894048731380805</v>
      </c>
      <c r="Y77">
        <v>0</v>
      </c>
      <c r="Z77">
        <v>0</v>
      </c>
      <c r="AB77">
        <v>1</v>
      </c>
      <c r="AC77">
        <v>0</v>
      </c>
      <c r="AD77">
        <v>0</v>
      </c>
      <c r="AE77">
        <v>0</v>
      </c>
    </row>
    <row r="78" spans="1:31">
      <c r="A78" s="6">
        <v>44952</v>
      </c>
      <c r="B78" t="s">
        <v>36</v>
      </c>
      <c r="C78" t="s">
        <v>37</v>
      </c>
      <c r="D78" t="s">
        <v>38</v>
      </c>
      <c r="E78" t="s">
        <v>39</v>
      </c>
      <c r="F78">
        <v>125</v>
      </c>
      <c r="G78">
        <v>320</v>
      </c>
      <c r="H78">
        <v>188</v>
      </c>
      <c r="I78">
        <v>81</v>
      </c>
      <c r="J78" s="8">
        <v>0.64800000000000002</v>
      </c>
      <c r="K78">
        <v>33</v>
      </c>
      <c r="L78">
        <v>39</v>
      </c>
      <c r="M78">
        <v>170</v>
      </c>
      <c r="N78" s="10">
        <v>649.28</v>
      </c>
      <c r="O78" s="7">
        <v>1.9</v>
      </c>
      <c r="P78" s="7">
        <v>29.1</v>
      </c>
      <c r="Q78">
        <v>3</v>
      </c>
      <c r="R78" t="s">
        <v>65</v>
      </c>
      <c r="S78">
        <v>1</v>
      </c>
      <c r="T78">
        <v>26</v>
      </c>
      <c r="U78" s="11">
        <v>0.43388373911755823</v>
      </c>
      <c r="V78" s="11">
        <v>-0.90096886790241903</v>
      </c>
      <c r="W78" s="11">
        <v>0.41692588132872871</v>
      </c>
      <c r="X78" s="11">
        <v>0.90894048731380805</v>
      </c>
      <c r="Y78">
        <v>0</v>
      </c>
      <c r="Z78">
        <v>0</v>
      </c>
      <c r="AB78">
        <v>1</v>
      </c>
      <c r="AC78">
        <v>0</v>
      </c>
      <c r="AD78">
        <v>0</v>
      </c>
      <c r="AE78">
        <v>0</v>
      </c>
    </row>
    <row r="79" spans="1:31">
      <c r="A79" s="6">
        <v>44952</v>
      </c>
      <c r="B79" t="s">
        <v>41</v>
      </c>
      <c r="C79" t="s">
        <v>42</v>
      </c>
      <c r="D79" t="s">
        <v>43</v>
      </c>
      <c r="E79" t="s">
        <v>44</v>
      </c>
      <c r="F79">
        <v>85</v>
      </c>
      <c r="G79">
        <v>210</v>
      </c>
      <c r="H79">
        <v>163</v>
      </c>
      <c r="I79">
        <v>71</v>
      </c>
      <c r="J79" s="8">
        <v>0.83529411764705885</v>
      </c>
      <c r="K79">
        <v>35</v>
      </c>
      <c r="L79">
        <v>26</v>
      </c>
      <c r="M79">
        <v>137</v>
      </c>
      <c r="N79" s="10">
        <v>522.78</v>
      </c>
      <c r="O79" s="7">
        <v>1.9</v>
      </c>
      <c r="P79" s="7">
        <v>29.1</v>
      </c>
      <c r="Q79">
        <v>3</v>
      </c>
      <c r="R79" t="s">
        <v>65</v>
      </c>
      <c r="S79">
        <v>1</v>
      </c>
      <c r="T79">
        <v>26</v>
      </c>
      <c r="U79" s="11">
        <v>0.43388373911755823</v>
      </c>
      <c r="V79" s="11">
        <v>-0.90096886790241903</v>
      </c>
      <c r="W79" s="11">
        <v>0.41692588132872871</v>
      </c>
      <c r="X79" s="11">
        <v>0.90894048731380805</v>
      </c>
      <c r="Y79">
        <v>0</v>
      </c>
      <c r="Z79">
        <v>0</v>
      </c>
      <c r="AB79">
        <v>1</v>
      </c>
      <c r="AC79">
        <v>0</v>
      </c>
      <c r="AD79">
        <v>0</v>
      </c>
      <c r="AE79">
        <v>0</v>
      </c>
    </row>
    <row r="80" spans="1:31">
      <c r="A80" s="6">
        <v>44953</v>
      </c>
      <c r="B80" t="s">
        <v>31</v>
      </c>
      <c r="C80" t="s">
        <v>32</v>
      </c>
      <c r="D80" t="s">
        <v>33</v>
      </c>
      <c r="E80" t="s">
        <v>34</v>
      </c>
      <c r="F80">
        <v>140</v>
      </c>
      <c r="G80">
        <v>360</v>
      </c>
      <c r="H80">
        <v>214</v>
      </c>
      <c r="I80">
        <v>89</v>
      </c>
      <c r="J80" s="8">
        <v>0.63571428571428568</v>
      </c>
      <c r="K80">
        <v>41</v>
      </c>
      <c r="L80">
        <v>41</v>
      </c>
      <c r="M80">
        <v>190</v>
      </c>
      <c r="N80" s="10">
        <v>504.96</v>
      </c>
      <c r="O80" s="7">
        <v>3.2</v>
      </c>
      <c r="P80" s="7">
        <v>27.6</v>
      </c>
      <c r="Q80">
        <v>4</v>
      </c>
      <c r="R80" t="s">
        <v>66</v>
      </c>
      <c r="S80">
        <v>1</v>
      </c>
      <c r="T80">
        <v>27</v>
      </c>
      <c r="U80" s="11">
        <v>-0.43388373911755801</v>
      </c>
      <c r="V80" s="11">
        <v>-0.90096886790241915</v>
      </c>
      <c r="W80" s="11">
        <v>0.43249940213397881</v>
      </c>
      <c r="X80" s="11">
        <v>0.90163422026548601</v>
      </c>
      <c r="Y80">
        <v>0</v>
      </c>
      <c r="Z80">
        <v>0</v>
      </c>
      <c r="AB80">
        <v>1</v>
      </c>
      <c r="AC80">
        <v>0</v>
      </c>
      <c r="AD80">
        <v>0</v>
      </c>
      <c r="AE80">
        <v>0</v>
      </c>
    </row>
    <row r="81" spans="1:31">
      <c r="A81" s="6">
        <v>44953</v>
      </c>
      <c r="B81" t="s">
        <v>36</v>
      </c>
      <c r="C81" t="s">
        <v>37</v>
      </c>
      <c r="D81" t="s">
        <v>38</v>
      </c>
      <c r="E81" t="s">
        <v>39</v>
      </c>
      <c r="F81">
        <v>125</v>
      </c>
      <c r="G81">
        <v>320</v>
      </c>
      <c r="H81">
        <v>224</v>
      </c>
      <c r="I81">
        <v>93</v>
      </c>
      <c r="J81" s="8">
        <v>0.74399999999999999</v>
      </c>
      <c r="K81">
        <v>42</v>
      </c>
      <c r="L81">
        <v>18</v>
      </c>
      <c r="M81">
        <v>187</v>
      </c>
      <c r="N81" s="10">
        <v>608.47</v>
      </c>
      <c r="O81" s="7">
        <v>3.2</v>
      </c>
      <c r="P81" s="7">
        <v>27.6</v>
      </c>
      <c r="Q81">
        <v>4</v>
      </c>
      <c r="R81" t="s">
        <v>66</v>
      </c>
      <c r="S81">
        <v>1</v>
      </c>
      <c r="T81">
        <v>27</v>
      </c>
      <c r="U81" s="11">
        <v>-0.43388373911755801</v>
      </c>
      <c r="V81" s="11">
        <v>-0.90096886790241915</v>
      </c>
      <c r="W81" s="11">
        <v>0.43249940213397881</v>
      </c>
      <c r="X81" s="11">
        <v>0.90163422026548601</v>
      </c>
      <c r="Y81">
        <v>0</v>
      </c>
      <c r="Z81">
        <v>0</v>
      </c>
      <c r="AB81">
        <v>1</v>
      </c>
      <c r="AC81">
        <v>0</v>
      </c>
      <c r="AD81">
        <v>0</v>
      </c>
      <c r="AE81">
        <v>0</v>
      </c>
    </row>
    <row r="82" spans="1:31">
      <c r="A82" s="6">
        <v>44953</v>
      </c>
      <c r="B82" t="s">
        <v>41</v>
      </c>
      <c r="C82" t="s">
        <v>42</v>
      </c>
      <c r="D82" t="s">
        <v>43</v>
      </c>
      <c r="E82" t="s">
        <v>44</v>
      </c>
      <c r="F82">
        <v>85</v>
      </c>
      <c r="G82">
        <v>210</v>
      </c>
      <c r="H82">
        <v>145</v>
      </c>
      <c r="I82">
        <v>66</v>
      </c>
      <c r="J82" s="8">
        <v>0.77647058823529413</v>
      </c>
      <c r="K82">
        <v>23</v>
      </c>
      <c r="L82">
        <v>30</v>
      </c>
      <c r="M82">
        <v>131</v>
      </c>
      <c r="N82" s="10">
        <v>554.46</v>
      </c>
      <c r="O82" s="7">
        <v>3.2</v>
      </c>
      <c r="P82" s="7">
        <v>27.6</v>
      </c>
      <c r="Q82">
        <v>4</v>
      </c>
      <c r="R82" t="s">
        <v>66</v>
      </c>
      <c r="S82">
        <v>1</v>
      </c>
      <c r="T82">
        <v>27</v>
      </c>
      <c r="U82" s="11">
        <v>-0.43388373911755801</v>
      </c>
      <c r="V82" s="11">
        <v>-0.90096886790241915</v>
      </c>
      <c r="W82" s="11">
        <v>0.43249940213397881</v>
      </c>
      <c r="X82" s="11">
        <v>0.90163422026548601</v>
      </c>
      <c r="Y82">
        <v>0</v>
      </c>
      <c r="Z82">
        <v>0</v>
      </c>
      <c r="AB82">
        <v>1</v>
      </c>
      <c r="AC82">
        <v>0</v>
      </c>
      <c r="AD82">
        <v>0</v>
      </c>
      <c r="AE82">
        <v>0</v>
      </c>
    </row>
    <row r="83" spans="1:31">
      <c r="A83" s="6">
        <v>44954</v>
      </c>
      <c r="B83" t="s">
        <v>31</v>
      </c>
      <c r="C83" t="s">
        <v>32</v>
      </c>
      <c r="D83" t="s">
        <v>33</v>
      </c>
      <c r="E83" t="s">
        <v>34</v>
      </c>
      <c r="F83">
        <v>140</v>
      </c>
      <c r="G83">
        <v>360</v>
      </c>
      <c r="H83">
        <v>244</v>
      </c>
      <c r="I83">
        <v>103</v>
      </c>
      <c r="J83" s="8">
        <v>0.73571428571428577</v>
      </c>
      <c r="K83">
        <v>39</v>
      </c>
      <c r="L83">
        <v>25</v>
      </c>
      <c r="M83">
        <v>229</v>
      </c>
      <c r="N83" s="10">
        <v>487.05</v>
      </c>
      <c r="O83" s="7">
        <v>5.8</v>
      </c>
      <c r="P83" s="7">
        <v>27.6</v>
      </c>
      <c r="Q83">
        <v>5</v>
      </c>
      <c r="R83" t="s">
        <v>67</v>
      </c>
      <c r="S83">
        <v>1</v>
      </c>
      <c r="T83">
        <v>28</v>
      </c>
      <c r="U83" s="11">
        <v>-0.97492791218182362</v>
      </c>
      <c r="V83" s="11">
        <v>-0.22252093395631459</v>
      </c>
      <c r="W83" s="11">
        <v>0.44794493940789115</v>
      </c>
      <c r="X83" s="11">
        <v>0.89406114514548762</v>
      </c>
      <c r="Y83">
        <v>1</v>
      </c>
      <c r="Z83">
        <v>0</v>
      </c>
      <c r="AB83">
        <v>1</v>
      </c>
      <c r="AC83">
        <v>0</v>
      </c>
      <c r="AD83">
        <v>0</v>
      </c>
      <c r="AE83">
        <v>0</v>
      </c>
    </row>
    <row r="84" spans="1:31">
      <c r="A84" s="6">
        <v>44954</v>
      </c>
      <c r="B84" t="s">
        <v>36</v>
      </c>
      <c r="C84" t="s">
        <v>37</v>
      </c>
      <c r="D84" t="s">
        <v>38</v>
      </c>
      <c r="E84" t="s">
        <v>39</v>
      </c>
      <c r="F84">
        <v>125</v>
      </c>
      <c r="G84">
        <v>320</v>
      </c>
      <c r="H84">
        <v>238</v>
      </c>
      <c r="I84">
        <v>98</v>
      </c>
      <c r="J84" s="8">
        <v>0.78400000000000003</v>
      </c>
      <c r="K84">
        <v>44</v>
      </c>
      <c r="L84">
        <v>36</v>
      </c>
      <c r="M84">
        <v>194</v>
      </c>
      <c r="N84" s="10">
        <v>801.57</v>
      </c>
      <c r="O84" s="7">
        <v>5.8</v>
      </c>
      <c r="P84" s="7">
        <v>27.6</v>
      </c>
      <c r="Q84">
        <v>5</v>
      </c>
      <c r="R84" t="s">
        <v>67</v>
      </c>
      <c r="S84">
        <v>1</v>
      </c>
      <c r="T84">
        <v>28</v>
      </c>
      <c r="U84" s="11">
        <v>-0.97492791218182362</v>
      </c>
      <c r="V84" s="11">
        <v>-0.22252093395631459</v>
      </c>
      <c r="W84" s="11">
        <v>0.44794493940789115</v>
      </c>
      <c r="X84" s="11">
        <v>0.89406114514548762</v>
      </c>
      <c r="Y84">
        <v>1</v>
      </c>
      <c r="Z84">
        <v>0</v>
      </c>
      <c r="AB84">
        <v>1</v>
      </c>
      <c r="AC84">
        <v>0</v>
      </c>
      <c r="AD84">
        <v>0</v>
      </c>
      <c r="AE84">
        <v>0</v>
      </c>
    </row>
    <row r="85" spans="1:31">
      <c r="A85" s="6">
        <v>44954</v>
      </c>
      <c r="B85" t="s">
        <v>41</v>
      </c>
      <c r="C85" t="s">
        <v>42</v>
      </c>
      <c r="D85" t="s">
        <v>43</v>
      </c>
      <c r="E85" t="s">
        <v>44</v>
      </c>
      <c r="F85">
        <v>85</v>
      </c>
      <c r="G85">
        <v>210</v>
      </c>
      <c r="H85">
        <v>178</v>
      </c>
      <c r="I85">
        <v>77</v>
      </c>
      <c r="J85" s="8">
        <v>0.90588235294117647</v>
      </c>
      <c r="K85">
        <v>26</v>
      </c>
      <c r="L85">
        <v>49</v>
      </c>
      <c r="M85">
        <v>162</v>
      </c>
      <c r="N85" s="10">
        <v>633.09</v>
      </c>
      <c r="O85" s="7">
        <v>5.8</v>
      </c>
      <c r="P85" s="7">
        <v>27.6</v>
      </c>
      <c r="Q85">
        <v>5</v>
      </c>
      <c r="R85" t="s">
        <v>67</v>
      </c>
      <c r="S85">
        <v>1</v>
      </c>
      <c r="T85">
        <v>28</v>
      </c>
      <c r="U85" s="11">
        <v>-0.97492791218182362</v>
      </c>
      <c r="V85" s="11">
        <v>-0.22252093395631459</v>
      </c>
      <c r="W85" s="11">
        <v>0.44794493940789115</v>
      </c>
      <c r="X85" s="11">
        <v>0.89406114514548762</v>
      </c>
      <c r="Y85">
        <v>1</v>
      </c>
      <c r="Z85">
        <v>0</v>
      </c>
      <c r="AB85">
        <v>1</v>
      </c>
      <c r="AC85">
        <v>0</v>
      </c>
      <c r="AD85">
        <v>0</v>
      </c>
      <c r="AE85">
        <v>0</v>
      </c>
    </row>
    <row r="86" spans="1:31">
      <c r="A86" s="6">
        <v>44955</v>
      </c>
      <c r="B86" t="s">
        <v>31</v>
      </c>
      <c r="C86" t="s">
        <v>32</v>
      </c>
      <c r="D86" t="s">
        <v>33</v>
      </c>
      <c r="E86" t="s">
        <v>34</v>
      </c>
      <c r="F86">
        <v>140</v>
      </c>
      <c r="G86">
        <v>360</v>
      </c>
      <c r="H86">
        <v>237</v>
      </c>
      <c r="I86">
        <v>97</v>
      </c>
      <c r="J86" s="8">
        <v>0.69285714285714284</v>
      </c>
      <c r="K86">
        <v>31</v>
      </c>
      <c r="L86">
        <v>42</v>
      </c>
      <c r="M86">
        <v>221</v>
      </c>
      <c r="N86" s="10">
        <v>525</v>
      </c>
      <c r="O86" s="7">
        <v>15.5</v>
      </c>
      <c r="P86" s="7">
        <v>28.3</v>
      </c>
      <c r="Q86">
        <v>6</v>
      </c>
      <c r="R86" t="s">
        <v>60</v>
      </c>
      <c r="S86">
        <v>1</v>
      </c>
      <c r="T86">
        <v>29</v>
      </c>
      <c r="U86" s="11">
        <v>-0.78183148246802991</v>
      </c>
      <c r="V86" s="11">
        <v>0.62348980185873337</v>
      </c>
      <c r="W86" s="11">
        <v>0.46325792256749171</v>
      </c>
      <c r="X86" s="11">
        <v>0.88622350294857999</v>
      </c>
      <c r="Y86">
        <v>1</v>
      </c>
      <c r="Z86">
        <v>0</v>
      </c>
      <c r="AB86">
        <v>1</v>
      </c>
      <c r="AC86">
        <v>0</v>
      </c>
      <c r="AD86">
        <v>0</v>
      </c>
      <c r="AE86">
        <v>0</v>
      </c>
    </row>
    <row r="87" spans="1:31">
      <c r="A87" s="6">
        <v>44955</v>
      </c>
      <c r="B87" t="s">
        <v>36</v>
      </c>
      <c r="C87" t="s">
        <v>37</v>
      </c>
      <c r="D87" t="s">
        <v>38</v>
      </c>
      <c r="E87" t="s">
        <v>39</v>
      </c>
      <c r="F87">
        <v>125</v>
      </c>
      <c r="G87">
        <v>320</v>
      </c>
      <c r="H87">
        <v>249</v>
      </c>
      <c r="I87">
        <v>102</v>
      </c>
      <c r="J87" s="8">
        <v>0.81599999999999995</v>
      </c>
      <c r="K87">
        <v>66</v>
      </c>
      <c r="L87">
        <v>57</v>
      </c>
      <c r="M87">
        <v>210</v>
      </c>
      <c r="N87" s="10">
        <v>788.89</v>
      </c>
      <c r="O87" s="7">
        <v>15.5</v>
      </c>
      <c r="P87" s="7">
        <v>28.3</v>
      </c>
      <c r="Q87">
        <v>6</v>
      </c>
      <c r="R87" t="s">
        <v>60</v>
      </c>
      <c r="S87">
        <v>1</v>
      </c>
      <c r="T87">
        <v>29</v>
      </c>
      <c r="U87" s="11">
        <v>-0.78183148246802991</v>
      </c>
      <c r="V87" s="11">
        <v>0.62348980185873337</v>
      </c>
      <c r="W87" s="11">
        <v>0.46325792256749171</v>
      </c>
      <c r="X87" s="11">
        <v>0.88622350294857999</v>
      </c>
      <c r="Y87">
        <v>1</v>
      </c>
      <c r="Z87">
        <v>0</v>
      </c>
      <c r="AB87">
        <v>1</v>
      </c>
      <c r="AC87">
        <v>0</v>
      </c>
      <c r="AD87">
        <v>0</v>
      </c>
      <c r="AE87">
        <v>0</v>
      </c>
    </row>
    <row r="88" spans="1:31">
      <c r="A88" s="6">
        <v>44955</v>
      </c>
      <c r="B88" t="s">
        <v>41</v>
      </c>
      <c r="C88" t="s">
        <v>42</v>
      </c>
      <c r="D88" t="s">
        <v>43</v>
      </c>
      <c r="E88" t="s">
        <v>44</v>
      </c>
      <c r="F88">
        <v>85</v>
      </c>
      <c r="G88">
        <v>210</v>
      </c>
      <c r="H88">
        <v>174</v>
      </c>
      <c r="I88">
        <v>77</v>
      </c>
      <c r="J88" s="8">
        <v>0.90588235294117647</v>
      </c>
      <c r="K88">
        <v>31</v>
      </c>
      <c r="L88">
        <v>19</v>
      </c>
      <c r="M88">
        <v>148</v>
      </c>
      <c r="N88" s="10">
        <v>588.74</v>
      </c>
      <c r="O88" s="7">
        <v>15.5</v>
      </c>
      <c r="P88" s="7">
        <v>28.3</v>
      </c>
      <c r="Q88">
        <v>6</v>
      </c>
      <c r="R88" t="s">
        <v>60</v>
      </c>
      <c r="S88">
        <v>1</v>
      </c>
      <c r="T88">
        <v>29</v>
      </c>
      <c r="U88" s="11">
        <v>-0.78183148246802991</v>
      </c>
      <c r="V88" s="11">
        <v>0.62348980185873337</v>
      </c>
      <c r="W88" s="11">
        <v>0.46325792256749171</v>
      </c>
      <c r="X88" s="11">
        <v>0.88622350294857999</v>
      </c>
      <c r="Y88">
        <v>1</v>
      </c>
      <c r="Z88">
        <v>0</v>
      </c>
      <c r="AB88">
        <v>1</v>
      </c>
      <c r="AC88">
        <v>0</v>
      </c>
      <c r="AD88">
        <v>0</v>
      </c>
      <c r="AE88">
        <v>0</v>
      </c>
    </row>
    <row r="89" spans="1:31">
      <c r="A89" s="6">
        <v>44956</v>
      </c>
      <c r="B89" t="s">
        <v>31</v>
      </c>
      <c r="C89" t="s">
        <v>32</v>
      </c>
      <c r="D89" t="s">
        <v>33</v>
      </c>
      <c r="E89" t="s">
        <v>34</v>
      </c>
      <c r="F89">
        <v>140</v>
      </c>
      <c r="G89">
        <v>360</v>
      </c>
      <c r="H89">
        <v>231</v>
      </c>
      <c r="I89">
        <v>98</v>
      </c>
      <c r="J89" s="8">
        <v>0.7</v>
      </c>
      <c r="K89">
        <v>43</v>
      </c>
      <c r="L89">
        <v>44</v>
      </c>
      <c r="M89">
        <v>208</v>
      </c>
      <c r="N89" s="10">
        <v>446.59</v>
      </c>
      <c r="O89" s="7">
        <v>8.5</v>
      </c>
      <c r="P89" s="7">
        <v>28.5</v>
      </c>
      <c r="Q89">
        <v>0</v>
      </c>
      <c r="R89" t="s">
        <v>62</v>
      </c>
      <c r="S89">
        <v>1</v>
      </c>
      <c r="T89">
        <v>30</v>
      </c>
      <c r="U89" s="11">
        <v>0</v>
      </c>
      <c r="V89" s="11">
        <v>1</v>
      </c>
      <c r="W89" s="11">
        <v>0.47843382025470121</v>
      </c>
      <c r="X89" s="11">
        <v>0.87812361295918484</v>
      </c>
      <c r="Y89">
        <v>0</v>
      </c>
      <c r="Z89">
        <v>0</v>
      </c>
      <c r="AB89">
        <v>1</v>
      </c>
      <c r="AC89">
        <v>0</v>
      </c>
      <c r="AD89">
        <v>0</v>
      </c>
      <c r="AE89">
        <v>0</v>
      </c>
    </row>
    <row r="90" spans="1:31">
      <c r="A90" s="6">
        <v>44956</v>
      </c>
      <c r="B90" t="s">
        <v>36</v>
      </c>
      <c r="C90" t="s">
        <v>37</v>
      </c>
      <c r="D90" t="s">
        <v>38</v>
      </c>
      <c r="E90" t="s">
        <v>39</v>
      </c>
      <c r="F90">
        <v>125</v>
      </c>
      <c r="G90">
        <v>320</v>
      </c>
      <c r="H90">
        <v>205</v>
      </c>
      <c r="I90">
        <v>88</v>
      </c>
      <c r="J90" s="8">
        <v>0.70399999999999996</v>
      </c>
      <c r="K90">
        <v>49</v>
      </c>
      <c r="L90">
        <v>23</v>
      </c>
      <c r="M90">
        <v>164</v>
      </c>
      <c r="N90" s="10">
        <v>707.26</v>
      </c>
      <c r="O90" s="7">
        <v>8.5</v>
      </c>
      <c r="P90" s="7">
        <v>28.5</v>
      </c>
      <c r="Q90">
        <v>0</v>
      </c>
      <c r="R90" t="s">
        <v>62</v>
      </c>
      <c r="S90">
        <v>1</v>
      </c>
      <c r="T90">
        <v>30</v>
      </c>
      <c r="U90" s="11">
        <v>0</v>
      </c>
      <c r="V90" s="11">
        <v>1</v>
      </c>
      <c r="W90" s="11">
        <v>0.47843382025470121</v>
      </c>
      <c r="X90" s="11">
        <v>0.87812361295918484</v>
      </c>
      <c r="Y90">
        <v>0</v>
      </c>
      <c r="Z90">
        <v>0</v>
      </c>
      <c r="AB90">
        <v>1</v>
      </c>
      <c r="AC90">
        <v>0</v>
      </c>
      <c r="AD90">
        <v>0</v>
      </c>
      <c r="AE90">
        <v>0</v>
      </c>
    </row>
    <row r="91" spans="1:31">
      <c r="A91" s="6">
        <v>44956</v>
      </c>
      <c r="B91" t="s">
        <v>41</v>
      </c>
      <c r="C91" t="s">
        <v>42</v>
      </c>
      <c r="D91" t="s">
        <v>43</v>
      </c>
      <c r="E91" t="s">
        <v>44</v>
      </c>
      <c r="F91">
        <v>85</v>
      </c>
      <c r="G91">
        <v>210</v>
      </c>
      <c r="H91">
        <v>148</v>
      </c>
      <c r="I91">
        <v>66</v>
      </c>
      <c r="J91" s="8">
        <v>0.77647058823529413</v>
      </c>
      <c r="K91">
        <v>28</v>
      </c>
      <c r="L91">
        <v>20</v>
      </c>
      <c r="M91">
        <v>122</v>
      </c>
      <c r="N91" s="10">
        <v>590.75</v>
      </c>
      <c r="O91" s="7">
        <v>8.5</v>
      </c>
      <c r="P91" s="7">
        <v>28.5</v>
      </c>
      <c r="Q91">
        <v>0</v>
      </c>
      <c r="R91" t="s">
        <v>62</v>
      </c>
      <c r="S91">
        <v>1</v>
      </c>
      <c r="T91">
        <v>30</v>
      </c>
      <c r="U91" s="11">
        <v>0</v>
      </c>
      <c r="V91" s="11">
        <v>1</v>
      </c>
      <c r="W91" s="11">
        <v>0.47843382025470121</v>
      </c>
      <c r="X91" s="11">
        <v>0.87812361295918484</v>
      </c>
      <c r="Y91">
        <v>0</v>
      </c>
      <c r="Z91">
        <v>0</v>
      </c>
      <c r="AB91">
        <v>1</v>
      </c>
      <c r="AC91">
        <v>0</v>
      </c>
      <c r="AD91">
        <v>0</v>
      </c>
      <c r="AE91">
        <v>0</v>
      </c>
    </row>
    <row r="92" spans="1:31">
      <c r="A92" s="6">
        <v>44957</v>
      </c>
      <c r="B92" t="s">
        <v>31</v>
      </c>
      <c r="C92" t="s">
        <v>32</v>
      </c>
      <c r="D92" t="s">
        <v>33</v>
      </c>
      <c r="E92" t="s">
        <v>34</v>
      </c>
      <c r="F92">
        <v>140</v>
      </c>
      <c r="G92">
        <v>360</v>
      </c>
      <c r="H92">
        <v>211</v>
      </c>
      <c r="I92">
        <v>92</v>
      </c>
      <c r="J92" s="8">
        <v>0.65714285714285714</v>
      </c>
      <c r="K92">
        <v>26</v>
      </c>
      <c r="L92">
        <v>35</v>
      </c>
      <c r="M92">
        <v>190</v>
      </c>
      <c r="N92" s="10">
        <v>478.34</v>
      </c>
      <c r="O92" s="7">
        <v>11.1</v>
      </c>
      <c r="P92" s="7">
        <v>29.3</v>
      </c>
      <c r="Q92">
        <v>1</v>
      </c>
      <c r="R92" t="s">
        <v>63</v>
      </c>
      <c r="S92">
        <v>1</v>
      </c>
      <c r="T92">
        <v>31</v>
      </c>
      <c r="U92" s="11">
        <v>0.7818314824680298</v>
      </c>
      <c r="V92" s="11">
        <v>0.62348980185873359</v>
      </c>
      <c r="W92" s="11">
        <v>0.49346814167723735</v>
      </c>
      <c r="X92" s="11">
        <v>0.86976387206506456</v>
      </c>
      <c r="Y92">
        <v>0</v>
      </c>
      <c r="Z92">
        <v>0</v>
      </c>
      <c r="AB92">
        <v>1</v>
      </c>
      <c r="AC92">
        <v>0</v>
      </c>
      <c r="AD92">
        <v>0</v>
      </c>
      <c r="AE92">
        <v>0</v>
      </c>
    </row>
    <row r="93" spans="1:31">
      <c r="A93" s="6">
        <v>44957</v>
      </c>
      <c r="B93" t="s">
        <v>36</v>
      </c>
      <c r="C93" t="s">
        <v>37</v>
      </c>
      <c r="D93" t="s">
        <v>38</v>
      </c>
      <c r="E93" t="s">
        <v>39</v>
      </c>
      <c r="F93">
        <v>125</v>
      </c>
      <c r="G93">
        <v>320</v>
      </c>
      <c r="H93">
        <v>231</v>
      </c>
      <c r="I93">
        <v>94</v>
      </c>
      <c r="J93" s="8">
        <v>0.752</v>
      </c>
      <c r="K93">
        <v>39</v>
      </c>
      <c r="L93">
        <v>38</v>
      </c>
      <c r="M93">
        <v>216</v>
      </c>
      <c r="N93" s="10">
        <v>648.16999999999996</v>
      </c>
      <c r="O93" s="7">
        <v>11.1</v>
      </c>
      <c r="P93" s="7">
        <v>29.3</v>
      </c>
      <c r="Q93">
        <v>1</v>
      </c>
      <c r="R93" t="s">
        <v>63</v>
      </c>
      <c r="S93">
        <v>1</v>
      </c>
      <c r="T93">
        <v>31</v>
      </c>
      <c r="U93" s="11">
        <v>0.7818314824680298</v>
      </c>
      <c r="V93" s="11">
        <v>0.62348980185873359</v>
      </c>
      <c r="W93" s="11">
        <v>0.49346814167723735</v>
      </c>
      <c r="X93" s="11">
        <v>0.86976387206506456</v>
      </c>
      <c r="Y93">
        <v>0</v>
      </c>
      <c r="Z93">
        <v>0</v>
      </c>
      <c r="AB93">
        <v>1</v>
      </c>
      <c r="AC93">
        <v>0</v>
      </c>
      <c r="AD93">
        <v>0</v>
      </c>
      <c r="AE93">
        <v>0</v>
      </c>
    </row>
    <row r="94" spans="1:31">
      <c r="A94" s="6">
        <v>44957</v>
      </c>
      <c r="B94" t="s">
        <v>41</v>
      </c>
      <c r="C94" t="s">
        <v>42</v>
      </c>
      <c r="D94" t="s">
        <v>43</v>
      </c>
      <c r="E94" t="s">
        <v>44</v>
      </c>
      <c r="F94">
        <v>85</v>
      </c>
      <c r="G94">
        <v>210</v>
      </c>
      <c r="H94">
        <v>166</v>
      </c>
      <c r="I94">
        <v>74</v>
      </c>
      <c r="J94" s="8">
        <v>0.87058823529411766</v>
      </c>
      <c r="K94">
        <v>36</v>
      </c>
      <c r="L94">
        <v>37</v>
      </c>
      <c r="M94">
        <v>135</v>
      </c>
      <c r="N94" s="10">
        <v>610.37</v>
      </c>
      <c r="O94" s="7">
        <v>11.1</v>
      </c>
      <c r="P94" s="7">
        <v>29.3</v>
      </c>
      <c r="Q94">
        <v>1</v>
      </c>
      <c r="R94" t="s">
        <v>63</v>
      </c>
      <c r="S94">
        <v>1</v>
      </c>
      <c r="T94">
        <v>31</v>
      </c>
      <c r="U94" s="11">
        <v>0.7818314824680298</v>
      </c>
      <c r="V94" s="11">
        <v>0.62348980185873359</v>
      </c>
      <c r="W94" s="11">
        <v>0.49346814167723735</v>
      </c>
      <c r="X94" s="11">
        <v>0.86976387206506456</v>
      </c>
      <c r="Y94">
        <v>0</v>
      </c>
      <c r="Z94">
        <v>0</v>
      </c>
      <c r="AB94">
        <v>1</v>
      </c>
      <c r="AC94">
        <v>0</v>
      </c>
      <c r="AD94">
        <v>0</v>
      </c>
      <c r="AE94">
        <v>0</v>
      </c>
    </row>
    <row r="95" spans="1:31">
      <c r="A95" s="6">
        <v>44958</v>
      </c>
      <c r="B95" t="s">
        <v>31</v>
      </c>
      <c r="C95" t="s">
        <v>32</v>
      </c>
      <c r="D95" t="s">
        <v>33</v>
      </c>
      <c r="E95" t="s">
        <v>34</v>
      </c>
      <c r="F95">
        <v>140</v>
      </c>
      <c r="G95">
        <v>360</v>
      </c>
      <c r="H95">
        <v>218</v>
      </c>
      <c r="I95">
        <v>92</v>
      </c>
      <c r="J95" s="8">
        <v>0.65714285714285714</v>
      </c>
      <c r="K95">
        <v>35</v>
      </c>
      <c r="L95">
        <v>50</v>
      </c>
      <c r="M95">
        <v>195</v>
      </c>
      <c r="N95" s="10">
        <v>407.15</v>
      </c>
      <c r="O95" s="7">
        <v>0</v>
      </c>
      <c r="P95" s="7">
        <v>28.5</v>
      </c>
      <c r="Q95">
        <v>2</v>
      </c>
      <c r="R95" t="s">
        <v>64</v>
      </c>
      <c r="S95">
        <v>2</v>
      </c>
      <c r="T95">
        <v>32</v>
      </c>
      <c r="U95" s="11">
        <v>0.97492791218182362</v>
      </c>
      <c r="V95" s="11">
        <v>-0.22252093395631434</v>
      </c>
      <c r="W95" s="11">
        <v>0.50835643793751217</v>
      </c>
      <c r="X95" s="11">
        <v>0.86114675404804519</v>
      </c>
      <c r="Y95">
        <v>0</v>
      </c>
      <c r="Z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6">
        <v>44958</v>
      </c>
      <c r="B96" t="s">
        <v>36</v>
      </c>
      <c r="C96" t="s">
        <v>37</v>
      </c>
      <c r="D96" t="s">
        <v>38</v>
      </c>
      <c r="E96" t="s">
        <v>39</v>
      </c>
      <c r="F96">
        <v>125</v>
      </c>
      <c r="G96">
        <v>320</v>
      </c>
      <c r="H96">
        <v>179</v>
      </c>
      <c r="I96">
        <v>77</v>
      </c>
      <c r="J96" s="8">
        <v>0.61599999999999999</v>
      </c>
      <c r="K96">
        <v>46</v>
      </c>
      <c r="L96">
        <v>42</v>
      </c>
      <c r="M96">
        <v>148</v>
      </c>
      <c r="N96" s="10">
        <v>647.24</v>
      </c>
      <c r="O96" s="7">
        <v>0</v>
      </c>
      <c r="P96" s="7">
        <v>28.5</v>
      </c>
      <c r="Q96">
        <v>2</v>
      </c>
      <c r="R96" t="s">
        <v>64</v>
      </c>
      <c r="S96">
        <v>2</v>
      </c>
      <c r="T96">
        <v>32</v>
      </c>
      <c r="U96" s="11">
        <v>0.97492791218182362</v>
      </c>
      <c r="V96" s="11">
        <v>-0.22252093395631434</v>
      </c>
      <c r="W96" s="11">
        <v>0.50835643793751217</v>
      </c>
      <c r="X96" s="11">
        <v>0.86114675404804519</v>
      </c>
      <c r="Y96">
        <v>0</v>
      </c>
      <c r="Z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6">
        <v>44958</v>
      </c>
      <c r="B97" t="s">
        <v>41</v>
      </c>
      <c r="C97" t="s">
        <v>42</v>
      </c>
      <c r="D97" t="s">
        <v>43</v>
      </c>
      <c r="E97" t="s">
        <v>44</v>
      </c>
      <c r="F97">
        <v>85</v>
      </c>
      <c r="G97">
        <v>210</v>
      </c>
      <c r="H97">
        <v>124</v>
      </c>
      <c r="I97">
        <v>57</v>
      </c>
      <c r="J97" s="8">
        <v>0.6705882352941176</v>
      </c>
      <c r="K97">
        <v>31</v>
      </c>
      <c r="L97">
        <v>14</v>
      </c>
      <c r="M97">
        <v>110</v>
      </c>
      <c r="N97" s="10">
        <v>545.47</v>
      </c>
      <c r="O97" s="7">
        <v>0</v>
      </c>
      <c r="P97" s="7">
        <v>28.5</v>
      </c>
      <c r="Q97">
        <v>2</v>
      </c>
      <c r="R97" t="s">
        <v>64</v>
      </c>
      <c r="S97">
        <v>2</v>
      </c>
      <c r="T97">
        <v>32</v>
      </c>
      <c r="U97" s="11">
        <v>0.97492791218182362</v>
      </c>
      <c r="V97" s="11">
        <v>-0.22252093395631434</v>
      </c>
      <c r="W97" s="11">
        <v>0.50835643793751217</v>
      </c>
      <c r="X97" s="11">
        <v>0.86114675404804519</v>
      </c>
      <c r="Y97">
        <v>0</v>
      </c>
      <c r="Z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6">
        <v>44959</v>
      </c>
      <c r="B98" t="s">
        <v>31</v>
      </c>
      <c r="C98" t="s">
        <v>32</v>
      </c>
      <c r="D98" t="s">
        <v>33</v>
      </c>
      <c r="E98" t="s">
        <v>34</v>
      </c>
      <c r="F98">
        <v>140</v>
      </c>
      <c r="G98">
        <v>360</v>
      </c>
      <c r="H98">
        <v>197</v>
      </c>
      <c r="I98">
        <v>84</v>
      </c>
      <c r="J98" s="8">
        <v>0.6</v>
      </c>
      <c r="K98">
        <v>50</v>
      </c>
      <c r="L98">
        <v>53</v>
      </c>
      <c r="M98">
        <v>179</v>
      </c>
      <c r="N98" s="10">
        <v>448.16</v>
      </c>
      <c r="O98" s="7">
        <v>0</v>
      </c>
      <c r="P98" s="7">
        <v>28.3</v>
      </c>
      <c r="Q98">
        <v>3</v>
      </c>
      <c r="R98" t="s">
        <v>65</v>
      </c>
      <c r="S98">
        <v>2</v>
      </c>
      <c r="T98">
        <v>33</v>
      </c>
      <c r="U98" s="11">
        <v>0.43388373911755823</v>
      </c>
      <c r="V98" s="11">
        <v>-0.90096886790241903</v>
      </c>
      <c r="W98" s="11">
        <v>0.52309430334913265</v>
      </c>
      <c r="X98" s="11">
        <v>0.85227480885198381</v>
      </c>
      <c r="Y98">
        <v>0</v>
      </c>
      <c r="Z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6">
        <v>44959</v>
      </c>
      <c r="B99" t="s">
        <v>36</v>
      </c>
      <c r="C99" t="s">
        <v>37</v>
      </c>
      <c r="D99" t="s">
        <v>38</v>
      </c>
      <c r="E99" t="s">
        <v>39</v>
      </c>
      <c r="F99">
        <v>125</v>
      </c>
      <c r="G99">
        <v>320</v>
      </c>
      <c r="H99">
        <v>187</v>
      </c>
      <c r="I99">
        <v>80</v>
      </c>
      <c r="J99" s="8">
        <v>0.64</v>
      </c>
      <c r="K99">
        <v>33</v>
      </c>
      <c r="L99">
        <v>30</v>
      </c>
      <c r="M99">
        <v>170</v>
      </c>
      <c r="N99" s="10">
        <v>568.62</v>
      </c>
      <c r="O99" s="7">
        <v>0</v>
      </c>
      <c r="P99" s="7">
        <v>28.3</v>
      </c>
      <c r="Q99">
        <v>3</v>
      </c>
      <c r="R99" t="s">
        <v>65</v>
      </c>
      <c r="S99">
        <v>2</v>
      </c>
      <c r="T99">
        <v>33</v>
      </c>
      <c r="U99" s="11">
        <v>0.43388373911755823</v>
      </c>
      <c r="V99" s="11">
        <v>-0.90096886790241903</v>
      </c>
      <c r="W99" s="11">
        <v>0.52309430334913265</v>
      </c>
      <c r="X99" s="11">
        <v>0.85227480885198381</v>
      </c>
      <c r="Y99">
        <v>0</v>
      </c>
      <c r="Z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6">
        <v>44959</v>
      </c>
      <c r="B100" t="s">
        <v>41</v>
      </c>
      <c r="C100" t="s">
        <v>42</v>
      </c>
      <c r="D100" t="s">
        <v>43</v>
      </c>
      <c r="E100" t="s">
        <v>44</v>
      </c>
      <c r="F100">
        <v>85</v>
      </c>
      <c r="G100">
        <v>210</v>
      </c>
      <c r="H100">
        <v>117</v>
      </c>
      <c r="I100">
        <v>56</v>
      </c>
      <c r="J100" s="8">
        <v>0.6588235294117647</v>
      </c>
      <c r="K100">
        <v>19</v>
      </c>
      <c r="L100">
        <v>23</v>
      </c>
      <c r="M100">
        <v>104</v>
      </c>
      <c r="N100" s="10">
        <v>481.68</v>
      </c>
      <c r="O100" s="7">
        <v>0</v>
      </c>
      <c r="P100" s="7">
        <v>28.3</v>
      </c>
      <c r="Q100">
        <v>3</v>
      </c>
      <c r="R100" t="s">
        <v>65</v>
      </c>
      <c r="S100">
        <v>2</v>
      </c>
      <c r="T100">
        <v>33</v>
      </c>
      <c r="U100" s="11">
        <v>0.43388373911755823</v>
      </c>
      <c r="V100" s="11">
        <v>-0.90096886790241903</v>
      </c>
      <c r="W100" s="11">
        <v>0.52309430334913265</v>
      </c>
      <c r="X100" s="11">
        <v>0.85227480885198381</v>
      </c>
      <c r="Y100">
        <v>0</v>
      </c>
      <c r="Z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6">
        <v>44960</v>
      </c>
      <c r="B101" t="s">
        <v>31</v>
      </c>
      <c r="C101" t="s">
        <v>32</v>
      </c>
      <c r="D101" t="s">
        <v>33</v>
      </c>
      <c r="E101" t="s">
        <v>34</v>
      </c>
      <c r="F101">
        <v>140</v>
      </c>
      <c r="G101">
        <v>360</v>
      </c>
      <c r="H101">
        <v>210</v>
      </c>
      <c r="I101">
        <v>87</v>
      </c>
      <c r="J101" s="8">
        <v>0.62142857142857144</v>
      </c>
      <c r="K101">
        <v>58</v>
      </c>
      <c r="L101">
        <v>35</v>
      </c>
      <c r="M101">
        <v>190</v>
      </c>
      <c r="N101" s="10">
        <v>392.89</v>
      </c>
      <c r="O101" s="7">
        <v>17.8</v>
      </c>
      <c r="P101" s="7">
        <v>27.6</v>
      </c>
      <c r="Q101">
        <v>4</v>
      </c>
      <c r="R101" t="s">
        <v>66</v>
      </c>
      <c r="S101">
        <v>2</v>
      </c>
      <c r="T101">
        <v>34</v>
      </c>
      <c r="U101" s="11">
        <v>-0.43388373911755801</v>
      </c>
      <c r="V101" s="11">
        <v>-0.90096886790241915</v>
      </c>
      <c r="W101" s="11">
        <v>0.53767737674061411</v>
      </c>
      <c r="X101" s="11">
        <v>0.84315066182819998</v>
      </c>
      <c r="Y101">
        <v>0</v>
      </c>
      <c r="Z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6">
        <v>44960</v>
      </c>
      <c r="B102" t="s">
        <v>36</v>
      </c>
      <c r="C102" t="s">
        <v>37</v>
      </c>
      <c r="D102" t="s">
        <v>38</v>
      </c>
      <c r="E102" t="s">
        <v>39</v>
      </c>
      <c r="F102">
        <v>125</v>
      </c>
      <c r="G102">
        <v>320</v>
      </c>
      <c r="H102">
        <v>177</v>
      </c>
      <c r="I102">
        <v>76</v>
      </c>
      <c r="J102" s="8">
        <v>0.60799999999999998</v>
      </c>
      <c r="K102">
        <v>39</v>
      </c>
      <c r="L102">
        <v>41</v>
      </c>
      <c r="M102">
        <v>143</v>
      </c>
      <c r="N102" s="10">
        <v>588.95000000000005</v>
      </c>
      <c r="O102" s="7">
        <v>17.8</v>
      </c>
      <c r="P102" s="7">
        <v>27.6</v>
      </c>
      <c r="Q102">
        <v>4</v>
      </c>
      <c r="R102" t="s">
        <v>66</v>
      </c>
      <c r="S102">
        <v>2</v>
      </c>
      <c r="T102">
        <v>34</v>
      </c>
      <c r="U102" s="11">
        <v>-0.43388373911755801</v>
      </c>
      <c r="V102" s="11">
        <v>-0.90096886790241915</v>
      </c>
      <c r="W102" s="11">
        <v>0.53767737674061411</v>
      </c>
      <c r="X102" s="11">
        <v>0.84315066182819998</v>
      </c>
      <c r="Y102">
        <v>0</v>
      </c>
      <c r="Z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6">
        <v>44960</v>
      </c>
      <c r="B103" t="s">
        <v>41</v>
      </c>
      <c r="C103" t="s">
        <v>42</v>
      </c>
      <c r="D103" t="s">
        <v>43</v>
      </c>
      <c r="E103" t="s">
        <v>44</v>
      </c>
      <c r="F103">
        <v>85</v>
      </c>
      <c r="G103">
        <v>210</v>
      </c>
      <c r="H103">
        <v>130</v>
      </c>
      <c r="I103">
        <v>57</v>
      </c>
      <c r="J103" s="8">
        <v>0.6705882352941176</v>
      </c>
      <c r="K103">
        <v>28</v>
      </c>
      <c r="L103">
        <v>16</v>
      </c>
      <c r="M103">
        <v>119</v>
      </c>
      <c r="N103" s="10">
        <v>507.84</v>
      </c>
      <c r="O103" s="7">
        <v>17.8</v>
      </c>
      <c r="P103" s="7">
        <v>27.6</v>
      </c>
      <c r="Q103">
        <v>4</v>
      </c>
      <c r="R103" t="s">
        <v>66</v>
      </c>
      <c r="S103">
        <v>2</v>
      </c>
      <c r="T103">
        <v>34</v>
      </c>
      <c r="U103" s="11">
        <v>-0.43388373911755801</v>
      </c>
      <c r="V103" s="11">
        <v>-0.90096886790241915</v>
      </c>
      <c r="W103" s="11">
        <v>0.53767737674061411</v>
      </c>
      <c r="X103" s="11">
        <v>0.84315066182819998</v>
      </c>
      <c r="Y103">
        <v>0</v>
      </c>
      <c r="Z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6">
        <v>44961</v>
      </c>
      <c r="B104" t="s">
        <v>31</v>
      </c>
      <c r="C104" t="s">
        <v>32</v>
      </c>
      <c r="D104" t="s">
        <v>33</v>
      </c>
      <c r="E104" t="s">
        <v>34</v>
      </c>
      <c r="F104">
        <v>140</v>
      </c>
      <c r="G104">
        <v>360</v>
      </c>
      <c r="H104">
        <v>201</v>
      </c>
      <c r="I104">
        <v>88</v>
      </c>
      <c r="J104" s="8">
        <v>0.62857142857142856</v>
      </c>
      <c r="K104">
        <v>47</v>
      </c>
      <c r="L104">
        <v>30</v>
      </c>
      <c r="M104">
        <v>173</v>
      </c>
      <c r="N104" s="10">
        <v>465.77</v>
      </c>
      <c r="O104" s="7">
        <v>10.1</v>
      </c>
      <c r="P104" s="7">
        <v>28.7</v>
      </c>
      <c r="Q104">
        <v>5</v>
      </c>
      <c r="R104" t="s">
        <v>67</v>
      </c>
      <c r="S104">
        <v>2</v>
      </c>
      <c r="T104">
        <v>35</v>
      </c>
      <c r="U104" s="11">
        <v>-0.97492791218182362</v>
      </c>
      <c r="V104" s="11">
        <v>-0.22252093395631459</v>
      </c>
      <c r="W104" s="11">
        <v>0.55210134274592082</v>
      </c>
      <c r="X104" s="11">
        <v>0.83377701295859152</v>
      </c>
      <c r="Y104">
        <v>1</v>
      </c>
      <c r="Z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6">
        <v>44961</v>
      </c>
      <c r="B105" t="s">
        <v>36</v>
      </c>
      <c r="C105" t="s">
        <v>37</v>
      </c>
      <c r="D105" t="s">
        <v>38</v>
      </c>
      <c r="E105" t="s">
        <v>39</v>
      </c>
      <c r="F105">
        <v>125</v>
      </c>
      <c r="G105">
        <v>320</v>
      </c>
      <c r="H105">
        <v>193</v>
      </c>
      <c r="I105">
        <v>84</v>
      </c>
      <c r="J105" s="8">
        <v>0.67200000000000004</v>
      </c>
      <c r="K105">
        <v>48</v>
      </c>
      <c r="L105">
        <v>26</v>
      </c>
      <c r="M105">
        <v>163</v>
      </c>
      <c r="N105" s="10">
        <v>752.48</v>
      </c>
      <c r="O105" s="7">
        <v>10.1</v>
      </c>
      <c r="P105" s="7">
        <v>28.7</v>
      </c>
      <c r="Q105">
        <v>5</v>
      </c>
      <c r="R105" t="s">
        <v>67</v>
      </c>
      <c r="S105">
        <v>2</v>
      </c>
      <c r="T105">
        <v>35</v>
      </c>
      <c r="U105" s="11">
        <v>-0.97492791218182362</v>
      </c>
      <c r="V105" s="11">
        <v>-0.22252093395631459</v>
      </c>
      <c r="W105" s="11">
        <v>0.55210134274592082</v>
      </c>
      <c r="X105" s="11">
        <v>0.83377701295859152</v>
      </c>
      <c r="Y105">
        <v>1</v>
      </c>
      <c r="Z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6">
        <v>44961</v>
      </c>
      <c r="B106" t="s">
        <v>41</v>
      </c>
      <c r="C106" t="s">
        <v>42</v>
      </c>
      <c r="D106" t="s">
        <v>43</v>
      </c>
      <c r="E106" t="s">
        <v>44</v>
      </c>
      <c r="F106">
        <v>85</v>
      </c>
      <c r="G106">
        <v>210</v>
      </c>
      <c r="H106">
        <v>148</v>
      </c>
      <c r="I106">
        <v>66</v>
      </c>
      <c r="J106" s="8">
        <v>0.77647058823529413</v>
      </c>
      <c r="K106">
        <v>34</v>
      </c>
      <c r="L106">
        <v>41</v>
      </c>
      <c r="M106">
        <v>133</v>
      </c>
      <c r="N106" s="10">
        <v>594.11</v>
      </c>
      <c r="O106" s="7">
        <v>10.1</v>
      </c>
      <c r="P106" s="7">
        <v>28.7</v>
      </c>
      <c r="Q106">
        <v>5</v>
      </c>
      <c r="R106" t="s">
        <v>67</v>
      </c>
      <c r="S106">
        <v>2</v>
      </c>
      <c r="T106">
        <v>35</v>
      </c>
      <c r="U106" s="11">
        <v>-0.97492791218182362</v>
      </c>
      <c r="V106" s="11">
        <v>-0.22252093395631459</v>
      </c>
      <c r="W106" s="11">
        <v>0.55210134274592082</v>
      </c>
      <c r="X106" s="11">
        <v>0.83377701295859152</v>
      </c>
      <c r="Y106">
        <v>1</v>
      </c>
      <c r="Z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6">
        <v>44962</v>
      </c>
      <c r="B107" t="s">
        <v>31</v>
      </c>
      <c r="C107" t="s">
        <v>32</v>
      </c>
      <c r="D107" t="s">
        <v>33</v>
      </c>
      <c r="E107" t="s">
        <v>34</v>
      </c>
      <c r="F107">
        <v>140</v>
      </c>
      <c r="G107">
        <v>360</v>
      </c>
      <c r="H107">
        <v>247</v>
      </c>
      <c r="I107">
        <v>106</v>
      </c>
      <c r="J107" s="8">
        <v>0.75714285714285712</v>
      </c>
      <c r="K107">
        <v>64</v>
      </c>
      <c r="L107">
        <v>56</v>
      </c>
      <c r="M107">
        <v>205</v>
      </c>
      <c r="N107" s="10">
        <v>495.24</v>
      </c>
      <c r="O107" s="7">
        <v>11.4</v>
      </c>
      <c r="P107" s="7">
        <v>29.5</v>
      </c>
      <c r="Q107">
        <v>6</v>
      </c>
      <c r="R107" t="s">
        <v>60</v>
      </c>
      <c r="S107">
        <v>2</v>
      </c>
      <c r="T107">
        <v>36</v>
      </c>
      <c r="U107" s="11">
        <v>-0.78183148246802991</v>
      </c>
      <c r="V107" s="11">
        <v>0.62348980185873337</v>
      </c>
      <c r="W107" s="11">
        <v>0.56636193308145244</v>
      </c>
      <c r="X107" s="11">
        <v>0.82415663605666634</v>
      </c>
      <c r="Y107">
        <v>1</v>
      </c>
      <c r="Z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6">
        <v>44962</v>
      </c>
      <c r="B108" t="s">
        <v>36</v>
      </c>
      <c r="C108" t="s">
        <v>37</v>
      </c>
      <c r="D108" t="s">
        <v>38</v>
      </c>
      <c r="E108" t="s">
        <v>39</v>
      </c>
      <c r="F108">
        <v>125</v>
      </c>
      <c r="G108">
        <v>320</v>
      </c>
      <c r="H108">
        <v>206</v>
      </c>
      <c r="I108">
        <v>85</v>
      </c>
      <c r="J108" s="8">
        <v>0.68</v>
      </c>
      <c r="K108">
        <v>41</v>
      </c>
      <c r="L108">
        <v>20</v>
      </c>
      <c r="M108">
        <v>190</v>
      </c>
      <c r="N108" s="10">
        <v>689.92</v>
      </c>
      <c r="O108" s="7">
        <v>11.4</v>
      </c>
      <c r="P108" s="7">
        <v>29.5</v>
      </c>
      <c r="Q108">
        <v>6</v>
      </c>
      <c r="R108" t="s">
        <v>60</v>
      </c>
      <c r="S108">
        <v>2</v>
      </c>
      <c r="T108">
        <v>36</v>
      </c>
      <c r="U108" s="11">
        <v>-0.78183148246802991</v>
      </c>
      <c r="V108" s="11">
        <v>0.62348980185873337</v>
      </c>
      <c r="W108" s="11">
        <v>0.56636193308145244</v>
      </c>
      <c r="X108" s="11">
        <v>0.82415663605666634</v>
      </c>
      <c r="Y108">
        <v>1</v>
      </c>
      <c r="Z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6">
        <v>44962</v>
      </c>
      <c r="B109" t="s">
        <v>41</v>
      </c>
      <c r="C109" t="s">
        <v>42</v>
      </c>
      <c r="D109" t="s">
        <v>43</v>
      </c>
      <c r="E109" t="s">
        <v>44</v>
      </c>
      <c r="F109">
        <v>85</v>
      </c>
      <c r="G109">
        <v>210</v>
      </c>
      <c r="H109">
        <v>140</v>
      </c>
      <c r="I109">
        <v>61</v>
      </c>
      <c r="J109" s="8">
        <v>0.71764705882352942</v>
      </c>
      <c r="K109">
        <v>32</v>
      </c>
      <c r="L109">
        <v>40</v>
      </c>
      <c r="M109">
        <v>130</v>
      </c>
      <c r="N109" s="10">
        <v>569.78</v>
      </c>
      <c r="O109" s="7">
        <v>11.4</v>
      </c>
      <c r="P109" s="7">
        <v>29.5</v>
      </c>
      <c r="Q109">
        <v>6</v>
      </c>
      <c r="R109" t="s">
        <v>60</v>
      </c>
      <c r="S109">
        <v>2</v>
      </c>
      <c r="T109">
        <v>36</v>
      </c>
      <c r="U109" s="11">
        <v>-0.78183148246802991</v>
      </c>
      <c r="V109" s="11">
        <v>0.62348980185873337</v>
      </c>
      <c r="W109" s="11">
        <v>0.56636193308145244</v>
      </c>
      <c r="X109" s="11">
        <v>0.82415663605666634</v>
      </c>
      <c r="Y109">
        <v>1</v>
      </c>
      <c r="Z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6">
        <v>44963</v>
      </c>
      <c r="B110" t="s">
        <v>31</v>
      </c>
      <c r="C110" t="s">
        <v>32</v>
      </c>
      <c r="D110" t="s">
        <v>33</v>
      </c>
      <c r="E110" t="s">
        <v>34</v>
      </c>
      <c r="F110">
        <v>140</v>
      </c>
      <c r="G110">
        <v>360</v>
      </c>
      <c r="H110">
        <v>201</v>
      </c>
      <c r="I110">
        <v>83</v>
      </c>
      <c r="J110" s="8">
        <v>0.59285714285714286</v>
      </c>
      <c r="K110">
        <v>38</v>
      </c>
      <c r="L110">
        <v>48</v>
      </c>
      <c r="M110">
        <v>182</v>
      </c>
      <c r="N110" s="10">
        <v>402.95</v>
      </c>
      <c r="O110" s="7">
        <v>0</v>
      </c>
      <c r="P110" s="7">
        <v>29.1</v>
      </c>
      <c r="Q110">
        <v>0</v>
      </c>
      <c r="R110" t="s">
        <v>62</v>
      </c>
      <c r="S110">
        <v>2</v>
      </c>
      <c r="T110">
        <v>37</v>
      </c>
      <c r="U110" s="11">
        <v>0</v>
      </c>
      <c r="V110" s="11">
        <v>1</v>
      </c>
      <c r="W110" s="11">
        <v>0.58045492780909802</v>
      </c>
      <c r="X110" s="11">
        <v>0.81429237794672671</v>
      </c>
      <c r="Y110">
        <v>0</v>
      </c>
      <c r="Z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6">
        <v>44963</v>
      </c>
      <c r="B111" t="s">
        <v>36</v>
      </c>
      <c r="C111" t="s">
        <v>37</v>
      </c>
      <c r="D111" t="s">
        <v>38</v>
      </c>
      <c r="E111" t="s">
        <v>39</v>
      </c>
      <c r="F111">
        <v>125</v>
      </c>
      <c r="G111">
        <v>320</v>
      </c>
      <c r="H111">
        <v>165</v>
      </c>
      <c r="I111">
        <v>71</v>
      </c>
      <c r="J111" s="8">
        <v>0.56799999999999995</v>
      </c>
      <c r="K111">
        <v>43</v>
      </c>
      <c r="L111">
        <v>43</v>
      </c>
      <c r="M111">
        <v>149</v>
      </c>
      <c r="N111" s="10">
        <v>605.33000000000004</v>
      </c>
      <c r="O111" s="7">
        <v>0</v>
      </c>
      <c r="P111" s="7">
        <v>29.1</v>
      </c>
      <c r="Q111">
        <v>0</v>
      </c>
      <c r="R111" t="s">
        <v>62</v>
      </c>
      <c r="S111">
        <v>2</v>
      </c>
      <c r="T111">
        <v>37</v>
      </c>
      <c r="U111" s="11">
        <v>0</v>
      </c>
      <c r="V111" s="11">
        <v>1</v>
      </c>
      <c r="W111" s="11">
        <v>0.58045492780909802</v>
      </c>
      <c r="X111" s="11">
        <v>0.81429237794672671</v>
      </c>
      <c r="Y111">
        <v>0</v>
      </c>
      <c r="Z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6">
        <v>44963</v>
      </c>
      <c r="B112" t="s">
        <v>41</v>
      </c>
      <c r="C112" t="s">
        <v>42</v>
      </c>
      <c r="D112" t="s">
        <v>43</v>
      </c>
      <c r="E112" t="s">
        <v>44</v>
      </c>
      <c r="F112">
        <v>85</v>
      </c>
      <c r="G112">
        <v>210</v>
      </c>
      <c r="H112">
        <v>121</v>
      </c>
      <c r="I112">
        <v>53</v>
      </c>
      <c r="J112" s="8">
        <v>0.62352941176470589</v>
      </c>
      <c r="K112">
        <v>32</v>
      </c>
      <c r="L112">
        <v>12</v>
      </c>
      <c r="M112">
        <v>109</v>
      </c>
      <c r="N112" s="10">
        <v>524.70000000000005</v>
      </c>
      <c r="O112" s="7">
        <v>0</v>
      </c>
      <c r="P112" s="7">
        <v>29.1</v>
      </c>
      <c r="Q112">
        <v>0</v>
      </c>
      <c r="R112" t="s">
        <v>62</v>
      </c>
      <c r="S112">
        <v>2</v>
      </c>
      <c r="T112">
        <v>37</v>
      </c>
      <c r="U112" s="11">
        <v>0</v>
      </c>
      <c r="V112" s="11">
        <v>1</v>
      </c>
      <c r="W112" s="11">
        <v>0.58045492780909802</v>
      </c>
      <c r="X112" s="11">
        <v>0.81429237794672671</v>
      </c>
      <c r="Y112">
        <v>0</v>
      </c>
      <c r="Z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6">
        <v>44964</v>
      </c>
      <c r="B113" t="s">
        <v>31</v>
      </c>
      <c r="C113" t="s">
        <v>32</v>
      </c>
      <c r="D113" t="s">
        <v>33</v>
      </c>
      <c r="E113" t="s">
        <v>34</v>
      </c>
      <c r="F113">
        <v>140</v>
      </c>
      <c r="G113">
        <v>360</v>
      </c>
      <c r="H113">
        <v>203</v>
      </c>
      <c r="I113">
        <v>87</v>
      </c>
      <c r="J113" s="8">
        <v>0.62142857142857144</v>
      </c>
      <c r="K113">
        <v>51</v>
      </c>
      <c r="L113">
        <v>54</v>
      </c>
      <c r="M113">
        <v>180</v>
      </c>
      <c r="N113" s="10">
        <v>461.67</v>
      </c>
      <c r="O113" s="7">
        <v>1.6</v>
      </c>
      <c r="P113" s="7">
        <v>28.5</v>
      </c>
      <c r="Q113">
        <v>1</v>
      </c>
      <c r="R113" t="s">
        <v>63</v>
      </c>
      <c r="S113">
        <v>2</v>
      </c>
      <c r="T113">
        <v>38</v>
      </c>
      <c r="U113" s="11">
        <v>0.7818314824680298</v>
      </c>
      <c r="V113" s="11">
        <v>0.62348980185873359</v>
      </c>
      <c r="W113" s="11">
        <v>0.59437615658498311</v>
      </c>
      <c r="X113" s="11">
        <v>0.80418715762144799</v>
      </c>
      <c r="Y113">
        <v>0</v>
      </c>
      <c r="Z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6">
        <v>44964</v>
      </c>
      <c r="B114" t="s">
        <v>36</v>
      </c>
      <c r="C114" t="s">
        <v>37</v>
      </c>
      <c r="D114" t="s">
        <v>38</v>
      </c>
      <c r="E114" t="s">
        <v>39</v>
      </c>
      <c r="F114">
        <v>125</v>
      </c>
      <c r="G114">
        <v>320</v>
      </c>
      <c r="H114">
        <v>171</v>
      </c>
      <c r="I114">
        <v>71</v>
      </c>
      <c r="J114" s="8">
        <v>0.56799999999999995</v>
      </c>
      <c r="K114">
        <v>32</v>
      </c>
      <c r="L114">
        <v>17</v>
      </c>
      <c r="M114">
        <v>152</v>
      </c>
      <c r="N114" s="10">
        <v>593.42999999999995</v>
      </c>
      <c r="O114" s="7">
        <v>1.6</v>
      </c>
      <c r="P114" s="7">
        <v>28.5</v>
      </c>
      <c r="Q114">
        <v>1</v>
      </c>
      <c r="R114" t="s">
        <v>63</v>
      </c>
      <c r="S114">
        <v>2</v>
      </c>
      <c r="T114">
        <v>38</v>
      </c>
      <c r="U114" s="11">
        <v>0.7818314824680298</v>
      </c>
      <c r="V114" s="11">
        <v>0.62348980185873359</v>
      </c>
      <c r="W114" s="11">
        <v>0.59437615658498311</v>
      </c>
      <c r="X114" s="11">
        <v>0.80418715762144799</v>
      </c>
      <c r="Y114">
        <v>0</v>
      </c>
      <c r="Z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6">
        <v>44964</v>
      </c>
      <c r="B115" t="s">
        <v>41</v>
      </c>
      <c r="C115" t="s">
        <v>42</v>
      </c>
      <c r="D115" t="s">
        <v>43</v>
      </c>
      <c r="E115" t="s">
        <v>44</v>
      </c>
      <c r="F115">
        <v>85</v>
      </c>
      <c r="G115">
        <v>210</v>
      </c>
      <c r="H115">
        <v>134</v>
      </c>
      <c r="I115">
        <v>60</v>
      </c>
      <c r="J115" s="8">
        <v>0.70588235294117652</v>
      </c>
      <c r="K115">
        <v>35</v>
      </c>
      <c r="L115">
        <v>30</v>
      </c>
      <c r="M115">
        <v>116</v>
      </c>
      <c r="N115" s="10">
        <v>513.6</v>
      </c>
      <c r="O115" s="7">
        <v>1.6</v>
      </c>
      <c r="P115" s="7">
        <v>28.5</v>
      </c>
      <c r="Q115">
        <v>1</v>
      </c>
      <c r="R115" t="s">
        <v>63</v>
      </c>
      <c r="S115">
        <v>2</v>
      </c>
      <c r="T115">
        <v>38</v>
      </c>
      <c r="U115" s="11">
        <v>0.7818314824680298</v>
      </c>
      <c r="V115" s="11">
        <v>0.62348980185873359</v>
      </c>
      <c r="W115" s="11">
        <v>0.59437615658498311</v>
      </c>
      <c r="X115" s="11">
        <v>0.80418715762144799</v>
      </c>
      <c r="Y115">
        <v>0</v>
      </c>
      <c r="Z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6">
        <v>44965</v>
      </c>
      <c r="B116" t="s">
        <v>31</v>
      </c>
      <c r="C116" t="s">
        <v>32</v>
      </c>
      <c r="D116" t="s">
        <v>33</v>
      </c>
      <c r="E116" t="s">
        <v>34</v>
      </c>
      <c r="F116">
        <v>140</v>
      </c>
      <c r="G116">
        <v>360</v>
      </c>
      <c r="H116">
        <v>193</v>
      </c>
      <c r="I116">
        <v>84</v>
      </c>
      <c r="J116" s="8">
        <v>0.6</v>
      </c>
      <c r="K116">
        <v>47</v>
      </c>
      <c r="L116">
        <v>39</v>
      </c>
      <c r="M116">
        <v>160</v>
      </c>
      <c r="N116" s="10">
        <v>429.35</v>
      </c>
      <c r="O116" s="7">
        <v>0</v>
      </c>
      <c r="P116" s="7">
        <v>27.6</v>
      </c>
      <c r="Q116">
        <v>2</v>
      </c>
      <c r="R116" t="s">
        <v>64</v>
      </c>
      <c r="S116">
        <v>2</v>
      </c>
      <c r="T116">
        <v>39</v>
      </c>
      <c r="U116" s="11">
        <v>0.97492791218182362</v>
      </c>
      <c r="V116" s="11">
        <v>-0.22252093395631434</v>
      </c>
      <c r="W116" s="11">
        <v>0.60812149989354181</v>
      </c>
      <c r="X116" s="11">
        <v>0.79384396537810187</v>
      </c>
      <c r="Y116">
        <v>0</v>
      </c>
      <c r="Z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6">
        <v>44965</v>
      </c>
      <c r="B117" t="s">
        <v>36</v>
      </c>
      <c r="C117" t="s">
        <v>37</v>
      </c>
      <c r="D117" t="s">
        <v>38</v>
      </c>
      <c r="E117" t="s">
        <v>39</v>
      </c>
      <c r="F117">
        <v>125</v>
      </c>
      <c r="G117">
        <v>320</v>
      </c>
      <c r="H117">
        <v>163</v>
      </c>
      <c r="I117">
        <v>71</v>
      </c>
      <c r="J117" s="8">
        <v>0.56799999999999995</v>
      </c>
      <c r="K117">
        <v>22</v>
      </c>
      <c r="L117">
        <v>39</v>
      </c>
      <c r="M117">
        <v>143</v>
      </c>
      <c r="N117" s="10">
        <v>650.37</v>
      </c>
      <c r="O117" s="7">
        <v>0</v>
      </c>
      <c r="P117" s="7">
        <v>27.6</v>
      </c>
      <c r="Q117">
        <v>2</v>
      </c>
      <c r="R117" t="s">
        <v>64</v>
      </c>
      <c r="S117">
        <v>2</v>
      </c>
      <c r="T117">
        <v>39</v>
      </c>
      <c r="U117" s="11">
        <v>0.97492791218182362</v>
      </c>
      <c r="V117" s="11">
        <v>-0.22252093395631434</v>
      </c>
      <c r="W117" s="11">
        <v>0.60812149989354181</v>
      </c>
      <c r="X117" s="11">
        <v>0.79384396537810187</v>
      </c>
      <c r="Y117">
        <v>0</v>
      </c>
      <c r="Z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6">
        <v>44965</v>
      </c>
      <c r="B118" t="s">
        <v>41</v>
      </c>
      <c r="C118" t="s">
        <v>42</v>
      </c>
      <c r="D118" t="s">
        <v>43</v>
      </c>
      <c r="E118" t="s">
        <v>44</v>
      </c>
      <c r="F118">
        <v>85</v>
      </c>
      <c r="G118">
        <v>210</v>
      </c>
      <c r="H118">
        <v>124</v>
      </c>
      <c r="I118">
        <v>58</v>
      </c>
      <c r="J118" s="8">
        <v>0.68235294117647061</v>
      </c>
      <c r="K118">
        <v>30</v>
      </c>
      <c r="L118">
        <v>22</v>
      </c>
      <c r="M118">
        <v>108</v>
      </c>
      <c r="N118" s="10">
        <v>517.52</v>
      </c>
      <c r="O118" s="7">
        <v>0</v>
      </c>
      <c r="P118" s="7">
        <v>27.6</v>
      </c>
      <c r="Q118">
        <v>2</v>
      </c>
      <c r="R118" t="s">
        <v>64</v>
      </c>
      <c r="S118">
        <v>2</v>
      </c>
      <c r="T118">
        <v>39</v>
      </c>
      <c r="U118" s="11">
        <v>0.97492791218182362</v>
      </c>
      <c r="V118" s="11">
        <v>-0.22252093395631434</v>
      </c>
      <c r="W118" s="11">
        <v>0.60812149989354181</v>
      </c>
      <c r="X118" s="11">
        <v>0.79384396537810187</v>
      </c>
      <c r="Y118">
        <v>0</v>
      </c>
      <c r="Z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6">
        <v>44966</v>
      </c>
      <c r="B119" t="s">
        <v>31</v>
      </c>
      <c r="C119" t="s">
        <v>32</v>
      </c>
      <c r="D119" t="s">
        <v>33</v>
      </c>
      <c r="E119" t="s">
        <v>34</v>
      </c>
      <c r="F119">
        <v>140</v>
      </c>
      <c r="G119">
        <v>360</v>
      </c>
      <c r="H119">
        <v>194</v>
      </c>
      <c r="I119">
        <v>84</v>
      </c>
      <c r="J119" s="8">
        <v>0.6</v>
      </c>
      <c r="K119">
        <v>27</v>
      </c>
      <c r="L119">
        <v>27</v>
      </c>
      <c r="M119">
        <v>175</v>
      </c>
      <c r="N119" s="10">
        <v>427.97</v>
      </c>
      <c r="O119" s="7">
        <v>7.1</v>
      </c>
      <c r="P119" s="7">
        <v>27.8</v>
      </c>
      <c r="Q119">
        <v>3</v>
      </c>
      <c r="R119" t="s">
        <v>65</v>
      </c>
      <c r="S119">
        <v>2</v>
      </c>
      <c r="T119">
        <v>40</v>
      </c>
      <c r="U119" s="11">
        <v>0.43388373911755823</v>
      </c>
      <c r="V119" s="11">
        <v>-0.90096886790241903</v>
      </c>
      <c r="W119" s="11">
        <v>0.62168689026654789</v>
      </c>
      <c r="X119" s="11">
        <v>0.78326586193367909</v>
      </c>
      <c r="Y119">
        <v>0</v>
      </c>
      <c r="Z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6">
        <v>44966</v>
      </c>
      <c r="B120" t="s">
        <v>36</v>
      </c>
      <c r="C120" t="s">
        <v>37</v>
      </c>
      <c r="D120" t="s">
        <v>38</v>
      </c>
      <c r="E120" t="s">
        <v>39</v>
      </c>
      <c r="F120">
        <v>125</v>
      </c>
      <c r="G120">
        <v>320</v>
      </c>
      <c r="H120">
        <v>173</v>
      </c>
      <c r="I120">
        <v>73</v>
      </c>
      <c r="J120" s="8">
        <v>0.58399999999999996</v>
      </c>
      <c r="K120">
        <v>31</v>
      </c>
      <c r="L120">
        <v>30</v>
      </c>
      <c r="M120">
        <v>157</v>
      </c>
      <c r="N120" s="10">
        <v>640.12</v>
      </c>
      <c r="O120" s="7">
        <v>7.1</v>
      </c>
      <c r="P120" s="7">
        <v>27.8</v>
      </c>
      <c r="Q120">
        <v>3</v>
      </c>
      <c r="R120" t="s">
        <v>65</v>
      </c>
      <c r="S120">
        <v>2</v>
      </c>
      <c r="T120">
        <v>40</v>
      </c>
      <c r="U120" s="11">
        <v>0.43388373911755823</v>
      </c>
      <c r="V120" s="11">
        <v>-0.90096886790241903</v>
      </c>
      <c r="W120" s="11">
        <v>0.62168689026654789</v>
      </c>
      <c r="X120" s="11">
        <v>0.78326586193367909</v>
      </c>
      <c r="Y120">
        <v>0</v>
      </c>
      <c r="Z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6">
        <v>44966</v>
      </c>
      <c r="B121" t="s">
        <v>41</v>
      </c>
      <c r="C121" t="s">
        <v>42</v>
      </c>
      <c r="D121" t="s">
        <v>43</v>
      </c>
      <c r="E121" t="s">
        <v>44</v>
      </c>
      <c r="F121">
        <v>85</v>
      </c>
      <c r="G121">
        <v>210</v>
      </c>
      <c r="H121">
        <v>134</v>
      </c>
      <c r="I121">
        <v>57</v>
      </c>
      <c r="J121" s="8">
        <v>0.6705882352941176</v>
      </c>
      <c r="K121">
        <v>25</v>
      </c>
      <c r="L121">
        <v>28</v>
      </c>
      <c r="M121">
        <v>109</v>
      </c>
      <c r="N121" s="10">
        <v>565.84</v>
      </c>
      <c r="O121" s="7">
        <v>7.1</v>
      </c>
      <c r="P121" s="7">
        <v>27.8</v>
      </c>
      <c r="Q121">
        <v>3</v>
      </c>
      <c r="R121" t="s">
        <v>65</v>
      </c>
      <c r="S121">
        <v>2</v>
      </c>
      <c r="T121">
        <v>40</v>
      </c>
      <c r="U121" s="11">
        <v>0.43388373911755823</v>
      </c>
      <c r="V121" s="11">
        <v>-0.90096886790241903</v>
      </c>
      <c r="W121" s="11">
        <v>0.62168689026654789</v>
      </c>
      <c r="X121" s="11">
        <v>0.78326586193367909</v>
      </c>
      <c r="Y121">
        <v>0</v>
      </c>
      <c r="Z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6">
        <v>44967</v>
      </c>
      <c r="B122" t="s">
        <v>31</v>
      </c>
      <c r="C122" t="s">
        <v>32</v>
      </c>
      <c r="D122" t="s">
        <v>33</v>
      </c>
      <c r="E122" t="s">
        <v>34</v>
      </c>
      <c r="F122">
        <v>140</v>
      </c>
      <c r="G122">
        <v>360</v>
      </c>
      <c r="H122">
        <v>182</v>
      </c>
      <c r="I122">
        <v>80</v>
      </c>
      <c r="J122" s="8">
        <v>0.5714285714285714</v>
      </c>
      <c r="K122">
        <v>31</v>
      </c>
      <c r="L122">
        <v>31</v>
      </c>
      <c r="M122">
        <v>151</v>
      </c>
      <c r="N122" s="10">
        <v>466.88</v>
      </c>
      <c r="O122" s="7">
        <v>3.5</v>
      </c>
      <c r="P122" s="7">
        <v>28.3</v>
      </c>
      <c r="Q122">
        <v>4</v>
      </c>
      <c r="R122" t="s">
        <v>66</v>
      </c>
      <c r="S122">
        <v>2</v>
      </c>
      <c r="T122">
        <v>41</v>
      </c>
      <c r="U122" s="11">
        <v>-0.43388373911755801</v>
      </c>
      <c r="V122" s="11">
        <v>-0.90096886790241915</v>
      </c>
      <c r="W122" s="11">
        <v>0.63506831348674375</v>
      </c>
      <c r="X122" s="11">
        <v>0.77245597751917416</v>
      </c>
      <c r="Y122">
        <v>0</v>
      </c>
      <c r="Z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6">
        <v>44967</v>
      </c>
      <c r="B123" t="s">
        <v>36</v>
      </c>
      <c r="C123" t="s">
        <v>37</v>
      </c>
      <c r="D123" t="s">
        <v>38</v>
      </c>
      <c r="E123" t="s">
        <v>39</v>
      </c>
      <c r="F123">
        <v>125</v>
      </c>
      <c r="G123">
        <v>320</v>
      </c>
      <c r="H123">
        <v>159</v>
      </c>
      <c r="I123">
        <v>67</v>
      </c>
      <c r="J123" s="8">
        <v>0.53600000000000003</v>
      </c>
      <c r="K123">
        <v>42</v>
      </c>
      <c r="L123">
        <v>32</v>
      </c>
      <c r="M123">
        <v>148</v>
      </c>
      <c r="N123" s="10">
        <v>643.87</v>
      </c>
      <c r="O123" s="7">
        <v>3.5</v>
      </c>
      <c r="P123" s="7">
        <v>28.3</v>
      </c>
      <c r="Q123">
        <v>4</v>
      </c>
      <c r="R123" t="s">
        <v>66</v>
      </c>
      <c r="S123">
        <v>2</v>
      </c>
      <c r="T123">
        <v>41</v>
      </c>
      <c r="U123" s="11">
        <v>-0.43388373911755801</v>
      </c>
      <c r="V123" s="11">
        <v>-0.90096886790241915</v>
      </c>
      <c r="W123" s="11">
        <v>0.63506831348674375</v>
      </c>
      <c r="X123" s="11">
        <v>0.77245597751917416</v>
      </c>
      <c r="Y123">
        <v>0</v>
      </c>
      <c r="Z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6">
        <v>44967</v>
      </c>
      <c r="B124" t="s">
        <v>41</v>
      </c>
      <c r="C124" t="s">
        <v>42</v>
      </c>
      <c r="D124" t="s">
        <v>43</v>
      </c>
      <c r="E124" t="s">
        <v>44</v>
      </c>
      <c r="F124">
        <v>85</v>
      </c>
      <c r="G124">
        <v>210</v>
      </c>
      <c r="H124">
        <v>130</v>
      </c>
      <c r="I124">
        <v>58</v>
      </c>
      <c r="J124" s="8">
        <v>0.68235294117647061</v>
      </c>
      <c r="K124">
        <v>20</v>
      </c>
      <c r="L124">
        <v>26</v>
      </c>
      <c r="M124">
        <v>108</v>
      </c>
      <c r="N124" s="10">
        <v>536.29999999999995</v>
      </c>
      <c r="O124" s="7">
        <v>3.5</v>
      </c>
      <c r="P124" s="7">
        <v>28.3</v>
      </c>
      <c r="Q124">
        <v>4</v>
      </c>
      <c r="R124" t="s">
        <v>66</v>
      </c>
      <c r="S124">
        <v>2</v>
      </c>
      <c r="T124">
        <v>41</v>
      </c>
      <c r="U124" s="11">
        <v>-0.43388373911755801</v>
      </c>
      <c r="V124" s="11">
        <v>-0.90096886790241915</v>
      </c>
      <c r="W124" s="11">
        <v>0.63506831348674375</v>
      </c>
      <c r="X124" s="11">
        <v>0.77245597751917416</v>
      </c>
      <c r="Y124">
        <v>0</v>
      </c>
      <c r="Z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6">
        <v>44968</v>
      </c>
      <c r="B125" t="s">
        <v>31</v>
      </c>
      <c r="C125" t="s">
        <v>32</v>
      </c>
      <c r="D125" t="s">
        <v>33</v>
      </c>
      <c r="E125" t="s">
        <v>34</v>
      </c>
      <c r="F125">
        <v>140</v>
      </c>
      <c r="G125">
        <v>360</v>
      </c>
      <c r="H125">
        <v>238</v>
      </c>
      <c r="I125">
        <v>103</v>
      </c>
      <c r="J125" s="8">
        <v>0.73571428571428577</v>
      </c>
      <c r="K125">
        <v>53</v>
      </c>
      <c r="L125">
        <v>56</v>
      </c>
      <c r="M125">
        <v>223</v>
      </c>
      <c r="N125" s="10">
        <v>467.92</v>
      </c>
      <c r="O125" s="7">
        <v>7.3</v>
      </c>
      <c r="P125" s="7">
        <v>27.6</v>
      </c>
      <c r="Q125">
        <v>5</v>
      </c>
      <c r="R125" t="s">
        <v>67</v>
      </c>
      <c r="S125">
        <v>2</v>
      </c>
      <c r="T125">
        <v>42</v>
      </c>
      <c r="U125" s="11">
        <v>-0.97492791218182362</v>
      </c>
      <c r="V125" s="11">
        <v>-0.22252093395631459</v>
      </c>
      <c r="W125" s="11">
        <v>0.64826180977571224</v>
      </c>
      <c r="X125" s="11">
        <v>0.76141751095329968</v>
      </c>
      <c r="Y125">
        <v>1</v>
      </c>
      <c r="Z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6">
        <v>44968</v>
      </c>
      <c r="B126" t="s">
        <v>36</v>
      </c>
      <c r="C126" t="s">
        <v>37</v>
      </c>
      <c r="D126" t="s">
        <v>38</v>
      </c>
      <c r="E126" t="s">
        <v>39</v>
      </c>
      <c r="F126">
        <v>125</v>
      </c>
      <c r="G126">
        <v>320</v>
      </c>
      <c r="H126">
        <v>219</v>
      </c>
      <c r="I126">
        <v>90</v>
      </c>
      <c r="J126" s="8">
        <v>0.72</v>
      </c>
      <c r="K126">
        <v>67</v>
      </c>
      <c r="L126">
        <v>47</v>
      </c>
      <c r="M126">
        <v>180</v>
      </c>
      <c r="N126" s="10">
        <v>647.70000000000005</v>
      </c>
      <c r="O126" s="7">
        <v>7.3</v>
      </c>
      <c r="P126" s="7">
        <v>27.6</v>
      </c>
      <c r="Q126">
        <v>5</v>
      </c>
      <c r="R126" t="s">
        <v>67</v>
      </c>
      <c r="S126">
        <v>2</v>
      </c>
      <c r="T126">
        <v>42</v>
      </c>
      <c r="U126" s="11">
        <v>-0.97492791218182362</v>
      </c>
      <c r="V126" s="11">
        <v>-0.22252093395631459</v>
      </c>
      <c r="W126" s="11">
        <v>0.64826180977571224</v>
      </c>
      <c r="X126" s="11">
        <v>0.76141751095329968</v>
      </c>
      <c r="Y126">
        <v>1</v>
      </c>
      <c r="Z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6">
        <v>44968</v>
      </c>
      <c r="B127" t="s">
        <v>41</v>
      </c>
      <c r="C127" t="s">
        <v>42</v>
      </c>
      <c r="D127" t="s">
        <v>43</v>
      </c>
      <c r="E127" t="s">
        <v>44</v>
      </c>
      <c r="F127">
        <v>85</v>
      </c>
      <c r="G127">
        <v>210</v>
      </c>
      <c r="H127">
        <v>137</v>
      </c>
      <c r="I127">
        <v>62</v>
      </c>
      <c r="J127" s="8">
        <v>0.72941176470588232</v>
      </c>
      <c r="K127">
        <v>29</v>
      </c>
      <c r="L127">
        <v>20</v>
      </c>
      <c r="M127">
        <v>120</v>
      </c>
      <c r="N127" s="10">
        <v>549.78</v>
      </c>
      <c r="O127" s="7">
        <v>7.3</v>
      </c>
      <c r="P127" s="7">
        <v>27.6</v>
      </c>
      <c r="Q127">
        <v>5</v>
      </c>
      <c r="R127" t="s">
        <v>67</v>
      </c>
      <c r="S127">
        <v>2</v>
      </c>
      <c r="T127">
        <v>42</v>
      </c>
      <c r="U127" s="11">
        <v>-0.97492791218182362</v>
      </c>
      <c r="V127" s="11">
        <v>-0.22252093395631459</v>
      </c>
      <c r="W127" s="11">
        <v>0.64826180977571224</v>
      </c>
      <c r="X127" s="11">
        <v>0.76141751095329968</v>
      </c>
      <c r="Y127">
        <v>1</v>
      </c>
      <c r="Z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6">
        <v>44969</v>
      </c>
      <c r="B128" t="s">
        <v>31</v>
      </c>
      <c r="C128" t="s">
        <v>32</v>
      </c>
      <c r="D128" t="s">
        <v>33</v>
      </c>
      <c r="E128" t="s">
        <v>34</v>
      </c>
      <c r="F128">
        <v>140</v>
      </c>
      <c r="G128">
        <v>360</v>
      </c>
      <c r="H128">
        <v>212</v>
      </c>
      <c r="I128">
        <v>91</v>
      </c>
      <c r="J128" s="8">
        <v>0.65</v>
      </c>
      <c r="K128">
        <v>63</v>
      </c>
      <c r="L128">
        <v>26</v>
      </c>
      <c r="M128">
        <v>179</v>
      </c>
      <c r="N128" s="10">
        <v>456.97</v>
      </c>
      <c r="O128" s="7">
        <v>9.1</v>
      </c>
      <c r="P128" s="7">
        <v>27</v>
      </c>
      <c r="Q128">
        <v>6</v>
      </c>
      <c r="R128" t="s">
        <v>60</v>
      </c>
      <c r="S128">
        <v>2</v>
      </c>
      <c r="T128">
        <v>43</v>
      </c>
      <c r="U128" s="11">
        <v>-0.78183148246802991</v>
      </c>
      <c r="V128" s="11">
        <v>0.62348980185873337</v>
      </c>
      <c r="W128" s="11">
        <v>0.66126347496563864</v>
      </c>
      <c r="X128" s="11">
        <v>0.75015372869590424</v>
      </c>
      <c r="Y128">
        <v>1</v>
      </c>
      <c r="Z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6">
        <v>44969</v>
      </c>
      <c r="B129" t="s">
        <v>36</v>
      </c>
      <c r="C129" t="s">
        <v>37</v>
      </c>
      <c r="D129" t="s">
        <v>38</v>
      </c>
      <c r="E129" t="s">
        <v>39</v>
      </c>
      <c r="F129">
        <v>125</v>
      </c>
      <c r="G129">
        <v>320</v>
      </c>
      <c r="H129">
        <v>224</v>
      </c>
      <c r="I129">
        <v>90</v>
      </c>
      <c r="J129" s="8">
        <v>0.72</v>
      </c>
      <c r="K129">
        <v>41</v>
      </c>
      <c r="L129">
        <v>45</v>
      </c>
      <c r="M129">
        <v>195</v>
      </c>
      <c r="N129" s="10">
        <v>731.5</v>
      </c>
      <c r="O129" s="7">
        <v>9.1</v>
      </c>
      <c r="P129" s="7">
        <v>27</v>
      </c>
      <c r="Q129">
        <v>6</v>
      </c>
      <c r="R129" t="s">
        <v>60</v>
      </c>
      <c r="S129">
        <v>2</v>
      </c>
      <c r="T129">
        <v>43</v>
      </c>
      <c r="U129" s="11">
        <v>-0.78183148246802991</v>
      </c>
      <c r="V129" s="11">
        <v>0.62348980185873337</v>
      </c>
      <c r="W129" s="11">
        <v>0.66126347496563864</v>
      </c>
      <c r="X129" s="11">
        <v>0.75015372869590424</v>
      </c>
      <c r="Y129">
        <v>1</v>
      </c>
      <c r="Z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6">
        <v>44969</v>
      </c>
      <c r="B130" t="s">
        <v>41</v>
      </c>
      <c r="C130" t="s">
        <v>42</v>
      </c>
      <c r="D130" t="s">
        <v>43</v>
      </c>
      <c r="E130" t="s">
        <v>44</v>
      </c>
      <c r="F130">
        <v>85</v>
      </c>
      <c r="G130">
        <v>210</v>
      </c>
      <c r="H130">
        <v>142</v>
      </c>
      <c r="I130">
        <v>65</v>
      </c>
      <c r="J130" s="8">
        <v>0.76470588235294112</v>
      </c>
      <c r="K130">
        <v>17</v>
      </c>
      <c r="L130">
        <v>40</v>
      </c>
      <c r="M130">
        <v>128</v>
      </c>
      <c r="N130" s="10">
        <v>608.79</v>
      </c>
      <c r="O130" s="7">
        <v>9.1</v>
      </c>
      <c r="P130" s="7">
        <v>27</v>
      </c>
      <c r="Q130">
        <v>6</v>
      </c>
      <c r="R130" t="s">
        <v>60</v>
      </c>
      <c r="S130">
        <v>2</v>
      </c>
      <c r="T130">
        <v>43</v>
      </c>
      <c r="U130" s="11">
        <v>-0.78183148246802991</v>
      </c>
      <c r="V130" s="11">
        <v>0.62348980185873337</v>
      </c>
      <c r="W130" s="11">
        <v>0.66126347496563864</v>
      </c>
      <c r="X130" s="11">
        <v>0.75015372869590424</v>
      </c>
      <c r="Y130">
        <v>1</v>
      </c>
      <c r="Z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6">
        <v>44970</v>
      </c>
      <c r="B131" t="s">
        <v>31</v>
      </c>
      <c r="C131" t="s">
        <v>32</v>
      </c>
      <c r="D131" t="s">
        <v>33</v>
      </c>
      <c r="E131" t="s">
        <v>34</v>
      </c>
      <c r="F131">
        <v>140</v>
      </c>
      <c r="G131">
        <v>360</v>
      </c>
      <c r="H131">
        <v>207</v>
      </c>
      <c r="I131">
        <v>91</v>
      </c>
      <c r="J131" s="8">
        <v>0.65</v>
      </c>
      <c r="K131">
        <v>48</v>
      </c>
      <c r="L131">
        <v>42</v>
      </c>
      <c r="M131">
        <v>168</v>
      </c>
      <c r="N131" s="10">
        <v>438.71</v>
      </c>
      <c r="O131" s="7">
        <v>0</v>
      </c>
      <c r="P131" s="7">
        <v>29.4</v>
      </c>
      <c r="Q131">
        <v>0</v>
      </c>
      <c r="R131" t="s">
        <v>62</v>
      </c>
      <c r="S131">
        <v>2</v>
      </c>
      <c r="T131">
        <v>44</v>
      </c>
      <c r="U131" s="11">
        <v>0</v>
      </c>
      <c r="V131" s="11">
        <v>1</v>
      </c>
      <c r="W131" s="11">
        <v>0.67406946165461612</v>
      </c>
      <c r="X131" s="11">
        <v>0.73866796388137479</v>
      </c>
      <c r="Y131">
        <v>0</v>
      </c>
      <c r="Z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6">
        <v>44970</v>
      </c>
      <c r="B132" t="s">
        <v>36</v>
      </c>
      <c r="C132" t="s">
        <v>37</v>
      </c>
      <c r="D132" t="s">
        <v>38</v>
      </c>
      <c r="E132" t="s">
        <v>39</v>
      </c>
      <c r="F132">
        <v>125</v>
      </c>
      <c r="G132">
        <v>320</v>
      </c>
      <c r="H132">
        <v>151</v>
      </c>
      <c r="I132">
        <v>65</v>
      </c>
      <c r="J132" s="8">
        <v>0.52</v>
      </c>
      <c r="K132">
        <v>17</v>
      </c>
      <c r="L132">
        <v>34</v>
      </c>
      <c r="M132">
        <v>136</v>
      </c>
      <c r="N132" s="10">
        <v>655.08000000000004</v>
      </c>
      <c r="O132" s="7">
        <v>0</v>
      </c>
      <c r="P132" s="7">
        <v>29.4</v>
      </c>
      <c r="Q132">
        <v>0</v>
      </c>
      <c r="R132" t="s">
        <v>62</v>
      </c>
      <c r="S132">
        <v>2</v>
      </c>
      <c r="T132">
        <v>44</v>
      </c>
      <c r="U132" s="11">
        <v>0</v>
      </c>
      <c r="V132" s="11">
        <v>1</v>
      </c>
      <c r="W132" s="11">
        <v>0.67406946165461612</v>
      </c>
      <c r="X132" s="11">
        <v>0.73866796388137479</v>
      </c>
      <c r="Y132">
        <v>0</v>
      </c>
      <c r="Z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6">
        <v>44970</v>
      </c>
      <c r="B133" t="s">
        <v>41</v>
      </c>
      <c r="C133" t="s">
        <v>42</v>
      </c>
      <c r="D133" t="s">
        <v>43</v>
      </c>
      <c r="E133" t="s">
        <v>44</v>
      </c>
      <c r="F133">
        <v>85</v>
      </c>
      <c r="G133">
        <v>210</v>
      </c>
      <c r="H133">
        <v>106</v>
      </c>
      <c r="I133">
        <v>50</v>
      </c>
      <c r="J133" s="8">
        <v>0.58823529411764708</v>
      </c>
      <c r="K133">
        <v>14</v>
      </c>
      <c r="L133">
        <v>22</v>
      </c>
      <c r="M133">
        <v>95</v>
      </c>
      <c r="N133" s="10">
        <v>566.79999999999995</v>
      </c>
      <c r="O133" s="7">
        <v>0</v>
      </c>
      <c r="P133" s="7">
        <v>29.4</v>
      </c>
      <c r="Q133">
        <v>0</v>
      </c>
      <c r="R133" t="s">
        <v>62</v>
      </c>
      <c r="S133">
        <v>2</v>
      </c>
      <c r="T133">
        <v>44</v>
      </c>
      <c r="U133" s="11">
        <v>0</v>
      </c>
      <c r="V133" s="11">
        <v>1</v>
      </c>
      <c r="W133" s="11">
        <v>0.67406946165461612</v>
      </c>
      <c r="X133" s="11">
        <v>0.73866796388137479</v>
      </c>
      <c r="Y133">
        <v>0</v>
      </c>
      <c r="Z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6">
        <v>44971</v>
      </c>
      <c r="B134" t="s">
        <v>31</v>
      </c>
      <c r="C134" t="s">
        <v>32</v>
      </c>
      <c r="D134" t="s">
        <v>33</v>
      </c>
      <c r="E134" t="s">
        <v>34</v>
      </c>
      <c r="F134">
        <v>140</v>
      </c>
      <c r="G134">
        <v>360</v>
      </c>
      <c r="H134">
        <v>209</v>
      </c>
      <c r="I134">
        <v>89</v>
      </c>
      <c r="J134" s="8">
        <v>0.63571428571428568</v>
      </c>
      <c r="K134">
        <v>57</v>
      </c>
      <c r="L134">
        <v>48</v>
      </c>
      <c r="M134">
        <v>181</v>
      </c>
      <c r="N134" s="10">
        <v>392.97</v>
      </c>
      <c r="O134" s="7">
        <v>16.3</v>
      </c>
      <c r="P134" s="7">
        <v>28.3</v>
      </c>
      <c r="Q134">
        <v>1</v>
      </c>
      <c r="R134" t="s">
        <v>63</v>
      </c>
      <c r="S134">
        <v>2</v>
      </c>
      <c r="T134">
        <v>45</v>
      </c>
      <c r="U134" s="11">
        <v>0.7818314824680298</v>
      </c>
      <c r="V134" s="11">
        <v>0.62348980185873359</v>
      </c>
      <c r="W134" s="11">
        <v>0.68667598034515531</v>
      </c>
      <c r="X134" s="11">
        <v>0.72696361533230802</v>
      </c>
      <c r="Y134">
        <v>0</v>
      </c>
      <c r="Z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6">
        <v>44971</v>
      </c>
      <c r="B135" t="s">
        <v>36</v>
      </c>
      <c r="C135" t="s">
        <v>37</v>
      </c>
      <c r="D135" t="s">
        <v>38</v>
      </c>
      <c r="E135" t="s">
        <v>39</v>
      </c>
      <c r="F135">
        <v>125</v>
      </c>
      <c r="G135">
        <v>320</v>
      </c>
      <c r="H135">
        <v>173</v>
      </c>
      <c r="I135">
        <v>69</v>
      </c>
      <c r="J135" s="8">
        <v>0.55200000000000005</v>
      </c>
      <c r="K135">
        <v>27</v>
      </c>
      <c r="L135">
        <v>36</v>
      </c>
      <c r="M135">
        <v>155</v>
      </c>
      <c r="N135" s="10">
        <v>599.1</v>
      </c>
      <c r="O135" s="7">
        <v>16.3</v>
      </c>
      <c r="P135" s="7">
        <v>28.3</v>
      </c>
      <c r="Q135">
        <v>1</v>
      </c>
      <c r="R135" t="s">
        <v>63</v>
      </c>
      <c r="S135">
        <v>2</v>
      </c>
      <c r="T135">
        <v>45</v>
      </c>
      <c r="U135" s="11">
        <v>0.7818314824680298</v>
      </c>
      <c r="V135" s="11">
        <v>0.62348980185873359</v>
      </c>
      <c r="W135" s="11">
        <v>0.68667598034515531</v>
      </c>
      <c r="X135" s="11">
        <v>0.72696361533230802</v>
      </c>
      <c r="Y135">
        <v>0</v>
      </c>
      <c r="Z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6">
        <v>44971</v>
      </c>
      <c r="B136" t="s">
        <v>41</v>
      </c>
      <c r="C136" t="s">
        <v>42</v>
      </c>
      <c r="D136" t="s">
        <v>43</v>
      </c>
      <c r="E136" t="s">
        <v>44</v>
      </c>
      <c r="F136">
        <v>85</v>
      </c>
      <c r="G136">
        <v>210</v>
      </c>
      <c r="H136">
        <v>117</v>
      </c>
      <c r="I136">
        <v>51</v>
      </c>
      <c r="J136" s="8">
        <v>0.6</v>
      </c>
      <c r="K136">
        <v>20</v>
      </c>
      <c r="L136">
        <v>16</v>
      </c>
      <c r="M136">
        <v>105</v>
      </c>
      <c r="N136" s="10">
        <v>483.78</v>
      </c>
      <c r="O136" s="7">
        <v>16.3</v>
      </c>
      <c r="P136" s="7">
        <v>28.3</v>
      </c>
      <c r="Q136">
        <v>1</v>
      </c>
      <c r="R136" t="s">
        <v>63</v>
      </c>
      <c r="S136">
        <v>2</v>
      </c>
      <c r="T136">
        <v>45</v>
      </c>
      <c r="U136" s="11">
        <v>0.7818314824680298</v>
      </c>
      <c r="V136" s="11">
        <v>0.62348980185873359</v>
      </c>
      <c r="W136" s="11">
        <v>0.68667598034515531</v>
      </c>
      <c r="X136" s="11">
        <v>0.72696361533230802</v>
      </c>
      <c r="Y136">
        <v>0</v>
      </c>
      <c r="Z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6">
        <v>44972</v>
      </c>
      <c r="B137" t="s">
        <v>31</v>
      </c>
      <c r="C137" t="s">
        <v>32</v>
      </c>
      <c r="D137" t="s">
        <v>33</v>
      </c>
      <c r="E137" t="s">
        <v>34</v>
      </c>
      <c r="F137">
        <v>140</v>
      </c>
      <c r="G137">
        <v>360</v>
      </c>
      <c r="H137">
        <v>179</v>
      </c>
      <c r="I137">
        <v>75</v>
      </c>
      <c r="J137" s="8">
        <v>0.5357142857142857</v>
      </c>
      <c r="K137">
        <v>38</v>
      </c>
      <c r="L137">
        <v>22</v>
      </c>
      <c r="M137">
        <v>155</v>
      </c>
      <c r="N137" s="10">
        <v>400.62</v>
      </c>
      <c r="O137" s="7">
        <v>0</v>
      </c>
      <c r="P137" s="7">
        <v>27.4</v>
      </c>
      <c r="Q137">
        <v>2</v>
      </c>
      <c r="R137" t="s">
        <v>64</v>
      </c>
      <c r="S137">
        <v>2</v>
      </c>
      <c r="T137">
        <v>46</v>
      </c>
      <c r="U137" s="11">
        <v>0.97492791218182362</v>
      </c>
      <c r="V137" s="11">
        <v>-0.22252093395631434</v>
      </c>
      <c r="W137" s="11">
        <v>0.69907930056555623</v>
      </c>
      <c r="X137" s="11">
        <v>0.71504414655374438</v>
      </c>
      <c r="Y137">
        <v>0</v>
      </c>
      <c r="Z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6">
        <v>44972</v>
      </c>
      <c r="B138" t="s">
        <v>36</v>
      </c>
      <c r="C138" t="s">
        <v>37</v>
      </c>
      <c r="D138" t="s">
        <v>38</v>
      </c>
      <c r="E138" t="s">
        <v>39</v>
      </c>
      <c r="F138">
        <v>125</v>
      </c>
      <c r="G138">
        <v>320</v>
      </c>
      <c r="H138">
        <v>189</v>
      </c>
      <c r="I138">
        <v>78</v>
      </c>
      <c r="J138" s="8">
        <v>0.624</v>
      </c>
      <c r="K138">
        <v>43</v>
      </c>
      <c r="L138">
        <v>35</v>
      </c>
      <c r="M138">
        <v>158</v>
      </c>
      <c r="N138" s="10">
        <v>587.91999999999996</v>
      </c>
      <c r="O138" s="7">
        <v>0</v>
      </c>
      <c r="P138" s="7">
        <v>27.4</v>
      </c>
      <c r="Q138">
        <v>2</v>
      </c>
      <c r="R138" t="s">
        <v>64</v>
      </c>
      <c r="S138">
        <v>2</v>
      </c>
      <c r="T138">
        <v>46</v>
      </c>
      <c r="U138" s="11">
        <v>0.97492791218182362</v>
      </c>
      <c r="V138" s="11">
        <v>-0.22252093395631434</v>
      </c>
      <c r="W138" s="11">
        <v>0.69907930056555623</v>
      </c>
      <c r="X138" s="11">
        <v>0.71504414655374438</v>
      </c>
      <c r="Y138">
        <v>0</v>
      </c>
      <c r="Z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6">
        <v>44972</v>
      </c>
      <c r="B139" t="s">
        <v>41</v>
      </c>
      <c r="C139" t="s">
        <v>42</v>
      </c>
      <c r="D139" t="s">
        <v>43</v>
      </c>
      <c r="E139" t="s">
        <v>44</v>
      </c>
      <c r="F139">
        <v>85</v>
      </c>
      <c r="G139">
        <v>210</v>
      </c>
      <c r="H139">
        <v>112</v>
      </c>
      <c r="I139">
        <v>51</v>
      </c>
      <c r="J139" s="8">
        <v>0.6</v>
      </c>
      <c r="K139">
        <v>17</v>
      </c>
      <c r="L139">
        <v>23</v>
      </c>
      <c r="M139">
        <v>97</v>
      </c>
      <c r="N139" s="10">
        <v>557.29</v>
      </c>
      <c r="O139" s="7">
        <v>0</v>
      </c>
      <c r="P139" s="7">
        <v>27.4</v>
      </c>
      <c r="Q139">
        <v>2</v>
      </c>
      <c r="R139" t="s">
        <v>64</v>
      </c>
      <c r="S139">
        <v>2</v>
      </c>
      <c r="T139">
        <v>46</v>
      </c>
      <c r="U139" s="11">
        <v>0.97492791218182362</v>
      </c>
      <c r="V139" s="11">
        <v>-0.22252093395631434</v>
      </c>
      <c r="W139" s="11">
        <v>0.69907930056555623</v>
      </c>
      <c r="X139" s="11">
        <v>0.71504414655374438</v>
      </c>
      <c r="Y139">
        <v>0</v>
      </c>
      <c r="Z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6">
        <v>44973</v>
      </c>
      <c r="B140" t="s">
        <v>31</v>
      </c>
      <c r="C140" t="s">
        <v>32</v>
      </c>
      <c r="D140" t="s">
        <v>33</v>
      </c>
      <c r="E140" t="s">
        <v>34</v>
      </c>
      <c r="F140">
        <v>140</v>
      </c>
      <c r="G140">
        <v>360</v>
      </c>
      <c r="H140">
        <v>196</v>
      </c>
      <c r="I140">
        <v>85</v>
      </c>
      <c r="J140" s="8">
        <v>0.6071428571428571</v>
      </c>
      <c r="K140">
        <v>34</v>
      </c>
      <c r="L140">
        <v>46</v>
      </c>
      <c r="M140">
        <v>174</v>
      </c>
      <c r="N140" s="10">
        <v>469.2</v>
      </c>
      <c r="O140" s="7">
        <v>6.6</v>
      </c>
      <c r="P140" s="7">
        <v>27.9</v>
      </c>
      <c r="Q140">
        <v>3</v>
      </c>
      <c r="R140" t="s">
        <v>65</v>
      </c>
      <c r="S140">
        <v>2</v>
      </c>
      <c r="T140">
        <v>47</v>
      </c>
      <c r="U140" s="11">
        <v>0.43388373911755823</v>
      </c>
      <c r="V140" s="11">
        <v>-0.90096886790241903</v>
      </c>
      <c r="W140" s="11">
        <v>0.71127575197381521</v>
      </c>
      <c r="X140" s="11">
        <v>0.70291308470826153</v>
      </c>
      <c r="Y140">
        <v>0</v>
      </c>
      <c r="Z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6">
        <v>44973</v>
      </c>
      <c r="B141" t="s">
        <v>36</v>
      </c>
      <c r="C141" t="s">
        <v>37</v>
      </c>
      <c r="D141" t="s">
        <v>38</v>
      </c>
      <c r="E141" t="s">
        <v>39</v>
      </c>
      <c r="F141">
        <v>125</v>
      </c>
      <c r="G141">
        <v>320</v>
      </c>
      <c r="H141">
        <v>144</v>
      </c>
      <c r="I141">
        <v>60</v>
      </c>
      <c r="J141" s="8">
        <v>0.48</v>
      </c>
      <c r="K141">
        <v>36</v>
      </c>
      <c r="L141">
        <v>37</v>
      </c>
      <c r="M141">
        <v>121</v>
      </c>
      <c r="N141" s="10">
        <v>594.87</v>
      </c>
      <c r="O141" s="7">
        <v>6.6</v>
      </c>
      <c r="P141" s="7">
        <v>27.9</v>
      </c>
      <c r="Q141">
        <v>3</v>
      </c>
      <c r="R141" t="s">
        <v>65</v>
      </c>
      <c r="S141">
        <v>2</v>
      </c>
      <c r="T141">
        <v>47</v>
      </c>
      <c r="U141" s="11">
        <v>0.43388373911755823</v>
      </c>
      <c r="V141" s="11">
        <v>-0.90096886790241903</v>
      </c>
      <c r="W141" s="11">
        <v>0.71127575197381521</v>
      </c>
      <c r="X141" s="11">
        <v>0.70291308470826153</v>
      </c>
      <c r="Y141">
        <v>0</v>
      </c>
      <c r="Z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6">
        <v>44973</v>
      </c>
      <c r="B142" t="s">
        <v>41</v>
      </c>
      <c r="C142" t="s">
        <v>42</v>
      </c>
      <c r="D142" t="s">
        <v>43</v>
      </c>
      <c r="E142" t="s">
        <v>44</v>
      </c>
      <c r="F142">
        <v>85</v>
      </c>
      <c r="G142">
        <v>210</v>
      </c>
      <c r="H142">
        <v>116</v>
      </c>
      <c r="I142">
        <v>52</v>
      </c>
      <c r="J142" s="8">
        <v>0.61176470588235299</v>
      </c>
      <c r="K142">
        <v>35</v>
      </c>
      <c r="L142">
        <v>25</v>
      </c>
      <c r="M142">
        <v>98</v>
      </c>
      <c r="N142" s="10">
        <v>542.61</v>
      </c>
      <c r="O142" s="7">
        <v>6.6</v>
      </c>
      <c r="P142" s="7">
        <v>27.9</v>
      </c>
      <c r="Q142">
        <v>3</v>
      </c>
      <c r="R142" t="s">
        <v>65</v>
      </c>
      <c r="S142">
        <v>2</v>
      </c>
      <c r="T142">
        <v>47</v>
      </c>
      <c r="U142" s="11">
        <v>0.43388373911755823</v>
      </c>
      <c r="V142" s="11">
        <v>-0.90096886790241903</v>
      </c>
      <c r="W142" s="11">
        <v>0.71127575197381521</v>
      </c>
      <c r="X142" s="11">
        <v>0.70291308470826153</v>
      </c>
      <c r="Y142">
        <v>0</v>
      </c>
      <c r="Z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6">
        <v>44974</v>
      </c>
      <c r="B143" t="s">
        <v>31</v>
      </c>
      <c r="C143" t="s">
        <v>32</v>
      </c>
      <c r="D143" t="s">
        <v>33</v>
      </c>
      <c r="E143" t="s">
        <v>34</v>
      </c>
      <c r="F143">
        <v>140</v>
      </c>
      <c r="G143">
        <v>360</v>
      </c>
      <c r="H143">
        <v>202</v>
      </c>
      <c r="I143">
        <v>85</v>
      </c>
      <c r="J143" s="8">
        <v>0.6071428571428571</v>
      </c>
      <c r="K143">
        <v>47</v>
      </c>
      <c r="L143">
        <v>48</v>
      </c>
      <c r="M143">
        <v>174</v>
      </c>
      <c r="N143" s="10">
        <v>422.97</v>
      </c>
      <c r="O143" s="7">
        <v>0</v>
      </c>
      <c r="P143" s="7">
        <v>28.5</v>
      </c>
      <c r="Q143">
        <v>4</v>
      </c>
      <c r="R143" t="s">
        <v>66</v>
      </c>
      <c r="S143">
        <v>2</v>
      </c>
      <c r="T143">
        <v>48</v>
      </c>
      <c r="U143" s="11">
        <v>-0.43388373911755801</v>
      </c>
      <c r="V143" s="11">
        <v>-0.90096886790241915</v>
      </c>
      <c r="W143" s="11">
        <v>0.72326172544373879</v>
      </c>
      <c r="X143" s="11">
        <v>0.69057401957222941</v>
      </c>
      <c r="Y143">
        <v>0</v>
      </c>
      <c r="Z143">
        <v>0</v>
      </c>
      <c r="AB143">
        <v>0</v>
      </c>
      <c r="AC143">
        <v>1</v>
      </c>
      <c r="AD143">
        <v>0</v>
      </c>
      <c r="AE143">
        <v>0</v>
      </c>
    </row>
    <row r="144" spans="1:31">
      <c r="A144" s="6">
        <v>44974</v>
      </c>
      <c r="B144" t="s">
        <v>36</v>
      </c>
      <c r="C144" t="s">
        <v>37</v>
      </c>
      <c r="D144" t="s">
        <v>38</v>
      </c>
      <c r="E144" t="s">
        <v>39</v>
      </c>
      <c r="F144">
        <v>125</v>
      </c>
      <c r="G144">
        <v>320</v>
      </c>
      <c r="H144">
        <v>188</v>
      </c>
      <c r="I144">
        <v>78</v>
      </c>
      <c r="J144" s="8">
        <v>0.624</v>
      </c>
      <c r="K144">
        <v>27</v>
      </c>
      <c r="L144">
        <v>21</v>
      </c>
      <c r="M144">
        <v>157</v>
      </c>
      <c r="N144" s="10">
        <v>650.32000000000005</v>
      </c>
      <c r="O144" s="7">
        <v>0</v>
      </c>
      <c r="P144" s="7">
        <v>28.5</v>
      </c>
      <c r="Q144">
        <v>4</v>
      </c>
      <c r="R144" t="s">
        <v>66</v>
      </c>
      <c r="S144">
        <v>2</v>
      </c>
      <c r="T144">
        <v>48</v>
      </c>
      <c r="U144" s="11">
        <v>-0.43388373911755801</v>
      </c>
      <c r="V144" s="11">
        <v>-0.90096886790241915</v>
      </c>
      <c r="W144" s="11">
        <v>0.72326172544373879</v>
      </c>
      <c r="X144" s="11">
        <v>0.69057401957222941</v>
      </c>
      <c r="Y144">
        <v>0</v>
      </c>
      <c r="Z144">
        <v>0</v>
      </c>
      <c r="AB144">
        <v>0</v>
      </c>
      <c r="AC144">
        <v>1</v>
      </c>
      <c r="AD144">
        <v>0</v>
      </c>
      <c r="AE144">
        <v>0</v>
      </c>
    </row>
    <row r="145" spans="1:31">
      <c r="A145" s="6">
        <v>44974</v>
      </c>
      <c r="B145" t="s">
        <v>41</v>
      </c>
      <c r="C145" t="s">
        <v>42</v>
      </c>
      <c r="D145" t="s">
        <v>43</v>
      </c>
      <c r="E145" t="s">
        <v>44</v>
      </c>
      <c r="F145">
        <v>85</v>
      </c>
      <c r="G145">
        <v>210</v>
      </c>
      <c r="H145">
        <v>134</v>
      </c>
      <c r="I145">
        <v>58</v>
      </c>
      <c r="J145" s="8">
        <v>0.68235294117647061</v>
      </c>
      <c r="K145">
        <v>19</v>
      </c>
      <c r="L145">
        <v>29</v>
      </c>
      <c r="M145">
        <v>117</v>
      </c>
      <c r="N145" s="10">
        <v>569.70000000000005</v>
      </c>
      <c r="O145" s="7">
        <v>0</v>
      </c>
      <c r="P145" s="7">
        <v>28.5</v>
      </c>
      <c r="Q145">
        <v>4</v>
      </c>
      <c r="R145" t="s">
        <v>66</v>
      </c>
      <c r="S145">
        <v>2</v>
      </c>
      <c r="T145">
        <v>48</v>
      </c>
      <c r="U145" s="11">
        <v>-0.43388373911755801</v>
      </c>
      <c r="V145" s="11">
        <v>-0.90096886790241915</v>
      </c>
      <c r="W145" s="11">
        <v>0.72326172544373879</v>
      </c>
      <c r="X145" s="11">
        <v>0.69057401957222941</v>
      </c>
      <c r="Y145">
        <v>0</v>
      </c>
      <c r="Z145">
        <v>0</v>
      </c>
      <c r="AB145">
        <v>0</v>
      </c>
      <c r="AC145">
        <v>1</v>
      </c>
      <c r="AD145">
        <v>0</v>
      </c>
      <c r="AE145">
        <v>0</v>
      </c>
    </row>
    <row r="146" spans="1:31">
      <c r="A146" s="6">
        <v>44975</v>
      </c>
      <c r="B146" t="s">
        <v>31</v>
      </c>
      <c r="C146" t="s">
        <v>32</v>
      </c>
      <c r="D146" t="s">
        <v>33</v>
      </c>
      <c r="E146" t="s">
        <v>34</v>
      </c>
      <c r="F146">
        <v>140</v>
      </c>
      <c r="G146">
        <v>360</v>
      </c>
      <c r="H146">
        <v>233</v>
      </c>
      <c r="I146">
        <v>102</v>
      </c>
      <c r="J146" s="8">
        <v>0.72857142857142854</v>
      </c>
      <c r="K146">
        <v>51</v>
      </c>
      <c r="L146">
        <v>28</v>
      </c>
      <c r="M146">
        <v>201</v>
      </c>
      <c r="N146" s="10">
        <v>472.06</v>
      </c>
      <c r="O146" s="7">
        <v>11</v>
      </c>
      <c r="P146" s="7">
        <v>27.2</v>
      </c>
      <c r="Q146">
        <v>5</v>
      </c>
      <c r="R146" t="s">
        <v>67</v>
      </c>
      <c r="S146">
        <v>2</v>
      </c>
      <c r="T146">
        <v>49</v>
      </c>
      <c r="U146" s="11">
        <v>-0.97492791218182362</v>
      </c>
      <c r="V146" s="11">
        <v>-0.22252093395631459</v>
      </c>
      <c r="W146" s="11">
        <v>0.73503367413294118</v>
      </c>
      <c r="X146" s="11">
        <v>0.67803060247353819</v>
      </c>
      <c r="Y146">
        <v>1</v>
      </c>
      <c r="Z146">
        <v>0</v>
      </c>
      <c r="AB146">
        <v>0</v>
      </c>
      <c r="AC146">
        <v>1</v>
      </c>
      <c r="AD146">
        <v>0</v>
      </c>
      <c r="AE146">
        <v>0</v>
      </c>
    </row>
    <row r="147" spans="1:31">
      <c r="A147" s="6">
        <v>44975</v>
      </c>
      <c r="B147" t="s">
        <v>36</v>
      </c>
      <c r="C147" t="s">
        <v>37</v>
      </c>
      <c r="D147" t="s">
        <v>38</v>
      </c>
      <c r="E147" t="s">
        <v>39</v>
      </c>
      <c r="F147">
        <v>125</v>
      </c>
      <c r="G147">
        <v>320</v>
      </c>
      <c r="H147">
        <v>240</v>
      </c>
      <c r="I147">
        <v>98</v>
      </c>
      <c r="J147" s="8">
        <v>0.78400000000000003</v>
      </c>
      <c r="K147">
        <v>34</v>
      </c>
      <c r="L147">
        <v>30</v>
      </c>
      <c r="M147">
        <v>205</v>
      </c>
      <c r="N147" s="10">
        <v>794.48</v>
      </c>
      <c r="O147" s="7">
        <v>11</v>
      </c>
      <c r="P147" s="7">
        <v>27.2</v>
      </c>
      <c r="Q147">
        <v>5</v>
      </c>
      <c r="R147" t="s">
        <v>67</v>
      </c>
      <c r="S147">
        <v>2</v>
      </c>
      <c r="T147">
        <v>49</v>
      </c>
      <c r="U147" s="11">
        <v>-0.97492791218182362</v>
      </c>
      <c r="V147" s="11">
        <v>-0.22252093395631459</v>
      </c>
      <c r="W147" s="11">
        <v>0.73503367413294118</v>
      </c>
      <c r="X147" s="11">
        <v>0.67803060247353819</v>
      </c>
      <c r="Y147">
        <v>1</v>
      </c>
      <c r="Z147">
        <v>0</v>
      </c>
      <c r="AB147">
        <v>0</v>
      </c>
      <c r="AC147">
        <v>1</v>
      </c>
      <c r="AD147">
        <v>0</v>
      </c>
      <c r="AE147">
        <v>0</v>
      </c>
    </row>
    <row r="148" spans="1:31">
      <c r="A148" s="6">
        <v>44975</v>
      </c>
      <c r="B148" t="s">
        <v>41</v>
      </c>
      <c r="C148" t="s">
        <v>42</v>
      </c>
      <c r="D148" t="s">
        <v>43</v>
      </c>
      <c r="E148" t="s">
        <v>44</v>
      </c>
      <c r="F148">
        <v>85</v>
      </c>
      <c r="G148">
        <v>210</v>
      </c>
      <c r="H148">
        <v>157</v>
      </c>
      <c r="I148">
        <v>69</v>
      </c>
      <c r="J148" s="8">
        <v>0.81176470588235294</v>
      </c>
      <c r="K148">
        <v>36</v>
      </c>
      <c r="L148">
        <v>30</v>
      </c>
      <c r="M148">
        <v>135</v>
      </c>
      <c r="N148" s="10">
        <v>605.36</v>
      </c>
      <c r="O148" s="7">
        <v>11</v>
      </c>
      <c r="P148" s="7">
        <v>27.2</v>
      </c>
      <c r="Q148">
        <v>5</v>
      </c>
      <c r="R148" t="s">
        <v>67</v>
      </c>
      <c r="S148">
        <v>2</v>
      </c>
      <c r="T148">
        <v>49</v>
      </c>
      <c r="U148" s="11">
        <v>-0.97492791218182362</v>
      </c>
      <c r="V148" s="11">
        <v>-0.22252093395631459</v>
      </c>
      <c r="W148" s="11">
        <v>0.73503367413294118</v>
      </c>
      <c r="X148" s="11">
        <v>0.67803060247353819</v>
      </c>
      <c r="Y148">
        <v>1</v>
      </c>
      <c r="Z148">
        <v>0</v>
      </c>
      <c r="AB148">
        <v>0</v>
      </c>
      <c r="AC148">
        <v>1</v>
      </c>
      <c r="AD148">
        <v>0</v>
      </c>
      <c r="AE148">
        <v>0</v>
      </c>
    </row>
    <row r="149" spans="1:31">
      <c r="A149" s="6">
        <v>44976</v>
      </c>
      <c r="B149" t="s">
        <v>31</v>
      </c>
      <c r="C149" t="s">
        <v>32</v>
      </c>
      <c r="D149" t="s">
        <v>33</v>
      </c>
      <c r="E149" t="s">
        <v>34</v>
      </c>
      <c r="F149">
        <v>140</v>
      </c>
      <c r="G149">
        <v>360</v>
      </c>
      <c r="H149">
        <v>241</v>
      </c>
      <c r="I149">
        <v>104</v>
      </c>
      <c r="J149" s="8">
        <v>0.74285714285714288</v>
      </c>
      <c r="K149">
        <v>52</v>
      </c>
      <c r="L149">
        <v>51</v>
      </c>
      <c r="M149">
        <v>223</v>
      </c>
      <c r="N149" s="10">
        <v>566.08000000000004</v>
      </c>
      <c r="O149" s="7">
        <v>2</v>
      </c>
      <c r="P149" s="7">
        <v>27</v>
      </c>
      <c r="Q149">
        <v>6</v>
      </c>
      <c r="R149" t="s">
        <v>60</v>
      </c>
      <c r="S149">
        <v>2</v>
      </c>
      <c r="T149">
        <v>50</v>
      </c>
      <c r="U149" s="11">
        <v>-0.78183148246802991</v>
      </c>
      <c r="V149" s="11">
        <v>0.62348980185873337</v>
      </c>
      <c r="W149" s="11">
        <v>0.74658811453241303</v>
      </c>
      <c r="X149" s="11">
        <v>0.66528654521111164</v>
      </c>
      <c r="Y149">
        <v>1</v>
      </c>
      <c r="Z149">
        <v>0</v>
      </c>
      <c r="AB149">
        <v>0</v>
      </c>
      <c r="AC149">
        <v>1</v>
      </c>
      <c r="AD149">
        <v>0</v>
      </c>
      <c r="AE149">
        <v>0</v>
      </c>
    </row>
    <row r="150" spans="1:31">
      <c r="A150" s="6">
        <v>44976</v>
      </c>
      <c r="B150" t="s">
        <v>36</v>
      </c>
      <c r="C150" t="s">
        <v>37</v>
      </c>
      <c r="D150" t="s">
        <v>38</v>
      </c>
      <c r="E150" t="s">
        <v>39</v>
      </c>
      <c r="F150">
        <v>125</v>
      </c>
      <c r="G150">
        <v>320</v>
      </c>
      <c r="H150">
        <v>243</v>
      </c>
      <c r="I150">
        <v>102</v>
      </c>
      <c r="J150" s="8">
        <v>0.81599999999999995</v>
      </c>
      <c r="K150">
        <v>31</v>
      </c>
      <c r="L150">
        <v>39</v>
      </c>
      <c r="M150">
        <v>203</v>
      </c>
      <c r="N150" s="10">
        <v>682.11</v>
      </c>
      <c r="O150" s="7">
        <v>2</v>
      </c>
      <c r="P150" s="7">
        <v>27</v>
      </c>
      <c r="Q150">
        <v>6</v>
      </c>
      <c r="R150" t="s">
        <v>60</v>
      </c>
      <c r="S150">
        <v>2</v>
      </c>
      <c r="T150">
        <v>50</v>
      </c>
      <c r="U150" s="11">
        <v>-0.78183148246802991</v>
      </c>
      <c r="V150" s="11">
        <v>0.62348980185873337</v>
      </c>
      <c r="W150" s="11">
        <v>0.74658811453241303</v>
      </c>
      <c r="X150" s="11">
        <v>0.66528654521111164</v>
      </c>
      <c r="Y150">
        <v>1</v>
      </c>
      <c r="Z150">
        <v>0</v>
      </c>
      <c r="AB150">
        <v>0</v>
      </c>
      <c r="AC150">
        <v>1</v>
      </c>
      <c r="AD150">
        <v>0</v>
      </c>
      <c r="AE150">
        <v>0</v>
      </c>
    </row>
    <row r="151" spans="1:31">
      <c r="A151" s="6">
        <v>44976</v>
      </c>
      <c r="B151" t="s">
        <v>41</v>
      </c>
      <c r="C151" t="s">
        <v>42</v>
      </c>
      <c r="D151" t="s">
        <v>43</v>
      </c>
      <c r="E151" t="s">
        <v>44</v>
      </c>
      <c r="F151">
        <v>85</v>
      </c>
      <c r="G151">
        <v>210</v>
      </c>
      <c r="H151">
        <v>163</v>
      </c>
      <c r="I151">
        <v>71</v>
      </c>
      <c r="J151" s="8">
        <v>0.83529411764705885</v>
      </c>
      <c r="K151">
        <v>23</v>
      </c>
      <c r="L151">
        <v>35</v>
      </c>
      <c r="M151">
        <v>135</v>
      </c>
      <c r="N151" s="10">
        <v>666.76</v>
      </c>
      <c r="O151" s="7">
        <v>2</v>
      </c>
      <c r="P151" s="7">
        <v>27</v>
      </c>
      <c r="Q151">
        <v>6</v>
      </c>
      <c r="R151" t="s">
        <v>60</v>
      </c>
      <c r="S151">
        <v>2</v>
      </c>
      <c r="T151">
        <v>50</v>
      </c>
      <c r="U151" s="11">
        <v>-0.78183148246802991</v>
      </c>
      <c r="V151" s="11">
        <v>0.62348980185873337</v>
      </c>
      <c r="W151" s="11">
        <v>0.74658811453241303</v>
      </c>
      <c r="X151" s="11">
        <v>0.66528654521111164</v>
      </c>
      <c r="Y151">
        <v>1</v>
      </c>
      <c r="Z151">
        <v>0</v>
      </c>
      <c r="AB151">
        <v>0</v>
      </c>
      <c r="AC151">
        <v>1</v>
      </c>
      <c r="AD151">
        <v>0</v>
      </c>
      <c r="AE151">
        <v>0</v>
      </c>
    </row>
    <row r="152" spans="1:31">
      <c r="A152" s="6">
        <v>44977</v>
      </c>
      <c r="B152" t="s">
        <v>31</v>
      </c>
      <c r="C152" t="s">
        <v>32</v>
      </c>
      <c r="D152" t="s">
        <v>33</v>
      </c>
      <c r="E152" t="s">
        <v>34</v>
      </c>
      <c r="F152">
        <v>140</v>
      </c>
      <c r="G152">
        <v>360</v>
      </c>
      <c r="H152">
        <v>205</v>
      </c>
      <c r="I152">
        <v>89</v>
      </c>
      <c r="J152" s="8">
        <v>0.63571428571428568</v>
      </c>
      <c r="K152">
        <v>29</v>
      </c>
      <c r="L152">
        <v>48</v>
      </c>
      <c r="M152">
        <v>184</v>
      </c>
      <c r="N152" s="10">
        <v>418.22</v>
      </c>
      <c r="O152" s="7">
        <v>10.1</v>
      </c>
      <c r="P152" s="7">
        <v>27.7</v>
      </c>
      <c r="Q152">
        <v>0</v>
      </c>
      <c r="R152" t="s">
        <v>62</v>
      </c>
      <c r="S152">
        <v>2</v>
      </c>
      <c r="T152">
        <v>51</v>
      </c>
      <c r="U152" s="11">
        <v>0</v>
      </c>
      <c r="V152" s="11">
        <v>1</v>
      </c>
      <c r="W152" s="11">
        <v>0.75792162749734715</v>
      </c>
      <c r="X152" s="11">
        <v>0.65234561895652565</v>
      </c>
      <c r="Y152">
        <v>0</v>
      </c>
      <c r="Z152">
        <v>0</v>
      </c>
      <c r="AB152">
        <v>0</v>
      </c>
      <c r="AC152">
        <v>1</v>
      </c>
      <c r="AD152">
        <v>0</v>
      </c>
      <c r="AE152">
        <v>0</v>
      </c>
    </row>
    <row r="153" spans="1:31">
      <c r="A153" s="6">
        <v>44977</v>
      </c>
      <c r="B153" t="s">
        <v>36</v>
      </c>
      <c r="C153" t="s">
        <v>37</v>
      </c>
      <c r="D153" t="s">
        <v>38</v>
      </c>
      <c r="E153" t="s">
        <v>39</v>
      </c>
      <c r="F153">
        <v>125</v>
      </c>
      <c r="G153">
        <v>320</v>
      </c>
      <c r="H153">
        <v>201</v>
      </c>
      <c r="I153">
        <v>83</v>
      </c>
      <c r="J153" s="8">
        <v>0.66400000000000003</v>
      </c>
      <c r="K153">
        <v>58</v>
      </c>
      <c r="L153">
        <v>48</v>
      </c>
      <c r="M153">
        <v>178</v>
      </c>
      <c r="N153" s="10">
        <v>658.93</v>
      </c>
      <c r="O153" s="7">
        <v>10.1</v>
      </c>
      <c r="P153" s="7">
        <v>27.7</v>
      </c>
      <c r="Q153">
        <v>0</v>
      </c>
      <c r="R153" t="s">
        <v>62</v>
      </c>
      <c r="S153">
        <v>2</v>
      </c>
      <c r="T153">
        <v>51</v>
      </c>
      <c r="U153" s="11">
        <v>0</v>
      </c>
      <c r="V153" s="11">
        <v>1</v>
      </c>
      <c r="W153" s="11">
        <v>0.75792162749734715</v>
      </c>
      <c r="X153" s="11">
        <v>0.65234561895652565</v>
      </c>
      <c r="Y153">
        <v>0</v>
      </c>
      <c r="Z153">
        <v>0</v>
      </c>
      <c r="AB153">
        <v>0</v>
      </c>
      <c r="AC153">
        <v>1</v>
      </c>
      <c r="AD153">
        <v>0</v>
      </c>
      <c r="AE153">
        <v>0</v>
      </c>
    </row>
    <row r="154" spans="1:31">
      <c r="A154" s="6">
        <v>44977</v>
      </c>
      <c r="B154" t="s">
        <v>41</v>
      </c>
      <c r="C154" t="s">
        <v>42</v>
      </c>
      <c r="D154" t="s">
        <v>43</v>
      </c>
      <c r="E154" t="s">
        <v>44</v>
      </c>
      <c r="F154">
        <v>85</v>
      </c>
      <c r="G154">
        <v>210</v>
      </c>
      <c r="H154">
        <v>138</v>
      </c>
      <c r="I154">
        <v>60</v>
      </c>
      <c r="J154" s="8">
        <v>0.70588235294117652</v>
      </c>
      <c r="K154">
        <v>35</v>
      </c>
      <c r="L154">
        <v>32</v>
      </c>
      <c r="M154">
        <v>116</v>
      </c>
      <c r="N154" s="10">
        <v>535.75</v>
      </c>
      <c r="O154" s="7">
        <v>10.1</v>
      </c>
      <c r="P154" s="7">
        <v>27.7</v>
      </c>
      <c r="Q154">
        <v>0</v>
      </c>
      <c r="R154" t="s">
        <v>62</v>
      </c>
      <c r="S154">
        <v>2</v>
      </c>
      <c r="T154">
        <v>51</v>
      </c>
      <c r="U154" s="11">
        <v>0</v>
      </c>
      <c r="V154" s="11">
        <v>1</v>
      </c>
      <c r="W154" s="11">
        <v>0.75792162749734715</v>
      </c>
      <c r="X154" s="11">
        <v>0.65234561895652565</v>
      </c>
      <c r="Y154">
        <v>0</v>
      </c>
      <c r="Z154">
        <v>0</v>
      </c>
      <c r="AB154">
        <v>0</v>
      </c>
      <c r="AC154">
        <v>1</v>
      </c>
      <c r="AD154">
        <v>0</v>
      </c>
      <c r="AE154">
        <v>0</v>
      </c>
    </row>
    <row r="155" spans="1:31">
      <c r="A155" s="6">
        <v>44978</v>
      </c>
      <c r="B155" t="s">
        <v>31</v>
      </c>
      <c r="C155" t="s">
        <v>32</v>
      </c>
      <c r="D155" t="s">
        <v>33</v>
      </c>
      <c r="E155" t="s">
        <v>34</v>
      </c>
      <c r="F155">
        <v>140</v>
      </c>
      <c r="G155">
        <v>360</v>
      </c>
      <c r="H155">
        <v>219</v>
      </c>
      <c r="I155">
        <v>92</v>
      </c>
      <c r="J155" s="8">
        <v>0.65714285714285714</v>
      </c>
      <c r="K155">
        <v>41</v>
      </c>
      <c r="L155">
        <v>27</v>
      </c>
      <c r="M155">
        <v>187</v>
      </c>
      <c r="N155" s="10">
        <v>439.42</v>
      </c>
      <c r="O155" s="7">
        <v>0</v>
      </c>
      <c r="P155" s="7">
        <v>27.9</v>
      </c>
      <c r="Q155">
        <v>1</v>
      </c>
      <c r="R155" t="s">
        <v>63</v>
      </c>
      <c r="S155">
        <v>2</v>
      </c>
      <c r="T155">
        <v>52</v>
      </c>
      <c r="U155" s="11">
        <v>0.7818314824680298</v>
      </c>
      <c r="V155" s="11">
        <v>0.62348980185873359</v>
      </c>
      <c r="W155" s="11">
        <v>0.76903085925891812</v>
      </c>
      <c r="X155" s="11">
        <v>0.63921165313805883</v>
      </c>
      <c r="Y155">
        <v>0</v>
      </c>
      <c r="Z155">
        <v>0</v>
      </c>
      <c r="AB155">
        <v>0</v>
      </c>
      <c r="AC155">
        <v>1</v>
      </c>
      <c r="AD155">
        <v>0</v>
      </c>
      <c r="AE155">
        <v>0</v>
      </c>
    </row>
    <row r="156" spans="1:31">
      <c r="A156" s="6">
        <v>44978</v>
      </c>
      <c r="B156" t="s">
        <v>36</v>
      </c>
      <c r="C156" t="s">
        <v>37</v>
      </c>
      <c r="D156" t="s">
        <v>38</v>
      </c>
      <c r="E156" t="s">
        <v>39</v>
      </c>
      <c r="F156">
        <v>125</v>
      </c>
      <c r="G156">
        <v>320</v>
      </c>
      <c r="H156">
        <v>188</v>
      </c>
      <c r="I156">
        <v>79</v>
      </c>
      <c r="J156" s="8">
        <v>0.63200000000000001</v>
      </c>
      <c r="K156">
        <v>44</v>
      </c>
      <c r="L156">
        <v>28</v>
      </c>
      <c r="M156">
        <v>166</v>
      </c>
      <c r="N156" s="10">
        <v>659.88</v>
      </c>
      <c r="O156" s="7">
        <v>0</v>
      </c>
      <c r="P156" s="7">
        <v>27.9</v>
      </c>
      <c r="Q156">
        <v>1</v>
      </c>
      <c r="R156" t="s">
        <v>63</v>
      </c>
      <c r="S156">
        <v>2</v>
      </c>
      <c r="T156">
        <v>52</v>
      </c>
      <c r="U156" s="11">
        <v>0.7818314824680298</v>
      </c>
      <c r="V156" s="11">
        <v>0.62348980185873359</v>
      </c>
      <c r="W156" s="11">
        <v>0.76903085925891812</v>
      </c>
      <c r="X156" s="11">
        <v>0.63921165313805883</v>
      </c>
      <c r="Y156">
        <v>0</v>
      </c>
      <c r="Z156">
        <v>0</v>
      </c>
      <c r="AB156">
        <v>0</v>
      </c>
      <c r="AC156">
        <v>1</v>
      </c>
      <c r="AD156">
        <v>0</v>
      </c>
      <c r="AE156">
        <v>0</v>
      </c>
    </row>
    <row r="157" spans="1:31">
      <c r="A157" s="6">
        <v>44978</v>
      </c>
      <c r="B157" t="s">
        <v>41</v>
      </c>
      <c r="C157" t="s">
        <v>42</v>
      </c>
      <c r="D157" t="s">
        <v>43</v>
      </c>
      <c r="E157" t="s">
        <v>44</v>
      </c>
      <c r="F157">
        <v>85</v>
      </c>
      <c r="G157">
        <v>210</v>
      </c>
      <c r="H157">
        <v>138</v>
      </c>
      <c r="I157">
        <v>63</v>
      </c>
      <c r="J157" s="8">
        <v>0.74117647058823533</v>
      </c>
      <c r="K157">
        <v>22</v>
      </c>
      <c r="L157">
        <v>23</v>
      </c>
      <c r="M157">
        <v>125</v>
      </c>
      <c r="N157" s="10">
        <v>522.23</v>
      </c>
      <c r="O157" s="7">
        <v>0</v>
      </c>
      <c r="P157" s="7">
        <v>27.9</v>
      </c>
      <c r="Q157">
        <v>1</v>
      </c>
      <c r="R157" t="s">
        <v>63</v>
      </c>
      <c r="S157">
        <v>2</v>
      </c>
      <c r="T157">
        <v>52</v>
      </c>
      <c r="U157" s="11">
        <v>0.7818314824680298</v>
      </c>
      <c r="V157" s="11">
        <v>0.62348980185873359</v>
      </c>
      <c r="W157" s="11">
        <v>0.76903085925891812</v>
      </c>
      <c r="X157" s="11">
        <v>0.63921165313805883</v>
      </c>
      <c r="Y157">
        <v>0</v>
      </c>
      <c r="Z157">
        <v>0</v>
      </c>
      <c r="AB157">
        <v>0</v>
      </c>
      <c r="AC157">
        <v>1</v>
      </c>
      <c r="AD157">
        <v>0</v>
      </c>
      <c r="AE157">
        <v>0</v>
      </c>
    </row>
    <row r="158" spans="1:31">
      <c r="A158" s="6">
        <v>44979</v>
      </c>
      <c r="B158" t="s">
        <v>31</v>
      </c>
      <c r="C158" t="s">
        <v>32</v>
      </c>
      <c r="D158" t="s">
        <v>33</v>
      </c>
      <c r="E158" t="s">
        <v>34</v>
      </c>
      <c r="F158">
        <v>140</v>
      </c>
      <c r="G158">
        <v>360</v>
      </c>
      <c r="H158">
        <v>201</v>
      </c>
      <c r="I158">
        <v>85</v>
      </c>
      <c r="J158" s="8">
        <v>0.6071428571428571</v>
      </c>
      <c r="K158">
        <v>27</v>
      </c>
      <c r="L158">
        <v>32</v>
      </c>
      <c r="M158">
        <v>179</v>
      </c>
      <c r="N158" s="10">
        <v>404.5</v>
      </c>
      <c r="O158" s="7">
        <v>1.9</v>
      </c>
      <c r="P158" s="7">
        <v>28.2</v>
      </c>
      <c r="Q158">
        <v>2</v>
      </c>
      <c r="R158" t="s">
        <v>64</v>
      </c>
      <c r="S158">
        <v>2</v>
      </c>
      <c r="T158">
        <v>53</v>
      </c>
      <c r="U158" s="11">
        <v>0.97492791218182362</v>
      </c>
      <c r="V158" s="11">
        <v>-0.22252093395631434</v>
      </c>
      <c r="W158" s="11">
        <v>0.77991252241671771</v>
      </c>
      <c r="X158" s="11">
        <v>0.6258885343075018</v>
      </c>
      <c r="Y158">
        <v>0</v>
      </c>
      <c r="Z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6">
        <v>44979</v>
      </c>
      <c r="B159" t="s">
        <v>36</v>
      </c>
      <c r="C159" t="s">
        <v>37</v>
      </c>
      <c r="D159" t="s">
        <v>38</v>
      </c>
      <c r="E159" t="s">
        <v>39</v>
      </c>
      <c r="F159">
        <v>125</v>
      </c>
      <c r="G159">
        <v>320</v>
      </c>
      <c r="H159">
        <v>155</v>
      </c>
      <c r="I159">
        <v>64</v>
      </c>
      <c r="J159" s="8">
        <v>0.51200000000000001</v>
      </c>
      <c r="K159">
        <v>28</v>
      </c>
      <c r="L159">
        <v>34</v>
      </c>
      <c r="M159">
        <v>129</v>
      </c>
      <c r="N159" s="10">
        <v>649.24</v>
      </c>
      <c r="O159" s="7">
        <v>1.9</v>
      </c>
      <c r="P159" s="7">
        <v>28.2</v>
      </c>
      <c r="Q159">
        <v>2</v>
      </c>
      <c r="R159" t="s">
        <v>64</v>
      </c>
      <c r="S159">
        <v>2</v>
      </c>
      <c r="T159">
        <v>53</v>
      </c>
      <c r="U159" s="11">
        <v>0.97492791218182362</v>
      </c>
      <c r="V159" s="11">
        <v>-0.22252093395631434</v>
      </c>
      <c r="W159" s="11">
        <v>0.77991252241671771</v>
      </c>
      <c r="X159" s="11">
        <v>0.6258885343075018</v>
      </c>
      <c r="Y159">
        <v>0</v>
      </c>
      <c r="Z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6">
        <v>44979</v>
      </c>
      <c r="B160" t="s">
        <v>41</v>
      </c>
      <c r="C160" t="s">
        <v>42</v>
      </c>
      <c r="D160" t="s">
        <v>43</v>
      </c>
      <c r="E160" t="s">
        <v>44</v>
      </c>
      <c r="F160">
        <v>85</v>
      </c>
      <c r="G160">
        <v>210</v>
      </c>
      <c r="H160">
        <v>115</v>
      </c>
      <c r="I160">
        <v>52</v>
      </c>
      <c r="J160" s="8">
        <v>0.61176470588235299</v>
      </c>
      <c r="K160">
        <v>23</v>
      </c>
      <c r="L160">
        <v>24</v>
      </c>
      <c r="M160">
        <v>95</v>
      </c>
      <c r="N160" s="10">
        <v>529.79</v>
      </c>
      <c r="O160" s="7">
        <v>1.9</v>
      </c>
      <c r="P160" s="7">
        <v>28.2</v>
      </c>
      <c r="Q160">
        <v>2</v>
      </c>
      <c r="R160" t="s">
        <v>64</v>
      </c>
      <c r="S160">
        <v>2</v>
      </c>
      <c r="T160">
        <v>53</v>
      </c>
      <c r="U160" s="11">
        <v>0.97492791218182362</v>
      </c>
      <c r="V160" s="11">
        <v>-0.22252093395631434</v>
      </c>
      <c r="W160" s="11">
        <v>0.77991252241671771</v>
      </c>
      <c r="X160" s="11">
        <v>0.6258885343075018</v>
      </c>
      <c r="Y160">
        <v>0</v>
      </c>
      <c r="Z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6">
        <v>44980</v>
      </c>
      <c r="B161" t="s">
        <v>31</v>
      </c>
      <c r="C161" t="s">
        <v>32</v>
      </c>
      <c r="D161" t="s">
        <v>33</v>
      </c>
      <c r="E161" t="s">
        <v>34</v>
      </c>
      <c r="F161">
        <v>140</v>
      </c>
      <c r="G161">
        <v>360</v>
      </c>
      <c r="H161">
        <v>199</v>
      </c>
      <c r="I161">
        <v>82</v>
      </c>
      <c r="J161" s="8">
        <v>0.58571428571428574</v>
      </c>
      <c r="K161">
        <v>42</v>
      </c>
      <c r="L161">
        <v>46</v>
      </c>
      <c r="M161">
        <v>182</v>
      </c>
      <c r="N161" s="10">
        <v>447.33</v>
      </c>
      <c r="O161" s="7">
        <v>0</v>
      </c>
      <c r="P161" s="7">
        <v>27.9</v>
      </c>
      <c r="Q161">
        <v>3</v>
      </c>
      <c r="R161" t="s">
        <v>65</v>
      </c>
      <c r="S161">
        <v>2</v>
      </c>
      <c r="T161">
        <v>54</v>
      </c>
      <c r="U161" s="11">
        <v>0.43388373911755823</v>
      </c>
      <c r="V161" s="11">
        <v>-0.90096886790241903</v>
      </c>
      <c r="W161" s="11">
        <v>0.7905633969115482</v>
      </c>
      <c r="X161" s="11">
        <v>0.61238020499006496</v>
      </c>
      <c r="Y161">
        <v>0</v>
      </c>
      <c r="Z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6">
        <v>44980</v>
      </c>
      <c r="B162" t="s">
        <v>36</v>
      </c>
      <c r="C162" t="s">
        <v>37</v>
      </c>
      <c r="D162" t="s">
        <v>38</v>
      </c>
      <c r="E162" t="s">
        <v>39</v>
      </c>
      <c r="F162">
        <v>125</v>
      </c>
      <c r="G162">
        <v>320</v>
      </c>
      <c r="H162">
        <v>167</v>
      </c>
      <c r="I162">
        <v>69</v>
      </c>
      <c r="J162" s="8">
        <v>0.55200000000000005</v>
      </c>
      <c r="K162">
        <v>38</v>
      </c>
      <c r="L162">
        <v>42</v>
      </c>
      <c r="M162">
        <v>147</v>
      </c>
      <c r="N162" s="10">
        <v>605.64</v>
      </c>
      <c r="O162" s="7">
        <v>0</v>
      </c>
      <c r="P162" s="7">
        <v>27.9</v>
      </c>
      <c r="Q162">
        <v>3</v>
      </c>
      <c r="R162" t="s">
        <v>65</v>
      </c>
      <c r="S162">
        <v>2</v>
      </c>
      <c r="T162">
        <v>54</v>
      </c>
      <c r="U162" s="11">
        <v>0.43388373911755823</v>
      </c>
      <c r="V162" s="11">
        <v>-0.90096886790241903</v>
      </c>
      <c r="W162" s="11">
        <v>0.7905633969115482</v>
      </c>
      <c r="X162" s="11">
        <v>0.61238020499006496</v>
      </c>
      <c r="Y162">
        <v>0</v>
      </c>
      <c r="Z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6">
        <v>44980</v>
      </c>
      <c r="B163" t="s">
        <v>41</v>
      </c>
      <c r="C163" t="s">
        <v>42</v>
      </c>
      <c r="D163" t="s">
        <v>43</v>
      </c>
      <c r="E163" t="s">
        <v>44</v>
      </c>
      <c r="F163">
        <v>85</v>
      </c>
      <c r="G163">
        <v>210</v>
      </c>
      <c r="H163">
        <v>123</v>
      </c>
      <c r="I163">
        <v>54</v>
      </c>
      <c r="J163" s="8">
        <v>0.63529411764705879</v>
      </c>
      <c r="K163">
        <v>25</v>
      </c>
      <c r="L163">
        <v>23</v>
      </c>
      <c r="M163">
        <v>102</v>
      </c>
      <c r="N163" s="10">
        <v>574.5</v>
      </c>
      <c r="O163" s="7">
        <v>0</v>
      </c>
      <c r="P163" s="7">
        <v>27.9</v>
      </c>
      <c r="Q163">
        <v>3</v>
      </c>
      <c r="R163" t="s">
        <v>65</v>
      </c>
      <c r="S163">
        <v>2</v>
      </c>
      <c r="T163">
        <v>54</v>
      </c>
      <c r="U163" s="11">
        <v>0.43388373911755823</v>
      </c>
      <c r="V163" s="11">
        <v>-0.90096886790241903</v>
      </c>
      <c r="W163" s="11">
        <v>0.7905633969115482</v>
      </c>
      <c r="X163" s="11">
        <v>0.61238020499006496</v>
      </c>
      <c r="Y163">
        <v>0</v>
      </c>
      <c r="Z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6">
        <v>44981</v>
      </c>
      <c r="B164" t="s">
        <v>31</v>
      </c>
      <c r="C164" t="s">
        <v>32</v>
      </c>
      <c r="D164" t="s">
        <v>33</v>
      </c>
      <c r="E164" t="s">
        <v>34</v>
      </c>
      <c r="F164">
        <v>140</v>
      </c>
      <c r="G164">
        <v>360</v>
      </c>
      <c r="H164">
        <v>192</v>
      </c>
      <c r="I164">
        <v>79</v>
      </c>
      <c r="J164" s="8">
        <v>0.56428571428571428</v>
      </c>
      <c r="K164">
        <v>28</v>
      </c>
      <c r="L164">
        <v>22</v>
      </c>
      <c r="M164">
        <v>171</v>
      </c>
      <c r="N164" s="10">
        <v>388.52</v>
      </c>
      <c r="O164" s="7">
        <v>18.2</v>
      </c>
      <c r="P164" s="7">
        <v>27.6</v>
      </c>
      <c r="Q164">
        <v>4</v>
      </c>
      <c r="R164" t="s">
        <v>66</v>
      </c>
      <c r="S164">
        <v>2</v>
      </c>
      <c r="T164">
        <v>55</v>
      </c>
      <c r="U164" s="11">
        <v>-0.43388373911755801</v>
      </c>
      <c r="V164" s="11">
        <v>-0.90096886790241915</v>
      </c>
      <c r="W164" s="11">
        <v>0.80098033097829047</v>
      </c>
      <c r="X164" s="11">
        <v>0.59869066251772141</v>
      </c>
      <c r="Y164">
        <v>0</v>
      </c>
      <c r="Z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6">
        <v>44981</v>
      </c>
      <c r="B165" t="s">
        <v>36</v>
      </c>
      <c r="C165" t="s">
        <v>37</v>
      </c>
      <c r="D165" t="s">
        <v>38</v>
      </c>
      <c r="E165" t="s">
        <v>39</v>
      </c>
      <c r="F165">
        <v>125</v>
      </c>
      <c r="G165">
        <v>320</v>
      </c>
      <c r="H165">
        <v>167</v>
      </c>
      <c r="I165">
        <v>68</v>
      </c>
      <c r="J165" s="8">
        <v>0.54400000000000004</v>
      </c>
      <c r="K165">
        <v>43</v>
      </c>
      <c r="L165">
        <v>33</v>
      </c>
      <c r="M165">
        <v>141</v>
      </c>
      <c r="N165" s="10">
        <v>568.66</v>
      </c>
      <c r="O165" s="7">
        <v>18.2</v>
      </c>
      <c r="P165" s="7">
        <v>27.6</v>
      </c>
      <c r="Q165">
        <v>4</v>
      </c>
      <c r="R165" t="s">
        <v>66</v>
      </c>
      <c r="S165">
        <v>2</v>
      </c>
      <c r="T165">
        <v>55</v>
      </c>
      <c r="U165" s="11">
        <v>-0.43388373911755801</v>
      </c>
      <c r="V165" s="11">
        <v>-0.90096886790241915</v>
      </c>
      <c r="W165" s="11">
        <v>0.80098033097829047</v>
      </c>
      <c r="X165" s="11">
        <v>0.59869066251772141</v>
      </c>
      <c r="Y165">
        <v>0</v>
      </c>
      <c r="Z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6">
        <v>44981</v>
      </c>
      <c r="B166" t="s">
        <v>41</v>
      </c>
      <c r="C166" t="s">
        <v>42</v>
      </c>
      <c r="D166" t="s">
        <v>43</v>
      </c>
      <c r="E166" t="s">
        <v>44</v>
      </c>
      <c r="F166">
        <v>85</v>
      </c>
      <c r="G166">
        <v>210</v>
      </c>
      <c r="H166">
        <v>133</v>
      </c>
      <c r="I166">
        <v>58</v>
      </c>
      <c r="J166" s="8">
        <v>0.68235294117647061</v>
      </c>
      <c r="K166">
        <v>26</v>
      </c>
      <c r="L166">
        <v>34</v>
      </c>
      <c r="M166">
        <v>124</v>
      </c>
      <c r="N166" s="10">
        <v>538.59</v>
      </c>
      <c r="O166" s="7">
        <v>18.2</v>
      </c>
      <c r="P166" s="7">
        <v>27.6</v>
      </c>
      <c r="Q166">
        <v>4</v>
      </c>
      <c r="R166" t="s">
        <v>66</v>
      </c>
      <c r="S166">
        <v>2</v>
      </c>
      <c r="T166">
        <v>55</v>
      </c>
      <c r="U166" s="11">
        <v>-0.43388373911755801</v>
      </c>
      <c r="V166" s="11">
        <v>-0.90096886790241915</v>
      </c>
      <c r="W166" s="11">
        <v>0.80098033097829047</v>
      </c>
      <c r="X166" s="11">
        <v>0.59869066251772141</v>
      </c>
      <c r="Y166">
        <v>0</v>
      </c>
      <c r="Z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6">
        <v>44982</v>
      </c>
      <c r="B167" t="s">
        <v>31</v>
      </c>
      <c r="C167" t="s">
        <v>32</v>
      </c>
      <c r="D167" t="s">
        <v>33</v>
      </c>
      <c r="E167" t="s">
        <v>34</v>
      </c>
      <c r="F167">
        <v>140</v>
      </c>
      <c r="G167">
        <v>360</v>
      </c>
      <c r="H167">
        <v>199</v>
      </c>
      <c r="I167">
        <v>84</v>
      </c>
      <c r="J167" s="8">
        <v>0.6</v>
      </c>
      <c r="K167">
        <v>31</v>
      </c>
      <c r="L167">
        <v>25</v>
      </c>
      <c r="M167">
        <v>161</v>
      </c>
      <c r="N167" s="10">
        <v>495.11</v>
      </c>
      <c r="O167" s="7">
        <v>6</v>
      </c>
      <c r="P167" s="7">
        <v>27.5</v>
      </c>
      <c r="Q167">
        <v>5</v>
      </c>
      <c r="R167" t="s">
        <v>67</v>
      </c>
      <c r="S167">
        <v>2</v>
      </c>
      <c r="T167">
        <v>56</v>
      </c>
      <c r="U167" s="11">
        <v>-0.97492791218182362</v>
      </c>
      <c r="V167" s="11">
        <v>-0.22252093395631459</v>
      </c>
      <c r="W167" s="11">
        <v>0.81116024207856208</v>
      </c>
      <c r="X167" s="11">
        <v>0.58482395784633223</v>
      </c>
      <c r="Y167">
        <v>1</v>
      </c>
      <c r="Z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6">
        <v>44982</v>
      </c>
      <c r="B168" t="s">
        <v>36</v>
      </c>
      <c r="C168" t="s">
        <v>37</v>
      </c>
      <c r="D168" t="s">
        <v>38</v>
      </c>
      <c r="E168" t="s">
        <v>39</v>
      </c>
      <c r="F168">
        <v>125</v>
      </c>
      <c r="G168">
        <v>320</v>
      </c>
      <c r="H168">
        <v>179</v>
      </c>
      <c r="I168">
        <v>73</v>
      </c>
      <c r="J168" s="8">
        <v>0.58399999999999996</v>
      </c>
      <c r="K168">
        <v>26</v>
      </c>
      <c r="L168">
        <v>37</v>
      </c>
      <c r="M168">
        <v>151</v>
      </c>
      <c r="N168" s="10">
        <v>741.48</v>
      </c>
      <c r="O168" s="7">
        <v>6</v>
      </c>
      <c r="P168" s="7">
        <v>27.5</v>
      </c>
      <c r="Q168">
        <v>5</v>
      </c>
      <c r="R168" t="s">
        <v>67</v>
      </c>
      <c r="S168">
        <v>2</v>
      </c>
      <c r="T168">
        <v>56</v>
      </c>
      <c r="U168" s="11">
        <v>-0.97492791218182362</v>
      </c>
      <c r="V168" s="11">
        <v>-0.22252093395631459</v>
      </c>
      <c r="W168" s="11">
        <v>0.81116024207856208</v>
      </c>
      <c r="X168" s="11">
        <v>0.58482395784633223</v>
      </c>
      <c r="Y168">
        <v>1</v>
      </c>
      <c r="Z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6">
        <v>44982</v>
      </c>
      <c r="B169" t="s">
        <v>41</v>
      </c>
      <c r="C169" t="s">
        <v>42</v>
      </c>
      <c r="D169" t="s">
        <v>43</v>
      </c>
      <c r="E169" t="s">
        <v>44</v>
      </c>
      <c r="F169">
        <v>85</v>
      </c>
      <c r="G169">
        <v>210</v>
      </c>
      <c r="H169">
        <v>140</v>
      </c>
      <c r="I169">
        <v>62</v>
      </c>
      <c r="J169" s="8">
        <v>0.72941176470588232</v>
      </c>
      <c r="K169">
        <v>30</v>
      </c>
      <c r="L169">
        <v>26</v>
      </c>
      <c r="M169">
        <v>117</v>
      </c>
      <c r="N169" s="10">
        <v>561.99</v>
      </c>
      <c r="O169" s="7">
        <v>6</v>
      </c>
      <c r="P169" s="7">
        <v>27.5</v>
      </c>
      <c r="Q169">
        <v>5</v>
      </c>
      <c r="R169" t="s">
        <v>67</v>
      </c>
      <c r="S169">
        <v>2</v>
      </c>
      <c r="T169">
        <v>56</v>
      </c>
      <c r="U169" s="11">
        <v>-0.97492791218182362</v>
      </c>
      <c r="V169" s="11">
        <v>-0.22252093395631459</v>
      </c>
      <c r="W169" s="11">
        <v>0.81116024207856208</v>
      </c>
      <c r="X169" s="11">
        <v>0.58482395784633223</v>
      </c>
      <c r="Y169">
        <v>1</v>
      </c>
      <c r="Z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6">
        <v>44983</v>
      </c>
      <c r="B170" t="s">
        <v>31</v>
      </c>
      <c r="C170" t="s">
        <v>32</v>
      </c>
      <c r="D170" t="s">
        <v>33</v>
      </c>
      <c r="E170" t="s">
        <v>34</v>
      </c>
      <c r="F170">
        <v>140</v>
      </c>
      <c r="G170">
        <v>360</v>
      </c>
      <c r="H170">
        <v>209</v>
      </c>
      <c r="I170">
        <v>88</v>
      </c>
      <c r="J170" s="8">
        <v>0.62857142857142856</v>
      </c>
      <c r="K170">
        <v>60</v>
      </c>
      <c r="L170">
        <v>29</v>
      </c>
      <c r="M170">
        <v>182</v>
      </c>
      <c r="N170" s="10">
        <v>463.75</v>
      </c>
      <c r="O170" s="7">
        <v>0</v>
      </c>
      <c r="P170" s="7">
        <v>29.3</v>
      </c>
      <c r="Q170">
        <v>6</v>
      </c>
      <c r="R170" t="s">
        <v>60</v>
      </c>
      <c r="S170">
        <v>2</v>
      </c>
      <c r="T170">
        <v>57</v>
      </c>
      <c r="U170" s="11">
        <v>-0.78183148246802991</v>
      </c>
      <c r="V170" s="11">
        <v>0.62348980185873337</v>
      </c>
      <c r="W170" s="11">
        <v>0.82110011781288916</v>
      </c>
      <c r="X170" s="11">
        <v>0.57078419435690364</v>
      </c>
      <c r="Y170">
        <v>1</v>
      </c>
      <c r="Z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6">
        <v>44983</v>
      </c>
      <c r="B171" t="s">
        <v>36</v>
      </c>
      <c r="C171" t="s">
        <v>37</v>
      </c>
      <c r="D171" t="s">
        <v>38</v>
      </c>
      <c r="E171" t="s">
        <v>39</v>
      </c>
      <c r="F171">
        <v>125</v>
      </c>
      <c r="G171">
        <v>320</v>
      </c>
      <c r="H171">
        <v>182</v>
      </c>
      <c r="I171">
        <v>75</v>
      </c>
      <c r="J171" s="8">
        <v>0.6</v>
      </c>
      <c r="K171">
        <v>39</v>
      </c>
      <c r="L171">
        <v>42</v>
      </c>
      <c r="M171">
        <v>151</v>
      </c>
      <c r="N171" s="10">
        <v>629.02</v>
      </c>
      <c r="O171" s="7">
        <v>0</v>
      </c>
      <c r="P171" s="7">
        <v>29.3</v>
      </c>
      <c r="Q171">
        <v>6</v>
      </c>
      <c r="R171" t="s">
        <v>60</v>
      </c>
      <c r="S171">
        <v>2</v>
      </c>
      <c r="T171">
        <v>57</v>
      </c>
      <c r="U171" s="11">
        <v>-0.78183148246802991</v>
      </c>
      <c r="V171" s="11">
        <v>0.62348980185873337</v>
      </c>
      <c r="W171" s="11">
        <v>0.82110011781288916</v>
      </c>
      <c r="X171" s="11">
        <v>0.57078419435690364</v>
      </c>
      <c r="Y171">
        <v>1</v>
      </c>
      <c r="Z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6">
        <v>44983</v>
      </c>
      <c r="B172" t="s">
        <v>41</v>
      </c>
      <c r="C172" t="s">
        <v>42</v>
      </c>
      <c r="D172" t="s">
        <v>43</v>
      </c>
      <c r="E172" t="s">
        <v>44</v>
      </c>
      <c r="F172">
        <v>85</v>
      </c>
      <c r="G172">
        <v>210</v>
      </c>
      <c r="H172">
        <v>146</v>
      </c>
      <c r="I172">
        <v>66</v>
      </c>
      <c r="J172" s="8">
        <v>0.77647058823529413</v>
      </c>
      <c r="K172">
        <v>19</v>
      </c>
      <c r="L172">
        <v>20</v>
      </c>
      <c r="M172">
        <v>123</v>
      </c>
      <c r="N172" s="10">
        <v>623.5</v>
      </c>
      <c r="O172" s="7">
        <v>0</v>
      </c>
      <c r="P172" s="7">
        <v>29.3</v>
      </c>
      <c r="Q172">
        <v>6</v>
      </c>
      <c r="R172" t="s">
        <v>60</v>
      </c>
      <c r="S172">
        <v>2</v>
      </c>
      <c r="T172">
        <v>57</v>
      </c>
      <c r="U172" s="11">
        <v>-0.78183148246802991</v>
      </c>
      <c r="V172" s="11">
        <v>0.62348980185873337</v>
      </c>
      <c r="W172" s="11">
        <v>0.82110011781288916</v>
      </c>
      <c r="X172" s="11">
        <v>0.57078419435690364</v>
      </c>
      <c r="Y172">
        <v>1</v>
      </c>
      <c r="Z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6">
        <v>44984</v>
      </c>
      <c r="B173" t="s">
        <v>31</v>
      </c>
      <c r="C173" t="s">
        <v>32</v>
      </c>
      <c r="D173" t="s">
        <v>33</v>
      </c>
      <c r="E173" t="s">
        <v>34</v>
      </c>
      <c r="F173">
        <v>140</v>
      </c>
      <c r="G173">
        <v>360</v>
      </c>
      <c r="H173">
        <v>159</v>
      </c>
      <c r="I173">
        <v>69</v>
      </c>
      <c r="J173" s="8">
        <v>0.49285714285714288</v>
      </c>
      <c r="K173">
        <v>36</v>
      </c>
      <c r="L173">
        <v>22</v>
      </c>
      <c r="M173">
        <v>132</v>
      </c>
      <c r="N173" s="10">
        <v>449.35</v>
      </c>
      <c r="O173" s="7">
        <v>0</v>
      </c>
      <c r="P173" s="7">
        <v>28.4</v>
      </c>
      <c r="Q173">
        <v>0</v>
      </c>
      <c r="R173" t="s">
        <v>62</v>
      </c>
      <c r="S173">
        <v>2</v>
      </c>
      <c r="T173">
        <v>58</v>
      </c>
      <c r="U173" s="11">
        <v>0</v>
      </c>
      <c r="V173" s="11">
        <v>1</v>
      </c>
      <c r="W173" s="11">
        <v>0.8307970168121247</v>
      </c>
      <c r="X173" s="11">
        <v>0.55657552664133025</v>
      </c>
      <c r="Y173">
        <v>0</v>
      </c>
      <c r="Z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6">
        <v>44984</v>
      </c>
      <c r="B174" t="s">
        <v>36</v>
      </c>
      <c r="C174" t="s">
        <v>37</v>
      </c>
      <c r="D174" t="s">
        <v>38</v>
      </c>
      <c r="E174" t="s">
        <v>39</v>
      </c>
      <c r="F174">
        <v>125</v>
      </c>
      <c r="G174">
        <v>320</v>
      </c>
      <c r="H174">
        <v>171</v>
      </c>
      <c r="I174">
        <v>71</v>
      </c>
      <c r="J174" s="8">
        <v>0.56799999999999995</v>
      </c>
      <c r="K174">
        <v>35</v>
      </c>
      <c r="L174">
        <v>26</v>
      </c>
      <c r="M174">
        <v>145</v>
      </c>
      <c r="N174" s="10">
        <v>654.94000000000005</v>
      </c>
      <c r="O174" s="7">
        <v>0</v>
      </c>
      <c r="P174" s="7">
        <v>28.4</v>
      </c>
      <c r="Q174">
        <v>0</v>
      </c>
      <c r="R174" t="s">
        <v>62</v>
      </c>
      <c r="S174">
        <v>2</v>
      </c>
      <c r="T174">
        <v>58</v>
      </c>
      <c r="U174" s="11">
        <v>0</v>
      </c>
      <c r="V174" s="11">
        <v>1</v>
      </c>
      <c r="W174" s="11">
        <v>0.8307970168121247</v>
      </c>
      <c r="X174" s="11">
        <v>0.55657552664133025</v>
      </c>
      <c r="Y174">
        <v>0</v>
      </c>
      <c r="Z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6">
        <v>44984</v>
      </c>
      <c r="B175" t="s">
        <v>41</v>
      </c>
      <c r="C175" t="s">
        <v>42</v>
      </c>
      <c r="D175" t="s">
        <v>43</v>
      </c>
      <c r="E175" t="s">
        <v>44</v>
      </c>
      <c r="F175">
        <v>85</v>
      </c>
      <c r="G175">
        <v>210</v>
      </c>
      <c r="H175">
        <v>116</v>
      </c>
      <c r="I175">
        <v>53</v>
      </c>
      <c r="J175" s="8">
        <v>0.62352941176470589</v>
      </c>
      <c r="K175">
        <v>30</v>
      </c>
      <c r="L175">
        <v>15</v>
      </c>
      <c r="M175">
        <v>104</v>
      </c>
      <c r="N175" s="10">
        <v>507.56</v>
      </c>
      <c r="O175" s="7">
        <v>0</v>
      </c>
      <c r="P175" s="7">
        <v>28.4</v>
      </c>
      <c r="Q175">
        <v>0</v>
      </c>
      <c r="R175" t="s">
        <v>62</v>
      </c>
      <c r="S175">
        <v>2</v>
      </c>
      <c r="T175">
        <v>58</v>
      </c>
      <c r="U175" s="11">
        <v>0</v>
      </c>
      <c r="V175" s="11">
        <v>1</v>
      </c>
      <c r="W175" s="11">
        <v>0.8307970168121247</v>
      </c>
      <c r="X175" s="11">
        <v>0.55657552664133025</v>
      </c>
      <c r="Y175">
        <v>0</v>
      </c>
      <c r="Z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6">
        <v>44985</v>
      </c>
      <c r="B176" t="s">
        <v>31</v>
      </c>
      <c r="C176" t="s">
        <v>32</v>
      </c>
      <c r="D176" t="s">
        <v>33</v>
      </c>
      <c r="E176" t="s">
        <v>34</v>
      </c>
      <c r="F176">
        <v>140</v>
      </c>
      <c r="G176">
        <v>360</v>
      </c>
      <c r="H176">
        <v>185</v>
      </c>
      <c r="I176">
        <v>76</v>
      </c>
      <c r="J176" s="8">
        <v>0.54285714285714282</v>
      </c>
      <c r="K176">
        <v>19</v>
      </c>
      <c r="L176">
        <v>39</v>
      </c>
      <c r="M176">
        <v>149</v>
      </c>
      <c r="N176" s="10">
        <v>434.51</v>
      </c>
      <c r="O176" s="7">
        <v>15.9</v>
      </c>
      <c r="P176" s="7">
        <v>28</v>
      </c>
      <c r="Q176">
        <v>1</v>
      </c>
      <c r="R176" t="s">
        <v>63</v>
      </c>
      <c r="S176">
        <v>2</v>
      </c>
      <c r="T176">
        <v>59</v>
      </c>
      <c r="U176" s="11">
        <v>0.7818314824680298</v>
      </c>
      <c r="V176" s="11">
        <v>0.62348980185873359</v>
      </c>
      <c r="W176" s="11">
        <v>0.84024806960784693</v>
      </c>
      <c r="X176" s="11">
        <v>0.54220215927298443</v>
      </c>
      <c r="Y176">
        <v>0</v>
      </c>
      <c r="Z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6">
        <v>44985</v>
      </c>
      <c r="B177" t="s">
        <v>36</v>
      </c>
      <c r="C177" t="s">
        <v>37</v>
      </c>
      <c r="D177" t="s">
        <v>38</v>
      </c>
      <c r="E177" t="s">
        <v>39</v>
      </c>
      <c r="F177">
        <v>125</v>
      </c>
      <c r="G177">
        <v>320</v>
      </c>
      <c r="H177">
        <v>165</v>
      </c>
      <c r="I177">
        <v>69</v>
      </c>
      <c r="J177" s="8">
        <v>0.55200000000000005</v>
      </c>
      <c r="K177">
        <v>32</v>
      </c>
      <c r="L177">
        <v>22</v>
      </c>
      <c r="M177">
        <v>133</v>
      </c>
      <c r="N177" s="10">
        <v>609.66999999999996</v>
      </c>
      <c r="O177" s="7">
        <v>15.9</v>
      </c>
      <c r="P177" s="7">
        <v>28</v>
      </c>
      <c r="Q177">
        <v>1</v>
      </c>
      <c r="R177" t="s">
        <v>63</v>
      </c>
      <c r="S177">
        <v>2</v>
      </c>
      <c r="T177">
        <v>59</v>
      </c>
      <c r="U177" s="11">
        <v>0.7818314824680298</v>
      </c>
      <c r="V177" s="11">
        <v>0.62348980185873359</v>
      </c>
      <c r="W177" s="11">
        <v>0.84024806960784693</v>
      </c>
      <c r="X177" s="11">
        <v>0.54220215927298443</v>
      </c>
      <c r="Y177">
        <v>0</v>
      </c>
      <c r="Z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6">
        <v>44985</v>
      </c>
      <c r="B178" t="s">
        <v>41</v>
      </c>
      <c r="C178" t="s">
        <v>42</v>
      </c>
      <c r="D178" t="s">
        <v>43</v>
      </c>
      <c r="E178" t="s">
        <v>44</v>
      </c>
      <c r="F178">
        <v>85</v>
      </c>
      <c r="G178">
        <v>210</v>
      </c>
      <c r="H178">
        <v>123</v>
      </c>
      <c r="I178">
        <v>51</v>
      </c>
      <c r="J178" s="8">
        <v>0.6</v>
      </c>
      <c r="K178">
        <v>35</v>
      </c>
      <c r="L178">
        <v>13</v>
      </c>
      <c r="M178">
        <v>108</v>
      </c>
      <c r="N178" s="10">
        <v>512.6</v>
      </c>
      <c r="O178" s="7">
        <v>15.9</v>
      </c>
      <c r="P178" s="7">
        <v>28</v>
      </c>
      <c r="Q178">
        <v>1</v>
      </c>
      <c r="R178" t="s">
        <v>63</v>
      </c>
      <c r="S178">
        <v>2</v>
      </c>
      <c r="T178">
        <v>59</v>
      </c>
      <c r="U178" s="11">
        <v>0.7818314824680298</v>
      </c>
      <c r="V178" s="11">
        <v>0.62348980185873359</v>
      </c>
      <c r="W178" s="11">
        <v>0.84024806960784693</v>
      </c>
      <c r="X178" s="11">
        <v>0.54220215927298443</v>
      </c>
      <c r="Y178">
        <v>0</v>
      </c>
      <c r="Z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6">
        <v>44986</v>
      </c>
      <c r="B179" t="s">
        <v>31</v>
      </c>
      <c r="C179" t="s">
        <v>32</v>
      </c>
      <c r="D179" t="s">
        <v>33</v>
      </c>
      <c r="E179" t="s">
        <v>34</v>
      </c>
      <c r="F179">
        <v>140</v>
      </c>
      <c r="G179">
        <v>360</v>
      </c>
      <c r="H179">
        <v>182</v>
      </c>
      <c r="I179">
        <v>75</v>
      </c>
      <c r="J179" s="8">
        <v>0.5357142857142857</v>
      </c>
      <c r="K179">
        <v>25</v>
      </c>
      <c r="L179">
        <v>35</v>
      </c>
      <c r="M179">
        <v>160</v>
      </c>
      <c r="N179" s="10">
        <v>430.2</v>
      </c>
      <c r="O179" s="7">
        <v>0</v>
      </c>
      <c r="P179" s="7">
        <v>27.9</v>
      </c>
      <c r="Q179">
        <v>2</v>
      </c>
      <c r="R179" t="s">
        <v>64</v>
      </c>
      <c r="S179">
        <v>3</v>
      </c>
      <c r="T179">
        <v>60</v>
      </c>
      <c r="U179" s="11">
        <v>0.97492791218182362</v>
      </c>
      <c r="V179" s="11">
        <v>-0.22252093395631434</v>
      </c>
      <c r="W179" s="11">
        <v>0.84945047948148056</v>
      </c>
      <c r="X179" s="11">
        <v>0.52766834556251596</v>
      </c>
      <c r="Y179">
        <v>0</v>
      </c>
      <c r="Z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6">
        <v>44986</v>
      </c>
      <c r="B180" t="s">
        <v>36</v>
      </c>
      <c r="C180" t="s">
        <v>37</v>
      </c>
      <c r="D180" t="s">
        <v>38</v>
      </c>
      <c r="E180" t="s">
        <v>39</v>
      </c>
      <c r="F180">
        <v>125</v>
      </c>
      <c r="G180">
        <v>320</v>
      </c>
      <c r="H180">
        <v>148</v>
      </c>
      <c r="I180">
        <v>62</v>
      </c>
      <c r="J180" s="8">
        <v>0.496</v>
      </c>
      <c r="K180">
        <v>25</v>
      </c>
      <c r="L180">
        <v>24</v>
      </c>
      <c r="M180">
        <v>138</v>
      </c>
      <c r="N180" s="10">
        <v>658.57</v>
      </c>
      <c r="O180" s="7">
        <v>0</v>
      </c>
      <c r="P180" s="7">
        <v>27.9</v>
      </c>
      <c r="Q180">
        <v>2</v>
      </c>
      <c r="R180" t="s">
        <v>64</v>
      </c>
      <c r="S180">
        <v>3</v>
      </c>
      <c r="T180">
        <v>60</v>
      </c>
      <c r="U180" s="11">
        <v>0.97492791218182362</v>
      </c>
      <c r="V180" s="11">
        <v>-0.22252093395631434</v>
      </c>
      <c r="W180" s="11">
        <v>0.84945047948148056</v>
      </c>
      <c r="X180" s="11">
        <v>0.52766834556251596</v>
      </c>
      <c r="Y180">
        <v>0</v>
      </c>
      <c r="Z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6">
        <v>44986</v>
      </c>
      <c r="B181" t="s">
        <v>41</v>
      </c>
      <c r="C181" t="s">
        <v>42</v>
      </c>
      <c r="D181" t="s">
        <v>43</v>
      </c>
      <c r="E181" t="s">
        <v>44</v>
      </c>
      <c r="F181">
        <v>85</v>
      </c>
      <c r="G181">
        <v>210</v>
      </c>
      <c r="H181">
        <v>113</v>
      </c>
      <c r="I181">
        <v>51</v>
      </c>
      <c r="J181" s="8">
        <v>0.6</v>
      </c>
      <c r="K181">
        <v>20</v>
      </c>
      <c r="L181">
        <v>20</v>
      </c>
      <c r="M181">
        <v>104</v>
      </c>
      <c r="N181" s="10">
        <v>497.89</v>
      </c>
      <c r="O181" s="7">
        <v>0</v>
      </c>
      <c r="P181" s="7">
        <v>27.9</v>
      </c>
      <c r="Q181">
        <v>2</v>
      </c>
      <c r="R181" t="s">
        <v>64</v>
      </c>
      <c r="S181">
        <v>3</v>
      </c>
      <c r="T181">
        <v>60</v>
      </c>
      <c r="U181" s="11">
        <v>0.97492791218182362</v>
      </c>
      <c r="V181" s="11">
        <v>-0.22252093395631434</v>
      </c>
      <c r="W181" s="11">
        <v>0.84945047948148056</v>
      </c>
      <c r="X181" s="11">
        <v>0.52766834556251596</v>
      </c>
      <c r="Y181">
        <v>0</v>
      </c>
      <c r="Z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6">
        <v>44987</v>
      </c>
      <c r="B182" t="s">
        <v>31</v>
      </c>
      <c r="C182" t="s">
        <v>32</v>
      </c>
      <c r="D182" t="s">
        <v>33</v>
      </c>
      <c r="E182" t="s">
        <v>34</v>
      </c>
      <c r="F182">
        <v>140</v>
      </c>
      <c r="G182">
        <v>360</v>
      </c>
      <c r="H182">
        <v>191</v>
      </c>
      <c r="I182">
        <v>81</v>
      </c>
      <c r="J182" s="8">
        <v>0.57857142857142863</v>
      </c>
      <c r="K182">
        <v>40</v>
      </c>
      <c r="L182">
        <v>44</v>
      </c>
      <c r="M182">
        <v>171</v>
      </c>
      <c r="N182" s="10">
        <v>431.85</v>
      </c>
      <c r="O182" s="7">
        <v>3.8</v>
      </c>
      <c r="P182" s="7">
        <v>28.2</v>
      </c>
      <c r="Q182">
        <v>3</v>
      </c>
      <c r="R182" t="s">
        <v>65</v>
      </c>
      <c r="S182">
        <v>3</v>
      </c>
      <c r="T182">
        <v>61</v>
      </c>
      <c r="U182" s="11">
        <v>0.43388373911755823</v>
      </c>
      <c r="V182" s="11">
        <v>-0.90096886790241903</v>
      </c>
      <c r="W182" s="11">
        <v>0.85840152329189168</v>
      </c>
      <c r="X182" s="11">
        <v>0.51297838629922798</v>
      </c>
      <c r="Y182">
        <v>0</v>
      </c>
      <c r="Z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6">
        <v>44987</v>
      </c>
      <c r="B183" t="s">
        <v>36</v>
      </c>
      <c r="C183" t="s">
        <v>37</v>
      </c>
      <c r="D183" t="s">
        <v>38</v>
      </c>
      <c r="E183" t="s">
        <v>39</v>
      </c>
      <c r="F183">
        <v>125</v>
      </c>
      <c r="G183">
        <v>320</v>
      </c>
      <c r="H183">
        <v>164</v>
      </c>
      <c r="I183">
        <v>69</v>
      </c>
      <c r="J183" s="8">
        <v>0.55200000000000005</v>
      </c>
      <c r="K183">
        <v>36</v>
      </c>
      <c r="L183">
        <v>22</v>
      </c>
      <c r="M183">
        <v>148</v>
      </c>
      <c r="N183" s="10">
        <v>678.24</v>
      </c>
      <c r="O183" s="7">
        <v>3.8</v>
      </c>
      <c r="P183" s="7">
        <v>28.2</v>
      </c>
      <c r="Q183">
        <v>3</v>
      </c>
      <c r="R183" t="s">
        <v>65</v>
      </c>
      <c r="S183">
        <v>3</v>
      </c>
      <c r="T183">
        <v>61</v>
      </c>
      <c r="U183" s="11">
        <v>0.43388373911755823</v>
      </c>
      <c r="V183" s="11">
        <v>-0.90096886790241903</v>
      </c>
      <c r="W183" s="11">
        <v>0.85840152329189168</v>
      </c>
      <c r="X183" s="11">
        <v>0.51297838629922798</v>
      </c>
      <c r="Y183">
        <v>0</v>
      </c>
      <c r="Z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6">
        <v>44987</v>
      </c>
      <c r="B184" t="s">
        <v>41</v>
      </c>
      <c r="C184" t="s">
        <v>42</v>
      </c>
      <c r="D184" t="s">
        <v>43</v>
      </c>
      <c r="E184" t="s">
        <v>44</v>
      </c>
      <c r="F184">
        <v>85</v>
      </c>
      <c r="G184">
        <v>210</v>
      </c>
      <c r="H184">
        <v>111</v>
      </c>
      <c r="I184">
        <v>48</v>
      </c>
      <c r="J184" s="8">
        <v>0.56470588235294117</v>
      </c>
      <c r="K184">
        <v>26</v>
      </c>
      <c r="L184">
        <v>21</v>
      </c>
      <c r="M184">
        <v>94</v>
      </c>
      <c r="N184" s="10">
        <v>574.42999999999995</v>
      </c>
      <c r="O184" s="7">
        <v>3.8</v>
      </c>
      <c r="P184" s="7">
        <v>28.2</v>
      </c>
      <c r="Q184">
        <v>3</v>
      </c>
      <c r="R184" t="s">
        <v>65</v>
      </c>
      <c r="S184">
        <v>3</v>
      </c>
      <c r="T184">
        <v>61</v>
      </c>
      <c r="U184" s="11">
        <v>0.43388373911755823</v>
      </c>
      <c r="V184" s="11">
        <v>-0.90096886790241903</v>
      </c>
      <c r="W184" s="11">
        <v>0.85840152329189168</v>
      </c>
      <c r="X184" s="11">
        <v>0.51297838629922798</v>
      </c>
      <c r="Y184">
        <v>0</v>
      </c>
      <c r="Z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6">
        <v>44988</v>
      </c>
      <c r="B185" t="s">
        <v>31</v>
      </c>
      <c r="C185" t="s">
        <v>32</v>
      </c>
      <c r="D185" t="s">
        <v>33</v>
      </c>
      <c r="E185" t="s">
        <v>34</v>
      </c>
      <c r="F185">
        <v>140</v>
      </c>
      <c r="G185">
        <v>360</v>
      </c>
      <c r="H185">
        <v>202</v>
      </c>
      <c r="I185">
        <v>84</v>
      </c>
      <c r="J185" s="8">
        <v>0.6</v>
      </c>
      <c r="K185">
        <v>55</v>
      </c>
      <c r="L185">
        <v>29</v>
      </c>
      <c r="M185">
        <v>182</v>
      </c>
      <c r="N185" s="10">
        <v>414.6</v>
      </c>
      <c r="O185" s="7">
        <v>15.6</v>
      </c>
      <c r="P185" s="7">
        <v>27.8</v>
      </c>
      <c r="Q185">
        <v>4</v>
      </c>
      <c r="R185" t="s">
        <v>66</v>
      </c>
      <c r="S185">
        <v>3</v>
      </c>
      <c r="T185">
        <v>62</v>
      </c>
      <c r="U185" s="11">
        <v>-0.43388373911755801</v>
      </c>
      <c r="V185" s="11">
        <v>-0.90096886790241915</v>
      </c>
      <c r="W185" s="11">
        <v>0.86709855228120813</v>
      </c>
      <c r="X185" s="11">
        <v>0.49813662847840551</v>
      </c>
      <c r="Y185">
        <v>0</v>
      </c>
      <c r="Z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6">
        <v>44988</v>
      </c>
      <c r="B186" t="s">
        <v>36</v>
      </c>
      <c r="C186" t="s">
        <v>37</v>
      </c>
      <c r="D186" t="s">
        <v>38</v>
      </c>
      <c r="E186" t="s">
        <v>39</v>
      </c>
      <c r="F186">
        <v>125</v>
      </c>
      <c r="G186">
        <v>320</v>
      </c>
      <c r="H186">
        <v>158</v>
      </c>
      <c r="I186">
        <v>65</v>
      </c>
      <c r="J186" s="8">
        <v>0.52</v>
      </c>
      <c r="K186">
        <v>33</v>
      </c>
      <c r="L186">
        <v>29</v>
      </c>
      <c r="M186">
        <v>138</v>
      </c>
      <c r="N186" s="10">
        <v>604.20000000000005</v>
      </c>
      <c r="O186" s="7">
        <v>15.6</v>
      </c>
      <c r="P186" s="7">
        <v>27.8</v>
      </c>
      <c r="Q186">
        <v>4</v>
      </c>
      <c r="R186" t="s">
        <v>66</v>
      </c>
      <c r="S186">
        <v>3</v>
      </c>
      <c r="T186">
        <v>62</v>
      </c>
      <c r="U186" s="11">
        <v>-0.43388373911755801</v>
      </c>
      <c r="V186" s="11">
        <v>-0.90096886790241915</v>
      </c>
      <c r="W186" s="11">
        <v>0.86709855228120813</v>
      </c>
      <c r="X186" s="11">
        <v>0.49813662847840551</v>
      </c>
      <c r="Y186">
        <v>0</v>
      </c>
      <c r="Z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6">
        <v>44988</v>
      </c>
      <c r="B187" t="s">
        <v>41</v>
      </c>
      <c r="C187" t="s">
        <v>42</v>
      </c>
      <c r="D187" t="s">
        <v>43</v>
      </c>
      <c r="E187" t="s">
        <v>44</v>
      </c>
      <c r="F187">
        <v>85</v>
      </c>
      <c r="G187">
        <v>210</v>
      </c>
      <c r="H187">
        <v>115</v>
      </c>
      <c r="I187">
        <v>53</v>
      </c>
      <c r="J187" s="8">
        <v>0.62352941176470589</v>
      </c>
      <c r="K187">
        <v>31</v>
      </c>
      <c r="L187">
        <v>27</v>
      </c>
      <c r="M187">
        <v>105</v>
      </c>
      <c r="N187" s="10">
        <v>555.94000000000005</v>
      </c>
      <c r="O187" s="7">
        <v>15.6</v>
      </c>
      <c r="P187" s="7">
        <v>27.8</v>
      </c>
      <c r="Q187">
        <v>4</v>
      </c>
      <c r="R187" t="s">
        <v>66</v>
      </c>
      <c r="S187">
        <v>3</v>
      </c>
      <c r="T187">
        <v>62</v>
      </c>
      <c r="U187" s="11">
        <v>-0.43388373911755801</v>
      </c>
      <c r="V187" s="11">
        <v>-0.90096886790241915</v>
      </c>
      <c r="W187" s="11">
        <v>0.86709855228120813</v>
      </c>
      <c r="X187" s="11">
        <v>0.49813662847840551</v>
      </c>
      <c r="Y187">
        <v>0</v>
      </c>
      <c r="Z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6">
        <v>44989</v>
      </c>
      <c r="B188" t="s">
        <v>31</v>
      </c>
      <c r="C188" t="s">
        <v>32</v>
      </c>
      <c r="D188" t="s">
        <v>33</v>
      </c>
      <c r="E188" t="s">
        <v>34</v>
      </c>
      <c r="F188">
        <v>140</v>
      </c>
      <c r="G188">
        <v>360</v>
      </c>
      <c r="H188">
        <v>202</v>
      </c>
      <c r="I188">
        <v>85</v>
      </c>
      <c r="J188" s="8">
        <v>0.6071428571428571</v>
      </c>
      <c r="K188">
        <v>39</v>
      </c>
      <c r="L188">
        <v>26</v>
      </c>
      <c r="M188">
        <v>175</v>
      </c>
      <c r="N188" s="10">
        <v>476.49</v>
      </c>
      <c r="O188" s="7">
        <v>2.4</v>
      </c>
      <c r="P188" s="7">
        <v>28.6</v>
      </c>
      <c r="Q188">
        <v>5</v>
      </c>
      <c r="R188" t="s">
        <v>67</v>
      </c>
      <c r="S188">
        <v>3</v>
      </c>
      <c r="T188">
        <v>63</v>
      </c>
      <c r="U188" s="11">
        <v>-0.97492791218182362</v>
      </c>
      <c r="V188" s="11">
        <v>-0.22252093395631459</v>
      </c>
      <c r="W188" s="11">
        <v>0.87553899285863024</v>
      </c>
      <c r="X188" s="11">
        <v>0.48314746401496872</v>
      </c>
      <c r="Y188">
        <v>1</v>
      </c>
      <c r="Z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6">
        <v>44989</v>
      </c>
      <c r="B189" t="s">
        <v>36</v>
      </c>
      <c r="C189" t="s">
        <v>37</v>
      </c>
      <c r="D189" t="s">
        <v>38</v>
      </c>
      <c r="E189" t="s">
        <v>39</v>
      </c>
      <c r="F189">
        <v>125</v>
      </c>
      <c r="G189">
        <v>320</v>
      </c>
      <c r="H189">
        <v>171</v>
      </c>
      <c r="I189">
        <v>75</v>
      </c>
      <c r="J189" s="8">
        <v>0.6</v>
      </c>
      <c r="K189">
        <v>26</v>
      </c>
      <c r="L189">
        <v>17</v>
      </c>
      <c r="M189">
        <v>157</v>
      </c>
      <c r="N189" s="10">
        <v>741.96</v>
      </c>
      <c r="O189" s="7">
        <v>2.4</v>
      </c>
      <c r="P189" s="7">
        <v>28.6</v>
      </c>
      <c r="Q189">
        <v>5</v>
      </c>
      <c r="R189" t="s">
        <v>67</v>
      </c>
      <c r="S189">
        <v>3</v>
      </c>
      <c r="T189">
        <v>63</v>
      </c>
      <c r="U189" s="11">
        <v>-0.97492791218182362</v>
      </c>
      <c r="V189" s="11">
        <v>-0.22252093395631459</v>
      </c>
      <c r="W189" s="11">
        <v>0.87553899285863024</v>
      </c>
      <c r="X189" s="11">
        <v>0.48314746401496872</v>
      </c>
      <c r="Y189">
        <v>1</v>
      </c>
      <c r="Z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6">
        <v>44989</v>
      </c>
      <c r="B190" t="s">
        <v>41</v>
      </c>
      <c r="C190" t="s">
        <v>42</v>
      </c>
      <c r="D190" t="s">
        <v>43</v>
      </c>
      <c r="E190" t="s">
        <v>44</v>
      </c>
      <c r="F190">
        <v>85</v>
      </c>
      <c r="G190">
        <v>210</v>
      </c>
      <c r="H190">
        <v>140</v>
      </c>
      <c r="I190">
        <v>62</v>
      </c>
      <c r="J190" s="8">
        <v>0.72941176470588232</v>
      </c>
      <c r="K190">
        <v>20</v>
      </c>
      <c r="L190">
        <v>16</v>
      </c>
      <c r="M190">
        <v>118</v>
      </c>
      <c r="N190" s="10">
        <v>646.73</v>
      </c>
      <c r="O190" s="7">
        <v>2.4</v>
      </c>
      <c r="P190" s="7">
        <v>28.6</v>
      </c>
      <c r="Q190">
        <v>5</v>
      </c>
      <c r="R190" t="s">
        <v>67</v>
      </c>
      <c r="S190">
        <v>3</v>
      </c>
      <c r="T190">
        <v>63</v>
      </c>
      <c r="U190" s="11">
        <v>-0.97492791218182362</v>
      </c>
      <c r="V190" s="11">
        <v>-0.22252093395631459</v>
      </c>
      <c r="W190" s="11">
        <v>0.87553899285863024</v>
      </c>
      <c r="X190" s="11">
        <v>0.48314746401496872</v>
      </c>
      <c r="Y190">
        <v>1</v>
      </c>
      <c r="Z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s="6">
        <v>44990</v>
      </c>
      <c r="B191" t="s">
        <v>31</v>
      </c>
      <c r="C191" t="s">
        <v>32</v>
      </c>
      <c r="D191" t="s">
        <v>33</v>
      </c>
      <c r="E191" t="s">
        <v>34</v>
      </c>
      <c r="F191">
        <v>140</v>
      </c>
      <c r="G191">
        <v>360</v>
      </c>
      <c r="H191">
        <v>187</v>
      </c>
      <c r="I191">
        <v>84</v>
      </c>
      <c r="J191" s="8">
        <v>0.6</v>
      </c>
      <c r="K191">
        <v>51</v>
      </c>
      <c r="L191">
        <v>40</v>
      </c>
      <c r="M191">
        <v>174</v>
      </c>
      <c r="N191" s="10">
        <v>479.02</v>
      </c>
      <c r="O191" s="7">
        <v>10.7</v>
      </c>
      <c r="P191" s="7">
        <v>27.1</v>
      </c>
      <c r="Q191">
        <v>6</v>
      </c>
      <c r="R191" t="s">
        <v>60</v>
      </c>
      <c r="S191">
        <v>3</v>
      </c>
      <c r="T191">
        <v>64</v>
      </c>
      <c r="U191" s="11">
        <v>-0.78183148246802991</v>
      </c>
      <c r="V191" s="11">
        <v>0.62348980185873337</v>
      </c>
      <c r="W191" s="11">
        <v>0.88372034736199767</v>
      </c>
      <c r="X191" s="11">
        <v>0.46801532844383448</v>
      </c>
      <c r="Y191">
        <v>1</v>
      </c>
      <c r="Z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6">
        <v>44990</v>
      </c>
      <c r="B192" t="s">
        <v>36</v>
      </c>
      <c r="C192" t="s">
        <v>37</v>
      </c>
      <c r="D192" t="s">
        <v>38</v>
      </c>
      <c r="E192" t="s">
        <v>39</v>
      </c>
      <c r="F192">
        <v>125</v>
      </c>
      <c r="G192">
        <v>320</v>
      </c>
      <c r="H192">
        <v>166</v>
      </c>
      <c r="I192">
        <v>68</v>
      </c>
      <c r="J192" s="8">
        <v>0.54400000000000004</v>
      </c>
      <c r="K192">
        <v>26</v>
      </c>
      <c r="L192">
        <v>33</v>
      </c>
      <c r="M192">
        <v>142</v>
      </c>
      <c r="N192" s="10">
        <v>634.57000000000005</v>
      </c>
      <c r="O192" s="7">
        <v>10.7</v>
      </c>
      <c r="P192" s="7">
        <v>27.1</v>
      </c>
      <c r="Q192">
        <v>6</v>
      </c>
      <c r="R192" t="s">
        <v>60</v>
      </c>
      <c r="S192">
        <v>3</v>
      </c>
      <c r="T192">
        <v>64</v>
      </c>
      <c r="U192" s="11">
        <v>-0.78183148246802991</v>
      </c>
      <c r="V192" s="11">
        <v>0.62348980185873337</v>
      </c>
      <c r="W192" s="11">
        <v>0.88372034736199767</v>
      </c>
      <c r="X192" s="11">
        <v>0.46801532844383448</v>
      </c>
      <c r="Y192">
        <v>1</v>
      </c>
      <c r="Z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6">
        <v>44990</v>
      </c>
      <c r="B193" t="s">
        <v>41</v>
      </c>
      <c r="C193" t="s">
        <v>42</v>
      </c>
      <c r="D193" t="s">
        <v>43</v>
      </c>
      <c r="E193" t="s">
        <v>44</v>
      </c>
      <c r="F193">
        <v>85</v>
      </c>
      <c r="G193">
        <v>210</v>
      </c>
      <c r="H193">
        <v>131</v>
      </c>
      <c r="I193">
        <v>57</v>
      </c>
      <c r="J193" s="8">
        <v>0.6705882352941176</v>
      </c>
      <c r="K193">
        <v>30</v>
      </c>
      <c r="L193">
        <v>24</v>
      </c>
      <c r="M193">
        <v>111</v>
      </c>
      <c r="N193" s="10">
        <v>584.01</v>
      </c>
      <c r="O193" s="7">
        <v>10.7</v>
      </c>
      <c r="P193" s="7">
        <v>27.1</v>
      </c>
      <c r="Q193">
        <v>6</v>
      </c>
      <c r="R193" t="s">
        <v>60</v>
      </c>
      <c r="S193">
        <v>3</v>
      </c>
      <c r="T193">
        <v>64</v>
      </c>
      <c r="U193" s="11">
        <v>-0.78183148246802991</v>
      </c>
      <c r="V193" s="11">
        <v>0.62348980185873337</v>
      </c>
      <c r="W193" s="11">
        <v>0.88372034736199767</v>
      </c>
      <c r="X193" s="11">
        <v>0.46801532844383448</v>
      </c>
      <c r="Y193">
        <v>1</v>
      </c>
      <c r="Z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6">
        <v>44991</v>
      </c>
      <c r="B194" t="s">
        <v>31</v>
      </c>
      <c r="C194" t="s">
        <v>32</v>
      </c>
      <c r="D194" t="s">
        <v>33</v>
      </c>
      <c r="E194" t="s">
        <v>34</v>
      </c>
      <c r="F194">
        <v>140</v>
      </c>
      <c r="G194">
        <v>360</v>
      </c>
      <c r="H194">
        <v>172</v>
      </c>
      <c r="I194">
        <v>76</v>
      </c>
      <c r="J194" s="8">
        <v>0.54285714285714282</v>
      </c>
      <c r="K194">
        <v>25</v>
      </c>
      <c r="L194">
        <v>27</v>
      </c>
      <c r="M194">
        <v>142</v>
      </c>
      <c r="N194" s="10">
        <v>418.99</v>
      </c>
      <c r="O194" s="7">
        <v>15.5</v>
      </c>
      <c r="P194" s="7">
        <v>26.9</v>
      </c>
      <c r="Q194">
        <v>0</v>
      </c>
      <c r="R194" t="s">
        <v>62</v>
      </c>
      <c r="S194">
        <v>3</v>
      </c>
      <c r="T194">
        <v>65</v>
      </c>
      <c r="U194" s="11">
        <v>0</v>
      </c>
      <c r="V194" s="11">
        <v>1</v>
      </c>
      <c r="W194" s="11">
        <v>0.89164019479688739</v>
      </c>
      <c r="X194" s="11">
        <v>0.45274469960737107</v>
      </c>
      <c r="Y194">
        <v>0</v>
      </c>
      <c r="Z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6">
        <v>44991</v>
      </c>
      <c r="B195" t="s">
        <v>36</v>
      </c>
      <c r="C195" t="s">
        <v>37</v>
      </c>
      <c r="D195" t="s">
        <v>38</v>
      </c>
      <c r="E195" t="s">
        <v>39</v>
      </c>
      <c r="F195">
        <v>125</v>
      </c>
      <c r="G195">
        <v>320</v>
      </c>
      <c r="H195">
        <v>153</v>
      </c>
      <c r="I195">
        <v>64</v>
      </c>
      <c r="J195" s="8">
        <v>0.51200000000000001</v>
      </c>
      <c r="K195">
        <v>37</v>
      </c>
      <c r="L195">
        <v>35</v>
      </c>
      <c r="M195">
        <v>142</v>
      </c>
      <c r="N195" s="10">
        <v>653.05999999999995</v>
      </c>
      <c r="O195" s="7">
        <v>15.5</v>
      </c>
      <c r="P195" s="7">
        <v>26.9</v>
      </c>
      <c r="Q195">
        <v>0</v>
      </c>
      <c r="R195" t="s">
        <v>62</v>
      </c>
      <c r="S195">
        <v>3</v>
      </c>
      <c r="T195">
        <v>65</v>
      </c>
      <c r="U195" s="11">
        <v>0</v>
      </c>
      <c r="V195" s="11">
        <v>1</v>
      </c>
      <c r="W195" s="11">
        <v>0.89164019479688739</v>
      </c>
      <c r="X195" s="11">
        <v>0.45274469960737107</v>
      </c>
      <c r="Y195">
        <v>0</v>
      </c>
      <c r="Z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6">
        <v>44991</v>
      </c>
      <c r="B196" t="s">
        <v>41</v>
      </c>
      <c r="C196" t="s">
        <v>42</v>
      </c>
      <c r="D196" t="s">
        <v>43</v>
      </c>
      <c r="E196" t="s">
        <v>44</v>
      </c>
      <c r="F196">
        <v>85</v>
      </c>
      <c r="G196">
        <v>210</v>
      </c>
      <c r="H196">
        <v>109</v>
      </c>
      <c r="I196">
        <v>47</v>
      </c>
      <c r="J196" s="8">
        <v>0.55294117647058827</v>
      </c>
      <c r="K196">
        <v>26</v>
      </c>
      <c r="L196">
        <v>10</v>
      </c>
      <c r="M196">
        <v>98</v>
      </c>
      <c r="N196" s="10">
        <v>559.5</v>
      </c>
      <c r="O196" s="7">
        <v>15.5</v>
      </c>
      <c r="P196" s="7">
        <v>26.9</v>
      </c>
      <c r="Q196">
        <v>0</v>
      </c>
      <c r="R196" t="s">
        <v>62</v>
      </c>
      <c r="S196">
        <v>3</v>
      </c>
      <c r="T196">
        <v>65</v>
      </c>
      <c r="U196" s="11">
        <v>0</v>
      </c>
      <c r="V196" s="11">
        <v>1</v>
      </c>
      <c r="W196" s="11">
        <v>0.89164019479688739</v>
      </c>
      <c r="X196" s="11">
        <v>0.45274469960737107</v>
      </c>
      <c r="Y196">
        <v>0</v>
      </c>
      <c r="Z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6">
        <v>44992</v>
      </c>
      <c r="B197" t="s">
        <v>31</v>
      </c>
      <c r="C197" t="s">
        <v>32</v>
      </c>
      <c r="D197" t="s">
        <v>33</v>
      </c>
      <c r="E197" t="s">
        <v>34</v>
      </c>
      <c r="F197">
        <v>140</v>
      </c>
      <c r="G197">
        <v>360</v>
      </c>
      <c r="H197">
        <v>176</v>
      </c>
      <c r="I197">
        <v>79</v>
      </c>
      <c r="J197" s="8">
        <v>0.56428571428571428</v>
      </c>
      <c r="K197">
        <v>30</v>
      </c>
      <c r="L197">
        <v>21</v>
      </c>
      <c r="M197">
        <v>162</v>
      </c>
      <c r="N197" s="10">
        <v>419.05</v>
      </c>
      <c r="O197" s="7">
        <v>5.2</v>
      </c>
      <c r="P197" s="7">
        <v>26.9</v>
      </c>
      <c r="Q197">
        <v>1</v>
      </c>
      <c r="R197" t="s">
        <v>63</v>
      </c>
      <c r="S197">
        <v>3</v>
      </c>
      <c r="T197">
        <v>66</v>
      </c>
      <c r="U197" s="11">
        <v>0.7818314824680298</v>
      </c>
      <c r="V197" s="11">
        <v>0.62348980185873359</v>
      </c>
      <c r="W197" s="11">
        <v>0.89929619155302531</v>
      </c>
      <c r="X197" s="11">
        <v>0.43734009633033227</v>
      </c>
      <c r="Y197">
        <v>0</v>
      </c>
      <c r="Z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6">
        <v>44992</v>
      </c>
      <c r="B198" t="s">
        <v>36</v>
      </c>
      <c r="C198" t="s">
        <v>37</v>
      </c>
      <c r="D198" t="s">
        <v>38</v>
      </c>
      <c r="E198" t="s">
        <v>39</v>
      </c>
      <c r="F198">
        <v>125</v>
      </c>
      <c r="G198">
        <v>320</v>
      </c>
      <c r="H198">
        <v>150</v>
      </c>
      <c r="I198">
        <v>64</v>
      </c>
      <c r="J198" s="8">
        <v>0.51200000000000001</v>
      </c>
      <c r="K198">
        <v>37</v>
      </c>
      <c r="L198">
        <v>36</v>
      </c>
      <c r="M198">
        <v>123</v>
      </c>
      <c r="N198" s="10">
        <v>677.34</v>
      </c>
      <c r="O198" s="7">
        <v>5.2</v>
      </c>
      <c r="P198" s="7">
        <v>26.9</v>
      </c>
      <c r="Q198">
        <v>1</v>
      </c>
      <c r="R198" t="s">
        <v>63</v>
      </c>
      <c r="S198">
        <v>3</v>
      </c>
      <c r="T198">
        <v>66</v>
      </c>
      <c r="U198" s="11">
        <v>0.7818314824680298</v>
      </c>
      <c r="V198" s="11">
        <v>0.62348980185873359</v>
      </c>
      <c r="W198" s="11">
        <v>0.89929619155302531</v>
      </c>
      <c r="X198" s="11">
        <v>0.43734009633033227</v>
      </c>
      <c r="Y198">
        <v>0</v>
      </c>
      <c r="Z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6">
        <v>44992</v>
      </c>
      <c r="B199" t="s">
        <v>41</v>
      </c>
      <c r="C199" t="s">
        <v>42</v>
      </c>
      <c r="D199" t="s">
        <v>43</v>
      </c>
      <c r="E199" t="s">
        <v>44</v>
      </c>
      <c r="F199">
        <v>85</v>
      </c>
      <c r="G199">
        <v>210</v>
      </c>
      <c r="H199">
        <v>100</v>
      </c>
      <c r="I199">
        <v>48</v>
      </c>
      <c r="J199" s="8">
        <v>0.56470588235294117</v>
      </c>
      <c r="K199">
        <v>15</v>
      </c>
      <c r="L199">
        <v>18</v>
      </c>
      <c r="M199">
        <v>92</v>
      </c>
      <c r="N199" s="10">
        <v>530.26</v>
      </c>
      <c r="O199" s="7">
        <v>5.2</v>
      </c>
      <c r="P199" s="7">
        <v>26.9</v>
      </c>
      <c r="Q199">
        <v>1</v>
      </c>
      <c r="R199" t="s">
        <v>63</v>
      </c>
      <c r="S199">
        <v>3</v>
      </c>
      <c r="T199">
        <v>66</v>
      </c>
      <c r="U199" s="11">
        <v>0.7818314824680298</v>
      </c>
      <c r="V199" s="11">
        <v>0.62348980185873359</v>
      </c>
      <c r="W199" s="11">
        <v>0.89929619155302531</v>
      </c>
      <c r="X199" s="11">
        <v>0.43734009633033227</v>
      </c>
      <c r="Y199">
        <v>0</v>
      </c>
      <c r="Z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6">
        <v>44993</v>
      </c>
      <c r="B200" t="s">
        <v>31</v>
      </c>
      <c r="C200" t="s">
        <v>32</v>
      </c>
      <c r="D200" t="s">
        <v>33</v>
      </c>
      <c r="E200" t="s">
        <v>34</v>
      </c>
      <c r="F200">
        <v>140</v>
      </c>
      <c r="G200">
        <v>360</v>
      </c>
      <c r="H200">
        <v>195</v>
      </c>
      <c r="I200">
        <v>81</v>
      </c>
      <c r="J200" s="8">
        <v>0.57857142857142863</v>
      </c>
      <c r="K200">
        <v>42</v>
      </c>
      <c r="L200">
        <v>23</v>
      </c>
      <c r="M200">
        <v>167</v>
      </c>
      <c r="N200" s="10">
        <v>458.59</v>
      </c>
      <c r="O200" s="7">
        <v>7.9</v>
      </c>
      <c r="P200" s="7">
        <v>28.1</v>
      </c>
      <c r="Q200">
        <v>2</v>
      </c>
      <c r="R200" t="s">
        <v>64</v>
      </c>
      <c r="S200">
        <v>3</v>
      </c>
      <c r="T200">
        <v>67</v>
      </c>
      <c r="U200" s="11">
        <v>0.97492791218182362</v>
      </c>
      <c r="V200" s="11">
        <v>-0.22252093395631434</v>
      </c>
      <c r="W200" s="11">
        <v>0.9066860720977985</v>
      </c>
      <c r="X200" s="11">
        <v>0.42180607708266338</v>
      </c>
      <c r="Y200">
        <v>0</v>
      </c>
      <c r="Z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6">
        <v>44993</v>
      </c>
      <c r="B201" t="s">
        <v>36</v>
      </c>
      <c r="C201" t="s">
        <v>37</v>
      </c>
      <c r="D201" t="s">
        <v>38</v>
      </c>
      <c r="E201" t="s">
        <v>39</v>
      </c>
      <c r="F201">
        <v>125</v>
      </c>
      <c r="G201">
        <v>320</v>
      </c>
      <c r="H201">
        <v>167</v>
      </c>
      <c r="I201">
        <v>69</v>
      </c>
      <c r="J201" s="8">
        <v>0.55200000000000005</v>
      </c>
      <c r="K201">
        <v>33</v>
      </c>
      <c r="L201">
        <v>46</v>
      </c>
      <c r="M201">
        <v>147</v>
      </c>
      <c r="N201" s="10">
        <v>577.97</v>
      </c>
      <c r="O201" s="7">
        <v>7.9</v>
      </c>
      <c r="P201" s="7">
        <v>28.1</v>
      </c>
      <c r="Q201">
        <v>2</v>
      </c>
      <c r="R201" t="s">
        <v>64</v>
      </c>
      <c r="S201">
        <v>3</v>
      </c>
      <c r="T201">
        <v>67</v>
      </c>
      <c r="U201" s="11">
        <v>0.97492791218182362</v>
      </c>
      <c r="V201" s="11">
        <v>-0.22252093395631434</v>
      </c>
      <c r="W201" s="11">
        <v>0.9066860720977985</v>
      </c>
      <c r="X201" s="11">
        <v>0.42180607708266338</v>
      </c>
      <c r="Y201">
        <v>0</v>
      </c>
      <c r="Z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6">
        <v>44993</v>
      </c>
      <c r="B202" t="s">
        <v>41</v>
      </c>
      <c r="C202" t="s">
        <v>42</v>
      </c>
      <c r="D202" t="s">
        <v>43</v>
      </c>
      <c r="E202" t="s">
        <v>44</v>
      </c>
      <c r="F202">
        <v>85</v>
      </c>
      <c r="G202">
        <v>210</v>
      </c>
      <c r="H202">
        <v>122</v>
      </c>
      <c r="I202">
        <v>55</v>
      </c>
      <c r="J202" s="8">
        <v>0.6470588235294118</v>
      </c>
      <c r="K202">
        <v>14</v>
      </c>
      <c r="L202">
        <v>38</v>
      </c>
      <c r="M202">
        <v>104</v>
      </c>
      <c r="N202" s="10">
        <v>573.58000000000004</v>
      </c>
      <c r="O202" s="7">
        <v>7.9</v>
      </c>
      <c r="P202" s="7">
        <v>28.1</v>
      </c>
      <c r="Q202">
        <v>2</v>
      </c>
      <c r="R202" t="s">
        <v>64</v>
      </c>
      <c r="S202">
        <v>3</v>
      </c>
      <c r="T202">
        <v>67</v>
      </c>
      <c r="U202" s="11">
        <v>0.97492791218182362</v>
      </c>
      <c r="V202" s="11">
        <v>-0.22252093395631434</v>
      </c>
      <c r="W202" s="11">
        <v>0.9066860720977985</v>
      </c>
      <c r="X202" s="11">
        <v>0.42180607708266338</v>
      </c>
      <c r="Y202">
        <v>0</v>
      </c>
      <c r="Z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6">
        <v>44994</v>
      </c>
      <c r="B203" t="s">
        <v>31</v>
      </c>
      <c r="C203" t="s">
        <v>32</v>
      </c>
      <c r="D203" t="s">
        <v>33</v>
      </c>
      <c r="E203" t="s">
        <v>34</v>
      </c>
      <c r="F203">
        <v>140</v>
      </c>
      <c r="G203">
        <v>360</v>
      </c>
      <c r="H203">
        <v>175</v>
      </c>
      <c r="I203">
        <v>75</v>
      </c>
      <c r="J203" s="8">
        <v>0.5357142857142857</v>
      </c>
      <c r="K203">
        <v>40</v>
      </c>
      <c r="L203">
        <v>21</v>
      </c>
      <c r="M203">
        <v>148</v>
      </c>
      <c r="N203" s="10">
        <v>425.29</v>
      </c>
      <c r="O203" s="7">
        <v>3.4</v>
      </c>
      <c r="P203" s="7">
        <v>25.7</v>
      </c>
      <c r="Q203">
        <v>3</v>
      </c>
      <c r="R203" t="s">
        <v>65</v>
      </c>
      <c r="S203">
        <v>3</v>
      </c>
      <c r="T203">
        <v>68</v>
      </c>
      <c r="U203" s="11">
        <v>0.43388373911755823</v>
      </c>
      <c r="V203" s="11">
        <v>-0.90096886790241903</v>
      </c>
      <c r="W203" s="11">
        <v>0.9138076496466615</v>
      </c>
      <c r="X203" s="11">
        <v>0.40614723863057883</v>
      </c>
      <c r="Y203">
        <v>0</v>
      </c>
      <c r="Z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6">
        <v>44994</v>
      </c>
      <c r="B204" t="s">
        <v>36</v>
      </c>
      <c r="C204" t="s">
        <v>37</v>
      </c>
      <c r="D204" t="s">
        <v>38</v>
      </c>
      <c r="E204" t="s">
        <v>39</v>
      </c>
      <c r="F204">
        <v>125</v>
      </c>
      <c r="G204">
        <v>320</v>
      </c>
      <c r="H204">
        <v>165</v>
      </c>
      <c r="I204">
        <v>70</v>
      </c>
      <c r="J204" s="8">
        <v>0.56000000000000005</v>
      </c>
      <c r="K204">
        <v>36</v>
      </c>
      <c r="L204">
        <v>28</v>
      </c>
      <c r="M204">
        <v>148</v>
      </c>
      <c r="N204" s="10">
        <v>588.33000000000004</v>
      </c>
      <c r="O204" s="7">
        <v>3.4</v>
      </c>
      <c r="P204" s="7">
        <v>25.7</v>
      </c>
      <c r="Q204">
        <v>3</v>
      </c>
      <c r="R204" t="s">
        <v>65</v>
      </c>
      <c r="S204">
        <v>3</v>
      </c>
      <c r="T204">
        <v>68</v>
      </c>
      <c r="U204" s="11">
        <v>0.43388373911755823</v>
      </c>
      <c r="V204" s="11">
        <v>-0.90096886790241903</v>
      </c>
      <c r="W204" s="11">
        <v>0.9138076496466615</v>
      </c>
      <c r="X204" s="11">
        <v>0.40614723863057883</v>
      </c>
      <c r="Y204">
        <v>0</v>
      </c>
      <c r="Z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6">
        <v>44994</v>
      </c>
      <c r="B205" t="s">
        <v>41</v>
      </c>
      <c r="C205" t="s">
        <v>42</v>
      </c>
      <c r="D205" t="s">
        <v>43</v>
      </c>
      <c r="E205" t="s">
        <v>44</v>
      </c>
      <c r="F205">
        <v>85</v>
      </c>
      <c r="G205">
        <v>210</v>
      </c>
      <c r="H205">
        <v>109</v>
      </c>
      <c r="I205">
        <v>51</v>
      </c>
      <c r="J205" s="8">
        <v>0.6</v>
      </c>
      <c r="K205">
        <v>33</v>
      </c>
      <c r="L205">
        <v>26</v>
      </c>
      <c r="M205">
        <v>100</v>
      </c>
      <c r="N205" s="10">
        <v>550.33000000000004</v>
      </c>
      <c r="O205" s="7">
        <v>3.4</v>
      </c>
      <c r="P205" s="7">
        <v>25.7</v>
      </c>
      <c r="Q205">
        <v>3</v>
      </c>
      <c r="R205" t="s">
        <v>65</v>
      </c>
      <c r="S205">
        <v>3</v>
      </c>
      <c r="T205">
        <v>68</v>
      </c>
      <c r="U205" s="11">
        <v>0.43388373911755823</v>
      </c>
      <c r="V205" s="11">
        <v>-0.90096886790241903</v>
      </c>
      <c r="W205" s="11">
        <v>0.9138076496466615</v>
      </c>
      <c r="X205" s="11">
        <v>0.40614723863057883</v>
      </c>
      <c r="Y205">
        <v>0</v>
      </c>
      <c r="Z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6">
        <v>44995</v>
      </c>
      <c r="B206" t="s">
        <v>31</v>
      </c>
      <c r="C206" t="s">
        <v>32</v>
      </c>
      <c r="D206" t="s">
        <v>33</v>
      </c>
      <c r="E206" t="s">
        <v>34</v>
      </c>
      <c r="F206">
        <v>140</v>
      </c>
      <c r="G206">
        <v>360</v>
      </c>
      <c r="H206">
        <v>181</v>
      </c>
      <c r="I206">
        <v>74</v>
      </c>
      <c r="J206" s="8">
        <v>0.52857142857142858</v>
      </c>
      <c r="K206">
        <v>45</v>
      </c>
      <c r="L206">
        <v>38</v>
      </c>
      <c r="M206">
        <v>166</v>
      </c>
      <c r="N206" s="10">
        <v>400.8</v>
      </c>
      <c r="O206" s="7">
        <v>11.7</v>
      </c>
      <c r="P206" s="7">
        <v>26.6</v>
      </c>
      <c r="Q206">
        <v>4</v>
      </c>
      <c r="R206" t="s">
        <v>66</v>
      </c>
      <c r="S206">
        <v>3</v>
      </c>
      <c r="T206">
        <v>69</v>
      </c>
      <c r="U206" s="11">
        <v>-0.43388373911755801</v>
      </c>
      <c r="V206" s="11">
        <v>-0.90096886790241915</v>
      </c>
      <c r="W206" s="11">
        <v>0.92065881681024275</v>
      </c>
      <c r="X206" s="11">
        <v>0.39036821467630262</v>
      </c>
      <c r="Y206">
        <v>0</v>
      </c>
      <c r="Z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6">
        <v>44995</v>
      </c>
      <c r="B207" t="s">
        <v>36</v>
      </c>
      <c r="C207" t="s">
        <v>37</v>
      </c>
      <c r="D207" t="s">
        <v>38</v>
      </c>
      <c r="E207" t="s">
        <v>39</v>
      </c>
      <c r="F207">
        <v>125</v>
      </c>
      <c r="G207">
        <v>320</v>
      </c>
      <c r="H207">
        <v>161</v>
      </c>
      <c r="I207">
        <v>68</v>
      </c>
      <c r="J207" s="8">
        <v>0.54400000000000004</v>
      </c>
      <c r="K207">
        <v>39</v>
      </c>
      <c r="L207">
        <v>32</v>
      </c>
      <c r="M207">
        <v>149</v>
      </c>
      <c r="N207" s="10">
        <v>564.74</v>
      </c>
      <c r="O207" s="7">
        <v>11.7</v>
      </c>
      <c r="P207" s="7">
        <v>26.6</v>
      </c>
      <c r="Q207">
        <v>4</v>
      </c>
      <c r="R207" t="s">
        <v>66</v>
      </c>
      <c r="S207">
        <v>3</v>
      </c>
      <c r="T207">
        <v>69</v>
      </c>
      <c r="U207" s="11">
        <v>-0.43388373911755801</v>
      </c>
      <c r="V207" s="11">
        <v>-0.90096886790241915</v>
      </c>
      <c r="W207" s="11">
        <v>0.92065881681024275</v>
      </c>
      <c r="X207" s="11">
        <v>0.39036821467630262</v>
      </c>
      <c r="Y207">
        <v>0</v>
      </c>
      <c r="Z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6">
        <v>44995</v>
      </c>
      <c r="B208" t="s">
        <v>41</v>
      </c>
      <c r="C208" t="s">
        <v>42</v>
      </c>
      <c r="D208" t="s">
        <v>43</v>
      </c>
      <c r="E208" t="s">
        <v>44</v>
      </c>
      <c r="F208">
        <v>85</v>
      </c>
      <c r="G208">
        <v>210</v>
      </c>
      <c r="H208">
        <v>108</v>
      </c>
      <c r="I208">
        <v>48</v>
      </c>
      <c r="J208" s="8">
        <v>0.56470588235294117</v>
      </c>
      <c r="K208">
        <v>31</v>
      </c>
      <c r="L208">
        <v>29</v>
      </c>
      <c r="M208">
        <v>91</v>
      </c>
      <c r="N208" s="10">
        <v>485.75</v>
      </c>
      <c r="O208" s="7">
        <v>11.7</v>
      </c>
      <c r="P208" s="7">
        <v>26.6</v>
      </c>
      <c r="Q208">
        <v>4</v>
      </c>
      <c r="R208" t="s">
        <v>66</v>
      </c>
      <c r="S208">
        <v>3</v>
      </c>
      <c r="T208">
        <v>69</v>
      </c>
      <c r="U208" s="11">
        <v>-0.43388373911755801</v>
      </c>
      <c r="V208" s="11">
        <v>-0.90096886790241915</v>
      </c>
      <c r="W208" s="11">
        <v>0.92065881681024275</v>
      </c>
      <c r="X208" s="11">
        <v>0.39036821467630262</v>
      </c>
      <c r="Y208">
        <v>0</v>
      </c>
      <c r="Z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6">
        <v>44996</v>
      </c>
      <c r="B209" t="s">
        <v>31</v>
      </c>
      <c r="C209" t="s">
        <v>32</v>
      </c>
      <c r="D209" t="s">
        <v>33</v>
      </c>
      <c r="E209" t="s">
        <v>34</v>
      </c>
      <c r="F209">
        <v>140</v>
      </c>
      <c r="G209">
        <v>360</v>
      </c>
      <c r="H209">
        <v>206</v>
      </c>
      <c r="I209">
        <v>87</v>
      </c>
      <c r="J209" s="8">
        <v>0.62142857142857144</v>
      </c>
      <c r="K209">
        <v>48</v>
      </c>
      <c r="L209">
        <v>38</v>
      </c>
      <c r="M209">
        <v>177</v>
      </c>
      <c r="N209" s="10">
        <v>495.1</v>
      </c>
      <c r="O209" s="7">
        <v>7.9</v>
      </c>
      <c r="P209" s="7">
        <v>26.6</v>
      </c>
      <c r="Q209">
        <v>5</v>
      </c>
      <c r="R209" t="s">
        <v>67</v>
      </c>
      <c r="S209">
        <v>3</v>
      </c>
      <c r="T209">
        <v>70</v>
      </c>
      <c r="U209" s="11">
        <v>-0.97492791218182362</v>
      </c>
      <c r="V209" s="11">
        <v>-0.22252093395631459</v>
      </c>
      <c r="W209" s="11">
        <v>0.92723754621795373</v>
      </c>
      <c r="X209" s="11">
        <v>0.37447367448688301</v>
      </c>
      <c r="Y209">
        <v>1</v>
      </c>
      <c r="Z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6">
        <v>44996</v>
      </c>
      <c r="B210" t="s">
        <v>36</v>
      </c>
      <c r="C210" t="s">
        <v>37</v>
      </c>
      <c r="D210" t="s">
        <v>38</v>
      </c>
      <c r="E210" t="s">
        <v>39</v>
      </c>
      <c r="F210">
        <v>125</v>
      </c>
      <c r="G210">
        <v>320</v>
      </c>
      <c r="H210">
        <v>179</v>
      </c>
      <c r="I210">
        <v>72</v>
      </c>
      <c r="J210" s="8">
        <v>0.57599999999999996</v>
      </c>
      <c r="K210">
        <v>35</v>
      </c>
      <c r="L210">
        <v>39</v>
      </c>
      <c r="M210">
        <v>162</v>
      </c>
      <c r="N210" s="10">
        <v>698.41</v>
      </c>
      <c r="O210" s="7">
        <v>7.9</v>
      </c>
      <c r="P210" s="7">
        <v>26.6</v>
      </c>
      <c r="Q210">
        <v>5</v>
      </c>
      <c r="R210" t="s">
        <v>67</v>
      </c>
      <c r="S210">
        <v>3</v>
      </c>
      <c r="T210">
        <v>70</v>
      </c>
      <c r="U210" s="11">
        <v>-0.97492791218182362</v>
      </c>
      <c r="V210" s="11">
        <v>-0.22252093395631459</v>
      </c>
      <c r="W210" s="11">
        <v>0.92723754621795373</v>
      </c>
      <c r="X210" s="11">
        <v>0.37447367448688301</v>
      </c>
      <c r="Y210">
        <v>1</v>
      </c>
      <c r="Z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6">
        <v>44996</v>
      </c>
      <c r="B211" t="s">
        <v>41</v>
      </c>
      <c r="C211" t="s">
        <v>42</v>
      </c>
      <c r="D211" t="s">
        <v>43</v>
      </c>
      <c r="E211" t="s">
        <v>44</v>
      </c>
      <c r="F211">
        <v>85</v>
      </c>
      <c r="G211">
        <v>210</v>
      </c>
      <c r="H211">
        <v>136</v>
      </c>
      <c r="I211">
        <v>57</v>
      </c>
      <c r="J211" s="8">
        <v>0.6705882352941176</v>
      </c>
      <c r="K211">
        <v>33</v>
      </c>
      <c r="L211">
        <v>29</v>
      </c>
      <c r="M211">
        <v>121</v>
      </c>
      <c r="N211" s="10">
        <v>612.58000000000004</v>
      </c>
      <c r="O211" s="7">
        <v>7.9</v>
      </c>
      <c r="P211" s="7">
        <v>26.6</v>
      </c>
      <c r="Q211">
        <v>5</v>
      </c>
      <c r="R211" t="s">
        <v>67</v>
      </c>
      <c r="S211">
        <v>3</v>
      </c>
      <c r="T211">
        <v>70</v>
      </c>
      <c r="U211" s="11">
        <v>-0.97492791218182362</v>
      </c>
      <c r="V211" s="11">
        <v>-0.22252093395631459</v>
      </c>
      <c r="W211" s="11">
        <v>0.92723754621795373</v>
      </c>
      <c r="X211" s="11">
        <v>0.37447367448688301</v>
      </c>
      <c r="Y211">
        <v>1</v>
      </c>
      <c r="Z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6">
        <v>44997</v>
      </c>
      <c r="B212" t="s">
        <v>31</v>
      </c>
      <c r="C212" t="s">
        <v>32</v>
      </c>
      <c r="D212" t="s">
        <v>33</v>
      </c>
      <c r="E212" t="s">
        <v>34</v>
      </c>
      <c r="F212">
        <v>140</v>
      </c>
      <c r="G212">
        <v>360</v>
      </c>
      <c r="H212">
        <v>208</v>
      </c>
      <c r="I212">
        <v>86</v>
      </c>
      <c r="J212" s="8">
        <v>0.61428571428571432</v>
      </c>
      <c r="K212">
        <v>44</v>
      </c>
      <c r="L212">
        <v>42</v>
      </c>
      <c r="M212">
        <v>195</v>
      </c>
      <c r="N212" s="10">
        <v>460.59</v>
      </c>
      <c r="O212" s="7">
        <v>3.1</v>
      </c>
      <c r="P212" s="7">
        <v>26.4</v>
      </c>
      <c r="Q212">
        <v>6</v>
      </c>
      <c r="R212" t="s">
        <v>60</v>
      </c>
      <c r="S212">
        <v>3</v>
      </c>
      <c r="T212">
        <v>71</v>
      </c>
      <c r="U212" s="11">
        <v>-0.78183148246802991</v>
      </c>
      <c r="V212" s="11">
        <v>0.62348980185873337</v>
      </c>
      <c r="W212" s="11">
        <v>0.93354189111792119</v>
      </c>
      <c r="X212" s="11">
        <v>0.35846832151248087</v>
      </c>
      <c r="Y212">
        <v>1</v>
      </c>
      <c r="Z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6">
        <v>44997</v>
      </c>
      <c r="B213" t="s">
        <v>36</v>
      </c>
      <c r="C213" t="s">
        <v>37</v>
      </c>
      <c r="D213" t="s">
        <v>38</v>
      </c>
      <c r="E213" t="s">
        <v>39</v>
      </c>
      <c r="F213">
        <v>125</v>
      </c>
      <c r="G213">
        <v>320</v>
      </c>
      <c r="H213">
        <v>166</v>
      </c>
      <c r="I213">
        <v>71</v>
      </c>
      <c r="J213" s="8">
        <v>0.56799999999999995</v>
      </c>
      <c r="K213">
        <v>46</v>
      </c>
      <c r="L213">
        <v>24</v>
      </c>
      <c r="M213">
        <v>146</v>
      </c>
      <c r="N213" s="10">
        <v>669.61</v>
      </c>
      <c r="O213" s="7">
        <v>3.1</v>
      </c>
      <c r="P213" s="7">
        <v>26.4</v>
      </c>
      <c r="Q213">
        <v>6</v>
      </c>
      <c r="R213" t="s">
        <v>60</v>
      </c>
      <c r="S213">
        <v>3</v>
      </c>
      <c r="T213">
        <v>71</v>
      </c>
      <c r="U213" s="11">
        <v>-0.78183148246802991</v>
      </c>
      <c r="V213" s="11">
        <v>0.62348980185873337</v>
      </c>
      <c r="W213" s="11">
        <v>0.93354189111792119</v>
      </c>
      <c r="X213" s="11">
        <v>0.35846832151248087</v>
      </c>
      <c r="Y213">
        <v>1</v>
      </c>
      <c r="Z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6">
        <v>44997</v>
      </c>
      <c r="B214" t="s">
        <v>41</v>
      </c>
      <c r="C214" t="s">
        <v>42</v>
      </c>
      <c r="D214" t="s">
        <v>43</v>
      </c>
      <c r="E214" t="s">
        <v>44</v>
      </c>
      <c r="F214">
        <v>85</v>
      </c>
      <c r="G214">
        <v>210</v>
      </c>
      <c r="H214">
        <v>141</v>
      </c>
      <c r="I214">
        <v>62</v>
      </c>
      <c r="J214" s="8">
        <v>0.72941176470588232</v>
      </c>
      <c r="K214">
        <v>35</v>
      </c>
      <c r="L214">
        <v>22</v>
      </c>
      <c r="M214">
        <v>132</v>
      </c>
      <c r="N214" s="10">
        <v>588.22</v>
      </c>
      <c r="O214" s="7">
        <v>3.1</v>
      </c>
      <c r="P214" s="7">
        <v>26.4</v>
      </c>
      <c r="Q214">
        <v>6</v>
      </c>
      <c r="R214" t="s">
        <v>60</v>
      </c>
      <c r="S214">
        <v>3</v>
      </c>
      <c r="T214">
        <v>71</v>
      </c>
      <c r="U214" s="11">
        <v>-0.78183148246802991</v>
      </c>
      <c r="V214" s="11">
        <v>0.62348980185873337</v>
      </c>
      <c r="W214" s="11">
        <v>0.93354189111792119</v>
      </c>
      <c r="X214" s="11">
        <v>0.35846832151248087</v>
      </c>
      <c r="Y214">
        <v>1</v>
      </c>
      <c r="Z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6">
        <v>44998</v>
      </c>
      <c r="B215" t="s">
        <v>31</v>
      </c>
      <c r="C215" t="s">
        <v>32</v>
      </c>
      <c r="D215" t="s">
        <v>33</v>
      </c>
      <c r="E215" t="s">
        <v>34</v>
      </c>
      <c r="F215">
        <v>140</v>
      </c>
      <c r="G215">
        <v>360</v>
      </c>
      <c r="H215">
        <v>176</v>
      </c>
      <c r="I215">
        <v>74</v>
      </c>
      <c r="J215" s="8">
        <v>0.52857142857142858</v>
      </c>
      <c r="K215">
        <v>38</v>
      </c>
      <c r="L215">
        <v>47</v>
      </c>
      <c r="M215">
        <v>158</v>
      </c>
      <c r="N215" s="10">
        <v>429.65</v>
      </c>
      <c r="O215" s="7">
        <v>11</v>
      </c>
      <c r="P215" s="7">
        <v>27.5</v>
      </c>
      <c r="Q215">
        <v>0</v>
      </c>
      <c r="R215" t="s">
        <v>62</v>
      </c>
      <c r="S215">
        <v>3</v>
      </c>
      <c r="T215">
        <v>72</v>
      </c>
      <c r="U215" s="11">
        <v>0</v>
      </c>
      <c r="V215" s="11">
        <v>1</v>
      </c>
      <c r="W215" s="11">
        <v>0.93956998595306218</v>
      </c>
      <c r="X215" s="11">
        <v>0.342356891994542</v>
      </c>
      <c r="Y215">
        <v>0</v>
      </c>
      <c r="Z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6">
        <v>44998</v>
      </c>
      <c r="B216" t="s">
        <v>36</v>
      </c>
      <c r="C216" t="s">
        <v>37</v>
      </c>
      <c r="D216" t="s">
        <v>38</v>
      </c>
      <c r="E216" t="s">
        <v>39</v>
      </c>
      <c r="F216">
        <v>125</v>
      </c>
      <c r="G216">
        <v>320</v>
      </c>
      <c r="H216">
        <v>142</v>
      </c>
      <c r="I216">
        <v>60</v>
      </c>
      <c r="J216" s="8">
        <v>0.48</v>
      </c>
      <c r="K216">
        <v>19</v>
      </c>
      <c r="L216">
        <v>35</v>
      </c>
      <c r="M216">
        <v>119</v>
      </c>
      <c r="N216" s="10">
        <v>665.86</v>
      </c>
      <c r="O216" s="7">
        <v>11</v>
      </c>
      <c r="P216" s="7">
        <v>27.5</v>
      </c>
      <c r="Q216">
        <v>0</v>
      </c>
      <c r="R216" t="s">
        <v>62</v>
      </c>
      <c r="S216">
        <v>3</v>
      </c>
      <c r="T216">
        <v>72</v>
      </c>
      <c r="U216" s="11">
        <v>0</v>
      </c>
      <c r="V216" s="11">
        <v>1</v>
      </c>
      <c r="W216" s="11">
        <v>0.93956998595306218</v>
      </c>
      <c r="X216" s="11">
        <v>0.342356891994542</v>
      </c>
      <c r="Y216">
        <v>0</v>
      </c>
      <c r="Z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6">
        <v>44998</v>
      </c>
      <c r="B217" t="s">
        <v>41</v>
      </c>
      <c r="C217" t="s">
        <v>42</v>
      </c>
      <c r="D217" t="s">
        <v>43</v>
      </c>
      <c r="E217" t="s">
        <v>44</v>
      </c>
      <c r="F217">
        <v>85</v>
      </c>
      <c r="G217">
        <v>210</v>
      </c>
      <c r="H217">
        <v>105</v>
      </c>
      <c r="I217">
        <v>48</v>
      </c>
      <c r="J217" s="8">
        <v>0.56470588235294117</v>
      </c>
      <c r="K217">
        <v>8</v>
      </c>
      <c r="L217">
        <v>18</v>
      </c>
      <c r="M217">
        <v>86</v>
      </c>
      <c r="N217" s="10">
        <v>566.52</v>
      </c>
      <c r="O217" s="7">
        <v>11</v>
      </c>
      <c r="P217" s="7">
        <v>27.5</v>
      </c>
      <c r="Q217">
        <v>0</v>
      </c>
      <c r="R217" t="s">
        <v>62</v>
      </c>
      <c r="S217">
        <v>3</v>
      </c>
      <c r="T217">
        <v>72</v>
      </c>
      <c r="U217" s="11">
        <v>0</v>
      </c>
      <c r="V217" s="11">
        <v>1</v>
      </c>
      <c r="W217" s="11">
        <v>0.93956998595306218</v>
      </c>
      <c r="X217" s="11">
        <v>0.342356891994542</v>
      </c>
      <c r="Y217">
        <v>0</v>
      </c>
      <c r="Z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6">
        <v>44999</v>
      </c>
      <c r="B218" t="s">
        <v>31</v>
      </c>
      <c r="C218" t="s">
        <v>32</v>
      </c>
      <c r="D218" t="s">
        <v>33</v>
      </c>
      <c r="E218" t="s">
        <v>34</v>
      </c>
      <c r="F218">
        <v>140</v>
      </c>
      <c r="G218">
        <v>360</v>
      </c>
      <c r="H218">
        <v>167</v>
      </c>
      <c r="I218">
        <v>73</v>
      </c>
      <c r="J218" s="8">
        <v>0.52142857142857146</v>
      </c>
      <c r="K218">
        <v>55</v>
      </c>
      <c r="L218">
        <v>28</v>
      </c>
      <c r="M218">
        <v>135</v>
      </c>
      <c r="N218" s="10">
        <v>390.68</v>
      </c>
      <c r="O218" s="7">
        <v>15.5</v>
      </c>
      <c r="P218" s="7">
        <v>27.8</v>
      </c>
      <c r="Q218">
        <v>1</v>
      </c>
      <c r="R218" t="s">
        <v>63</v>
      </c>
      <c r="S218">
        <v>3</v>
      </c>
      <c r="T218">
        <v>73</v>
      </c>
      <c r="U218" s="11">
        <v>0.7818314824680298</v>
      </c>
      <c r="V218" s="11">
        <v>0.62348980185873359</v>
      </c>
      <c r="W218" s="11">
        <v>0.94532004691313198</v>
      </c>
      <c r="X218" s="11">
        <v>0.32614415356426962</v>
      </c>
      <c r="Y218">
        <v>0</v>
      </c>
      <c r="Z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6">
        <v>44999</v>
      </c>
      <c r="B219" t="s">
        <v>36</v>
      </c>
      <c r="C219" t="s">
        <v>37</v>
      </c>
      <c r="D219" t="s">
        <v>38</v>
      </c>
      <c r="E219" t="s">
        <v>39</v>
      </c>
      <c r="F219">
        <v>125</v>
      </c>
      <c r="G219">
        <v>320</v>
      </c>
      <c r="H219">
        <v>161</v>
      </c>
      <c r="I219">
        <v>66</v>
      </c>
      <c r="J219" s="8">
        <v>0.52800000000000002</v>
      </c>
      <c r="K219">
        <v>40</v>
      </c>
      <c r="L219">
        <v>33</v>
      </c>
      <c r="M219">
        <v>150</v>
      </c>
      <c r="N219" s="10">
        <v>597.65</v>
      </c>
      <c r="O219" s="7">
        <v>15.5</v>
      </c>
      <c r="P219" s="7">
        <v>27.8</v>
      </c>
      <c r="Q219">
        <v>1</v>
      </c>
      <c r="R219" t="s">
        <v>63</v>
      </c>
      <c r="S219">
        <v>3</v>
      </c>
      <c r="T219">
        <v>73</v>
      </c>
      <c r="U219" s="11">
        <v>0.7818314824680298</v>
      </c>
      <c r="V219" s="11">
        <v>0.62348980185873359</v>
      </c>
      <c r="W219" s="11">
        <v>0.94532004691313198</v>
      </c>
      <c r="X219" s="11">
        <v>0.32614415356426962</v>
      </c>
      <c r="Y219">
        <v>0</v>
      </c>
      <c r="Z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6">
        <v>44999</v>
      </c>
      <c r="B220" t="s">
        <v>41</v>
      </c>
      <c r="C220" t="s">
        <v>42</v>
      </c>
      <c r="D220" t="s">
        <v>43</v>
      </c>
      <c r="E220" t="s">
        <v>44</v>
      </c>
      <c r="F220">
        <v>85</v>
      </c>
      <c r="G220">
        <v>210</v>
      </c>
      <c r="H220">
        <v>111</v>
      </c>
      <c r="I220">
        <v>48</v>
      </c>
      <c r="J220" s="8">
        <v>0.56470588235294117</v>
      </c>
      <c r="K220">
        <v>28</v>
      </c>
      <c r="L220">
        <v>28</v>
      </c>
      <c r="M220">
        <v>100</v>
      </c>
      <c r="N220" s="10">
        <v>494.23</v>
      </c>
      <c r="O220" s="7">
        <v>15.5</v>
      </c>
      <c r="P220" s="7">
        <v>27.8</v>
      </c>
      <c r="Q220">
        <v>1</v>
      </c>
      <c r="R220" t="s">
        <v>63</v>
      </c>
      <c r="S220">
        <v>3</v>
      </c>
      <c r="T220">
        <v>73</v>
      </c>
      <c r="U220" s="11">
        <v>0.7818314824680298</v>
      </c>
      <c r="V220" s="11">
        <v>0.62348980185873359</v>
      </c>
      <c r="W220" s="11">
        <v>0.94532004691313198</v>
      </c>
      <c r="X220" s="11">
        <v>0.32614415356426962</v>
      </c>
      <c r="Y220">
        <v>0</v>
      </c>
      <c r="Z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6">
        <v>45000</v>
      </c>
      <c r="B221" t="s">
        <v>31</v>
      </c>
      <c r="C221" t="s">
        <v>32</v>
      </c>
      <c r="D221" t="s">
        <v>33</v>
      </c>
      <c r="E221" t="s">
        <v>34</v>
      </c>
      <c r="F221">
        <v>140</v>
      </c>
      <c r="G221">
        <v>360</v>
      </c>
      <c r="H221">
        <v>186</v>
      </c>
      <c r="I221">
        <v>76</v>
      </c>
      <c r="J221" s="8">
        <v>0.54285714285714282</v>
      </c>
      <c r="K221">
        <v>45</v>
      </c>
      <c r="L221">
        <v>43</v>
      </c>
      <c r="M221">
        <v>172</v>
      </c>
      <c r="N221" s="10">
        <v>401.55</v>
      </c>
      <c r="O221" s="7">
        <v>10</v>
      </c>
      <c r="P221" s="7">
        <v>25.7</v>
      </c>
      <c r="Q221">
        <v>2</v>
      </c>
      <c r="R221" t="s">
        <v>64</v>
      </c>
      <c r="S221">
        <v>3</v>
      </c>
      <c r="T221">
        <v>74</v>
      </c>
      <c r="U221" s="11">
        <v>0.97492791218182362</v>
      </c>
      <c r="V221" s="11">
        <v>-0.22252093395631434</v>
      </c>
      <c r="W221" s="11">
        <v>0.95079037246258324</v>
      </c>
      <c r="X221" s="11">
        <v>0.30983490383180251</v>
      </c>
      <c r="Y221">
        <v>0</v>
      </c>
      <c r="Z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6">
        <v>45000</v>
      </c>
      <c r="B222" t="s">
        <v>36</v>
      </c>
      <c r="C222" t="s">
        <v>37</v>
      </c>
      <c r="D222" t="s">
        <v>38</v>
      </c>
      <c r="E222" t="s">
        <v>39</v>
      </c>
      <c r="F222">
        <v>125</v>
      </c>
      <c r="G222">
        <v>320</v>
      </c>
      <c r="H222">
        <v>147</v>
      </c>
      <c r="I222">
        <v>62</v>
      </c>
      <c r="J222" s="8">
        <v>0.496</v>
      </c>
      <c r="K222">
        <v>17</v>
      </c>
      <c r="L222">
        <v>16</v>
      </c>
      <c r="M222">
        <v>134</v>
      </c>
      <c r="N222" s="10">
        <v>586.98</v>
      </c>
      <c r="O222" s="7">
        <v>10</v>
      </c>
      <c r="P222" s="7">
        <v>25.7</v>
      </c>
      <c r="Q222">
        <v>2</v>
      </c>
      <c r="R222" t="s">
        <v>64</v>
      </c>
      <c r="S222">
        <v>3</v>
      </c>
      <c r="T222">
        <v>74</v>
      </c>
      <c r="U222" s="11">
        <v>0.97492791218182362</v>
      </c>
      <c r="V222" s="11">
        <v>-0.22252093395631434</v>
      </c>
      <c r="W222" s="11">
        <v>0.95079037246258324</v>
      </c>
      <c r="X222" s="11">
        <v>0.30983490383180251</v>
      </c>
      <c r="Y222">
        <v>0</v>
      </c>
      <c r="Z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6">
        <v>45000</v>
      </c>
      <c r="B223" t="s">
        <v>41</v>
      </c>
      <c r="C223" t="s">
        <v>42</v>
      </c>
      <c r="D223" t="s">
        <v>43</v>
      </c>
      <c r="E223" t="s">
        <v>44</v>
      </c>
      <c r="F223">
        <v>85</v>
      </c>
      <c r="G223">
        <v>210</v>
      </c>
      <c r="H223">
        <v>107</v>
      </c>
      <c r="I223">
        <v>47</v>
      </c>
      <c r="J223" s="8">
        <v>0.55294117647058827</v>
      </c>
      <c r="K223">
        <v>19</v>
      </c>
      <c r="L223">
        <v>27</v>
      </c>
      <c r="M223">
        <v>98</v>
      </c>
      <c r="N223" s="10">
        <v>493.42</v>
      </c>
      <c r="O223" s="7">
        <v>10</v>
      </c>
      <c r="P223" s="7">
        <v>25.7</v>
      </c>
      <c r="Q223">
        <v>2</v>
      </c>
      <c r="R223" t="s">
        <v>64</v>
      </c>
      <c r="S223">
        <v>3</v>
      </c>
      <c r="T223">
        <v>74</v>
      </c>
      <c r="U223" s="11">
        <v>0.97492791218182362</v>
      </c>
      <c r="V223" s="11">
        <v>-0.22252093395631434</v>
      </c>
      <c r="W223" s="11">
        <v>0.95079037246258324</v>
      </c>
      <c r="X223" s="11">
        <v>0.30983490383180251</v>
      </c>
      <c r="Y223">
        <v>0</v>
      </c>
      <c r="Z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6">
        <v>45001</v>
      </c>
      <c r="B224" t="s">
        <v>31</v>
      </c>
      <c r="C224" t="s">
        <v>32</v>
      </c>
      <c r="D224" t="s">
        <v>33</v>
      </c>
      <c r="E224" t="s">
        <v>34</v>
      </c>
      <c r="F224">
        <v>140</v>
      </c>
      <c r="G224">
        <v>360</v>
      </c>
      <c r="H224">
        <v>164</v>
      </c>
      <c r="I224">
        <v>66</v>
      </c>
      <c r="J224" s="8">
        <v>0.47142857142857142</v>
      </c>
      <c r="K224">
        <v>25</v>
      </c>
      <c r="L224">
        <v>20</v>
      </c>
      <c r="M224">
        <v>146</v>
      </c>
      <c r="N224" s="10">
        <v>404.73</v>
      </c>
      <c r="O224" s="7">
        <v>24.2</v>
      </c>
      <c r="P224" s="7">
        <v>27</v>
      </c>
      <c r="Q224">
        <v>3</v>
      </c>
      <c r="R224" t="s">
        <v>65</v>
      </c>
      <c r="S224">
        <v>3</v>
      </c>
      <c r="T224">
        <v>75</v>
      </c>
      <c r="U224" s="11">
        <v>0.43388373911755823</v>
      </c>
      <c r="V224" s="11">
        <v>-0.90096886790241903</v>
      </c>
      <c r="W224" s="11">
        <v>0.95597934384407657</v>
      </c>
      <c r="X224" s="11">
        <v>0.29343396896652729</v>
      </c>
      <c r="Y224">
        <v>0</v>
      </c>
      <c r="Z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6">
        <v>45001</v>
      </c>
      <c r="B225" t="s">
        <v>36</v>
      </c>
      <c r="C225" t="s">
        <v>37</v>
      </c>
      <c r="D225" t="s">
        <v>38</v>
      </c>
      <c r="E225" t="s">
        <v>39</v>
      </c>
      <c r="F225">
        <v>125</v>
      </c>
      <c r="G225">
        <v>320</v>
      </c>
      <c r="H225">
        <v>154</v>
      </c>
      <c r="I225">
        <v>65</v>
      </c>
      <c r="J225" s="8">
        <v>0.52</v>
      </c>
      <c r="K225">
        <v>40</v>
      </c>
      <c r="L225">
        <v>17</v>
      </c>
      <c r="M225">
        <v>136</v>
      </c>
      <c r="N225" s="10">
        <v>663.41</v>
      </c>
      <c r="O225" s="7">
        <v>24.2</v>
      </c>
      <c r="P225" s="7">
        <v>27</v>
      </c>
      <c r="Q225">
        <v>3</v>
      </c>
      <c r="R225" t="s">
        <v>65</v>
      </c>
      <c r="S225">
        <v>3</v>
      </c>
      <c r="T225">
        <v>75</v>
      </c>
      <c r="U225" s="11">
        <v>0.43388373911755823</v>
      </c>
      <c r="V225" s="11">
        <v>-0.90096886790241903</v>
      </c>
      <c r="W225" s="11">
        <v>0.95597934384407657</v>
      </c>
      <c r="X225" s="11">
        <v>0.29343396896652729</v>
      </c>
      <c r="Y225">
        <v>0</v>
      </c>
      <c r="Z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6">
        <v>45001</v>
      </c>
      <c r="B226" t="s">
        <v>41</v>
      </c>
      <c r="C226" t="s">
        <v>42</v>
      </c>
      <c r="D226" t="s">
        <v>43</v>
      </c>
      <c r="E226" t="s">
        <v>44</v>
      </c>
      <c r="F226">
        <v>85</v>
      </c>
      <c r="G226">
        <v>210</v>
      </c>
      <c r="H226">
        <v>102</v>
      </c>
      <c r="I226">
        <v>48</v>
      </c>
      <c r="J226" s="8">
        <v>0.56470588235294117</v>
      </c>
      <c r="K226">
        <v>14</v>
      </c>
      <c r="L226">
        <v>17</v>
      </c>
      <c r="M226">
        <v>89</v>
      </c>
      <c r="N226" s="10">
        <v>563.38</v>
      </c>
      <c r="O226" s="7">
        <v>24.2</v>
      </c>
      <c r="P226" s="7">
        <v>27</v>
      </c>
      <c r="Q226">
        <v>3</v>
      </c>
      <c r="R226" t="s">
        <v>65</v>
      </c>
      <c r="S226">
        <v>3</v>
      </c>
      <c r="T226">
        <v>75</v>
      </c>
      <c r="U226" s="11">
        <v>0.43388373911755823</v>
      </c>
      <c r="V226" s="11">
        <v>-0.90096886790241903</v>
      </c>
      <c r="W226" s="11">
        <v>0.95597934384407657</v>
      </c>
      <c r="X226" s="11">
        <v>0.29343396896652729</v>
      </c>
      <c r="Y226">
        <v>0</v>
      </c>
      <c r="Z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6">
        <v>45002</v>
      </c>
      <c r="B227" t="s">
        <v>31</v>
      </c>
      <c r="C227" t="s">
        <v>32</v>
      </c>
      <c r="D227" t="s">
        <v>33</v>
      </c>
      <c r="E227" t="s">
        <v>34</v>
      </c>
      <c r="F227">
        <v>140</v>
      </c>
      <c r="G227">
        <v>360</v>
      </c>
      <c r="H227">
        <v>185</v>
      </c>
      <c r="I227">
        <v>77</v>
      </c>
      <c r="J227" s="8">
        <v>0.55000000000000004</v>
      </c>
      <c r="K227">
        <v>46</v>
      </c>
      <c r="L227">
        <v>26</v>
      </c>
      <c r="M227">
        <v>149</v>
      </c>
      <c r="N227" s="10">
        <v>445.08</v>
      </c>
      <c r="O227" s="7">
        <v>0.6</v>
      </c>
      <c r="P227" s="7">
        <v>28</v>
      </c>
      <c r="Q227">
        <v>4</v>
      </c>
      <c r="R227" t="s">
        <v>66</v>
      </c>
      <c r="S227">
        <v>3</v>
      </c>
      <c r="T227">
        <v>76</v>
      </c>
      <c r="U227" s="11">
        <v>-0.43388373911755801</v>
      </c>
      <c r="V227" s="11">
        <v>-0.90096886790241915</v>
      </c>
      <c r="W227" s="11">
        <v>0.96088542555749767</v>
      </c>
      <c r="X227" s="11">
        <v>0.27694620226893646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6">
        <v>45002</v>
      </c>
      <c r="B228" t="s">
        <v>36</v>
      </c>
      <c r="C228" t="s">
        <v>37</v>
      </c>
      <c r="D228" t="s">
        <v>38</v>
      </c>
      <c r="E228" t="s">
        <v>39</v>
      </c>
      <c r="F228">
        <v>125</v>
      </c>
      <c r="G228">
        <v>320</v>
      </c>
      <c r="H228">
        <v>164</v>
      </c>
      <c r="I228">
        <v>68</v>
      </c>
      <c r="J228" s="8">
        <v>0.54400000000000004</v>
      </c>
      <c r="K228">
        <v>38</v>
      </c>
      <c r="L228">
        <v>18</v>
      </c>
      <c r="M228">
        <v>148</v>
      </c>
      <c r="N228" s="10">
        <v>631.91999999999996</v>
      </c>
      <c r="O228" s="7">
        <v>0.6</v>
      </c>
      <c r="P228" s="7">
        <v>28</v>
      </c>
      <c r="Q228">
        <v>4</v>
      </c>
      <c r="R228" t="s">
        <v>66</v>
      </c>
      <c r="S228">
        <v>3</v>
      </c>
      <c r="T228">
        <v>76</v>
      </c>
      <c r="U228" s="11">
        <v>-0.43388373911755801</v>
      </c>
      <c r="V228" s="11">
        <v>-0.90096886790241915</v>
      </c>
      <c r="W228" s="11">
        <v>0.96088542555749767</v>
      </c>
      <c r="X228" s="11">
        <v>0.27694620226893646</v>
      </c>
      <c r="Y228">
        <v>0</v>
      </c>
      <c r="Z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6">
        <v>45002</v>
      </c>
      <c r="B229" t="s">
        <v>41</v>
      </c>
      <c r="C229" t="s">
        <v>42</v>
      </c>
      <c r="D229" t="s">
        <v>43</v>
      </c>
      <c r="E229" t="s">
        <v>44</v>
      </c>
      <c r="F229">
        <v>85</v>
      </c>
      <c r="G229">
        <v>210</v>
      </c>
      <c r="H229">
        <v>106</v>
      </c>
      <c r="I229">
        <v>49</v>
      </c>
      <c r="J229" s="8">
        <v>0.57647058823529407</v>
      </c>
      <c r="K229">
        <v>30</v>
      </c>
      <c r="L229">
        <v>23</v>
      </c>
      <c r="M229">
        <v>90</v>
      </c>
      <c r="N229" s="10">
        <v>568.42999999999995</v>
      </c>
      <c r="O229" s="7">
        <v>0.6</v>
      </c>
      <c r="P229" s="7">
        <v>28</v>
      </c>
      <c r="Q229">
        <v>4</v>
      </c>
      <c r="R229" t="s">
        <v>66</v>
      </c>
      <c r="S229">
        <v>3</v>
      </c>
      <c r="T229">
        <v>76</v>
      </c>
      <c r="U229" s="11">
        <v>-0.43388373911755801</v>
      </c>
      <c r="V229" s="11">
        <v>-0.90096886790241915</v>
      </c>
      <c r="W229" s="11">
        <v>0.96088542555749767</v>
      </c>
      <c r="X229" s="11">
        <v>0.27694620226893646</v>
      </c>
      <c r="Y229">
        <v>0</v>
      </c>
      <c r="Z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6">
        <v>45003</v>
      </c>
      <c r="B230" t="s">
        <v>31</v>
      </c>
      <c r="C230" t="s">
        <v>32</v>
      </c>
      <c r="D230" t="s">
        <v>33</v>
      </c>
      <c r="E230" t="s">
        <v>34</v>
      </c>
      <c r="F230">
        <v>140</v>
      </c>
      <c r="G230">
        <v>360</v>
      </c>
      <c r="H230">
        <v>201</v>
      </c>
      <c r="I230">
        <v>84</v>
      </c>
      <c r="J230" s="8">
        <v>0.6</v>
      </c>
      <c r="K230">
        <v>35</v>
      </c>
      <c r="L230">
        <v>36</v>
      </c>
      <c r="M230">
        <v>176</v>
      </c>
      <c r="N230" s="10">
        <v>461.63</v>
      </c>
      <c r="O230" s="7">
        <v>10.1</v>
      </c>
      <c r="P230" s="7">
        <v>27.7</v>
      </c>
      <c r="Q230">
        <v>5</v>
      </c>
      <c r="R230" t="s">
        <v>67</v>
      </c>
      <c r="S230">
        <v>3</v>
      </c>
      <c r="T230">
        <v>77</v>
      </c>
      <c r="U230" s="11">
        <v>-0.97492791218182362</v>
      </c>
      <c r="V230" s="11">
        <v>-0.22252093395631459</v>
      </c>
      <c r="W230" s="11">
        <v>0.96550716581433638</v>
      </c>
      <c r="X230" s="11">
        <v>0.26037648273445813</v>
      </c>
      <c r="Y230">
        <v>1</v>
      </c>
      <c r="Z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6">
        <v>45003</v>
      </c>
      <c r="B231" t="s">
        <v>36</v>
      </c>
      <c r="C231" t="s">
        <v>37</v>
      </c>
      <c r="D231" t="s">
        <v>38</v>
      </c>
      <c r="E231" t="s">
        <v>39</v>
      </c>
      <c r="F231">
        <v>125</v>
      </c>
      <c r="G231">
        <v>320</v>
      </c>
      <c r="H231">
        <v>188</v>
      </c>
      <c r="I231">
        <v>80</v>
      </c>
      <c r="J231" s="8">
        <v>0.64</v>
      </c>
      <c r="K231">
        <v>37</v>
      </c>
      <c r="L231">
        <v>37</v>
      </c>
      <c r="M231">
        <v>174</v>
      </c>
      <c r="N231" s="10">
        <v>711.23</v>
      </c>
      <c r="O231" s="7">
        <v>10.1</v>
      </c>
      <c r="P231" s="7">
        <v>27.7</v>
      </c>
      <c r="Q231">
        <v>5</v>
      </c>
      <c r="R231" t="s">
        <v>67</v>
      </c>
      <c r="S231">
        <v>3</v>
      </c>
      <c r="T231">
        <v>77</v>
      </c>
      <c r="U231" s="11">
        <v>-0.97492791218182362</v>
      </c>
      <c r="V231" s="11">
        <v>-0.22252093395631459</v>
      </c>
      <c r="W231" s="11">
        <v>0.96550716581433638</v>
      </c>
      <c r="X231" s="11">
        <v>0.26037648273445813</v>
      </c>
      <c r="Y231">
        <v>1</v>
      </c>
      <c r="Z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6">
        <v>45003</v>
      </c>
      <c r="B232" t="s">
        <v>41</v>
      </c>
      <c r="C232" t="s">
        <v>42</v>
      </c>
      <c r="D232" t="s">
        <v>43</v>
      </c>
      <c r="E232" t="s">
        <v>44</v>
      </c>
      <c r="F232">
        <v>85</v>
      </c>
      <c r="G232">
        <v>210</v>
      </c>
      <c r="H232">
        <v>133</v>
      </c>
      <c r="I232">
        <v>59</v>
      </c>
      <c r="J232" s="8">
        <v>0.69411764705882351</v>
      </c>
      <c r="K232">
        <v>26</v>
      </c>
      <c r="L232">
        <v>21</v>
      </c>
      <c r="M232">
        <v>113</v>
      </c>
      <c r="N232" s="10">
        <v>553.96</v>
      </c>
      <c r="O232" s="7">
        <v>10.1</v>
      </c>
      <c r="P232" s="7">
        <v>27.7</v>
      </c>
      <c r="Q232">
        <v>5</v>
      </c>
      <c r="R232" t="s">
        <v>67</v>
      </c>
      <c r="S232">
        <v>3</v>
      </c>
      <c r="T232">
        <v>77</v>
      </c>
      <c r="U232" s="11">
        <v>-0.97492791218182362</v>
      </c>
      <c r="V232" s="11">
        <v>-0.22252093395631459</v>
      </c>
      <c r="W232" s="11">
        <v>0.96550716581433638</v>
      </c>
      <c r="X232" s="11">
        <v>0.26037648273445813</v>
      </c>
      <c r="Y232">
        <v>1</v>
      </c>
      <c r="Z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6">
        <v>45004</v>
      </c>
      <c r="B233" t="s">
        <v>31</v>
      </c>
      <c r="C233" t="s">
        <v>32</v>
      </c>
      <c r="D233" t="s">
        <v>33</v>
      </c>
      <c r="E233" t="s">
        <v>34</v>
      </c>
      <c r="F233">
        <v>140</v>
      </c>
      <c r="G233">
        <v>360</v>
      </c>
      <c r="H233">
        <v>210</v>
      </c>
      <c r="I233">
        <v>89</v>
      </c>
      <c r="J233" s="8">
        <v>0.63571428571428568</v>
      </c>
      <c r="K233">
        <v>44</v>
      </c>
      <c r="L233">
        <v>22</v>
      </c>
      <c r="M233">
        <v>173</v>
      </c>
      <c r="N233" s="10">
        <v>515.54999999999995</v>
      </c>
      <c r="O233" s="7">
        <v>10.6</v>
      </c>
      <c r="P233" s="7">
        <v>25.4</v>
      </c>
      <c r="Q233">
        <v>6</v>
      </c>
      <c r="R233" t="s">
        <v>60</v>
      </c>
      <c r="S233">
        <v>3</v>
      </c>
      <c r="T233">
        <v>78</v>
      </c>
      <c r="U233" s="11">
        <v>-0.78183148246802991</v>
      </c>
      <c r="V233" s="11">
        <v>0.62348980185873337</v>
      </c>
      <c r="W233" s="11">
        <v>0.96984319696729404</v>
      </c>
      <c r="X233" s="11">
        <v>0.24372971360968387</v>
      </c>
      <c r="Y233">
        <v>1</v>
      </c>
      <c r="Z233">
        <v>1</v>
      </c>
      <c r="AA233" t="s">
        <v>68</v>
      </c>
      <c r="AB233">
        <v>0</v>
      </c>
      <c r="AC233">
        <v>0</v>
      </c>
      <c r="AD233">
        <v>0</v>
      </c>
      <c r="AE233">
        <v>0</v>
      </c>
    </row>
    <row r="234" spans="1:31">
      <c r="A234" s="6">
        <v>45004</v>
      </c>
      <c r="B234" t="s">
        <v>36</v>
      </c>
      <c r="C234" t="s">
        <v>37</v>
      </c>
      <c r="D234" t="s">
        <v>38</v>
      </c>
      <c r="E234" t="s">
        <v>39</v>
      </c>
      <c r="F234">
        <v>125</v>
      </c>
      <c r="G234">
        <v>320</v>
      </c>
      <c r="H234">
        <v>199</v>
      </c>
      <c r="I234">
        <v>84</v>
      </c>
      <c r="J234" s="8">
        <v>0.67200000000000004</v>
      </c>
      <c r="K234">
        <v>22</v>
      </c>
      <c r="L234">
        <v>49</v>
      </c>
      <c r="M234">
        <v>167</v>
      </c>
      <c r="N234" s="10">
        <v>704.92</v>
      </c>
      <c r="O234" s="7">
        <v>10.6</v>
      </c>
      <c r="P234" s="7">
        <v>25.4</v>
      </c>
      <c r="Q234">
        <v>6</v>
      </c>
      <c r="R234" t="s">
        <v>60</v>
      </c>
      <c r="S234">
        <v>3</v>
      </c>
      <c r="T234">
        <v>78</v>
      </c>
      <c r="U234" s="11">
        <v>-0.78183148246802991</v>
      </c>
      <c r="V234" s="11">
        <v>0.62348980185873337</v>
      </c>
      <c r="W234" s="11">
        <v>0.96984319696729404</v>
      </c>
      <c r="X234" s="11">
        <v>0.24372971360968387</v>
      </c>
      <c r="Y234">
        <v>1</v>
      </c>
      <c r="Z234">
        <v>1</v>
      </c>
      <c r="AA234" t="s">
        <v>68</v>
      </c>
      <c r="AB234">
        <v>0</v>
      </c>
      <c r="AC234">
        <v>0</v>
      </c>
      <c r="AD234">
        <v>0</v>
      </c>
      <c r="AE234">
        <v>0</v>
      </c>
    </row>
    <row r="235" spans="1:31">
      <c r="A235" s="6">
        <v>45004</v>
      </c>
      <c r="B235" t="s">
        <v>41</v>
      </c>
      <c r="C235" t="s">
        <v>42</v>
      </c>
      <c r="D235" t="s">
        <v>43</v>
      </c>
      <c r="E235" t="s">
        <v>44</v>
      </c>
      <c r="F235">
        <v>85</v>
      </c>
      <c r="G235">
        <v>210</v>
      </c>
      <c r="H235">
        <v>147</v>
      </c>
      <c r="I235">
        <v>66</v>
      </c>
      <c r="J235" s="8">
        <v>0.77647058823529413</v>
      </c>
      <c r="K235">
        <v>31</v>
      </c>
      <c r="L235">
        <v>29</v>
      </c>
      <c r="M235">
        <v>135</v>
      </c>
      <c r="N235" s="10">
        <v>556.89</v>
      </c>
      <c r="O235" s="7">
        <v>10.6</v>
      </c>
      <c r="P235" s="7">
        <v>25.4</v>
      </c>
      <c r="Q235">
        <v>6</v>
      </c>
      <c r="R235" t="s">
        <v>60</v>
      </c>
      <c r="S235">
        <v>3</v>
      </c>
      <c r="T235">
        <v>78</v>
      </c>
      <c r="U235" s="11">
        <v>-0.78183148246802991</v>
      </c>
      <c r="V235" s="11">
        <v>0.62348980185873337</v>
      </c>
      <c r="W235" s="11">
        <v>0.96984319696729404</v>
      </c>
      <c r="X235" s="11">
        <v>0.24372971360968387</v>
      </c>
      <c r="Y235">
        <v>1</v>
      </c>
      <c r="Z235">
        <v>1</v>
      </c>
      <c r="AA235" t="s">
        <v>68</v>
      </c>
      <c r="AB235">
        <v>0</v>
      </c>
      <c r="AC235">
        <v>0</v>
      </c>
      <c r="AD235">
        <v>0</v>
      </c>
      <c r="AE235">
        <v>0</v>
      </c>
    </row>
    <row r="236" spans="1:31">
      <c r="A236" s="6">
        <v>45005</v>
      </c>
      <c r="B236" t="s">
        <v>31</v>
      </c>
      <c r="C236" t="s">
        <v>32</v>
      </c>
      <c r="D236" t="s">
        <v>33</v>
      </c>
      <c r="E236" t="s">
        <v>34</v>
      </c>
      <c r="F236">
        <v>140</v>
      </c>
      <c r="G236">
        <v>360</v>
      </c>
      <c r="H236">
        <v>182</v>
      </c>
      <c r="I236">
        <v>78</v>
      </c>
      <c r="J236" s="8">
        <v>0.55714285714285716</v>
      </c>
      <c r="K236">
        <v>24</v>
      </c>
      <c r="L236">
        <v>16</v>
      </c>
      <c r="M236">
        <v>153</v>
      </c>
      <c r="N236" s="10">
        <v>422.53</v>
      </c>
      <c r="O236" s="7">
        <v>32.4</v>
      </c>
      <c r="P236" s="7">
        <v>28.4</v>
      </c>
      <c r="Q236">
        <v>0</v>
      </c>
      <c r="R236" t="s">
        <v>62</v>
      </c>
      <c r="S236">
        <v>3</v>
      </c>
      <c r="T236">
        <v>79</v>
      </c>
      <c r="U236" s="11">
        <v>0</v>
      </c>
      <c r="V236" s="11">
        <v>1</v>
      </c>
      <c r="W236" s="11">
        <v>0.97389223591499241</v>
      </c>
      <c r="X236" s="11">
        <v>0.22701082094141847</v>
      </c>
      <c r="Y236">
        <v>0</v>
      </c>
      <c r="Z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6">
        <v>45005</v>
      </c>
      <c r="B237" t="s">
        <v>36</v>
      </c>
      <c r="C237" t="s">
        <v>37</v>
      </c>
      <c r="D237" t="s">
        <v>38</v>
      </c>
      <c r="E237" t="s">
        <v>39</v>
      </c>
      <c r="F237">
        <v>125</v>
      </c>
      <c r="G237">
        <v>320</v>
      </c>
      <c r="H237">
        <v>143</v>
      </c>
      <c r="I237">
        <v>58</v>
      </c>
      <c r="J237" s="8">
        <v>0.46400000000000002</v>
      </c>
      <c r="K237">
        <v>38</v>
      </c>
      <c r="L237">
        <v>28</v>
      </c>
      <c r="M237">
        <v>118</v>
      </c>
      <c r="N237" s="10">
        <v>599.65</v>
      </c>
      <c r="O237" s="7">
        <v>32.4</v>
      </c>
      <c r="P237" s="7">
        <v>28.4</v>
      </c>
      <c r="Q237">
        <v>0</v>
      </c>
      <c r="R237" t="s">
        <v>62</v>
      </c>
      <c r="S237">
        <v>3</v>
      </c>
      <c r="T237">
        <v>79</v>
      </c>
      <c r="U237" s="11">
        <v>0</v>
      </c>
      <c r="V237" s="11">
        <v>1</v>
      </c>
      <c r="W237" s="11">
        <v>0.97389223591499241</v>
      </c>
      <c r="X237" s="11">
        <v>0.22701082094141847</v>
      </c>
      <c r="Y237">
        <v>0</v>
      </c>
      <c r="Z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6">
        <v>45005</v>
      </c>
      <c r="B238" t="s">
        <v>41</v>
      </c>
      <c r="C238" t="s">
        <v>42</v>
      </c>
      <c r="D238" t="s">
        <v>43</v>
      </c>
      <c r="E238" t="s">
        <v>44</v>
      </c>
      <c r="F238">
        <v>85</v>
      </c>
      <c r="G238">
        <v>210</v>
      </c>
      <c r="H238">
        <v>113</v>
      </c>
      <c r="I238">
        <v>48</v>
      </c>
      <c r="J238" s="8">
        <v>0.56470588235294117</v>
      </c>
      <c r="K238">
        <v>15</v>
      </c>
      <c r="L238">
        <v>18</v>
      </c>
      <c r="M238">
        <v>105</v>
      </c>
      <c r="N238" s="10">
        <v>485.14</v>
      </c>
      <c r="O238" s="7">
        <v>32.4</v>
      </c>
      <c r="P238" s="7">
        <v>28.4</v>
      </c>
      <c r="Q238">
        <v>0</v>
      </c>
      <c r="R238" t="s">
        <v>62</v>
      </c>
      <c r="S238">
        <v>3</v>
      </c>
      <c r="T238">
        <v>79</v>
      </c>
      <c r="U238" s="11">
        <v>0</v>
      </c>
      <c r="V238" s="11">
        <v>1</v>
      </c>
      <c r="W238" s="11">
        <v>0.97389223591499241</v>
      </c>
      <c r="X238" s="11">
        <v>0.22701082094141847</v>
      </c>
      <c r="Y238">
        <v>0</v>
      </c>
      <c r="Z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6">
        <v>45006</v>
      </c>
      <c r="B239" t="s">
        <v>31</v>
      </c>
      <c r="C239" t="s">
        <v>32</v>
      </c>
      <c r="D239" t="s">
        <v>33</v>
      </c>
      <c r="E239" t="s">
        <v>34</v>
      </c>
      <c r="F239">
        <v>140</v>
      </c>
      <c r="G239">
        <v>360</v>
      </c>
      <c r="H239">
        <v>176</v>
      </c>
      <c r="I239">
        <v>75</v>
      </c>
      <c r="J239" s="8">
        <v>0.5357142857142857</v>
      </c>
      <c r="K239">
        <v>44</v>
      </c>
      <c r="L239">
        <v>33</v>
      </c>
      <c r="M239">
        <v>152</v>
      </c>
      <c r="N239" s="10">
        <v>398.29</v>
      </c>
      <c r="O239" s="7">
        <v>4.8</v>
      </c>
      <c r="P239" s="7">
        <v>28.1</v>
      </c>
      <c r="Q239">
        <v>1</v>
      </c>
      <c r="R239" t="s">
        <v>63</v>
      </c>
      <c r="S239">
        <v>3</v>
      </c>
      <c r="T239">
        <v>80</v>
      </c>
      <c r="U239" s="11">
        <v>0.7818314824680298</v>
      </c>
      <c r="V239" s="11">
        <v>0.62348980185873359</v>
      </c>
      <c r="W239" s="11">
        <v>0.9776530844816641</v>
      </c>
      <c r="X239" s="11">
        <v>0.21022475211898359</v>
      </c>
      <c r="Y239">
        <v>0</v>
      </c>
      <c r="Z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6">
        <v>45006</v>
      </c>
      <c r="B240" t="s">
        <v>36</v>
      </c>
      <c r="C240" t="s">
        <v>37</v>
      </c>
      <c r="D240" t="s">
        <v>38</v>
      </c>
      <c r="E240" t="s">
        <v>39</v>
      </c>
      <c r="F240">
        <v>125</v>
      </c>
      <c r="G240">
        <v>320</v>
      </c>
      <c r="H240">
        <v>140</v>
      </c>
      <c r="I240">
        <v>56</v>
      </c>
      <c r="J240" s="8">
        <v>0.44800000000000001</v>
      </c>
      <c r="K240">
        <v>35</v>
      </c>
      <c r="L240">
        <v>18</v>
      </c>
      <c r="M240">
        <v>114</v>
      </c>
      <c r="N240" s="10">
        <v>578.92999999999995</v>
      </c>
      <c r="O240" s="7">
        <v>4.8</v>
      </c>
      <c r="P240" s="7">
        <v>28.1</v>
      </c>
      <c r="Q240">
        <v>1</v>
      </c>
      <c r="R240" t="s">
        <v>63</v>
      </c>
      <c r="S240">
        <v>3</v>
      </c>
      <c r="T240">
        <v>80</v>
      </c>
      <c r="U240" s="11">
        <v>0.7818314824680298</v>
      </c>
      <c r="V240" s="11">
        <v>0.62348980185873359</v>
      </c>
      <c r="W240" s="11">
        <v>0.9776530844816641</v>
      </c>
      <c r="X240" s="11">
        <v>0.21022475211898359</v>
      </c>
      <c r="Y240">
        <v>0</v>
      </c>
      <c r="Z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6">
        <v>45006</v>
      </c>
      <c r="B241" t="s">
        <v>41</v>
      </c>
      <c r="C241" t="s">
        <v>42</v>
      </c>
      <c r="D241" t="s">
        <v>43</v>
      </c>
      <c r="E241" t="s">
        <v>44</v>
      </c>
      <c r="F241">
        <v>85</v>
      </c>
      <c r="G241">
        <v>210</v>
      </c>
      <c r="H241">
        <v>108</v>
      </c>
      <c r="I241">
        <v>49</v>
      </c>
      <c r="J241" s="8">
        <v>0.57647058823529407</v>
      </c>
      <c r="K241">
        <v>16</v>
      </c>
      <c r="L241">
        <v>17</v>
      </c>
      <c r="M241">
        <v>92</v>
      </c>
      <c r="N241" s="10">
        <v>502.36</v>
      </c>
      <c r="O241" s="7">
        <v>4.8</v>
      </c>
      <c r="P241" s="7">
        <v>28.1</v>
      </c>
      <c r="Q241">
        <v>1</v>
      </c>
      <c r="R241" t="s">
        <v>63</v>
      </c>
      <c r="S241">
        <v>3</v>
      </c>
      <c r="T241">
        <v>80</v>
      </c>
      <c r="U241" s="11">
        <v>0.7818314824680298</v>
      </c>
      <c r="V241" s="11">
        <v>0.62348980185873359</v>
      </c>
      <c r="W241" s="11">
        <v>0.9776530844816641</v>
      </c>
      <c r="X241" s="11">
        <v>0.21022475211898359</v>
      </c>
      <c r="Y241">
        <v>0</v>
      </c>
      <c r="Z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6">
        <v>45007</v>
      </c>
      <c r="B242" t="s">
        <v>31</v>
      </c>
      <c r="C242" t="s">
        <v>32</v>
      </c>
      <c r="D242" t="s">
        <v>33</v>
      </c>
      <c r="E242" t="s">
        <v>34</v>
      </c>
      <c r="F242">
        <v>140</v>
      </c>
      <c r="G242">
        <v>360</v>
      </c>
      <c r="H242">
        <v>176</v>
      </c>
      <c r="I242">
        <v>74</v>
      </c>
      <c r="J242" s="8">
        <v>0.52857142857142858</v>
      </c>
      <c r="K242">
        <v>30</v>
      </c>
      <c r="L242">
        <v>46</v>
      </c>
      <c r="M242">
        <v>147</v>
      </c>
      <c r="N242" s="10">
        <v>458.7</v>
      </c>
      <c r="O242" s="7">
        <v>21</v>
      </c>
      <c r="P242" s="7">
        <v>28.6</v>
      </c>
      <c r="Q242">
        <v>2</v>
      </c>
      <c r="R242" t="s">
        <v>64</v>
      </c>
      <c r="S242">
        <v>3</v>
      </c>
      <c r="T242">
        <v>81</v>
      </c>
      <c r="U242" s="11">
        <v>0.97492791218182362</v>
      </c>
      <c r="V242" s="11">
        <v>-0.22252093395631434</v>
      </c>
      <c r="W242" s="11">
        <v>0.981124629771712</v>
      </c>
      <c r="X242" s="11">
        <v>0.19337647441020586</v>
      </c>
      <c r="Y242">
        <v>0</v>
      </c>
      <c r="Z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6">
        <v>45007</v>
      </c>
      <c r="B243" t="s">
        <v>36</v>
      </c>
      <c r="C243" t="s">
        <v>37</v>
      </c>
      <c r="D243" t="s">
        <v>38</v>
      </c>
      <c r="E243" t="s">
        <v>39</v>
      </c>
      <c r="F243">
        <v>125</v>
      </c>
      <c r="G243">
        <v>320</v>
      </c>
      <c r="H243">
        <v>148</v>
      </c>
      <c r="I243">
        <v>63</v>
      </c>
      <c r="J243" s="8">
        <v>0.504</v>
      </c>
      <c r="K243">
        <v>29</v>
      </c>
      <c r="L243">
        <v>41</v>
      </c>
      <c r="M243">
        <v>137</v>
      </c>
      <c r="N243" s="10">
        <v>621.57000000000005</v>
      </c>
      <c r="O243" s="7">
        <v>21</v>
      </c>
      <c r="P243" s="7">
        <v>28.6</v>
      </c>
      <c r="Q243">
        <v>2</v>
      </c>
      <c r="R243" t="s">
        <v>64</v>
      </c>
      <c r="S243">
        <v>3</v>
      </c>
      <c r="T243">
        <v>81</v>
      </c>
      <c r="U243" s="11">
        <v>0.97492791218182362</v>
      </c>
      <c r="V243" s="11">
        <v>-0.22252093395631434</v>
      </c>
      <c r="W243" s="11">
        <v>0.981124629771712</v>
      </c>
      <c r="X243" s="11">
        <v>0.19337647441020586</v>
      </c>
      <c r="Y243">
        <v>0</v>
      </c>
      <c r="Z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6">
        <v>45007</v>
      </c>
      <c r="B244" t="s">
        <v>41</v>
      </c>
      <c r="C244" t="s">
        <v>42</v>
      </c>
      <c r="D244" t="s">
        <v>43</v>
      </c>
      <c r="E244" t="s">
        <v>44</v>
      </c>
      <c r="F244">
        <v>85</v>
      </c>
      <c r="G244">
        <v>210</v>
      </c>
      <c r="H244">
        <v>111</v>
      </c>
      <c r="I244">
        <v>48</v>
      </c>
      <c r="J244" s="8">
        <v>0.56470588235294117</v>
      </c>
      <c r="K244">
        <v>31</v>
      </c>
      <c r="L244">
        <v>24</v>
      </c>
      <c r="M244">
        <v>97</v>
      </c>
      <c r="N244" s="10">
        <v>511.81</v>
      </c>
      <c r="O244" s="7">
        <v>21</v>
      </c>
      <c r="P244" s="7">
        <v>28.6</v>
      </c>
      <c r="Q244">
        <v>2</v>
      </c>
      <c r="R244" t="s">
        <v>64</v>
      </c>
      <c r="S244">
        <v>3</v>
      </c>
      <c r="T244">
        <v>81</v>
      </c>
      <c r="U244" s="11">
        <v>0.97492791218182362</v>
      </c>
      <c r="V244" s="11">
        <v>-0.22252093395631434</v>
      </c>
      <c r="W244" s="11">
        <v>0.981124629771712</v>
      </c>
      <c r="X244" s="11">
        <v>0.19337647441020586</v>
      </c>
      <c r="Y244">
        <v>0</v>
      </c>
      <c r="Z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6">
        <v>45008</v>
      </c>
      <c r="B245" t="s">
        <v>31</v>
      </c>
      <c r="C245" t="s">
        <v>32</v>
      </c>
      <c r="D245" t="s">
        <v>33</v>
      </c>
      <c r="E245" t="s">
        <v>34</v>
      </c>
      <c r="F245">
        <v>140</v>
      </c>
      <c r="G245">
        <v>360</v>
      </c>
      <c r="H245">
        <v>160</v>
      </c>
      <c r="I245">
        <v>70</v>
      </c>
      <c r="J245" s="8">
        <v>0.5</v>
      </c>
      <c r="K245">
        <v>43</v>
      </c>
      <c r="L245">
        <v>17</v>
      </c>
      <c r="M245">
        <v>142</v>
      </c>
      <c r="N245" s="10">
        <v>445.43</v>
      </c>
      <c r="O245" s="7">
        <v>14.3</v>
      </c>
      <c r="P245" s="7">
        <v>26.1</v>
      </c>
      <c r="Q245">
        <v>3</v>
      </c>
      <c r="R245" t="s">
        <v>65</v>
      </c>
      <c r="S245">
        <v>3</v>
      </c>
      <c r="T245">
        <v>82</v>
      </c>
      <c r="U245" s="11">
        <v>0.43388373911755823</v>
      </c>
      <c r="V245" s="11">
        <v>-0.90096886790241903</v>
      </c>
      <c r="W245" s="11">
        <v>0.98430584449903302</v>
      </c>
      <c r="X245" s="11">
        <v>0.17647097349152166</v>
      </c>
      <c r="Y245">
        <v>0</v>
      </c>
      <c r="Z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6">
        <v>45008</v>
      </c>
      <c r="B246" t="s">
        <v>36</v>
      </c>
      <c r="C246" t="s">
        <v>37</v>
      </c>
      <c r="D246" t="s">
        <v>38</v>
      </c>
      <c r="E246" t="s">
        <v>39</v>
      </c>
      <c r="F246">
        <v>125</v>
      </c>
      <c r="G246">
        <v>320</v>
      </c>
      <c r="H246">
        <v>125</v>
      </c>
      <c r="I246">
        <v>55</v>
      </c>
      <c r="J246" s="8">
        <v>0.44</v>
      </c>
      <c r="K246">
        <v>25</v>
      </c>
      <c r="L246">
        <v>25</v>
      </c>
      <c r="M246">
        <v>101</v>
      </c>
      <c r="N246" s="10">
        <v>658.69</v>
      </c>
      <c r="O246" s="7">
        <v>14.3</v>
      </c>
      <c r="P246" s="7">
        <v>26.1</v>
      </c>
      <c r="Q246">
        <v>3</v>
      </c>
      <c r="R246" t="s">
        <v>65</v>
      </c>
      <c r="S246">
        <v>3</v>
      </c>
      <c r="T246">
        <v>82</v>
      </c>
      <c r="U246" s="11">
        <v>0.43388373911755823</v>
      </c>
      <c r="V246" s="11">
        <v>-0.90096886790241903</v>
      </c>
      <c r="W246" s="11">
        <v>0.98430584449903302</v>
      </c>
      <c r="X246" s="11">
        <v>0.17647097349152166</v>
      </c>
      <c r="Y246">
        <v>0</v>
      </c>
      <c r="Z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6">
        <v>45008</v>
      </c>
      <c r="B247" t="s">
        <v>41</v>
      </c>
      <c r="C247" t="s">
        <v>42</v>
      </c>
      <c r="D247" t="s">
        <v>43</v>
      </c>
      <c r="E247" t="s">
        <v>44</v>
      </c>
      <c r="F247">
        <v>85</v>
      </c>
      <c r="G247">
        <v>210</v>
      </c>
      <c r="H247">
        <v>100</v>
      </c>
      <c r="I247">
        <v>44</v>
      </c>
      <c r="J247" s="8">
        <v>0.51764705882352946</v>
      </c>
      <c r="K247">
        <v>16</v>
      </c>
      <c r="L247">
        <v>17</v>
      </c>
      <c r="M247">
        <v>85</v>
      </c>
      <c r="N247" s="10">
        <v>499.22</v>
      </c>
      <c r="O247" s="7">
        <v>14.3</v>
      </c>
      <c r="P247" s="7">
        <v>26.1</v>
      </c>
      <c r="Q247">
        <v>3</v>
      </c>
      <c r="R247" t="s">
        <v>65</v>
      </c>
      <c r="S247">
        <v>3</v>
      </c>
      <c r="T247">
        <v>82</v>
      </c>
      <c r="U247" s="11">
        <v>0.43388373911755823</v>
      </c>
      <c r="V247" s="11">
        <v>-0.90096886790241903</v>
      </c>
      <c r="W247" s="11">
        <v>0.98430584449903302</v>
      </c>
      <c r="X247" s="11">
        <v>0.17647097349152166</v>
      </c>
      <c r="Y247">
        <v>0</v>
      </c>
      <c r="Z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6">
        <v>45009</v>
      </c>
      <c r="B248" t="s">
        <v>31</v>
      </c>
      <c r="C248" t="s">
        <v>32</v>
      </c>
      <c r="D248" t="s">
        <v>33</v>
      </c>
      <c r="E248" t="s">
        <v>34</v>
      </c>
      <c r="F248">
        <v>140</v>
      </c>
      <c r="G248">
        <v>360</v>
      </c>
      <c r="H248">
        <v>190</v>
      </c>
      <c r="I248">
        <v>81</v>
      </c>
      <c r="J248" s="8">
        <v>0.57857142857142863</v>
      </c>
      <c r="K248">
        <v>41</v>
      </c>
      <c r="L248">
        <v>36</v>
      </c>
      <c r="M248">
        <v>175</v>
      </c>
      <c r="N248" s="10">
        <v>439.86</v>
      </c>
      <c r="O248" s="7">
        <v>15.6</v>
      </c>
      <c r="P248" s="7">
        <v>28</v>
      </c>
      <c r="Q248">
        <v>4</v>
      </c>
      <c r="R248" t="s">
        <v>66</v>
      </c>
      <c r="S248">
        <v>3</v>
      </c>
      <c r="T248">
        <v>83</v>
      </c>
      <c r="U248" s="11">
        <v>-0.43388373911755801</v>
      </c>
      <c r="V248" s="11">
        <v>-0.90096886790241915</v>
      </c>
      <c r="W248" s="11">
        <v>0.98719578729100854</v>
      </c>
      <c r="X248" s="11">
        <v>0.15951325197263655</v>
      </c>
      <c r="Y248">
        <v>0</v>
      </c>
      <c r="Z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6">
        <v>45009</v>
      </c>
      <c r="B249" t="s">
        <v>36</v>
      </c>
      <c r="C249" t="s">
        <v>37</v>
      </c>
      <c r="D249" t="s">
        <v>38</v>
      </c>
      <c r="E249" t="s">
        <v>39</v>
      </c>
      <c r="F249">
        <v>125</v>
      </c>
      <c r="G249">
        <v>320</v>
      </c>
      <c r="H249">
        <v>158</v>
      </c>
      <c r="I249">
        <v>65</v>
      </c>
      <c r="J249" s="8">
        <v>0.52</v>
      </c>
      <c r="K249">
        <v>31</v>
      </c>
      <c r="L249">
        <v>41</v>
      </c>
      <c r="M249">
        <v>137</v>
      </c>
      <c r="N249" s="10">
        <v>654.73</v>
      </c>
      <c r="O249" s="7">
        <v>15.6</v>
      </c>
      <c r="P249" s="7">
        <v>28</v>
      </c>
      <c r="Q249">
        <v>4</v>
      </c>
      <c r="R249" t="s">
        <v>66</v>
      </c>
      <c r="S249">
        <v>3</v>
      </c>
      <c r="T249">
        <v>83</v>
      </c>
      <c r="U249" s="11">
        <v>-0.43388373911755801</v>
      </c>
      <c r="V249" s="11">
        <v>-0.90096886790241915</v>
      </c>
      <c r="W249" s="11">
        <v>0.98719578729100854</v>
      </c>
      <c r="X249" s="11">
        <v>0.15951325197263655</v>
      </c>
      <c r="Y249">
        <v>0</v>
      </c>
      <c r="Z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6">
        <v>45009</v>
      </c>
      <c r="B250" t="s">
        <v>41</v>
      </c>
      <c r="C250" t="s">
        <v>42</v>
      </c>
      <c r="D250" t="s">
        <v>43</v>
      </c>
      <c r="E250" t="s">
        <v>44</v>
      </c>
      <c r="F250">
        <v>85</v>
      </c>
      <c r="G250">
        <v>210</v>
      </c>
      <c r="H250">
        <v>109</v>
      </c>
      <c r="I250">
        <v>51</v>
      </c>
      <c r="J250" s="8">
        <v>0.6</v>
      </c>
      <c r="K250">
        <v>14</v>
      </c>
      <c r="L250">
        <v>27</v>
      </c>
      <c r="M250">
        <v>99</v>
      </c>
      <c r="N250" s="10">
        <v>548.14</v>
      </c>
      <c r="O250" s="7">
        <v>15.6</v>
      </c>
      <c r="P250" s="7">
        <v>28</v>
      </c>
      <c r="Q250">
        <v>4</v>
      </c>
      <c r="R250" t="s">
        <v>66</v>
      </c>
      <c r="S250">
        <v>3</v>
      </c>
      <c r="T250">
        <v>83</v>
      </c>
      <c r="U250" s="11">
        <v>-0.43388373911755801</v>
      </c>
      <c r="V250" s="11">
        <v>-0.90096886790241915</v>
      </c>
      <c r="W250" s="11">
        <v>0.98719578729100854</v>
      </c>
      <c r="X250" s="11">
        <v>0.15951325197263655</v>
      </c>
      <c r="Y250">
        <v>0</v>
      </c>
      <c r="Z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6">
        <v>45010</v>
      </c>
      <c r="B251" t="s">
        <v>31</v>
      </c>
      <c r="C251" t="s">
        <v>32</v>
      </c>
      <c r="D251" t="s">
        <v>33</v>
      </c>
      <c r="E251" t="s">
        <v>34</v>
      </c>
      <c r="F251">
        <v>140</v>
      </c>
      <c r="G251">
        <v>360</v>
      </c>
      <c r="H251">
        <v>226</v>
      </c>
      <c r="I251">
        <v>96</v>
      </c>
      <c r="J251" s="8">
        <v>0.68571428571428572</v>
      </c>
      <c r="K251">
        <v>39</v>
      </c>
      <c r="L251">
        <v>33</v>
      </c>
      <c r="M251">
        <v>209</v>
      </c>
      <c r="N251" s="10">
        <v>497.39</v>
      </c>
      <c r="O251" s="7">
        <v>2.1</v>
      </c>
      <c r="P251" s="7">
        <v>27.3</v>
      </c>
      <c r="Q251">
        <v>5</v>
      </c>
      <c r="R251" t="s">
        <v>67</v>
      </c>
      <c r="S251">
        <v>3</v>
      </c>
      <c r="T251">
        <v>84</v>
      </c>
      <c r="U251" s="11">
        <v>-0.97492791218182362</v>
      </c>
      <c r="V251" s="11">
        <v>-0.22252093395631459</v>
      </c>
      <c r="W251" s="11">
        <v>0.98979360296707164</v>
      </c>
      <c r="X251" s="11">
        <v>0.14250832791617088</v>
      </c>
      <c r="Y251">
        <v>1</v>
      </c>
      <c r="Z251">
        <v>1</v>
      </c>
      <c r="AA251" t="s">
        <v>69</v>
      </c>
      <c r="AB251">
        <v>0</v>
      </c>
      <c r="AC251">
        <v>0</v>
      </c>
      <c r="AD251">
        <v>0</v>
      </c>
      <c r="AE251">
        <v>0</v>
      </c>
    </row>
    <row r="252" spans="1:31">
      <c r="A252" s="6">
        <v>45010</v>
      </c>
      <c r="B252" t="s">
        <v>36</v>
      </c>
      <c r="C252" t="s">
        <v>37</v>
      </c>
      <c r="D252" t="s">
        <v>38</v>
      </c>
      <c r="E252" t="s">
        <v>39</v>
      </c>
      <c r="F252">
        <v>125</v>
      </c>
      <c r="G252">
        <v>320</v>
      </c>
      <c r="H252">
        <v>196</v>
      </c>
      <c r="I252">
        <v>82</v>
      </c>
      <c r="J252" s="8">
        <v>0.65600000000000003</v>
      </c>
      <c r="K252">
        <v>49</v>
      </c>
      <c r="L252">
        <v>29</v>
      </c>
      <c r="M252">
        <v>179</v>
      </c>
      <c r="N252" s="10">
        <v>648.20000000000005</v>
      </c>
      <c r="O252" s="7">
        <v>2.1</v>
      </c>
      <c r="P252" s="7">
        <v>27.3</v>
      </c>
      <c r="Q252">
        <v>5</v>
      </c>
      <c r="R252" t="s">
        <v>67</v>
      </c>
      <c r="S252">
        <v>3</v>
      </c>
      <c r="T252">
        <v>84</v>
      </c>
      <c r="U252" s="11">
        <v>-0.97492791218182362</v>
      </c>
      <c r="V252" s="11">
        <v>-0.22252093395631459</v>
      </c>
      <c r="W252" s="11">
        <v>0.98979360296707164</v>
      </c>
      <c r="X252" s="11">
        <v>0.14250832791617088</v>
      </c>
      <c r="Y252">
        <v>1</v>
      </c>
      <c r="Z252">
        <v>1</v>
      </c>
      <c r="AA252" t="s">
        <v>69</v>
      </c>
      <c r="AB252">
        <v>0</v>
      </c>
      <c r="AC252">
        <v>0</v>
      </c>
      <c r="AD252">
        <v>0</v>
      </c>
      <c r="AE252">
        <v>0</v>
      </c>
    </row>
    <row r="253" spans="1:31">
      <c r="A253" s="6">
        <v>45010</v>
      </c>
      <c r="B253" t="s">
        <v>41</v>
      </c>
      <c r="C253" t="s">
        <v>42</v>
      </c>
      <c r="D253" t="s">
        <v>43</v>
      </c>
      <c r="E253" t="s">
        <v>44</v>
      </c>
      <c r="F253">
        <v>85</v>
      </c>
      <c r="G253">
        <v>210</v>
      </c>
      <c r="H253">
        <v>148</v>
      </c>
      <c r="I253">
        <v>69</v>
      </c>
      <c r="J253" s="8">
        <v>0.81176470588235294</v>
      </c>
      <c r="K253">
        <v>37</v>
      </c>
      <c r="L253">
        <v>19</v>
      </c>
      <c r="M253">
        <v>135</v>
      </c>
      <c r="N253" s="10">
        <v>618.73</v>
      </c>
      <c r="O253" s="7">
        <v>2.1</v>
      </c>
      <c r="P253" s="7">
        <v>27.3</v>
      </c>
      <c r="Q253">
        <v>5</v>
      </c>
      <c r="R253" t="s">
        <v>67</v>
      </c>
      <c r="S253">
        <v>3</v>
      </c>
      <c r="T253">
        <v>84</v>
      </c>
      <c r="U253" s="11">
        <v>-0.97492791218182362</v>
      </c>
      <c r="V253" s="11">
        <v>-0.22252093395631459</v>
      </c>
      <c r="W253" s="11">
        <v>0.98979360296707164</v>
      </c>
      <c r="X253" s="11">
        <v>0.14250832791617088</v>
      </c>
      <c r="Y253">
        <v>1</v>
      </c>
      <c r="Z253">
        <v>1</v>
      </c>
      <c r="AA253" t="s">
        <v>69</v>
      </c>
      <c r="AB253">
        <v>0</v>
      </c>
      <c r="AC253">
        <v>0</v>
      </c>
      <c r="AD253">
        <v>0</v>
      </c>
      <c r="AE253">
        <v>0</v>
      </c>
    </row>
    <row r="254" spans="1:31">
      <c r="A254" s="6">
        <v>45011</v>
      </c>
      <c r="B254" t="s">
        <v>31</v>
      </c>
      <c r="C254" t="s">
        <v>32</v>
      </c>
      <c r="D254" t="s">
        <v>33</v>
      </c>
      <c r="E254" t="s">
        <v>34</v>
      </c>
      <c r="F254">
        <v>140</v>
      </c>
      <c r="G254">
        <v>360</v>
      </c>
      <c r="H254">
        <v>203</v>
      </c>
      <c r="I254">
        <v>87</v>
      </c>
      <c r="J254" s="8">
        <v>0.62142857142857144</v>
      </c>
      <c r="K254">
        <v>26</v>
      </c>
      <c r="L254">
        <v>48</v>
      </c>
      <c r="M254">
        <v>167</v>
      </c>
      <c r="N254" s="10">
        <v>458.67</v>
      </c>
      <c r="O254" s="7">
        <v>6.9</v>
      </c>
      <c r="P254" s="7">
        <v>27.9</v>
      </c>
      <c r="Q254">
        <v>6</v>
      </c>
      <c r="R254" t="s">
        <v>60</v>
      </c>
      <c r="S254">
        <v>3</v>
      </c>
      <c r="T254">
        <v>85</v>
      </c>
      <c r="U254" s="11">
        <v>-0.78183148246802991</v>
      </c>
      <c r="V254" s="11">
        <v>0.62348980185873337</v>
      </c>
      <c r="W254" s="11">
        <v>0.99209852279176902</v>
      </c>
      <c r="X254" s="11">
        <v>0.12546123335273648</v>
      </c>
      <c r="Y254">
        <v>1</v>
      </c>
      <c r="Z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6">
        <v>45011</v>
      </c>
      <c r="B255" t="s">
        <v>36</v>
      </c>
      <c r="C255" t="s">
        <v>37</v>
      </c>
      <c r="D255" t="s">
        <v>38</v>
      </c>
      <c r="E255" t="s">
        <v>39</v>
      </c>
      <c r="F255">
        <v>125</v>
      </c>
      <c r="G255">
        <v>320</v>
      </c>
      <c r="H255">
        <v>180</v>
      </c>
      <c r="I255">
        <v>73</v>
      </c>
      <c r="J255" s="8">
        <v>0.58399999999999996</v>
      </c>
      <c r="K255">
        <v>26</v>
      </c>
      <c r="L255">
        <v>40</v>
      </c>
      <c r="M255">
        <v>147</v>
      </c>
      <c r="N255" s="10">
        <v>674.98</v>
      </c>
      <c r="O255" s="7">
        <v>6.9</v>
      </c>
      <c r="P255" s="7">
        <v>27.9</v>
      </c>
      <c r="Q255">
        <v>6</v>
      </c>
      <c r="R255" t="s">
        <v>60</v>
      </c>
      <c r="S255">
        <v>3</v>
      </c>
      <c r="T255">
        <v>85</v>
      </c>
      <c r="U255" s="11">
        <v>-0.78183148246802991</v>
      </c>
      <c r="V255" s="11">
        <v>0.62348980185873337</v>
      </c>
      <c r="W255" s="11">
        <v>0.99209852279176902</v>
      </c>
      <c r="X255" s="11">
        <v>0.12546123335273648</v>
      </c>
      <c r="Y255">
        <v>1</v>
      </c>
      <c r="Z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6">
        <v>45011</v>
      </c>
      <c r="B256" t="s">
        <v>41</v>
      </c>
      <c r="C256" t="s">
        <v>42</v>
      </c>
      <c r="D256" t="s">
        <v>43</v>
      </c>
      <c r="E256" t="s">
        <v>44</v>
      </c>
      <c r="F256">
        <v>85</v>
      </c>
      <c r="G256">
        <v>210</v>
      </c>
      <c r="H256">
        <v>138</v>
      </c>
      <c r="I256">
        <v>61</v>
      </c>
      <c r="J256" s="8">
        <v>0.71764705882352942</v>
      </c>
      <c r="K256">
        <v>20</v>
      </c>
      <c r="L256">
        <v>23</v>
      </c>
      <c r="M256">
        <v>120</v>
      </c>
      <c r="N256" s="10">
        <v>589.59</v>
      </c>
      <c r="O256" s="7">
        <v>6.9</v>
      </c>
      <c r="P256" s="7">
        <v>27.9</v>
      </c>
      <c r="Q256">
        <v>6</v>
      </c>
      <c r="R256" t="s">
        <v>60</v>
      </c>
      <c r="S256">
        <v>3</v>
      </c>
      <c r="T256">
        <v>85</v>
      </c>
      <c r="U256" s="11">
        <v>-0.78183148246802991</v>
      </c>
      <c r="V256" s="11">
        <v>0.62348980185873337</v>
      </c>
      <c r="W256" s="11">
        <v>0.99209852279176902</v>
      </c>
      <c r="X256" s="11">
        <v>0.12546123335273648</v>
      </c>
      <c r="Y256">
        <v>1</v>
      </c>
      <c r="Z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6">
        <v>45012</v>
      </c>
      <c r="B257" t="s">
        <v>31</v>
      </c>
      <c r="C257" t="s">
        <v>32</v>
      </c>
      <c r="D257" t="s">
        <v>33</v>
      </c>
      <c r="E257" t="s">
        <v>34</v>
      </c>
      <c r="F257">
        <v>140</v>
      </c>
      <c r="G257">
        <v>360</v>
      </c>
      <c r="H257">
        <v>192</v>
      </c>
      <c r="I257">
        <v>82</v>
      </c>
      <c r="J257" s="8">
        <v>0.58571428571428574</v>
      </c>
      <c r="K257">
        <v>35</v>
      </c>
      <c r="L257">
        <v>45</v>
      </c>
      <c r="M257">
        <v>177</v>
      </c>
      <c r="N257" s="10">
        <v>413.48</v>
      </c>
      <c r="O257" s="7">
        <v>12.1</v>
      </c>
      <c r="P257" s="7">
        <v>26.6</v>
      </c>
      <c r="Q257">
        <v>0</v>
      </c>
      <c r="R257" t="s">
        <v>62</v>
      </c>
      <c r="S257">
        <v>3</v>
      </c>
      <c r="T257">
        <v>86</v>
      </c>
      <c r="U257" s="11">
        <v>0</v>
      </c>
      <c r="V257" s="11">
        <v>1</v>
      </c>
      <c r="W257" s="11">
        <v>0.99410986470224183</v>
      </c>
      <c r="X257" s="11">
        <v>0.10837701279187609</v>
      </c>
      <c r="Y257">
        <v>0</v>
      </c>
      <c r="Z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6">
        <v>45012</v>
      </c>
      <c r="B258" t="s">
        <v>36</v>
      </c>
      <c r="C258" t="s">
        <v>37</v>
      </c>
      <c r="D258" t="s">
        <v>38</v>
      </c>
      <c r="E258" t="s">
        <v>39</v>
      </c>
      <c r="F258">
        <v>125</v>
      </c>
      <c r="G258">
        <v>320</v>
      </c>
      <c r="H258">
        <v>171</v>
      </c>
      <c r="I258">
        <v>70</v>
      </c>
      <c r="J258" s="8">
        <v>0.56000000000000005</v>
      </c>
      <c r="K258">
        <v>41</v>
      </c>
      <c r="L258">
        <v>33</v>
      </c>
      <c r="M258">
        <v>151</v>
      </c>
      <c r="N258" s="10">
        <v>645.91</v>
      </c>
      <c r="O258" s="7">
        <v>12.1</v>
      </c>
      <c r="P258" s="7">
        <v>26.6</v>
      </c>
      <c r="Q258">
        <v>0</v>
      </c>
      <c r="R258" t="s">
        <v>62</v>
      </c>
      <c r="S258">
        <v>3</v>
      </c>
      <c r="T258">
        <v>86</v>
      </c>
      <c r="U258" s="11">
        <v>0</v>
      </c>
      <c r="V258" s="11">
        <v>1</v>
      </c>
      <c r="W258" s="11">
        <v>0.99410986470224183</v>
      </c>
      <c r="X258" s="11">
        <v>0.10837701279187609</v>
      </c>
      <c r="Y258">
        <v>0</v>
      </c>
      <c r="Z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6">
        <v>45012</v>
      </c>
      <c r="B259" t="s">
        <v>41</v>
      </c>
      <c r="C259" t="s">
        <v>42</v>
      </c>
      <c r="D259" t="s">
        <v>43</v>
      </c>
      <c r="E259" t="s">
        <v>44</v>
      </c>
      <c r="F259">
        <v>85</v>
      </c>
      <c r="G259">
        <v>210</v>
      </c>
      <c r="H259">
        <v>103</v>
      </c>
      <c r="I259">
        <v>47</v>
      </c>
      <c r="J259" s="8">
        <v>0.55294117647058827</v>
      </c>
      <c r="K259">
        <v>23</v>
      </c>
      <c r="L259">
        <v>24</v>
      </c>
      <c r="M259">
        <v>92</v>
      </c>
      <c r="N259" s="10">
        <v>547.45000000000005</v>
      </c>
      <c r="O259" s="7">
        <v>12.1</v>
      </c>
      <c r="P259" s="7">
        <v>26.6</v>
      </c>
      <c r="Q259">
        <v>0</v>
      </c>
      <c r="R259" t="s">
        <v>62</v>
      </c>
      <c r="S259">
        <v>3</v>
      </c>
      <c r="T259">
        <v>86</v>
      </c>
      <c r="U259" s="11">
        <v>0</v>
      </c>
      <c r="V259" s="11">
        <v>1</v>
      </c>
      <c r="W259" s="11">
        <v>0.99410986470224183</v>
      </c>
      <c r="X259" s="11">
        <v>0.10837701279187609</v>
      </c>
      <c r="Y259">
        <v>0</v>
      </c>
      <c r="Z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6">
        <v>45013</v>
      </c>
      <c r="B260" t="s">
        <v>31</v>
      </c>
      <c r="C260" t="s">
        <v>32</v>
      </c>
      <c r="D260" t="s">
        <v>33</v>
      </c>
      <c r="E260" t="s">
        <v>34</v>
      </c>
      <c r="F260">
        <v>140</v>
      </c>
      <c r="G260">
        <v>360</v>
      </c>
      <c r="H260">
        <v>176</v>
      </c>
      <c r="I260">
        <v>73</v>
      </c>
      <c r="J260" s="8">
        <v>0.52142857142857146</v>
      </c>
      <c r="K260">
        <v>21</v>
      </c>
      <c r="L260">
        <v>44</v>
      </c>
      <c r="M260">
        <v>165</v>
      </c>
      <c r="N260" s="10">
        <v>389.66</v>
      </c>
      <c r="O260" s="7">
        <v>5.4</v>
      </c>
      <c r="P260" s="7">
        <v>26.5</v>
      </c>
      <c r="Q260">
        <v>1</v>
      </c>
      <c r="R260" t="s">
        <v>63</v>
      </c>
      <c r="S260">
        <v>3</v>
      </c>
      <c r="T260">
        <v>87</v>
      </c>
      <c r="U260" s="11">
        <v>0.7818314824680298</v>
      </c>
      <c r="V260" s="11">
        <v>0.62348980185873359</v>
      </c>
      <c r="W260" s="11">
        <v>0.99582703351005952</v>
      </c>
      <c r="X260" s="11">
        <v>9.1260721729311878E-2</v>
      </c>
      <c r="Y260">
        <v>0</v>
      </c>
      <c r="Z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6">
        <v>45013</v>
      </c>
      <c r="B261" t="s">
        <v>36</v>
      </c>
      <c r="C261" t="s">
        <v>37</v>
      </c>
      <c r="D261" t="s">
        <v>38</v>
      </c>
      <c r="E261" t="s">
        <v>39</v>
      </c>
      <c r="F261">
        <v>125</v>
      </c>
      <c r="G261">
        <v>320</v>
      </c>
      <c r="H261">
        <v>171</v>
      </c>
      <c r="I261">
        <v>70</v>
      </c>
      <c r="J261" s="8">
        <v>0.56000000000000005</v>
      </c>
      <c r="K261">
        <v>40</v>
      </c>
      <c r="L261">
        <v>35</v>
      </c>
      <c r="M261">
        <v>152</v>
      </c>
      <c r="N261" s="10">
        <v>659.51</v>
      </c>
      <c r="O261" s="7">
        <v>5.4</v>
      </c>
      <c r="P261" s="7">
        <v>26.5</v>
      </c>
      <c r="Q261">
        <v>1</v>
      </c>
      <c r="R261" t="s">
        <v>63</v>
      </c>
      <c r="S261">
        <v>3</v>
      </c>
      <c r="T261">
        <v>87</v>
      </c>
      <c r="U261" s="11">
        <v>0.7818314824680298</v>
      </c>
      <c r="V261" s="11">
        <v>0.62348980185873359</v>
      </c>
      <c r="W261" s="11">
        <v>0.99582703351005952</v>
      </c>
      <c r="X261" s="11">
        <v>9.1260721729311878E-2</v>
      </c>
      <c r="Y261">
        <v>0</v>
      </c>
      <c r="Z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6">
        <v>45013</v>
      </c>
      <c r="B262" t="s">
        <v>41</v>
      </c>
      <c r="C262" t="s">
        <v>42</v>
      </c>
      <c r="D262" t="s">
        <v>43</v>
      </c>
      <c r="E262" t="s">
        <v>44</v>
      </c>
      <c r="F262">
        <v>85</v>
      </c>
      <c r="G262">
        <v>210</v>
      </c>
      <c r="H262">
        <v>114</v>
      </c>
      <c r="I262">
        <v>52</v>
      </c>
      <c r="J262" s="8">
        <v>0.61176470588235299</v>
      </c>
      <c r="K262">
        <v>27</v>
      </c>
      <c r="L262">
        <v>20</v>
      </c>
      <c r="M262">
        <v>105</v>
      </c>
      <c r="N262" s="10">
        <v>500.98</v>
      </c>
      <c r="O262" s="7">
        <v>5.4</v>
      </c>
      <c r="P262" s="7">
        <v>26.5</v>
      </c>
      <c r="Q262">
        <v>1</v>
      </c>
      <c r="R262" t="s">
        <v>63</v>
      </c>
      <c r="S262">
        <v>3</v>
      </c>
      <c r="T262">
        <v>87</v>
      </c>
      <c r="U262" s="11">
        <v>0.7818314824680298</v>
      </c>
      <c r="V262" s="11">
        <v>0.62348980185873359</v>
      </c>
      <c r="W262" s="11">
        <v>0.99582703351005952</v>
      </c>
      <c r="X262" s="11">
        <v>9.1260721729311878E-2</v>
      </c>
      <c r="Y262">
        <v>0</v>
      </c>
      <c r="Z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6">
        <v>45014</v>
      </c>
      <c r="B263" t="s">
        <v>31</v>
      </c>
      <c r="C263" t="s">
        <v>32</v>
      </c>
      <c r="D263" t="s">
        <v>33</v>
      </c>
      <c r="E263" t="s">
        <v>34</v>
      </c>
      <c r="F263">
        <v>140</v>
      </c>
      <c r="G263">
        <v>360</v>
      </c>
      <c r="H263">
        <v>172</v>
      </c>
      <c r="I263">
        <v>74</v>
      </c>
      <c r="J263" s="8">
        <v>0.52857142857142858</v>
      </c>
      <c r="K263">
        <v>32</v>
      </c>
      <c r="L263">
        <v>45</v>
      </c>
      <c r="M263">
        <v>138</v>
      </c>
      <c r="N263" s="10">
        <v>438.78</v>
      </c>
      <c r="O263" s="7">
        <v>10.6</v>
      </c>
      <c r="P263" s="7">
        <v>28.8</v>
      </c>
      <c r="Q263">
        <v>2</v>
      </c>
      <c r="R263" t="s">
        <v>64</v>
      </c>
      <c r="S263">
        <v>3</v>
      </c>
      <c r="T263">
        <v>88</v>
      </c>
      <c r="U263" s="11">
        <v>0.97492791218182362</v>
      </c>
      <c r="V263" s="11">
        <v>-0.22252093395631434</v>
      </c>
      <c r="W263" s="11">
        <v>0.9972495210773451</v>
      </c>
      <c r="X263" s="11">
        <v>7.4117425150944369E-2</v>
      </c>
      <c r="Y263">
        <v>0</v>
      </c>
      <c r="Z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6">
        <v>45014</v>
      </c>
      <c r="B264" t="s">
        <v>36</v>
      </c>
      <c r="C264" t="s">
        <v>37</v>
      </c>
      <c r="D264" t="s">
        <v>38</v>
      </c>
      <c r="E264" t="s">
        <v>39</v>
      </c>
      <c r="F264">
        <v>125</v>
      </c>
      <c r="G264">
        <v>320</v>
      </c>
      <c r="H264">
        <v>144</v>
      </c>
      <c r="I264">
        <v>61</v>
      </c>
      <c r="J264" s="8">
        <v>0.48799999999999999</v>
      </c>
      <c r="K264">
        <v>38</v>
      </c>
      <c r="L264">
        <v>27</v>
      </c>
      <c r="M264">
        <v>116</v>
      </c>
      <c r="N264" s="10">
        <v>599.74</v>
      </c>
      <c r="O264" s="7">
        <v>10.6</v>
      </c>
      <c r="P264" s="7">
        <v>28.8</v>
      </c>
      <c r="Q264">
        <v>2</v>
      </c>
      <c r="R264" t="s">
        <v>64</v>
      </c>
      <c r="S264">
        <v>3</v>
      </c>
      <c r="T264">
        <v>88</v>
      </c>
      <c r="U264" s="11">
        <v>0.97492791218182362</v>
      </c>
      <c r="V264" s="11">
        <v>-0.22252093395631434</v>
      </c>
      <c r="W264" s="11">
        <v>0.9972495210773451</v>
      </c>
      <c r="X264" s="11">
        <v>7.4117425150944369E-2</v>
      </c>
      <c r="Y264">
        <v>0</v>
      </c>
      <c r="Z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6">
        <v>45014</v>
      </c>
      <c r="B265" t="s">
        <v>41</v>
      </c>
      <c r="C265" t="s">
        <v>42</v>
      </c>
      <c r="D265" t="s">
        <v>43</v>
      </c>
      <c r="E265" t="s">
        <v>44</v>
      </c>
      <c r="F265">
        <v>85</v>
      </c>
      <c r="G265">
        <v>210</v>
      </c>
      <c r="H265">
        <v>122</v>
      </c>
      <c r="I265">
        <v>50</v>
      </c>
      <c r="J265" s="8">
        <v>0.58823529411764708</v>
      </c>
      <c r="K265">
        <v>32</v>
      </c>
      <c r="L265">
        <v>29</v>
      </c>
      <c r="M265">
        <v>106</v>
      </c>
      <c r="N265" s="10">
        <v>519.46</v>
      </c>
      <c r="O265" s="7">
        <v>10.6</v>
      </c>
      <c r="P265" s="7">
        <v>28.8</v>
      </c>
      <c r="Q265">
        <v>2</v>
      </c>
      <c r="R265" t="s">
        <v>64</v>
      </c>
      <c r="S265">
        <v>3</v>
      </c>
      <c r="T265">
        <v>88</v>
      </c>
      <c r="U265" s="11">
        <v>0.97492791218182362</v>
      </c>
      <c r="V265" s="11">
        <v>-0.22252093395631434</v>
      </c>
      <c r="W265" s="11">
        <v>0.9972495210773451</v>
      </c>
      <c r="X265" s="11">
        <v>7.4117425150944369E-2</v>
      </c>
      <c r="Y265">
        <v>0</v>
      </c>
      <c r="Z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6">
        <v>45015</v>
      </c>
      <c r="B266" t="s">
        <v>31</v>
      </c>
      <c r="C266" t="s">
        <v>32</v>
      </c>
      <c r="D266" t="s">
        <v>33</v>
      </c>
      <c r="E266" t="s">
        <v>34</v>
      </c>
      <c r="F266">
        <v>140</v>
      </c>
      <c r="G266">
        <v>360</v>
      </c>
      <c r="H266">
        <v>151</v>
      </c>
      <c r="I266">
        <v>68</v>
      </c>
      <c r="J266" s="8">
        <v>0.48571428571428571</v>
      </c>
      <c r="K266">
        <v>24</v>
      </c>
      <c r="L266">
        <v>39</v>
      </c>
      <c r="M266">
        <v>132</v>
      </c>
      <c r="N266" s="10">
        <v>427.43</v>
      </c>
      <c r="O266" s="7">
        <v>12.2</v>
      </c>
      <c r="P266" s="7">
        <v>27.8</v>
      </c>
      <c r="Q266">
        <v>3</v>
      </c>
      <c r="R266" t="s">
        <v>65</v>
      </c>
      <c r="S266">
        <v>3</v>
      </c>
      <c r="T266">
        <v>89</v>
      </c>
      <c r="U266" s="11">
        <v>0.43388373911755823</v>
      </c>
      <c r="V266" s="11">
        <v>-0.90096886790241903</v>
      </c>
      <c r="W266" s="11">
        <v>0.99837690646714194</v>
      </c>
      <c r="X266" s="11">
        <v>5.6952196034039754E-2</v>
      </c>
      <c r="Y266">
        <v>0</v>
      </c>
      <c r="Z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6">
        <v>45015</v>
      </c>
      <c r="B267" t="s">
        <v>36</v>
      </c>
      <c r="C267" t="s">
        <v>37</v>
      </c>
      <c r="D267" t="s">
        <v>38</v>
      </c>
      <c r="E267" t="s">
        <v>39</v>
      </c>
      <c r="F267">
        <v>125</v>
      </c>
      <c r="G267">
        <v>320</v>
      </c>
      <c r="H267">
        <v>169</v>
      </c>
      <c r="I267">
        <v>70</v>
      </c>
      <c r="J267" s="8">
        <v>0.56000000000000005</v>
      </c>
      <c r="K267">
        <v>42</v>
      </c>
      <c r="L267">
        <v>43</v>
      </c>
      <c r="M267">
        <v>140</v>
      </c>
      <c r="N267" s="10">
        <v>639.99</v>
      </c>
      <c r="O267" s="7">
        <v>12.2</v>
      </c>
      <c r="P267" s="7">
        <v>27.8</v>
      </c>
      <c r="Q267">
        <v>3</v>
      </c>
      <c r="R267" t="s">
        <v>65</v>
      </c>
      <c r="S267">
        <v>3</v>
      </c>
      <c r="T267">
        <v>89</v>
      </c>
      <c r="U267" s="11">
        <v>0.43388373911755823</v>
      </c>
      <c r="V267" s="11">
        <v>-0.90096886790241903</v>
      </c>
      <c r="W267" s="11">
        <v>0.99837690646714194</v>
      </c>
      <c r="X267" s="11">
        <v>5.6952196034039754E-2</v>
      </c>
      <c r="Y267">
        <v>0</v>
      </c>
      <c r="Z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6">
        <v>45015</v>
      </c>
      <c r="B268" t="s">
        <v>41</v>
      </c>
      <c r="C268" t="s">
        <v>42</v>
      </c>
      <c r="D268" t="s">
        <v>43</v>
      </c>
      <c r="E268" t="s">
        <v>44</v>
      </c>
      <c r="F268">
        <v>85</v>
      </c>
      <c r="G268">
        <v>210</v>
      </c>
      <c r="H268">
        <v>125</v>
      </c>
      <c r="I268">
        <v>54</v>
      </c>
      <c r="J268" s="8">
        <v>0.63529411764705879</v>
      </c>
      <c r="K268">
        <v>31</v>
      </c>
      <c r="L268">
        <v>28</v>
      </c>
      <c r="M268">
        <v>116</v>
      </c>
      <c r="N268" s="10">
        <v>514.34</v>
      </c>
      <c r="O268" s="7">
        <v>12.2</v>
      </c>
      <c r="P268" s="7">
        <v>27.8</v>
      </c>
      <c r="Q268">
        <v>3</v>
      </c>
      <c r="R268" t="s">
        <v>65</v>
      </c>
      <c r="S268">
        <v>3</v>
      </c>
      <c r="T268">
        <v>89</v>
      </c>
      <c r="U268" s="11">
        <v>0.43388373911755823</v>
      </c>
      <c r="V268" s="11">
        <v>-0.90096886790241903</v>
      </c>
      <c r="W268" s="11">
        <v>0.99837690646714194</v>
      </c>
      <c r="X268" s="11">
        <v>5.6952196034039754E-2</v>
      </c>
      <c r="Y268">
        <v>0</v>
      </c>
      <c r="Z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6">
        <v>45016</v>
      </c>
      <c r="B269" t="s">
        <v>31</v>
      </c>
      <c r="C269" t="s">
        <v>32</v>
      </c>
      <c r="D269" t="s">
        <v>33</v>
      </c>
      <c r="E269" t="s">
        <v>34</v>
      </c>
      <c r="F269">
        <v>140</v>
      </c>
      <c r="G269">
        <v>360</v>
      </c>
      <c r="H269">
        <v>157</v>
      </c>
      <c r="I269">
        <v>70</v>
      </c>
      <c r="J269" s="8">
        <v>0.5</v>
      </c>
      <c r="K269">
        <v>25</v>
      </c>
      <c r="L269">
        <v>37</v>
      </c>
      <c r="M269">
        <v>141</v>
      </c>
      <c r="N269" s="10">
        <v>403.55</v>
      </c>
      <c r="O269" s="7">
        <v>18.899999999999999</v>
      </c>
      <c r="P269" s="7">
        <v>27.5</v>
      </c>
      <c r="Q269">
        <v>4</v>
      </c>
      <c r="R269" t="s">
        <v>66</v>
      </c>
      <c r="S269">
        <v>3</v>
      </c>
      <c r="T269">
        <v>90</v>
      </c>
      <c r="U269" s="11">
        <v>-0.43388373911755801</v>
      </c>
      <c r="V269" s="11">
        <v>-0.90096886790241915</v>
      </c>
      <c r="W269" s="11">
        <v>0.99920885606797527</v>
      </c>
      <c r="X269" s="11">
        <v>3.9770113846055721E-2</v>
      </c>
      <c r="Y269">
        <v>0</v>
      </c>
      <c r="Z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6">
        <v>45016</v>
      </c>
      <c r="B270" t="s">
        <v>36</v>
      </c>
      <c r="C270" t="s">
        <v>37</v>
      </c>
      <c r="D270" t="s">
        <v>38</v>
      </c>
      <c r="E270" t="s">
        <v>39</v>
      </c>
      <c r="F270">
        <v>125</v>
      </c>
      <c r="G270">
        <v>320</v>
      </c>
      <c r="H270">
        <v>132</v>
      </c>
      <c r="I270">
        <v>57</v>
      </c>
      <c r="J270" s="8">
        <v>0.45600000000000002</v>
      </c>
      <c r="K270">
        <v>19</v>
      </c>
      <c r="L270">
        <v>31</v>
      </c>
      <c r="M270">
        <v>109</v>
      </c>
      <c r="N270" s="10">
        <v>590.12</v>
      </c>
      <c r="O270" s="7">
        <v>18.899999999999999</v>
      </c>
      <c r="P270" s="7">
        <v>27.5</v>
      </c>
      <c r="Q270">
        <v>4</v>
      </c>
      <c r="R270" t="s">
        <v>66</v>
      </c>
      <c r="S270">
        <v>3</v>
      </c>
      <c r="T270">
        <v>90</v>
      </c>
      <c r="U270" s="11">
        <v>-0.43388373911755801</v>
      </c>
      <c r="V270" s="11">
        <v>-0.90096886790241915</v>
      </c>
      <c r="W270" s="11">
        <v>0.99920885606797527</v>
      </c>
      <c r="X270" s="11">
        <v>3.9770113846055721E-2</v>
      </c>
      <c r="Y270">
        <v>0</v>
      </c>
      <c r="Z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6">
        <v>45016</v>
      </c>
      <c r="B271" t="s">
        <v>41</v>
      </c>
      <c r="C271" t="s">
        <v>42</v>
      </c>
      <c r="D271" t="s">
        <v>43</v>
      </c>
      <c r="E271" t="s">
        <v>44</v>
      </c>
      <c r="F271">
        <v>85</v>
      </c>
      <c r="G271">
        <v>210</v>
      </c>
      <c r="H271">
        <v>114</v>
      </c>
      <c r="I271">
        <v>51</v>
      </c>
      <c r="J271" s="8">
        <v>0.6</v>
      </c>
      <c r="K271">
        <v>16</v>
      </c>
      <c r="L271">
        <v>21</v>
      </c>
      <c r="M271">
        <v>95</v>
      </c>
      <c r="N271" s="10">
        <v>546.54999999999995</v>
      </c>
      <c r="O271" s="7">
        <v>18.899999999999999</v>
      </c>
      <c r="P271" s="7">
        <v>27.5</v>
      </c>
      <c r="Q271">
        <v>4</v>
      </c>
      <c r="R271" t="s">
        <v>66</v>
      </c>
      <c r="S271">
        <v>3</v>
      </c>
      <c r="T271">
        <v>90</v>
      </c>
      <c r="U271" s="11">
        <v>-0.43388373911755801</v>
      </c>
      <c r="V271" s="11">
        <v>-0.90096886790241915</v>
      </c>
      <c r="W271" s="11">
        <v>0.99920885606797527</v>
      </c>
      <c r="X271" s="11">
        <v>3.9770113846055721E-2</v>
      </c>
      <c r="Y271">
        <v>0</v>
      </c>
      <c r="Z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6">
        <v>45017</v>
      </c>
      <c r="B272" t="s">
        <v>31</v>
      </c>
      <c r="C272" t="s">
        <v>32</v>
      </c>
      <c r="D272" t="s">
        <v>33</v>
      </c>
      <c r="E272" t="s">
        <v>34</v>
      </c>
      <c r="F272">
        <v>140</v>
      </c>
      <c r="G272">
        <v>360</v>
      </c>
      <c r="H272">
        <v>207</v>
      </c>
      <c r="I272">
        <v>89</v>
      </c>
      <c r="J272" s="8">
        <v>0.63571428571428568</v>
      </c>
      <c r="K272">
        <v>28</v>
      </c>
      <c r="L272">
        <v>42</v>
      </c>
      <c r="M272">
        <v>179</v>
      </c>
      <c r="N272" s="10">
        <v>471.57</v>
      </c>
      <c r="O272" s="7">
        <v>7.5</v>
      </c>
      <c r="P272" s="7">
        <v>26.6</v>
      </c>
      <c r="Q272">
        <v>5</v>
      </c>
      <c r="R272" t="s">
        <v>67</v>
      </c>
      <c r="S272">
        <v>4</v>
      </c>
      <c r="T272">
        <v>91</v>
      </c>
      <c r="U272" s="11">
        <v>-0.97492791218182362</v>
      </c>
      <c r="V272" s="11">
        <v>-0.22252093395631459</v>
      </c>
      <c r="W272" s="11">
        <v>0.9997451236925734</v>
      </c>
      <c r="X272" s="11">
        <v>2.2576263041545485E-2</v>
      </c>
      <c r="Y272">
        <v>1</v>
      </c>
      <c r="Z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6">
        <v>45017</v>
      </c>
      <c r="B273" t="s">
        <v>36</v>
      </c>
      <c r="C273" t="s">
        <v>37</v>
      </c>
      <c r="D273" t="s">
        <v>38</v>
      </c>
      <c r="E273" t="s">
        <v>39</v>
      </c>
      <c r="F273">
        <v>125</v>
      </c>
      <c r="G273">
        <v>320</v>
      </c>
      <c r="H273">
        <v>180</v>
      </c>
      <c r="I273">
        <v>76</v>
      </c>
      <c r="J273" s="8">
        <v>0.60799999999999998</v>
      </c>
      <c r="K273">
        <v>34</v>
      </c>
      <c r="L273">
        <v>33</v>
      </c>
      <c r="M273">
        <v>155</v>
      </c>
      <c r="N273" s="10">
        <v>632.73</v>
      </c>
      <c r="O273" s="7">
        <v>7.5</v>
      </c>
      <c r="P273" s="7">
        <v>26.6</v>
      </c>
      <c r="Q273">
        <v>5</v>
      </c>
      <c r="R273" t="s">
        <v>67</v>
      </c>
      <c r="S273">
        <v>4</v>
      </c>
      <c r="T273">
        <v>91</v>
      </c>
      <c r="U273" s="11">
        <v>-0.97492791218182362</v>
      </c>
      <c r="V273" s="11">
        <v>-0.22252093395631459</v>
      </c>
      <c r="W273" s="11">
        <v>0.9997451236925734</v>
      </c>
      <c r="X273" s="11">
        <v>2.2576263041545485E-2</v>
      </c>
      <c r="Y273">
        <v>1</v>
      </c>
      <c r="Z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6">
        <v>45017</v>
      </c>
      <c r="B274" t="s">
        <v>41</v>
      </c>
      <c r="C274" t="s">
        <v>42</v>
      </c>
      <c r="D274" t="s">
        <v>43</v>
      </c>
      <c r="E274" t="s">
        <v>44</v>
      </c>
      <c r="F274">
        <v>85</v>
      </c>
      <c r="G274">
        <v>210</v>
      </c>
      <c r="H274">
        <v>123</v>
      </c>
      <c r="I274">
        <v>54</v>
      </c>
      <c r="J274" s="8">
        <v>0.63529411764705879</v>
      </c>
      <c r="K274">
        <v>31</v>
      </c>
      <c r="L274">
        <v>28</v>
      </c>
      <c r="M274">
        <v>111</v>
      </c>
      <c r="N274" s="10">
        <v>625.51</v>
      </c>
      <c r="O274" s="7">
        <v>7.5</v>
      </c>
      <c r="P274" s="7">
        <v>26.6</v>
      </c>
      <c r="Q274">
        <v>5</v>
      </c>
      <c r="R274" t="s">
        <v>67</v>
      </c>
      <c r="S274">
        <v>4</v>
      </c>
      <c r="T274">
        <v>91</v>
      </c>
      <c r="U274" s="11">
        <v>-0.97492791218182362</v>
      </c>
      <c r="V274" s="11">
        <v>-0.22252093395631459</v>
      </c>
      <c r="W274" s="11">
        <v>0.9997451236925734</v>
      </c>
      <c r="X274" s="11">
        <v>2.2576263041545485E-2</v>
      </c>
      <c r="Y274">
        <v>1</v>
      </c>
      <c r="Z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6">
        <v>45018</v>
      </c>
      <c r="B275" t="s">
        <v>31</v>
      </c>
      <c r="C275" t="s">
        <v>32</v>
      </c>
      <c r="D275" t="s">
        <v>33</v>
      </c>
      <c r="E275" t="s">
        <v>34</v>
      </c>
      <c r="F275">
        <v>140</v>
      </c>
      <c r="G275">
        <v>360</v>
      </c>
      <c r="H275">
        <v>211</v>
      </c>
      <c r="I275">
        <v>92</v>
      </c>
      <c r="J275" s="8">
        <v>0.65714285714285714</v>
      </c>
      <c r="K275">
        <v>55</v>
      </c>
      <c r="L275">
        <v>21</v>
      </c>
      <c r="M275">
        <v>194</v>
      </c>
      <c r="N275" s="10">
        <v>477.07</v>
      </c>
      <c r="O275" s="7">
        <v>6.9</v>
      </c>
      <c r="P275" s="7">
        <v>27</v>
      </c>
      <c r="Q275">
        <v>6</v>
      </c>
      <c r="R275" t="s">
        <v>60</v>
      </c>
      <c r="S275">
        <v>4</v>
      </c>
      <c r="T275">
        <v>92</v>
      </c>
      <c r="U275" s="11">
        <v>-0.78183148246802991</v>
      </c>
      <c r="V275" s="11">
        <v>0.62348980185873337</v>
      </c>
      <c r="W275" s="11">
        <v>0.99998555065071859</v>
      </c>
      <c r="X275" s="11">
        <v>5.3757315575838844E-3</v>
      </c>
      <c r="Y275">
        <v>1</v>
      </c>
      <c r="Z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6">
        <v>45018</v>
      </c>
      <c r="B276" t="s">
        <v>36</v>
      </c>
      <c r="C276" t="s">
        <v>37</v>
      </c>
      <c r="D276" t="s">
        <v>38</v>
      </c>
      <c r="E276" t="s">
        <v>39</v>
      </c>
      <c r="F276">
        <v>125</v>
      </c>
      <c r="G276">
        <v>320</v>
      </c>
      <c r="H276">
        <v>185</v>
      </c>
      <c r="I276">
        <v>78</v>
      </c>
      <c r="J276" s="8">
        <v>0.624</v>
      </c>
      <c r="K276">
        <v>36</v>
      </c>
      <c r="L276">
        <v>40</v>
      </c>
      <c r="M276">
        <v>163</v>
      </c>
      <c r="N276" s="10">
        <v>664.68</v>
      </c>
      <c r="O276" s="7">
        <v>6.9</v>
      </c>
      <c r="P276" s="7">
        <v>27</v>
      </c>
      <c r="Q276">
        <v>6</v>
      </c>
      <c r="R276" t="s">
        <v>60</v>
      </c>
      <c r="S276">
        <v>4</v>
      </c>
      <c r="T276">
        <v>92</v>
      </c>
      <c r="U276" s="11">
        <v>-0.78183148246802991</v>
      </c>
      <c r="V276" s="11">
        <v>0.62348980185873337</v>
      </c>
      <c r="W276" s="11">
        <v>0.99998555065071859</v>
      </c>
      <c r="X276" s="11">
        <v>5.3757315575838844E-3</v>
      </c>
      <c r="Y276">
        <v>1</v>
      </c>
      <c r="Z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6">
        <v>45018</v>
      </c>
      <c r="B277" t="s">
        <v>41</v>
      </c>
      <c r="C277" t="s">
        <v>42</v>
      </c>
      <c r="D277" t="s">
        <v>43</v>
      </c>
      <c r="E277" t="s">
        <v>44</v>
      </c>
      <c r="F277">
        <v>85</v>
      </c>
      <c r="G277">
        <v>210</v>
      </c>
      <c r="H277">
        <v>143</v>
      </c>
      <c r="I277">
        <v>63</v>
      </c>
      <c r="J277" s="8">
        <v>0.74117647058823533</v>
      </c>
      <c r="K277">
        <v>33</v>
      </c>
      <c r="L277">
        <v>25</v>
      </c>
      <c r="M277">
        <v>131</v>
      </c>
      <c r="N277" s="10">
        <v>540.88</v>
      </c>
      <c r="O277" s="7">
        <v>6.9</v>
      </c>
      <c r="P277" s="7">
        <v>27</v>
      </c>
      <c r="Q277">
        <v>6</v>
      </c>
      <c r="R277" t="s">
        <v>60</v>
      </c>
      <c r="S277">
        <v>4</v>
      </c>
      <c r="T277">
        <v>92</v>
      </c>
      <c r="U277" s="11">
        <v>-0.78183148246802991</v>
      </c>
      <c r="V277" s="11">
        <v>0.62348980185873337</v>
      </c>
      <c r="W277" s="11">
        <v>0.99998555065071859</v>
      </c>
      <c r="X277" s="11">
        <v>5.3757315575838844E-3</v>
      </c>
      <c r="Y277">
        <v>1</v>
      </c>
      <c r="Z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6">
        <v>45019</v>
      </c>
      <c r="B278" t="s">
        <v>31</v>
      </c>
      <c r="C278" t="s">
        <v>32</v>
      </c>
      <c r="D278" t="s">
        <v>33</v>
      </c>
      <c r="E278" t="s">
        <v>34</v>
      </c>
      <c r="F278">
        <v>140</v>
      </c>
      <c r="G278">
        <v>360</v>
      </c>
      <c r="H278">
        <v>185</v>
      </c>
      <c r="I278">
        <v>76</v>
      </c>
      <c r="J278" s="8">
        <v>0.54285714285714282</v>
      </c>
      <c r="K278">
        <v>40</v>
      </c>
      <c r="L278">
        <v>47</v>
      </c>
      <c r="M278">
        <v>155</v>
      </c>
      <c r="N278" s="10">
        <v>451.64</v>
      </c>
      <c r="O278" s="7">
        <v>12.1</v>
      </c>
      <c r="P278" s="7">
        <v>27.3</v>
      </c>
      <c r="Q278">
        <v>0</v>
      </c>
      <c r="R278" t="s">
        <v>62</v>
      </c>
      <c r="S278">
        <v>4</v>
      </c>
      <c r="T278">
        <v>93</v>
      </c>
      <c r="U278" s="11">
        <v>0</v>
      </c>
      <c r="V278" s="11">
        <v>1</v>
      </c>
      <c r="W278" s="11">
        <v>0.99993006579620569</v>
      </c>
      <c r="X278" s="11">
        <v>-1.1826390691832589E-2</v>
      </c>
      <c r="Y278">
        <v>0</v>
      </c>
      <c r="Z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6">
        <v>45019</v>
      </c>
      <c r="B279" t="s">
        <v>36</v>
      </c>
      <c r="C279" t="s">
        <v>37</v>
      </c>
      <c r="D279" t="s">
        <v>38</v>
      </c>
      <c r="E279" t="s">
        <v>39</v>
      </c>
      <c r="F279">
        <v>125</v>
      </c>
      <c r="G279">
        <v>320</v>
      </c>
      <c r="H279">
        <v>148</v>
      </c>
      <c r="I279">
        <v>62</v>
      </c>
      <c r="J279" s="8">
        <v>0.496</v>
      </c>
      <c r="K279">
        <v>22</v>
      </c>
      <c r="L279">
        <v>33</v>
      </c>
      <c r="M279">
        <v>127</v>
      </c>
      <c r="N279" s="10">
        <v>636.04</v>
      </c>
      <c r="O279" s="7">
        <v>12.1</v>
      </c>
      <c r="P279" s="7">
        <v>27.3</v>
      </c>
      <c r="Q279">
        <v>0</v>
      </c>
      <c r="R279" t="s">
        <v>62</v>
      </c>
      <c r="S279">
        <v>4</v>
      </c>
      <c r="T279">
        <v>93</v>
      </c>
      <c r="U279" s="11">
        <v>0</v>
      </c>
      <c r="V279" s="11">
        <v>1</v>
      </c>
      <c r="W279" s="11">
        <v>0.99993006579620569</v>
      </c>
      <c r="X279" s="11">
        <v>-1.1826390691832589E-2</v>
      </c>
      <c r="Y279">
        <v>0</v>
      </c>
      <c r="Z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6">
        <v>45019</v>
      </c>
      <c r="B280" t="s">
        <v>41</v>
      </c>
      <c r="C280" t="s">
        <v>42</v>
      </c>
      <c r="D280" t="s">
        <v>43</v>
      </c>
      <c r="E280" t="s">
        <v>44</v>
      </c>
      <c r="F280">
        <v>85</v>
      </c>
      <c r="G280">
        <v>210</v>
      </c>
      <c r="H280">
        <v>99</v>
      </c>
      <c r="I280">
        <v>43</v>
      </c>
      <c r="J280" s="8">
        <v>0.50588235294117645</v>
      </c>
      <c r="K280">
        <v>29</v>
      </c>
      <c r="L280">
        <v>20</v>
      </c>
      <c r="M280">
        <v>80</v>
      </c>
      <c r="N280" s="10">
        <v>488.41</v>
      </c>
      <c r="O280" s="7">
        <v>12.1</v>
      </c>
      <c r="P280" s="7">
        <v>27.3</v>
      </c>
      <c r="Q280">
        <v>0</v>
      </c>
      <c r="R280" t="s">
        <v>62</v>
      </c>
      <c r="S280">
        <v>4</v>
      </c>
      <c r="T280">
        <v>93</v>
      </c>
      <c r="U280" s="11">
        <v>0</v>
      </c>
      <c r="V280" s="11">
        <v>1</v>
      </c>
      <c r="W280" s="11">
        <v>0.99993006579620569</v>
      </c>
      <c r="X280" s="11">
        <v>-1.1826390691832589E-2</v>
      </c>
      <c r="Y280">
        <v>0</v>
      </c>
      <c r="Z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6">
        <v>45020</v>
      </c>
      <c r="B281" t="s">
        <v>31</v>
      </c>
      <c r="C281" t="s">
        <v>32</v>
      </c>
      <c r="D281" t="s">
        <v>33</v>
      </c>
      <c r="E281" t="s">
        <v>34</v>
      </c>
      <c r="F281">
        <v>140</v>
      </c>
      <c r="G281">
        <v>360</v>
      </c>
      <c r="H281">
        <v>158</v>
      </c>
      <c r="I281">
        <v>71</v>
      </c>
      <c r="J281" s="8">
        <v>0.50714285714285712</v>
      </c>
      <c r="K281">
        <v>45</v>
      </c>
      <c r="L281">
        <v>40</v>
      </c>
      <c r="M281">
        <v>129</v>
      </c>
      <c r="N281" s="10">
        <v>452.94</v>
      </c>
      <c r="O281" s="7">
        <v>2.4</v>
      </c>
      <c r="P281" s="7">
        <v>27</v>
      </c>
      <c r="Q281">
        <v>1</v>
      </c>
      <c r="R281" t="s">
        <v>63</v>
      </c>
      <c r="S281">
        <v>4</v>
      </c>
      <c r="T281">
        <v>94</v>
      </c>
      <c r="U281" s="11">
        <v>0.7818314824680298</v>
      </c>
      <c r="V281" s="11">
        <v>0.62348980185873359</v>
      </c>
      <c r="W281" s="11">
        <v>0.99957868554789575</v>
      </c>
      <c r="X281" s="11">
        <v>-2.9025013321975237E-2</v>
      </c>
      <c r="Y281">
        <v>0</v>
      </c>
      <c r="Z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6">
        <v>45020</v>
      </c>
      <c r="B282" t="s">
        <v>36</v>
      </c>
      <c r="C282" t="s">
        <v>37</v>
      </c>
      <c r="D282" t="s">
        <v>38</v>
      </c>
      <c r="E282" t="s">
        <v>39</v>
      </c>
      <c r="F282">
        <v>125</v>
      </c>
      <c r="G282">
        <v>320</v>
      </c>
      <c r="H282">
        <v>141</v>
      </c>
      <c r="I282">
        <v>60</v>
      </c>
      <c r="J282" s="8">
        <v>0.48</v>
      </c>
      <c r="K282">
        <v>23</v>
      </c>
      <c r="L282">
        <v>19</v>
      </c>
      <c r="M282">
        <v>132</v>
      </c>
      <c r="N282" s="10">
        <v>600.09</v>
      </c>
      <c r="O282" s="7">
        <v>2.4</v>
      </c>
      <c r="P282" s="7">
        <v>27</v>
      </c>
      <c r="Q282">
        <v>1</v>
      </c>
      <c r="R282" t="s">
        <v>63</v>
      </c>
      <c r="S282">
        <v>4</v>
      </c>
      <c r="T282">
        <v>94</v>
      </c>
      <c r="U282" s="11">
        <v>0.7818314824680298</v>
      </c>
      <c r="V282" s="11">
        <v>0.62348980185873359</v>
      </c>
      <c r="W282" s="11">
        <v>0.99957868554789575</v>
      </c>
      <c r="X282" s="11">
        <v>-2.9025013321975237E-2</v>
      </c>
      <c r="Y282">
        <v>0</v>
      </c>
      <c r="Z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6">
        <v>45020</v>
      </c>
      <c r="B283" t="s">
        <v>41</v>
      </c>
      <c r="C283" t="s">
        <v>42</v>
      </c>
      <c r="D283" t="s">
        <v>43</v>
      </c>
      <c r="E283" t="s">
        <v>44</v>
      </c>
      <c r="F283">
        <v>85</v>
      </c>
      <c r="G283">
        <v>210</v>
      </c>
      <c r="H283">
        <v>123</v>
      </c>
      <c r="I283">
        <v>52</v>
      </c>
      <c r="J283" s="8">
        <v>0.61176470588235299</v>
      </c>
      <c r="K283">
        <v>34</v>
      </c>
      <c r="L283">
        <v>36</v>
      </c>
      <c r="M283">
        <v>115</v>
      </c>
      <c r="N283" s="10">
        <v>566.12</v>
      </c>
      <c r="O283" s="7">
        <v>2.4</v>
      </c>
      <c r="P283" s="7">
        <v>27</v>
      </c>
      <c r="Q283">
        <v>1</v>
      </c>
      <c r="R283" t="s">
        <v>63</v>
      </c>
      <c r="S283">
        <v>4</v>
      </c>
      <c r="T283">
        <v>94</v>
      </c>
      <c r="U283" s="11">
        <v>0.7818314824680298</v>
      </c>
      <c r="V283" s="11">
        <v>0.62348980185873359</v>
      </c>
      <c r="W283" s="11">
        <v>0.99957868554789575</v>
      </c>
      <c r="X283" s="11">
        <v>-2.9025013321975237E-2</v>
      </c>
      <c r="Y283">
        <v>0</v>
      </c>
      <c r="Z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6">
        <v>45021</v>
      </c>
      <c r="B284" t="s">
        <v>31</v>
      </c>
      <c r="C284" t="s">
        <v>32</v>
      </c>
      <c r="D284" t="s">
        <v>33</v>
      </c>
      <c r="E284" t="s">
        <v>34</v>
      </c>
      <c r="F284">
        <v>140</v>
      </c>
      <c r="G284">
        <v>360</v>
      </c>
      <c r="H284">
        <v>175</v>
      </c>
      <c r="I284">
        <v>72</v>
      </c>
      <c r="J284" s="8">
        <v>0.51428571428571423</v>
      </c>
      <c r="K284">
        <v>36</v>
      </c>
      <c r="L284">
        <v>22</v>
      </c>
      <c r="M284">
        <v>156</v>
      </c>
      <c r="N284" s="10">
        <v>466.54</v>
      </c>
      <c r="O284" s="7">
        <v>0</v>
      </c>
      <c r="P284" s="7">
        <v>27.3</v>
      </c>
      <c r="Q284">
        <v>2</v>
      </c>
      <c r="R284" t="s">
        <v>64</v>
      </c>
      <c r="S284">
        <v>4</v>
      </c>
      <c r="T284">
        <v>95</v>
      </c>
      <c r="U284" s="11">
        <v>0.97492791218182362</v>
      </c>
      <c r="V284" s="11">
        <v>-0.22252093395631434</v>
      </c>
      <c r="W284" s="11">
        <v>0.99893151388485768</v>
      </c>
      <c r="X284" s="11">
        <v>-4.6215046983708354E-2</v>
      </c>
      <c r="Y284">
        <v>0</v>
      </c>
      <c r="Z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6">
        <v>45021</v>
      </c>
      <c r="B285" t="s">
        <v>36</v>
      </c>
      <c r="C285" t="s">
        <v>37</v>
      </c>
      <c r="D285" t="s">
        <v>38</v>
      </c>
      <c r="E285" t="s">
        <v>39</v>
      </c>
      <c r="F285">
        <v>125</v>
      </c>
      <c r="G285">
        <v>320</v>
      </c>
      <c r="H285">
        <v>152</v>
      </c>
      <c r="I285">
        <v>65</v>
      </c>
      <c r="J285" s="8">
        <v>0.52</v>
      </c>
      <c r="K285">
        <v>44</v>
      </c>
      <c r="L285">
        <v>39</v>
      </c>
      <c r="M285">
        <v>141</v>
      </c>
      <c r="N285" s="10">
        <v>679.44</v>
      </c>
      <c r="O285" s="7">
        <v>0</v>
      </c>
      <c r="P285" s="7">
        <v>27.3</v>
      </c>
      <c r="Q285">
        <v>2</v>
      </c>
      <c r="R285" t="s">
        <v>64</v>
      </c>
      <c r="S285">
        <v>4</v>
      </c>
      <c r="T285">
        <v>95</v>
      </c>
      <c r="U285" s="11">
        <v>0.97492791218182362</v>
      </c>
      <c r="V285" s="11">
        <v>-0.22252093395631434</v>
      </c>
      <c r="W285" s="11">
        <v>0.99893151388485768</v>
      </c>
      <c r="X285" s="11">
        <v>-4.6215046983708354E-2</v>
      </c>
      <c r="Y285">
        <v>0</v>
      </c>
      <c r="Z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6">
        <v>45021</v>
      </c>
      <c r="B286" t="s">
        <v>41</v>
      </c>
      <c r="C286" t="s">
        <v>42</v>
      </c>
      <c r="D286" t="s">
        <v>43</v>
      </c>
      <c r="E286" t="s">
        <v>44</v>
      </c>
      <c r="F286">
        <v>85</v>
      </c>
      <c r="G286">
        <v>210</v>
      </c>
      <c r="H286">
        <v>94</v>
      </c>
      <c r="I286">
        <v>45</v>
      </c>
      <c r="J286" s="8">
        <v>0.52941176470588236</v>
      </c>
      <c r="K286">
        <v>24</v>
      </c>
      <c r="L286">
        <v>19</v>
      </c>
      <c r="M286">
        <v>76</v>
      </c>
      <c r="N286" s="10">
        <v>542.9</v>
      </c>
      <c r="O286" s="7">
        <v>0</v>
      </c>
      <c r="P286" s="7">
        <v>27.3</v>
      </c>
      <c r="Q286">
        <v>2</v>
      </c>
      <c r="R286" t="s">
        <v>64</v>
      </c>
      <c r="S286">
        <v>4</v>
      </c>
      <c r="T286">
        <v>95</v>
      </c>
      <c r="U286" s="11">
        <v>0.97492791218182362</v>
      </c>
      <c r="V286" s="11">
        <v>-0.22252093395631434</v>
      </c>
      <c r="W286" s="11">
        <v>0.99893151388485768</v>
      </c>
      <c r="X286" s="11">
        <v>-4.6215046983708354E-2</v>
      </c>
      <c r="Y286">
        <v>0</v>
      </c>
      <c r="Z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6">
        <v>45022</v>
      </c>
      <c r="B287" t="s">
        <v>31</v>
      </c>
      <c r="C287" t="s">
        <v>32</v>
      </c>
      <c r="D287" t="s">
        <v>33</v>
      </c>
      <c r="E287" t="s">
        <v>34</v>
      </c>
      <c r="F287">
        <v>140</v>
      </c>
      <c r="G287">
        <v>360</v>
      </c>
      <c r="H287">
        <v>191</v>
      </c>
      <c r="I287">
        <v>81</v>
      </c>
      <c r="J287" s="8">
        <v>0.57857142857142863</v>
      </c>
      <c r="K287">
        <v>39</v>
      </c>
      <c r="L287">
        <v>42</v>
      </c>
      <c r="M287">
        <v>164</v>
      </c>
      <c r="N287" s="10">
        <v>450.41</v>
      </c>
      <c r="O287" s="7">
        <v>8.1</v>
      </c>
      <c r="P287" s="7">
        <v>27</v>
      </c>
      <c r="Q287">
        <v>3</v>
      </c>
      <c r="R287" t="s">
        <v>65</v>
      </c>
      <c r="S287">
        <v>4</v>
      </c>
      <c r="T287">
        <v>96</v>
      </c>
      <c r="U287" s="11">
        <v>0.43388373911755823</v>
      </c>
      <c r="V287" s="11">
        <v>-0.90096886790241903</v>
      </c>
      <c r="W287" s="11">
        <v>0.99798874231559842</v>
      </c>
      <c r="X287" s="11">
        <v>-6.3391404869510379E-2</v>
      </c>
      <c r="Y287">
        <v>0</v>
      </c>
      <c r="Z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6">
        <v>45022</v>
      </c>
      <c r="B288" t="s">
        <v>36</v>
      </c>
      <c r="C288" t="s">
        <v>37</v>
      </c>
      <c r="D288" t="s">
        <v>38</v>
      </c>
      <c r="E288" t="s">
        <v>39</v>
      </c>
      <c r="F288">
        <v>125</v>
      </c>
      <c r="G288">
        <v>320</v>
      </c>
      <c r="H288">
        <v>156</v>
      </c>
      <c r="I288">
        <v>63</v>
      </c>
      <c r="J288" s="8">
        <v>0.504</v>
      </c>
      <c r="K288">
        <v>28</v>
      </c>
      <c r="L288">
        <v>38</v>
      </c>
      <c r="M288">
        <v>131</v>
      </c>
      <c r="N288" s="10">
        <v>594.86</v>
      </c>
      <c r="O288" s="7">
        <v>8.1</v>
      </c>
      <c r="P288" s="7">
        <v>27</v>
      </c>
      <c r="Q288">
        <v>3</v>
      </c>
      <c r="R288" t="s">
        <v>65</v>
      </c>
      <c r="S288">
        <v>4</v>
      </c>
      <c r="T288">
        <v>96</v>
      </c>
      <c r="U288" s="11">
        <v>0.43388373911755823</v>
      </c>
      <c r="V288" s="11">
        <v>-0.90096886790241903</v>
      </c>
      <c r="W288" s="11">
        <v>0.99798874231559842</v>
      </c>
      <c r="X288" s="11">
        <v>-6.3391404869510379E-2</v>
      </c>
      <c r="Y288">
        <v>0</v>
      </c>
      <c r="Z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6">
        <v>45022</v>
      </c>
      <c r="B289" t="s">
        <v>41</v>
      </c>
      <c r="C289" t="s">
        <v>42</v>
      </c>
      <c r="D289" t="s">
        <v>43</v>
      </c>
      <c r="E289" t="s">
        <v>44</v>
      </c>
      <c r="F289">
        <v>85</v>
      </c>
      <c r="G289">
        <v>210</v>
      </c>
      <c r="H289">
        <v>102</v>
      </c>
      <c r="I289">
        <v>43</v>
      </c>
      <c r="J289" s="8">
        <v>0.50588235294117645</v>
      </c>
      <c r="K289">
        <v>22</v>
      </c>
      <c r="L289">
        <v>22</v>
      </c>
      <c r="M289">
        <v>94</v>
      </c>
      <c r="N289" s="10">
        <v>485.4</v>
      </c>
      <c r="O289" s="7">
        <v>8.1</v>
      </c>
      <c r="P289" s="7">
        <v>27</v>
      </c>
      <c r="Q289">
        <v>3</v>
      </c>
      <c r="R289" t="s">
        <v>65</v>
      </c>
      <c r="S289">
        <v>4</v>
      </c>
      <c r="T289">
        <v>96</v>
      </c>
      <c r="U289" s="11">
        <v>0.43388373911755823</v>
      </c>
      <c r="V289" s="11">
        <v>-0.90096886790241903</v>
      </c>
      <c r="W289" s="11">
        <v>0.99798874231559842</v>
      </c>
      <c r="X289" s="11">
        <v>-6.3391404869510379E-2</v>
      </c>
      <c r="Y289">
        <v>0</v>
      </c>
      <c r="Z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6">
        <v>45023</v>
      </c>
      <c r="B290" t="s">
        <v>31</v>
      </c>
      <c r="C290" t="s">
        <v>32</v>
      </c>
      <c r="D290" t="s">
        <v>33</v>
      </c>
      <c r="E290" t="s">
        <v>34</v>
      </c>
      <c r="F290">
        <v>140</v>
      </c>
      <c r="G290">
        <v>360</v>
      </c>
      <c r="H290">
        <v>170</v>
      </c>
      <c r="I290">
        <v>74</v>
      </c>
      <c r="J290" s="8">
        <v>0.52857142857142858</v>
      </c>
      <c r="K290">
        <v>31</v>
      </c>
      <c r="L290">
        <v>30</v>
      </c>
      <c r="M290">
        <v>142</v>
      </c>
      <c r="N290" s="10">
        <v>401.91</v>
      </c>
      <c r="O290" s="7">
        <v>9.9</v>
      </c>
      <c r="P290" s="7">
        <v>28.3</v>
      </c>
      <c r="Q290">
        <v>4</v>
      </c>
      <c r="R290" t="s">
        <v>66</v>
      </c>
      <c r="S290">
        <v>4</v>
      </c>
      <c r="T290">
        <v>97</v>
      </c>
      <c r="U290" s="11">
        <v>-0.43388373911755801</v>
      </c>
      <c r="V290" s="11">
        <v>-0.90096886790241915</v>
      </c>
      <c r="W290" s="11">
        <v>0.99675064982139294</v>
      </c>
      <c r="X290" s="11">
        <v>-8.0549004218741671E-2</v>
      </c>
      <c r="Y290">
        <v>0</v>
      </c>
      <c r="Z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6">
        <v>45023</v>
      </c>
      <c r="B291" t="s">
        <v>36</v>
      </c>
      <c r="C291" t="s">
        <v>37</v>
      </c>
      <c r="D291" t="s">
        <v>38</v>
      </c>
      <c r="E291" t="s">
        <v>39</v>
      </c>
      <c r="F291">
        <v>125</v>
      </c>
      <c r="G291">
        <v>320</v>
      </c>
      <c r="H291">
        <v>147</v>
      </c>
      <c r="I291">
        <v>64</v>
      </c>
      <c r="J291" s="8">
        <v>0.51200000000000001</v>
      </c>
      <c r="K291">
        <v>40</v>
      </c>
      <c r="L291">
        <v>23</v>
      </c>
      <c r="M291">
        <v>125</v>
      </c>
      <c r="N291" s="10">
        <v>657.4</v>
      </c>
      <c r="O291" s="7">
        <v>9.9</v>
      </c>
      <c r="P291" s="7">
        <v>28.3</v>
      </c>
      <c r="Q291">
        <v>4</v>
      </c>
      <c r="R291" t="s">
        <v>66</v>
      </c>
      <c r="S291">
        <v>4</v>
      </c>
      <c r="T291">
        <v>97</v>
      </c>
      <c r="U291" s="11">
        <v>-0.43388373911755801</v>
      </c>
      <c r="V291" s="11">
        <v>-0.90096886790241915</v>
      </c>
      <c r="W291" s="11">
        <v>0.99675064982139294</v>
      </c>
      <c r="X291" s="11">
        <v>-8.0549004218741671E-2</v>
      </c>
      <c r="Y291">
        <v>0</v>
      </c>
      <c r="Z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6">
        <v>45023</v>
      </c>
      <c r="B292" t="s">
        <v>41</v>
      </c>
      <c r="C292" t="s">
        <v>42</v>
      </c>
      <c r="D292" t="s">
        <v>43</v>
      </c>
      <c r="E292" t="s">
        <v>44</v>
      </c>
      <c r="F292">
        <v>85</v>
      </c>
      <c r="G292">
        <v>210</v>
      </c>
      <c r="H292">
        <v>111</v>
      </c>
      <c r="I292">
        <v>49</v>
      </c>
      <c r="J292" s="8">
        <v>0.57647058823529407</v>
      </c>
      <c r="K292">
        <v>31</v>
      </c>
      <c r="L292">
        <v>27</v>
      </c>
      <c r="M292">
        <v>90</v>
      </c>
      <c r="N292" s="10">
        <v>575.73</v>
      </c>
      <c r="O292" s="7">
        <v>9.9</v>
      </c>
      <c r="P292" s="7">
        <v>28.3</v>
      </c>
      <c r="Q292">
        <v>4</v>
      </c>
      <c r="R292" t="s">
        <v>66</v>
      </c>
      <c r="S292">
        <v>4</v>
      </c>
      <c r="T292">
        <v>97</v>
      </c>
      <c r="U292" s="11">
        <v>-0.43388373911755801</v>
      </c>
      <c r="V292" s="11">
        <v>-0.90096886790241915</v>
      </c>
      <c r="W292" s="11">
        <v>0.99675064982139294</v>
      </c>
      <c r="X292" s="11">
        <v>-8.0549004218741671E-2</v>
      </c>
      <c r="Y292">
        <v>0</v>
      </c>
      <c r="Z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6">
        <v>45024</v>
      </c>
      <c r="B293" t="s">
        <v>31</v>
      </c>
      <c r="C293" t="s">
        <v>32</v>
      </c>
      <c r="D293" t="s">
        <v>33</v>
      </c>
      <c r="E293" t="s">
        <v>34</v>
      </c>
      <c r="F293">
        <v>140</v>
      </c>
      <c r="G293">
        <v>360</v>
      </c>
      <c r="H293">
        <v>197</v>
      </c>
      <c r="I293">
        <v>84</v>
      </c>
      <c r="J293" s="8">
        <v>0.6</v>
      </c>
      <c r="K293">
        <v>38</v>
      </c>
      <c r="L293">
        <v>47</v>
      </c>
      <c r="M293">
        <v>171</v>
      </c>
      <c r="N293" s="10">
        <v>435.32</v>
      </c>
      <c r="O293" s="7">
        <v>7.3</v>
      </c>
      <c r="P293" s="7">
        <v>27.2</v>
      </c>
      <c r="Q293">
        <v>5</v>
      </c>
      <c r="R293" t="s">
        <v>67</v>
      </c>
      <c r="S293">
        <v>4</v>
      </c>
      <c r="T293">
        <v>98</v>
      </c>
      <c r="U293" s="11">
        <v>-0.97492791218182362</v>
      </c>
      <c r="V293" s="11">
        <v>-0.22252093395631459</v>
      </c>
      <c r="W293" s="11">
        <v>0.99521760277372939</v>
      </c>
      <c r="X293" s="11">
        <v>-9.7682767821715977E-2</v>
      </c>
      <c r="Y293">
        <v>1</v>
      </c>
      <c r="Z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6">
        <v>45024</v>
      </c>
      <c r="B294" t="s">
        <v>36</v>
      </c>
      <c r="C294" t="s">
        <v>37</v>
      </c>
      <c r="D294" t="s">
        <v>38</v>
      </c>
      <c r="E294" t="s">
        <v>39</v>
      </c>
      <c r="F294">
        <v>125</v>
      </c>
      <c r="G294">
        <v>320</v>
      </c>
      <c r="H294">
        <v>170</v>
      </c>
      <c r="I294">
        <v>73</v>
      </c>
      <c r="J294" s="8">
        <v>0.58399999999999996</v>
      </c>
      <c r="K294">
        <v>29</v>
      </c>
      <c r="L294">
        <v>42</v>
      </c>
      <c r="M294">
        <v>151</v>
      </c>
      <c r="N294" s="10">
        <v>701.42</v>
      </c>
      <c r="O294" s="7">
        <v>7.3</v>
      </c>
      <c r="P294" s="7">
        <v>27.2</v>
      </c>
      <c r="Q294">
        <v>5</v>
      </c>
      <c r="R294" t="s">
        <v>67</v>
      </c>
      <c r="S294">
        <v>4</v>
      </c>
      <c r="T294">
        <v>98</v>
      </c>
      <c r="U294" s="11">
        <v>-0.97492791218182362</v>
      </c>
      <c r="V294" s="11">
        <v>-0.22252093395631459</v>
      </c>
      <c r="W294" s="11">
        <v>0.99521760277372939</v>
      </c>
      <c r="X294" s="11">
        <v>-9.7682767821715977E-2</v>
      </c>
      <c r="Y294">
        <v>1</v>
      </c>
      <c r="Z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6">
        <v>45024</v>
      </c>
      <c r="B295" t="s">
        <v>41</v>
      </c>
      <c r="C295" t="s">
        <v>42</v>
      </c>
      <c r="D295" t="s">
        <v>43</v>
      </c>
      <c r="E295" t="s">
        <v>44</v>
      </c>
      <c r="F295">
        <v>85</v>
      </c>
      <c r="G295">
        <v>210</v>
      </c>
      <c r="H295">
        <v>144</v>
      </c>
      <c r="I295">
        <v>65</v>
      </c>
      <c r="J295" s="8">
        <v>0.76470588235294112</v>
      </c>
      <c r="K295">
        <v>38</v>
      </c>
      <c r="L295">
        <v>24</v>
      </c>
      <c r="M295">
        <v>134</v>
      </c>
      <c r="N295" s="10">
        <v>592.29</v>
      </c>
      <c r="O295" s="7">
        <v>7.3</v>
      </c>
      <c r="P295" s="7">
        <v>27.2</v>
      </c>
      <c r="Q295">
        <v>5</v>
      </c>
      <c r="R295" t="s">
        <v>67</v>
      </c>
      <c r="S295">
        <v>4</v>
      </c>
      <c r="T295">
        <v>98</v>
      </c>
      <c r="U295" s="11">
        <v>-0.97492791218182362</v>
      </c>
      <c r="V295" s="11">
        <v>-0.22252093395631459</v>
      </c>
      <c r="W295" s="11">
        <v>0.99521760277372939</v>
      </c>
      <c r="X295" s="11">
        <v>-9.7682767821715977E-2</v>
      </c>
      <c r="Y295">
        <v>1</v>
      </c>
      <c r="Z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6">
        <v>45025</v>
      </c>
      <c r="B296" t="s">
        <v>31</v>
      </c>
      <c r="C296" t="s">
        <v>32</v>
      </c>
      <c r="D296" t="s">
        <v>33</v>
      </c>
      <c r="E296" t="s">
        <v>34</v>
      </c>
      <c r="F296">
        <v>140</v>
      </c>
      <c r="G296">
        <v>360</v>
      </c>
      <c r="H296">
        <v>208</v>
      </c>
      <c r="I296">
        <v>90</v>
      </c>
      <c r="J296" s="8">
        <v>0.6428571428571429</v>
      </c>
      <c r="K296">
        <v>39</v>
      </c>
      <c r="L296">
        <v>27</v>
      </c>
      <c r="M296">
        <v>170</v>
      </c>
      <c r="N296" s="10">
        <v>477</v>
      </c>
      <c r="O296" s="7">
        <v>8.6</v>
      </c>
      <c r="P296" s="7">
        <v>28.3</v>
      </c>
      <c r="Q296">
        <v>6</v>
      </c>
      <c r="R296" t="s">
        <v>60</v>
      </c>
      <c r="S296">
        <v>4</v>
      </c>
      <c r="T296">
        <v>99</v>
      </c>
      <c r="U296" s="11">
        <v>-0.78183148246802991</v>
      </c>
      <c r="V296" s="11">
        <v>0.62348980185873337</v>
      </c>
      <c r="W296" s="11">
        <v>0.9933900548258936</v>
      </c>
      <c r="X296" s="11">
        <v>-0.11478762552212701</v>
      </c>
      <c r="Y296">
        <v>1</v>
      </c>
      <c r="Z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6">
        <v>45025</v>
      </c>
      <c r="B297" t="s">
        <v>36</v>
      </c>
      <c r="C297" t="s">
        <v>37</v>
      </c>
      <c r="D297" t="s">
        <v>38</v>
      </c>
      <c r="E297" t="s">
        <v>39</v>
      </c>
      <c r="F297">
        <v>125</v>
      </c>
      <c r="G297">
        <v>320</v>
      </c>
      <c r="H297">
        <v>199</v>
      </c>
      <c r="I297">
        <v>80</v>
      </c>
      <c r="J297" s="8">
        <v>0.64</v>
      </c>
      <c r="K297">
        <v>35</v>
      </c>
      <c r="L297">
        <v>37</v>
      </c>
      <c r="M297">
        <v>165</v>
      </c>
      <c r="N297" s="10">
        <v>749.12</v>
      </c>
      <c r="O297" s="7">
        <v>8.6</v>
      </c>
      <c r="P297" s="7">
        <v>28.3</v>
      </c>
      <c r="Q297">
        <v>6</v>
      </c>
      <c r="R297" t="s">
        <v>60</v>
      </c>
      <c r="S297">
        <v>4</v>
      </c>
      <c r="T297">
        <v>99</v>
      </c>
      <c r="U297" s="11">
        <v>-0.78183148246802991</v>
      </c>
      <c r="V297" s="11">
        <v>0.62348980185873337</v>
      </c>
      <c r="W297" s="11">
        <v>0.9933900548258936</v>
      </c>
      <c r="X297" s="11">
        <v>-0.11478762552212701</v>
      </c>
      <c r="Y297">
        <v>1</v>
      </c>
      <c r="Z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6">
        <v>45025</v>
      </c>
      <c r="B298" t="s">
        <v>41</v>
      </c>
      <c r="C298" t="s">
        <v>42</v>
      </c>
      <c r="D298" t="s">
        <v>43</v>
      </c>
      <c r="E298" t="s">
        <v>44</v>
      </c>
      <c r="F298">
        <v>85</v>
      </c>
      <c r="G298">
        <v>210</v>
      </c>
      <c r="H298">
        <v>133</v>
      </c>
      <c r="I298">
        <v>58</v>
      </c>
      <c r="J298" s="8">
        <v>0.68235294117647061</v>
      </c>
      <c r="K298">
        <v>36</v>
      </c>
      <c r="L298">
        <v>21</v>
      </c>
      <c r="M298">
        <v>122</v>
      </c>
      <c r="N298" s="10">
        <v>543.74</v>
      </c>
      <c r="O298" s="7">
        <v>8.6</v>
      </c>
      <c r="P298" s="7">
        <v>28.3</v>
      </c>
      <c r="Q298">
        <v>6</v>
      </c>
      <c r="R298" t="s">
        <v>60</v>
      </c>
      <c r="S298">
        <v>4</v>
      </c>
      <c r="T298">
        <v>99</v>
      </c>
      <c r="U298" s="11">
        <v>-0.78183148246802991</v>
      </c>
      <c r="V298" s="11">
        <v>0.62348980185873337</v>
      </c>
      <c r="W298" s="11">
        <v>0.9933900548258936</v>
      </c>
      <c r="X298" s="11">
        <v>-0.11478762552212701</v>
      </c>
      <c r="Y298">
        <v>1</v>
      </c>
      <c r="Z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6">
        <v>45026</v>
      </c>
      <c r="B299" t="s">
        <v>31</v>
      </c>
      <c r="C299" t="s">
        <v>32</v>
      </c>
      <c r="D299" t="s">
        <v>33</v>
      </c>
      <c r="E299" t="s">
        <v>34</v>
      </c>
      <c r="F299">
        <v>140</v>
      </c>
      <c r="G299">
        <v>360</v>
      </c>
      <c r="H299">
        <v>171</v>
      </c>
      <c r="I299">
        <v>73</v>
      </c>
      <c r="J299" s="8">
        <v>0.52142857142857146</v>
      </c>
      <c r="K299">
        <v>22</v>
      </c>
      <c r="L299">
        <v>19</v>
      </c>
      <c r="M299">
        <v>159</v>
      </c>
      <c r="N299" s="10">
        <v>390.08</v>
      </c>
      <c r="O299" s="7">
        <v>2.7</v>
      </c>
      <c r="P299" s="7">
        <v>27.2</v>
      </c>
      <c r="Q299">
        <v>0</v>
      </c>
      <c r="R299" t="s">
        <v>62</v>
      </c>
      <c r="S299">
        <v>4</v>
      </c>
      <c r="T299">
        <v>100</v>
      </c>
      <c r="U299" s="11">
        <v>0</v>
      </c>
      <c r="V299" s="11">
        <v>1</v>
      </c>
      <c r="W299" s="11">
        <v>0.99126854677872556</v>
      </c>
      <c r="X299" s="11">
        <v>-0.13185851571739118</v>
      </c>
      <c r="Y299">
        <v>0</v>
      </c>
      <c r="Z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6">
        <v>45026</v>
      </c>
      <c r="B300" t="s">
        <v>36</v>
      </c>
      <c r="C300" t="s">
        <v>37</v>
      </c>
      <c r="D300" t="s">
        <v>38</v>
      </c>
      <c r="E300" t="s">
        <v>39</v>
      </c>
      <c r="F300">
        <v>125</v>
      </c>
      <c r="G300">
        <v>320</v>
      </c>
      <c r="H300">
        <v>133</v>
      </c>
      <c r="I300">
        <v>57</v>
      </c>
      <c r="J300" s="8">
        <v>0.45600000000000002</v>
      </c>
      <c r="K300">
        <v>16</v>
      </c>
      <c r="L300">
        <v>31</v>
      </c>
      <c r="M300">
        <v>115</v>
      </c>
      <c r="N300" s="10">
        <v>683.17</v>
      </c>
      <c r="O300" s="7">
        <v>2.7</v>
      </c>
      <c r="P300" s="7">
        <v>27.2</v>
      </c>
      <c r="Q300">
        <v>0</v>
      </c>
      <c r="R300" t="s">
        <v>62</v>
      </c>
      <c r="S300">
        <v>4</v>
      </c>
      <c r="T300">
        <v>100</v>
      </c>
      <c r="U300" s="11">
        <v>0</v>
      </c>
      <c r="V300" s="11">
        <v>1</v>
      </c>
      <c r="W300" s="11">
        <v>0.99126854677872556</v>
      </c>
      <c r="X300" s="11">
        <v>-0.13185851571739118</v>
      </c>
      <c r="Y300">
        <v>0</v>
      </c>
      <c r="Z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6">
        <v>45026</v>
      </c>
      <c r="B301" t="s">
        <v>41</v>
      </c>
      <c r="C301" t="s">
        <v>42</v>
      </c>
      <c r="D301" t="s">
        <v>43</v>
      </c>
      <c r="E301" t="s">
        <v>44</v>
      </c>
      <c r="F301">
        <v>85</v>
      </c>
      <c r="G301">
        <v>210</v>
      </c>
      <c r="H301">
        <v>110</v>
      </c>
      <c r="I301">
        <v>47</v>
      </c>
      <c r="J301" s="8">
        <v>0.55294117647058827</v>
      </c>
      <c r="K301">
        <v>23</v>
      </c>
      <c r="L301">
        <v>19</v>
      </c>
      <c r="M301">
        <v>99</v>
      </c>
      <c r="N301" s="10">
        <v>546.04</v>
      </c>
      <c r="O301" s="7">
        <v>2.7</v>
      </c>
      <c r="P301" s="7">
        <v>27.2</v>
      </c>
      <c r="Q301">
        <v>0</v>
      </c>
      <c r="R301" t="s">
        <v>62</v>
      </c>
      <c r="S301">
        <v>4</v>
      </c>
      <c r="T301">
        <v>100</v>
      </c>
      <c r="U301" s="11">
        <v>0</v>
      </c>
      <c r="V301" s="11">
        <v>1</v>
      </c>
      <c r="W301" s="11">
        <v>0.99126854677872556</v>
      </c>
      <c r="X301" s="11">
        <v>-0.13185851571739118</v>
      </c>
      <c r="Y301">
        <v>0</v>
      </c>
      <c r="Z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6">
        <v>45027</v>
      </c>
      <c r="B302" t="s">
        <v>31</v>
      </c>
      <c r="C302" t="s">
        <v>32</v>
      </c>
      <c r="D302" t="s">
        <v>33</v>
      </c>
      <c r="E302" t="s">
        <v>34</v>
      </c>
      <c r="F302">
        <v>140</v>
      </c>
      <c r="G302">
        <v>360</v>
      </c>
      <c r="H302">
        <v>179</v>
      </c>
      <c r="I302">
        <v>76</v>
      </c>
      <c r="J302" s="8">
        <v>0.54285714285714282</v>
      </c>
      <c r="K302">
        <v>52</v>
      </c>
      <c r="L302">
        <v>20</v>
      </c>
      <c r="M302">
        <v>144</v>
      </c>
      <c r="N302" s="10">
        <v>463.58</v>
      </c>
      <c r="O302" s="7">
        <v>7.1</v>
      </c>
      <c r="P302" s="7">
        <v>27.4</v>
      </c>
      <c r="Q302">
        <v>1</v>
      </c>
      <c r="R302" t="s">
        <v>63</v>
      </c>
      <c r="S302">
        <v>4</v>
      </c>
      <c r="T302">
        <v>101</v>
      </c>
      <c r="U302" s="11">
        <v>0.7818314824680298</v>
      </c>
      <c r="V302" s="11">
        <v>0.62348980185873359</v>
      </c>
      <c r="W302" s="11">
        <v>0.98885370642058845</v>
      </c>
      <c r="X302" s="11">
        <v>-0.14889038685645481</v>
      </c>
      <c r="Y302">
        <v>0</v>
      </c>
      <c r="Z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6">
        <v>45027</v>
      </c>
      <c r="B303" t="s">
        <v>36</v>
      </c>
      <c r="C303" t="s">
        <v>37</v>
      </c>
      <c r="D303" t="s">
        <v>38</v>
      </c>
      <c r="E303" t="s">
        <v>39</v>
      </c>
      <c r="F303">
        <v>125</v>
      </c>
      <c r="G303">
        <v>320</v>
      </c>
      <c r="H303">
        <v>172</v>
      </c>
      <c r="I303">
        <v>70</v>
      </c>
      <c r="J303" s="8">
        <v>0.56000000000000005</v>
      </c>
      <c r="K303">
        <v>35</v>
      </c>
      <c r="L303">
        <v>44</v>
      </c>
      <c r="M303">
        <v>146</v>
      </c>
      <c r="N303" s="10">
        <v>641.87</v>
      </c>
      <c r="O303" s="7">
        <v>7.1</v>
      </c>
      <c r="P303" s="7">
        <v>27.4</v>
      </c>
      <c r="Q303">
        <v>1</v>
      </c>
      <c r="R303" t="s">
        <v>63</v>
      </c>
      <c r="S303">
        <v>4</v>
      </c>
      <c r="T303">
        <v>101</v>
      </c>
      <c r="U303" s="11">
        <v>0.7818314824680298</v>
      </c>
      <c r="V303" s="11">
        <v>0.62348980185873359</v>
      </c>
      <c r="W303" s="11">
        <v>0.98885370642058845</v>
      </c>
      <c r="X303" s="11">
        <v>-0.14889038685645481</v>
      </c>
      <c r="Y303">
        <v>0</v>
      </c>
      <c r="Z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6">
        <v>45027</v>
      </c>
      <c r="B304" t="s">
        <v>41</v>
      </c>
      <c r="C304" t="s">
        <v>42</v>
      </c>
      <c r="D304" t="s">
        <v>43</v>
      </c>
      <c r="E304" t="s">
        <v>44</v>
      </c>
      <c r="F304">
        <v>85</v>
      </c>
      <c r="G304">
        <v>210</v>
      </c>
      <c r="H304">
        <v>124</v>
      </c>
      <c r="I304">
        <v>55</v>
      </c>
      <c r="J304" s="8">
        <v>0.6470588235294118</v>
      </c>
      <c r="K304">
        <v>23</v>
      </c>
      <c r="L304">
        <v>21</v>
      </c>
      <c r="M304">
        <v>108</v>
      </c>
      <c r="N304" s="10">
        <v>563.58000000000004</v>
      </c>
      <c r="O304" s="7">
        <v>7.1</v>
      </c>
      <c r="P304" s="7">
        <v>27.4</v>
      </c>
      <c r="Q304">
        <v>1</v>
      </c>
      <c r="R304" t="s">
        <v>63</v>
      </c>
      <c r="S304">
        <v>4</v>
      </c>
      <c r="T304">
        <v>101</v>
      </c>
      <c r="U304" s="11">
        <v>0.7818314824680298</v>
      </c>
      <c r="V304" s="11">
        <v>0.62348980185873359</v>
      </c>
      <c r="W304" s="11">
        <v>0.98885370642058845</v>
      </c>
      <c r="X304" s="11">
        <v>-0.14889038685645481</v>
      </c>
      <c r="Y304">
        <v>0</v>
      </c>
      <c r="Z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6">
        <v>45028</v>
      </c>
      <c r="B305" t="s">
        <v>31</v>
      </c>
      <c r="C305" t="s">
        <v>32</v>
      </c>
      <c r="D305" t="s">
        <v>33</v>
      </c>
      <c r="E305" t="s">
        <v>34</v>
      </c>
      <c r="F305">
        <v>140</v>
      </c>
      <c r="G305">
        <v>360</v>
      </c>
      <c r="H305">
        <v>168</v>
      </c>
      <c r="I305">
        <v>71</v>
      </c>
      <c r="J305" s="8">
        <v>0.50714285714285712</v>
      </c>
      <c r="K305">
        <v>38</v>
      </c>
      <c r="L305">
        <v>36</v>
      </c>
      <c r="M305">
        <v>135</v>
      </c>
      <c r="N305" s="10">
        <v>442.29</v>
      </c>
      <c r="O305" s="7">
        <v>1.4</v>
      </c>
      <c r="P305" s="7">
        <v>28.4</v>
      </c>
      <c r="Q305">
        <v>2</v>
      </c>
      <c r="R305" t="s">
        <v>64</v>
      </c>
      <c r="S305">
        <v>4</v>
      </c>
      <c r="T305">
        <v>102</v>
      </c>
      <c r="U305" s="11">
        <v>0.97492791218182362</v>
      </c>
      <c r="V305" s="11">
        <v>-0.22252093395631434</v>
      </c>
      <c r="W305" s="11">
        <v>0.98614624834159503</v>
      </c>
      <c r="X305" s="11">
        <v>-0.16587819893463143</v>
      </c>
      <c r="Y305">
        <v>0</v>
      </c>
      <c r="Z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6">
        <v>45028</v>
      </c>
      <c r="B306" t="s">
        <v>36</v>
      </c>
      <c r="C306" t="s">
        <v>37</v>
      </c>
      <c r="D306" t="s">
        <v>38</v>
      </c>
      <c r="E306" t="s">
        <v>39</v>
      </c>
      <c r="F306">
        <v>125</v>
      </c>
      <c r="G306">
        <v>320</v>
      </c>
      <c r="H306">
        <v>159</v>
      </c>
      <c r="I306">
        <v>67</v>
      </c>
      <c r="J306" s="8">
        <v>0.53600000000000003</v>
      </c>
      <c r="K306">
        <v>38</v>
      </c>
      <c r="L306">
        <v>32</v>
      </c>
      <c r="M306">
        <v>149</v>
      </c>
      <c r="N306" s="10">
        <v>669.95</v>
      </c>
      <c r="O306" s="7">
        <v>1.4</v>
      </c>
      <c r="P306" s="7">
        <v>28.4</v>
      </c>
      <c r="Q306">
        <v>2</v>
      </c>
      <c r="R306" t="s">
        <v>64</v>
      </c>
      <c r="S306">
        <v>4</v>
      </c>
      <c r="T306">
        <v>102</v>
      </c>
      <c r="U306" s="11">
        <v>0.97492791218182362</v>
      </c>
      <c r="V306" s="11">
        <v>-0.22252093395631434</v>
      </c>
      <c r="W306" s="11">
        <v>0.98614624834159503</v>
      </c>
      <c r="X306" s="11">
        <v>-0.16587819893463143</v>
      </c>
      <c r="Y306">
        <v>0</v>
      </c>
      <c r="Z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6">
        <v>45028</v>
      </c>
      <c r="B307" t="s">
        <v>41</v>
      </c>
      <c r="C307" t="s">
        <v>42</v>
      </c>
      <c r="D307" t="s">
        <v>43</v>
      </c>
      <c r="E307" t="s">
        <v>44</v>
      </c>
      <c r="F307">
        <v>85</v>
      </c>
      <c r="G307">
        <v>210</v>
      </c>
      <c r="H307">
        <v>116</v>
      </c>
      <c r="I307">
        <v>51</v>
      </c>
      <c r="J307" s="8">
        <v>0.6</v>
      </c>
      <c r="K307">
        <v>32</v>
      </c>
      <c r="L307">
        <v>27</v>
      </c>
      <c r="M307">
        <v>104</v>
      </c>
      <c r="N307" s="10">
        <v>509.16</v>
      </c>
      <c r="O307" s="7">
        <v>1.4</v>
      </c>
      <c r="P307" s="7">
        <v>28.4</v>
      </c>
      <c r="Q307">
        <v>2</v>
      </c>
      <c r="R307" t="s">
        <v>64</v>
      </c>
      <c r="S307">
        <v>4</v>
      </c>
      <c r="T307">
        <v>102</v>
      </c>
      <c r="U307" s="11">
        <v>0.97492791218182362</v>
      </c>
      <c r="V307" s="11">
        <v>-0.22252093395631434</v>
      </c>
      <c r="W307" s="11">
        <v>0.98614624834159503</v>
      </c>
      <c r="X307" s="11">
        <v>-0.16587819893463143</v>
      </c>
      <c r="Y307">
        <v>0</v>
      </c>
      <c r="Z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6">
        <v>45029</v>
      </c>
      <c r="B308" t="s">
        <v>31</v>
      </c>
      <c r="C308" t="s">
        <v>32</v>
      </c>
      <c r="D308" t="s">
        <v>33</v>
      </c>
      <c r="E308" t="s">
        <v>34</v>
      </c>
      <c r="F308">
        <v>140</v>
      </c>
      <c r="G308">
        <v>360</v>
      </c>
      <c r="H308">
        <v>166</v>
      </c>
      <c r="I308">
        <v>71</v>
      </c>
      <c r="J308" s="8">
        <v>0.50714285714285712</v>
      </c>
      <c r="K308">
        <v>27</v>
      </c>
      <c r="L308">
        <v>35</v>
      </c>
      <c r="M308">
        <v>148</v>
      </c>
      <c r="N308" s="10">
        <v>464.42</v>
      </c>
      <c r="O308" s="7">
        <v>9.4</v>
      </c>
      <c r="P308" s="7">
        <v>27.3</v>
      </c>
      <c r="Q308">
        <v>3</v>
      </c>
      <c r="R308" t="s">
        <v>65</v>
      </c>
      <c r="S308">
        <v>4</v>
      </c>
      <c r="T308">
        <v>103</v>
      </c>
      <c r="U308" s="11">
        <v>0.43388373911755823</v>
      </c>
      <c r="V308" s="11">
        <v>-0.90096886790241903</v>
      </c>
      <c r="W308" s="11">
        <v>0.98314697372214988</v>
      </c>
      <c r="X308" s="11">
        <v>-0.18281692498501989</v>
      </c>
      <c r="Y308">
        <v>0</v>
      </c>
      <c r="Z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6">
        <v>45029</v>
      </c>
      <c r="B309" t="s">
        <v>36</v>
      </c>
      <c r="C309" t="s">
        <v>37</v>
      </c>
      <c r="D309" t="s">
        <v>38</v>
      </c>
      <c r="E309" t="s">
        <v>39</v>
      </c>
      <c r="F309">
        <v>125</v>
      </c>
      <c r="G309">
        <v>320</v>
      </c>
      <c r="H309">
        <v>154</v>
      </c>
      <c r="I309">
        <v>64</v>
      </c>
      <c r="J309" s="8">
        <v>0.51200000000000001</v>
      </c>
      <c r="K309">
        <v>29</v>
      </c>
      <c r="L309">
        <v>47</v>
      </c>
      <c r="M309">
        <v>136</v>
      </c>
      <c r="N309" s="10">
        <v>671.3</v>
      </c>
      <c r="O309" s="7">
        <v>9.4</v>
      </c>
      <c r="P309" s="7">
        <v>27.3</v>
      </c>
      <c r="Q309">
        <v>3</v>
      </c>
      <c r="R309" t="s">
        <v>65</v>
      </c>
      <c r="S309">
        <v>4</v>
      </c>
      <c r="T309">
        <v>103</v>
      </c>
      <c r="U309" s="11">
        <v>0.43388373911755823</v>
      </c>
      <c r="V309" s="11">
        <v>-0.90096886790241903</v>
      </c>
      <c r="W309" s="11">
        <v>0.98314697372214988</v>
      </c>
      <c r="X309" s="11">
        <v>-0.18281692498501989</v>
      </c>
      <c r="Y309">
        <v>0</v>
      </c>
      <c r="Z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6">
        <v>45029</v>
      </c>
      <c r="B310" t="s">
        <v>41</v>
      </c>
      <c r="C310" t="s">
        <v>42</v>
      </c>
      <c r="D310" t="s">
        <v>43</v>
      </c>
      <c r="E310" t="s">
        <v>44</v>
      </c>
      <c r="F310">
        <v>85</v>
      </c>
      <c r="G310">
        <v>210</v>
      </c>
      <c r="H310">
        <v>118</v>
      </c>
      <c r="I310">
        <v>50</v>
      </c>
      <c r="J310" s="8">
        <v>0.58823529411764708</v>
      </c>
      <c r="K310">
        <v>22</v>
      </c>
      <c r="L310">
        <v>13</v>
      </c>
      <c r="M310">
        <v>102</v>
      </c>
      <c r="N310" s="10">
        <v>533</v>
      </c>
      <c r="O310" s="7">
        <v>9.4</v>
      </c>
      <c r="P310" s="7">
        <v>27.3</v>
      </c>
      <c r="Q310">
        <v>3</v>
      </c>
      <c r="R310" t="s">
        <v>65</v>
      </c>
      <c r="S310">
        <v>4</v>
      </c>
      <c r="T310">
        <v>103</v>
      </c>
      <c r="U310" s="11">
        <v>0.43388373911755823</v>
      </c>
      <c r="V310" s="11">
        <v>-0.90096886790241903</v>
      </c>
      <c r="W310" s="11">
        <v>0.98314697372214988</v>
      </c>
      <c r="X310" s="11">
        <v>-0.18281692498501989</v>
      </c>
      <c r="Y310">
        <v>0</v>
      </c>
      <c r="Z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6">
        <v>45030</v>
      </c>
      <c r="B311" t="s">
        <v>31</v>
      </c>
      <c r="C311" t="s">
        <v>32</v>
      </c>
      <c r="D311" t="s">
        <v>33</v>
      </c>
      <c r="E311" t="s">
        <v>34</v>
      </c>
      <c r="F311">
        <v>140</v>
      </c>
      <c r="G311">
        <v>360</v>
      </c>
      <c r="H311">
        <v>185</v>
      </c>
      <c r="I311">
        <v>80</v>
      </c>
      <c r="J311" s="8">
        <v>0.5714285714285714</v>
      </c>
      <c r="K311">
        <v>49</v>
      </c>
      <c r="L311">
        <v>44</v>
      </c>
      <c r="M311">
        <v>168</v>
      </c>
      <c r="N311" s="10">
        <v>423.38</v>
      </c>
      <c r="O311" s="7">
        <v>12.2</v>
      </c>
      <c r="P311" s="7">
        <v>27.3</v>
      </c>
      <c r="Q311">
        <v>4</v>
      </c>
      <c r="R311" t="s">
        <v>66</v>
      </c>
      <c r="S311">
        <v>4</v>
      </c>
      <c r="T311">
        <v>104</v>
      </c>
      <c r="U311" s="11">
        <v>-0.43388373911755801</v>
      </c>
      <c r="V311" s="11">
        <v>-0.90096886790241915</v>
      </c>
      <c r="W311" s="11">
        <v>0.97985677009586647</v>
      </c>
      <c r="X311" s="11">
        <v>-0.19970155256606359</v>
      </c>
      <c r="Y311">
        <v>0</v>
      </c>
      <c r="Z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6">
        <v>45030</v>
      </c>
      <c r="B312" t="s">
        <v>36</v>
      </c>
      <c r="C312" t="s">
        <v>37</v>
      </c>
      <c r="D312" t="s">
        <v>38</v>
      </c>
      <c r="E312" t="s">
        <v>39</v>
      </c>
      <c r="F312">
        <v>125</v>
      </c>
      <c r="G312">
        <v>320</v>
      </c>
      <c r="H312">
        <v>155</v>
      </c>
      <c r="I312">
        <v>62</v>
      </c>
      <c r="J312" s="8">
        <v>0.496</v>
      </c>
      <c r="K312">
        <v>29</v>
      </c>
      <c r="L312">
        <v>31</v>
      </c>
      <c r="M312">
        <v>134</v>
      </c>
      <c r="N312" s="10">
        <v>581.91999999999996</v>
      </c>
      <c r="O312" s="7">
        <v>12.2</v>
      </c>
      <c r="P312" s="7">
        <v>27.3</v>
      </c>
      <c r="Q312">
        <v>4</v>
      </c>
      <c r="R312" t="s">
        <v>66</v>
      </c>
      <c r="S312">
        <v>4</v>
      </c>
      <c r="T312">
        <v>104</v>
      </c>
      <c r="U312" s="11">
        <v>-0.43388373911755801</v>
      </c>
      <c r="V312" s="11">
        <v>-0.90096886790241915</v>
      </c>
      <c r="W312" s="11">
        <v>0.97985677009586647</v>
      </c>
      <c r="X312" s="11">
        <v>-0.19970155256606359</v>
      </c>
      <c r="Y312">
        <v>0</v>
      </c>
      <c r="Z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6">
        <v>45030</v>
      </c>
      <c r="B313" t="s">
        <v>41</v>
      </c>
      <c r="C313" t="s">
        <v>42</v>
      </c>
      <c r="D313" t="s">
        <v>43</v>
      </c>
      <c r="E313" t="s">
        <v>44</v>
      </c>
      <c r="F313">
        <v>85</v>
      </c>
      <c r="G313">
        <v>210</v>
      </c>
      <c r="H313">
        <v>106</v>
      </c>
      <c r="I313">
        <v>43</v>
      </c>
      <c r="J313" s="8">
        <v>0.50588235294117645</v>
      </c>
      <c r="K313">
        <v>20</v>
      </c>
      <c r="L313">
        <v>26</v>
      </c>
      <c r="M313">
        <v>86</v>
      </c>
      <c r="N313" s="10">
        <v>576.98</v>
      </c>
      <c r="O313" s="7">
        <v>12.2</v>
      </c>
      <c r="P313" s="7">
        <v>27.3</v>
      </c>
      <c r="Q313">
        <v>4</v>
      </c>
      <c r="R313" t="s">
        <v>66</v>
      </c>
      <c r="S313">
        <v>4</v>
      </c>
      <c r="T313">
        <v>104</v>
      </c>
      <c r="U313" s="11">
        <v>-0.43388373911755801</v>
      </c>
      <c r="V313" s="11">
        <v>-0.90096886790241915</v>
      </c>
      <c r="W313" s="11">
        <v>0.97985677009586647</v>
      </c>
      <c r="X313" s="11">
        <v>-0.19970155256606359</v>
      </c>
      <c r="Y313">
        <v>0</v>
      </c>
      <c r="Z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6">
        <v>45031</v>
      </c>
      <c r="B314" t="s">
        <v>31</v>
      </c>
      <c r="C314" t="s">
        <v>32</v>
      </c>
      <c r="D314" t="s">
        <v>33</v>
      </c>
      <c r="E314" t="s">
        <v>34</v>
      </c>
      <c r="F314">
        <v>140</v>
      </c>
      <c r="G314">
        <v>360</v>
      </c>
      <c r="H314">
        <v>193</v>
      </c>
      <c r="I314">
        <v>82</v>
      </c>
      <c r="J314" s="8">
        <v>0.58571428571428574</v>
      </c>
      <c r="K314">
        <v>38</v>
      </c>
      <c r="L314">
        <v>35</v>
      </c>
      <c r="M314">
        <v>160</v>
      </c>
      <c r="N314" s="10">
        <v>448.63</v>
      </c>
      <c r="O314" s="7">
        <v>5.7</v>
      </c>
      <c r="P314" s="7">
        <v>27.2</v>
      </c>
      <c r="Q314">
        <v>5</v>
      </c>
      <c r="R314" t="s">
        <v>67</v>
      </c>
      <c r="S314">
        <v>4</v>
      </c>
      <c r="T314">
        <v>105</v>
      </c>
      <c r="U314" s="11">
        <v>-0.97492791218182362</v>
      </c>
      <c r="V314" s="11">
        <v>-0.22252093395631459</v>
      </c>
      <c r="W314" s="11">
        <v>0.97627661108693209</v>
      </c>
      <c r="X314" s="11">
        <v>-0.21652708524481437</v>
      </c>
      <c r="Y314">
        <v>1</v>
      </c>
      <c r="Z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6">
        <v>45031</v>
      </c>
      <c r="B315" t="s">
        <v>36</v>
      </c>
      <c r="C315" t="s">
        <v>37</v>
      </c>
      <c r="D315" t="s">
        <v>38</v>
      </c>
      <c r="E315" t="s">
        <v>39</v>
      </c>
      <c r="F315">
        <v>125</v>
      </c>
      <c r="G315">
        <v>320</v>
      </c>
      <c r="H315">
        <v>188</v>
      </c>
      <c r="I315">
        <v>76</v>
      </c>
      <c r="J315" s="8">
        <v>0.60799999999999998</v>
      </c>
      <c r="K315">
        <v>32</v>
      </c>
      <c r="L315">
        <v>30</v>
      </c>
      <c r="M315">
        <v>162</v>
      </c>
      <c r="N315" s="10">
        <v>681.61</v>
      </c>
      <c r="O315" s="7">
        <v>5.7</v>
      </c>
      <c r="P315" s="7">
        <v>27.2</v>
      </c>
      <c r="Q315">
        <v>5</v>
      </c>
      <c r="R315" t="s">
        <v>67</v>
      </c>
      <c r="S315">
        <v>4</v>
      </c>
      <c r="T315">
        <v>105</v>
      </c>
      <c r="U315" s="11">
        <v>-0.97492791218182362</v>
      </c>
      <c r="V315" s="11">
        <v>-0.22252093395631459</v>
      </c>
      <c r="W315" s="11">
        <v>0.97627661108693209</v>
      </c>
      <c r="X315" s="11">
        <v>-0.21652708524481437</v>
      </c>
      <c r="Y315">
        <v>1</v>
      </c>
      <c r="Z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6">
        <v>45031</v>
      </c>
      <c r="B316" t="s">
        <v>41</v>
      </c>
      <c r="C316" t="s">
        <v>42</v>
      </c>
      <c r="D316" t="s">
        <v>43</v>
      </c>
      <c r="E316" t="s">
        <v>44</v>
      </c>
      <c r="F316">
        <v>85</v>
      </c>
      <c r="G316">
        <v>210</v>
      </c>
      <c r="H316">
        <v>143</v>
      </c>
      <c r="I316">
        <v>60</v>
      </c>
      <c r="J316" s="8">
        <v>0.70588235294117652</v>
      </c>
      <c r="K316">
        <v>43</v>
      </c>
      <c r="L316">
        <v>20</v>
      </c>
      <c r="M316">
        <v>129</v>
      </c>
      <c r="N316" s="10">
        <v>647.04</v>
      </c>
      <c r="O316" s="7">
        <v>5.7</v>
      </c>
      <c r="P316" s="7">
        <v>27.2</v>
      </c>
      <c r="Q316">
        <v>5</v>
      </c>
      <c r="R316" t="s">
        <v>67</v>
      </c>
      <c r="S316">
        <v>4</v>
      </c>
      <c r="T316">
        <v>105</v>
      </c>
      <c r="U316" s="11">
        <v>-0.97492791218182362</v>
      </c>
      <c r="V316" s="11">
        <v>-0.22252093395631459</v>
      </c>
      <c r="W316" s="11">
        <v>0.97627661108693209</v>
      </c>
      <c r="X316" s="11">
        <v>-0.21652708524481437</v>
      </c>
      <c r="Y316">
        <v>1</v>
      </c>
      <c r="Z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6">
        <v>45032</v>
      </c>
      <c r="B317" t="s">
        <v>31</v>
      </c>
      <c r="C317" t="s">
        <v>32</v>
      </c>
      <c r="D317" t="s">
        <v>33</v>
      </c>
      <c r="E317" t="s">
        <v>34</v>
      </c>
      <c r="F317">
        <v>140</v>
      </c>
      <c r="G317">
        <v>360</v>
      </c>
      <c r="H317">
        <v>184</v>
      </c>
      <c r="I317">
        <v>79</v>
      </c>
      <c r="J317" s="8">
        <v>0.56428571428571428</v>
      </c>
      <c r="K317">
        <v>27</v>
      </c>
      <c r="L317">
        <v>17</v>
      </c>
      <c r="M317">
        <v>157</v>
      </c>
      <c r="N317" s="10">
        <v>445.66</v>
      </c>
      <c r="O317" s="7">
        <v>26.3</v>
      </c>
      <c r="P317" s="7">
        <v>28.1</v>
      </c>
      <c r="Q317">
        <v>6</v>
      </c>
      <c r="R317" t="s">
        <v>60</v>
      </c>
      <c r="S317">
        <v>4</v>
      </c>
      <c r="T317">
        <v>106</v>
      </c>
      <c r="U317" s="11">
        <v>-0.78183148246802991</v>
      </c>
      <c r="V317" s="11">
        <v>0.62348980185873337</v>
      </c>
      <c r="W317" s="11">
        <v>0.97240755612199681</v>
      </c>
      <c r="X317" s="11">
        <v>-0.23328854407545518</v>
      </c>
      <c r="Y317">
        <v>1</v>
      </c>
      <c r="Z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6">
        <v>45032</v>
      </c>
      <c r="B318" t="s">
        <v>36</v>
      </c>
      <c r="C318" t="s">
        <v>37</v>
      </c>
      <c r="D318" t="s">
        <v>38</v>
      </c>
      <c r="E318" t="s">
        <v>39</v>
      </c>
      <c r="F318">
        <v>125</v>
      </c>
      <c r="G318">
        <v>320</v>
      </c>
      <c r="H318">
        <v>173</v>
      </c>
      <c r="I318">
        <v>71</v>
      </c>
      <c r="J318" s="8">
        <v>0.56799999999999995</v>
      </c>
      <c r="K318">
        <v>35</v>
      </c>
      <c r="L318">
        <v>21</v>
      </c>
      <c r="M318">
        <v>150</v>
      </c>
      <c r="N318" s="10">
        <v>743.96</v>
      </c>
      <c r="O318" s="7">
        <v>26.3</v>
      </c>
      <c r="P318" s="7">
        <v>28.1</v>
      </c>
      <c r="Q318">
        <v>6</v>
      </c>
      <c r="R318" t="s">
        <v>60</v>
      </c>
      <c r="S318">
        <v>4</v>
      </c>
      <c r="T318">
        <v>106</v>
      </c>
      <c r="U318" s="11">
        <v>-0.78183148246802991</v>
      </c>
      <c r="V318" s="11">
        <v>0.62348980185873337</v>
      </c>
      <c r="W318" s="11">
        <v>0.97240755612199681</v>
      </c>
      <c r="X318" s="11">
        <v>-0.23328854407545518</v>
      </c>
      <c r="Y318">
        <v>1</v>
      </c>
      <c r="Z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6">
        <v>45032</v>
      </c>
      <c r="B319" t="s">
        <v>41</v>
      </c>
      <c r="C319" t="s">
        <v>42</v>
      </c>
      <c r="D319" t="s">
        <v>43</v>
      </c>
      <c r="E319" t="s">
        <v>44</v>
      </c>
      <c r="F319">
        <v>85</v>
      </c>
      <c r="G319">
        <v>210</v>
      </c>
      <c r="H319">
        <v>133</v>
      </c>
      <c r="I319">
        <v>58</v>
      </c>
      <c r="J319" s="8">
        <v>0.68235294117647061</v>
      </c>
      <c r="K319">
        <v>15</v>
      </c>
      <c r="L319">
        <v>33</v>
      </c>
      <c r="M319">
        <v>109</v>
      </c>
      <c r="N319" s="10">
        <v>638.92999999999995</v>
      </c>
      <c r="O319" s="7">
        <v>26.3</v>
      </c>
      <c r="P319" s="7">
        <v>28.1</v>
      </c>
      <c r="Q319">
        <v>6</v>
      </c>
      <c r="R319" t="s">
        <v>60</v>
      </c>
      <c r="S319">
        <v>4</v>
      </c>
      <c r="T319">
        <v>106</v>
      </c>
      <c r="U319" s="11">
        <v>-0.78183148246802991</v>
      </c>
      <c r="V319" s="11">
        <v>0.62348980185873337</v>
      </c>
      <c r="W319" s="11">
        <v>0.97240755612199681</v>
      </c>
      <c r="X319" s="11">
        <v>-0.23328854407545518</v>
      </c>
      <c r="Y319">
        <v>1</v>
      </c>
      <c r="Z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6">
        <v>45033</v>
      </c>
      <c r="B320" t="s">
        <v>31</v>
      </c>
      <c r="C320" t="s">
        <v>32</v>
      </c>
      <c r="D320" t="s">
        <v>33</v>
      </c>
      <c r="E320" t="s">
        <v>34</v>
      </c>
      <c r="F320">
        <v>140</v>
      </c>
      <c r="G320">
        <v>360</v>
      </c>
      <c r="H320">
        <v>191</v>
      </c>
      <c r="I320">
        <v>80</v>
      </c>
      <c r="J320" s="8">
        <v>0.5714285714285714</v>
      </c>
      <c r="K320">
        <v>45</v>
      </c>
      <c r="L320">
        <v>44</v>
      </c>
      <c r="M320">
        <v>154</v>
      </c>
      <c r="N320" s="10">
        <v>397.96</v>
      </c>
      <c r="O320" s="7">
        <v>18.100000000000001</v>
      </c>
      <c r="P320" s="7">
        <v>29.5</v>
      </c>
      <c r="Q320">
        <v>0</v>
      </c>
      <c r="R320" t="s">
        <v>62</v>
      </c>
      <c r="S320">
        <v>4</v>
      </c>
      <c r="T320">
        <v>107</v>
      </c>
      <c r="U320" s="11">
        <v>0</v>
      </c>
      <c r="V320" s="11">
        <v>1</v>
      </c>
      <c r="W320" s="11">
        <v>0.96825075011667183</v>
      </c>
      <c r="X320" s="11">
        <v>-0.2499809690726521</v>
      </c>
      <c r="Y320">
        <v>0</v>
      </c>
      <c r="Z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6">
        <v>45033</v>
      </c>
      <c r="B321" t="s">
        <v>36</v>
      </c>
      <c r="C321" t="s">
        <v>37</v>
      </c>
      <c r="D321" t="s">
        <v>38</v>
      </c>
      <c r="E321" t="s">
        <v>39</v>
      </c>
      <c r="F321">
        <v>125</v>
      </c>
      <c r="G321">
        <v>320</v>
      </c>
      <c r="H321">
        <v>143</v>
      </c>
      <c r="I321">
        <v>61</v>
      </c>
      <c r="J321" s="8">
        <v>0.48799999999999999</v>
      </c>
      <c r="K321">
        <v>41</v>
      </c>
      <c r="L321">
        <v>18</v>
      </c>
      <c r="M321">
        <v>119</v>
      </c>
      <c r="N321" s="10">
        <v>573.52</v>
      </c>
      <c r="O321" s="7">
        <v>18.100000000000001</v>
      </c>
      <c r="P321" s="7">
        <v>29.5</v>
      </c>
      <c r="Q321">
        <v>0</v>
      </c>
      <c r="R321" t="s">
        <v>62</v>
      </c>
      <c r="S321">
        <v>4</v>
      </c>
      <c r="T321">
        <v>107</v>
      </c>
      <c r="U321" s="11">
        <v>0</v>
      </c>
      <c r="V321" s="11">
        <v>1</v>
      </c>
      <c r="W321" s="11">
        <v>0.96825075011667183</v>
      </c>
      <c r="X321" s="11">
        <v>-0.2499809690726521</v>
      </c>
      <c r="Y321">
        <v>0</v>
      </c>
      <c r="Z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6">
        <v>45033</v>
      </c>
      <c r="B322" t="s">
        <v>41</v>
      </c>
      <c r="C322" t="s">
        <v>42</v>
      </c>
      <c r="D322" t="s">
        <v>43</v>
      </c>
      <c r="E322" t="s">
        <v>44</v>
      </c>
      <c r="F322">
        <v>85</v>
      </c>
      <c r="G322">
        <v>210</v>
      </c>
      <c r="H322">
        <v>95</v>
      </c>
      <c r="I322">
        <v>45</v>
      </c>
      <c r="J322" s="8">
        <v>0.52941176470588236</v>
      </c>
      <c r="K322">
        <v>25</v>
      </c>
      <c r="L322">
        <v>19</v>
      </c>
      <c r="M322">
        <v>82</v>
      </c>
      <c r="N322" s="10">
        <v>507.63</v>
      </c>
      <c r="O322" s="7">
        <v>18.100000000000001</v>
      </c>
      <c r="P322" s="7">
        <v>29.5</v>
      </c>
      <c r="Q322">
        <v>0</v>
      </c>
      <c r="R322" t="s">
        <v>62</v>
      </c>
      <c r="S322">
        <v>4</v>
      </c>
      <c r="T322">
        <v>107</v>
      </c>
      <c r="U322" s="11">
        <v>0</v>
      </c>
      <c r="V322" s="11">
        <v>1</v>
      </c>
      <c r="W322" s="11">
        <v>0.96825075011667183</v>
      </c>
      <c r="X322" s="11">
        <v>-0.2499809690726521</v>
      </c>
      <c r="Y322">
        <v>0</v>
      </c>
      <c r="Z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6">
        <v>45034</v>
      </c>
      <c r="B323" t="s">
        <v>31</v>
      </c>
      <c r="C323" t="s">
        <v>32</v>
      </c>
      <c r="D323" t="s">
        <v>33</v>
      </c>
      <c r="E323" t="s">
        <v>34</v>
      </c>
      <c r="F323">
        <v>140</v>
      </c>
      <c r="G323">
        <v>360</v>
      </c>
      <c r="H323">
        <v>180</v>
      </c>
      <c r="I323">
        <v>77</v>
      </c>
      <c r="J323" s="8">
        <v>0.55000000000000004</v>
      </c>
      <c r="K323">
        <v>35</v>
      </c>
      <c r="L323">
        <v>32</v>
      </c>
      <c r="M323">
        <v>157</v>
      </c>
      <c r="N323" s="10">
        <v>438.41</v>
      </c>
      <c r="O323" s="7">
        <v>7.2</v>
      </c>
      <c r="P323" s="7">
        <v>26.5</v>
      </c>
      <c r="Q323">
        <v>1</v>
      </c>
      <c r="R323" t="s">
        <v>63</v>
      </c>
      <c r="S323">
        <v>4</v>
      </c>
      <c r="T323">
        <v>108</v>
      </c>
      <c r="U323" s="11">
        <v>0.7818314824680298</v>
      </c>
      <c r="V323" s="11">
        <v>0.62348980185873359</v>
      </c>
      <c r="W323" s="11">
        <v>0.96380742313673073</v>
      </c>
      <c r="X323" s="11">
        <v>-0.26659942067929354</v>
      </c>
      <c r="Y323">
        <v>0</v>
      </c>
      <c r="Z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6">
        <v>45034</v>
      </c>
      <c r="B324" t="s">
        <v>36</v>
      </c>
      <c r="C324" t="s">
        <v>37</v>
      </c>
      <c r="D324" t="s">
        <v>38</v>
      </c>
      <c r="E324" t="s">
        <v>39</v>
      </c>
      <c r="F324">
        <v>125</v>
      </c>
      <c r="G324">
        <v>320</v>
      </c>
      <c r="H324">
        <v>149</v>
      </c>
      <c r="I324">
        <v>60</v>
      </c>
      <c r="J324" s="8">
        <v>0.48</v>
      </c>
      <c r="K324">
        <v>40</v>
      </c>
      <c r="L324">
        <v>29</v>
      </c>
      <c r="M324">
        <v>128</v>
      </c>
      <c r="N324" s="10">
        <v>672.15</v>
      </c>
      <c r="O324" s="7">
        <v>7.2</v>
      </c>
      <c r="P324" s="7">
        <v>26.5</v>
      </c>
      <c r="Q324">
        <v>1</v>
      </c>
      <c r="R324" t="s">
        <v>63</v>
      </c>
      <c r="S324">
        <v>4</v>
      </c>
      <c r="T324">
        <v>108</v>
      </c>
      <c r="U324" s="11">
        <v>0.7818314824680298</v>
      </c>
      <c r="V324" s="11">
        <v>0.62348980185873359</v>
      </c>
      <c r="W324" s="11">
        <v>0.96380742313673073</v>
      </c>
      <c r="X324" s="11">
        <v>-0.26659942067929354</v>
      </c>
      <c r="Y324">
        <v>0</v>
      </c>
      <c r="Z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6">
        <v>45034</v>
      </c>
      <c r="B325" t="s">
        <v>41</v>
      </c>
      <c r="C325" t="s">
        <v>42</v>
      </c>
      <c r="D325" t="s">
        <v>43</v>
      </c>
      <c r="E325" t="s">
        <v>44</v>
      </c>
      <c r="F325">
        <v>85</v>
      </c>
      <c r="G325">
        <v>210</v>
      </c>
      <c r="H325">
        <v>83</v>
      </c>
      <c r="I325">
        <v>41</v>
      </c>
      <c r="J325" s="8">
        <v>0.4823529411764706</v>
      </c>
      <c r="K325">
        <v>13</v>
      </c>
      <c r="L325">
        <v>14</v>
      </c>
      <c r="M325">
        <v>70</v>
      </c>
      <c r="N325" s="10">
        <v>483.87</v>
      </c>
      <c r="O325" s="7">
        <v>7.2</v>
      </c>
      <c r="P325" s="7">
        <v>26.5</v>
      </c>
      <c r="Q325">
        <v>1</v>
      </c>
      <c r="R325" t="s">
        <v>63</v>
      </c>
      <c r="S325">
        <v>4</v>
      </c>
      <c r="T325">
        <v>108</v>
      </c>
      <c r="U325" s="11">
        <v>0.7818314824680298</v>
      </c>
      <c r="V325" s="11">
        <v>0.62348980185873359</v>
      </c>
      <c r="W325" s="11">
        <v>0.96380742313673073</v>
      </c>
      <c r="X325" s="11">
        <v>-0.26659942067929354</v>
      </c>
      <c r="Y325">
        <v>0</v>
      </c>
      <c r="Z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6">
        <v>45035</v>
      </c>
      <c r="B326" t="s">
        <v>31</v>
      </c>
      <c r="C326" t="s">
        <v>32</v>
      </c>
      <c r="D326" t="s">
        <v>33</v>
      </c>
      <c r="E326" t="s">
        <v>34</v>
      </c>
      <c r="F326">
        <v>140</v>
      </c>
      <c r="G326">
        <v>360</v>
      </c>
      <c r="H326">
        <v>173</v>
      </c>
      <c r="I326">
        <v>75</v>
      </c>
      <c r="J326" s="8">
        <v>0.5357142857142857</v>
      </c>
      <c r="K326">
        <v>35</v>
      </c>
      <c r="L326">
        <v>14</v>
      </c>
      <c r="M326">
        <v>154</v>
      </c>
      <c r="N326" s="10">
        <v>404.28</v>
      </c>
      <c r="O326" s="7">
        <v>5.2</v>
      </c>
      <c r="P326" s="7">
        <v>26.8</v>
      </c>
      <c r="Q326">
        <v>2</v>
      </c>
      <c r="R326" t="s">
        <v>64</v>
      </c>
      <c r="S326">
        <v>4</v>
      </c>
      <c r="T326">
        <v>109</v>
      </c>
      <c r="U326" s="11">
        <v>0.97492791218182362</v>
      </c>
      <c r="V326" s="11">
        <v>-0.22252093395631434</v>
      </c>
      <c r="W326" s="11">
        <v>0.95907889003411306</v>
      </c>
      <c r="X326" s="11">
        <v>-0.28313898122818354</v>
      </c>
      <c r="Y326">
        <v>0</v>
      </c>
      <c r="Z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6">
        <v>45035</v>
      </c>
      <c r="B327" t="s">
        <v>36</v>
      </c>
      <c r="C327" t="s">
        <v>37</v>
      </c>
      <c r="D327" t="s">
        <v>38</v>
      </c>
      <c r="E327" t="s">
        <v>39</v>
      </c>
      <c r="F327">
        <v>125</v>
      </c>
      <c r="G327">
        <v>320</v>
      </c>
      <c r="H327">
        <v>141</v>
      </c>
      <c r="I327">
        <v>58</v>
      </c>
      <c r="J327" s="8">
        <v>0.46400000000000002</v>
      </c>
      <c r="K327">
        <v>34</v>
      </c>
      <c r="L327">
        <v>28</v>
      </c>
      <c r="M327">
        <v>125</v>
      </c>
      <c r="N327" s="10">
        <v>669.75</v>
      </c>
      <c r="O327" s="7">
        <v>5.2</v>
      </c>
      <c r="P327" s="7">
        <v>26.8</v>
      </c>
      <c r="Q327">
        <v>2</v>
      </c>
      <c r="R327" t="s">
        <v>64</v>
      </c>
      <c r="S327">
        <v>4</v>
      </c>
      <c r="T327">
        <v>109</v>
      </c>
      <c r="U327" s="11">
        <v>0.97492791218182362</v>
      </c>
      <c r="V327" s="11">
        <v>-0.22252093395631434</v>
      </c>
      <c r="W327" s="11">
        <v>0.95907889003411306</v>
      </c>
      <c r="X327" s="11">
        <v>-0.28313898122818354</v>
      </c>
      <c r="Y327">
        <v>0</v>
      </c>
      <c r="Z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6">
        <v>45035</v>
      </c>
      <c r="B328" t="s">
        <v>41</v>
      </c>
      <c r="C328" t="s">
        <v>42</v>
      </c>
      <c r="D328" t="s">
        <v>43</v>
      </c>
      <c r="E328" t="s">
        <v>44</v>
      </c>
      <c r="F328">
        <v>85</v>
      </c>
      <c r="G328">
        <v>210</v>
      </c>
      <c r="H328">
        <v>120</v>
      </c>
      <c r="I328">
        <v>53</v>
      </c>
      <c r="J328" s="8">
        <v>0.62352941176470589</v>
      </c>
      <c r="K328">
        <v>29</v>
      </c>
      <c r="L328">
        <v>24</v>
      </c>
      <c r="M328">
        <v>98</v>
      </c>
      <c r="N328" s="10">
        <v>486.47</v>
      </c>
      <c r="O328" s="7">
        <v>5.2</v>
      </c>
      <c r="P328" s="7">
        <v>26.8</v>
      </c>
      <c r="Q328">
        <v>2</v>
      </c>
      <c r="R328" t="s">
        <v>64</v>
      </c>
      <c r="S328">
        <v>4</v>
      </c>
      <c r="T328">
        <v>109</v>
      </c>
      <c r="U328" s="11">
        <v>0.97492791218182362</v>
      </c>
      <c r="V328" s="11">
        <v>-0.22252093395631434</v>
      </c>
      <c r="W328" s="11">
        <v>0.95907889003411306</v>
      </c>
      <c r="X328" s="11">
        <v>-0.28313898122818354</v>
      </c>
      <c r="Y328">
        <v>0</v>
      </c>
      <c r="Z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6">
        <v>45036</v>
      </c>
      <c r="B329" t="s">
        <v>31</v>
      </c>
      <c r="C329" t="s">
        <v>32</v>
      </c>
      <c r="D329" t="s">
        <v>33</v>
      </c>
      <c r="E329" t="s">
        <v>34</v>
      </c>
      <c r="F329">
        <v>140</v>
      </c>
      <c r="G329">
        <v>360</v>
      </c>
      <c r="H329">
        <v>171</v>
      </c>
      <c r="I329">
        <v>70</v>
      </c>
      <c r="J329" s="8">
        <v>0.5</v>
      </c>
      <c r="K329">
        <v>38</v>
      </c>
      <c r="L329">
        <v>28</v>
      </c>
      <c r="M329">
        <v>152</v>
      </c>
      <c r="N329" s="10">
        <v>425.26</v>
      </c>
      <c r="O329" s="7">
        <v>23.5</v>
      </c>
      <c r="P329" s="7">
        <v>26.6</v>
      </c>
      <c r="Q329">
        <v>3</v>
      </c>
      <c r="R329" t="s">
        <v>65</v>
      </c>
      <c r="S329">
        <v>4</v>
      </c>
      <c r="T329">
        <v>110</v>
      </c>
      <c r="U329" s="11">
        <v>0.43388373911755823</v>
      </c>
      <c r="V329" s="11">
        <v>-0.90096886790241903</v>
      </c>
      <c r="W329" s="11">
        <v>0.95406655005783869</v>
      </c>
      <c r="X329" s="11">
        <v>-0.29959475639726019</v>
      </c>
      <c r="Y329">
        <v>0</v>
      </c>
      <c r="Z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6">
        <v>45036</v>
      </c>
      <c r="B330" t="s">
        <v>36</v>
      </c>
      <c r="C330" t="s">
        <v>37</v>
      </c>
      <c r="D330" t="s">
        <v>38</v>
      </c>
      <c r="E330" t="s">
        <v>39</v>
      </c>
      <c r="F330">
        <v>125</v>
      </c>
      <c r="G330">
        <v>320</v>
      </c>
      <c r="H330">
        <v>168</v>
      </c>
      <c r="I330">
        <v>69</v>
      </c>
      <c r="J330" s="8">
        <v>0.55200000000000005</v>
      </c>
      <c r="K330">
        <v>36</v>
      </c>
      <c r="L330">
        <v>41</v>
      </c>
      <c r="M330">
        <v>150</v>
      </c>
      <c r="N330" s="10">
        <v>649.83000000000004</v>
      </c>
      <c r="O330" s="7">
        <v>23.5</v>
      </c>
      <c r="P330" s="7">
        <v>26.6</v>
      </c>
      <c r="Q330">
        <v>3</v>
      </c>
      <c r="R330" t="s">
        <v>65</v>
      </c>
      <c r="S330">
        <v>4</v>
      </c>
      <c r="T330">
        <v>110</v>
      </c>
      <c r="U330" s="11">
        <v>0.43388373911755823</v>
      </c>
      <c r="V330" s="11">
        <v>-0.90096886790241903</v>
      </c>
      <c r="W330" s="11">
        <v>0.95406655005783869</v>
      </c>
      <c r="X330" s="11">
        <v>-0.29959475639726019</v>
      </c>
      <c r="Y330">
        <v>0</v>
      </c>
      <c r="Z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6">
        <v>45036</v>
      </c>
      <c r="B331" t="s">
        <v>41</v>
      </c>
      <c r="C331" t="s">
        <v>42</v>
      </c>
      <c r="D331" t="s">
        <v>43</v>
      </c>
      <c r="E331" t="s">
        <v>44</v>
      </c>
      <c r="F331">
        <v>85</v>
      </c>
      <c r="G331">
        <v>210</v>
      </c>
      <c r="H331">
        <v>102</v>
      </c>
      <c r="I331">
        <v>45</v>
      </c>
      <c r="J331" s="8">
        <v>0.52941176470588236</v>
      </c>
      <c r="K331">
        <v>23</v>
      </c>
      <c r="L331">
        <v>21</v>
      </c>
      <c r="M331">
        <v>93</v>
      </c>
      <c r="N331" s="10">
        <v>487.24</v>
      </c>
      <c r="O331" s="7">
        <v>23.5</v>
      </c>
      <c r="P331" s="7">
        <v>26.6</v>
      </c>
      <c r="Q331">
        <v>3</v>
      </c>
      <c r="R331" t="s">
        <v>65</v>
      </c>
      <c r="S331">
        <v>4</v>
      </c>
      <c r="T331">
        <v>110</v>
      </c>
      <c r="U331" s="11">
        <v>0.43388373911755823</v>
      </c>
      <c r="V331" s="11">
        <v>-0.90096886790241903</v>
      </c>
      <c r="W331" s="11">
        <v>0.95406655005783869</v>
      </c>
      <c r="X331" s="11">
        <v>-0.29959475639726019</v>
      </c>
      <c r="Y331">
        <v>0</v>
      </c>
      <c r="Z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6">
        <v>45037</v>
      </c>
      <c r="B332" t="s">
        <v>31</v>
      </c>
      <c r="C332" t="s">
        <v>32</v>
      </c>
      <c r="D332" t="s">
        <v>33</v>
      </c>
      <c r="E332" t="s">
        <v>34</v>
      </c>
      <c r="F332">
        <v>140</v>
      </c>
      <c r="G332">
        <v>360</v>
      </c>
      <c r="H332">
        <v>206</v>
      </c>
      <c r="I332">
        <v>85</v>
      </c>
      <c r="J332" s="8">
        <v>0.6071428571428571</v>
      </c>
      <c r="K332">
        <v>42</v>
      </c>
      <c r="L332">
        <v>44</v>
      </c>
      <c r="M332">
        <v>183</v>
      </c>
      <c r="N332" s="10">
        <v>440.6</v>
      </c>
      <c r="O332" s="7">
        <v>5</v>
      </c>
      <c r="P332" s="7">
        <v>28</v>
      </c>
      <c r="Q332">
        <v>4</v>
      </c>
      <c r="R332" t="s">
        <v>66</v>
      </c>
      <c r="S332">
        <v>4</v>
      </c>
      <c r="T332">
        <v>111</v>
      </c>
      <c r="U332" s="11">
        <v>-0.43388373911755801</v>
      </c>
      <c r="V332" s="11">
        <v>-0.90096886790241915</v>
      </c>
      <c r="W332" s="11">
        <v>0.94877188643994725</v>
      </c>
      <c r="X332" s="11">
        <v>-0.31596187665790293</v>
      </c>
      <c r="Y332">
        <v>0</v>
      </c>
      <c r="Z332">
        <v>1</v>
      </c>
      <c r="AA332" t="s">
        <v>70</v>
      </c>
      <c r="AB332">
        <v>0</v>
      </c>
      <c r="AC332">
        <v>0</v>
      </c>
      <c r="AD332">
        <v>0</v>
      </c>
      <c r="AE332">
        <v>0</v>
      </c>
    </row>
    <row r="333" spans="1:31">
      <c r="A333" s="6">
        <v>45037</v>
      </c>
      <c r="B333" t="s">
        <v>36</v>
      </c>
      <c r="C333" t="s">
        <v>37</v>
      </c>
      <c r="D333" t="s">
        <v>38</v>
      </c>
      <c r="E333" t="s">
        <v>39</v>
      </c>
      <c r="F333">
        <v>125</v>
      </c>
      <c r="G333">
        <v>320</v>
      </c>
      <c r="H333">
        <v>186</v>
      </c>
      <c r="I333">
        <v>76</v>
      </c>
      <c r="J333" s="8">
        <v>0.60799999999999998</v>
      </c>
      <c r="K333">
        <v>34</v>
      </c>
      <c r="L333">
        <v>22</v>
      </c>
      <c r="M333">
        <v>174</v>
      </c>
      <c r="N333" s="10">
        <v>585.75</v>
      </c>
      <c r="O333" s="7">
        <v>5</v>
      </c>
      <c r="P333" s="7">
        <v>28</v>
      </c>
      <c r="Q333">
        <v>4</v>
      </c>
      <c r="R333" t="s">
        <v>66</v>
      </c>
      <c r="S333">
        <v>4</v>
      </c>
      <c r="T333">
        <v>111</v>
      </c>
      <c r="U333" s="11">
        <v>-0.43388373911755801</v>
      </c>
      <c r="V333" s="11">
        <v>-0.90096886790241915</v>
      </c>
      <c r="W333" s="11">
        <v>0.94877188643994725</v>
      </c>
      <c r="X333" s="11">
        <v>-0.31596187665790293</v>
      </c>
      <c r="Y333">
        <v>0</v>
      </c>
      <c r="Z333">
        <v>1</v>
      </c>
      <c r="AA333" t="s">
        <v>70</v>
      </c>
      <c r="AB333">
        <v>0</v>
      </c>
      <c r="AC333">
        <v>0</v>
      </c>
      <c r="AD333">
        <v>0</v>
      </c>
      <c r="AE333">
        <v>0</v>
      </c>
    </row>
    <row r="334" spans="1:31">
      <c r="A334" s="6">
        <v>45037</v>
      </c>
      <c r="B334" t="s">
        <v>41</v>
      </c>
      <c r="C334" t="s">
        <v>42</v>
      </c>
      <c r="D334" t="s">
        <v>43</v>
      </c>
      <c r="E334" t="s">
        <v>44</v>
      </c>
      <c r="F334">
        <v>85</v>
      </c>
      <c r="G334">
        <v>210</v>
      </c>
      <c r="H334">
        <v>119</v>
      </c>
      <c r="I334">
        <v>54</v>
      </c>
      <c r="J334" s="8">
        <v>0.63529411764705879</v>
      </c>
      <c r="K334">
        <v>21</v>
      </c>
      <c r="L334">
        <v>19</v>
      </c>
      <c r="M334">
        <v>96</v>
      </c>
      <c r="N334" s="10">
        <v>550.65</v>
      </c>
      <c r="O334" s="7">
        <v>5</v>
      </c>
      <c r="P334" s="7">
        <v>28</v>
      </c>
      <c r="Q334">
        <v>4</v>
      </c>
      <c r="R334" t="s">
        <v>66</v>
      </c>
      <c r="S334">
        <v>4</v>
      </c>
      <c r="T334">
        <v>111</v>
      </c>
      <c r="U334" s="11">
        <v>-0.43388373911755801</v>
      </c>
      <c r="V334" s="11">
        <v>-0.90096886790241915</v>
      </c>
      <c r="W334" s="11">
        <v>0.94877188643994725</v>
      </c>
      <c r="X334" s="11">
        <v>-0.31596187665790293</v>
      </c>
      <c r="Y334">
        <v>0</v>
      </c>
      <c r="Z334">
        <v>1</v>
      </c>
      <c r="AA334" t="s">
        <v>70</v>
      </c>
      <c r="AB334">
        <v>0</v>
      </c>
      <c r="AC334">
        <v>0</v>
      </c>
      <c r="AD334">
        <v>0</v>
      </c>
      <c r="AE334">
        <v>0</v>
      </c>
    </row>
    <row r="335" spans="1:31">
      <c r="A335" s="6">
        <v>45038</v>
      </c>
      <c r="B335" t="s">
        <v>31</v>
      </c>
      <c r="C335" t="s">
        <v>32</v>
      </c>
      <c r="D335" t="s">
        <v>33</v>
      </c>
      <c r="E335" t="s">
        <v>34</v>
      </c>
      <c r="F335">
        <v>140</v>
      </c>
      <c r="G335">
        <v>360</v>
      </c>
      <c r="H335">
        <v>194</v>
      </c>
      <c r="I335">
        <v>83</v>
      </c>
      <c r="J335" s="8">
        <v>0.59285714285714286</v>
      </c>
      <c r="K335">
        <v>49</v>
      </c>
      <c r="L335">
        <v>43</v>
      </c>
      <c r="M335">
        <v>160</v>
      </c>
      <c r="N335" s="10">
        <v>465.46</v>
      </c>
      <c r="O335" s="7">
        <v>10.5</v>
      </c>
      <c r="P335" s="7">
        <v>27.3</v>
      </c>
      <c r="Q335">
        <v>5</v>
      </c>
      <c r="R335" t="s">
        <v>67</v>
      </c>
      <c r="S335">
        <v>4</v>
      </c>
      <c r="T335">
        <v>112</v>
      </c>
      <c r="U335" s="11">
        <v>-0.97492791218182362</v>
      </c>
      <c r="V335" s="11">
        <v>-0.22252093395631459</v>
      </c>
      <c r="W335" s="11">
        <v>0.94319646595658657</v>
      </c>
      <c r="X335" s="11">
        <v>-0.33223549871590435</v>
      </c>
      <c r="Y335">
        <v>1</v>
      </c>
      <c r="Z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6">
        <v>45038</v>
      </c>
      <c r="B336" t="s">
        <v>36</v>
      </c>
      <c r="C336" t="s">
        <v>37</v>
      </c>
      <c r="D336" t="s">
        <v>38</v>
      </c>
      <c r="E336" t="s">
        <v>39</v>
      </c>
      <c r="F336">
        <v>125</v>
      </c>
      <c r="G336">
        <v>320</v>
      </c>
      <c r="H336">
        <v>182</v>
      </c>
      <c r="I336">
        <v>78</v>
      </c>
      <c r="J336" s="8">
        <v>0.624</v>
      </c>
      <c r="K336">
        <v>46</v>
      </c>
      <c r="L336">
        <v>16</v>
      </c>
      <c r="M336">
        <v>154</v>
      </c>
      <c r="N336" s="10">
        <v>726.14</v>
      </c>
      <c r="O336" s="7">
        <v>10.5</v>
      </c>
      <c r="P336" s="7">
        <v>27.3</v>
      </c>
      <c r="Q336">
        <v>5</v>
      </c>
      <c r="R336" t="s">
        <v>67</v>
      </c>
      <c r="S336">
        <v>4</v>
      </c>
      <c r="T336">
        <v>112</v>
      </c>
      <c r="U336" s="11">
        <v>-0.97492791218182362</v>
      </c>
      <c r="V336" s="11">
        <v>-0.22252093395631459</v>
      </c>
      <c r="W336" s="11">
        <v>0.94319646595658657</v>
      </c>
      <c r="X336" s="11">
        <v>-0.33223549871590435</v>
      </c>
      <c r="Y336">
        <v>1</v>
      </c>
      <c r="Z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6">
        <v>45038</v>
      </c>
      <c r="B337" t="s">
        <v>41</v>
      </c>
      <c r="C337" t="s">
        <v>42</v>
      </c>
      <c r="D337" t="s">
        <v>43</v>
      </c>
      <c r="E337" t="s">
        <v>44</v>
      </c>
      <c r="F337">
        <v>85</v>
      </c>
      <c r="G337">
        <v>210</v>
      </c>
      <c r="H337">
        <v>127</v>
      </c>
      <c r="I337">
        <v>57</v>
      </c>
      <c r="J337" s="8">
        <v>0.6705882352941176</v>
      </c>
      <c r="K337">
        <v>25</v>
      </c>
      <c r="L337">
        <v>12</v>
      </c>
      <c r="M337">
        <v>111</v>
      </c>
      <c r="N337" s="10">
        <v>560.98</v>
      </c>
      <c r="O337" s="7">
        <v>10.5</v>
      </c>
      <c r="P337" s="7">
        <v>27.3</v>
      </c>
      <c r="Q337">
        <v>5</v>
      </c>
      <c r="R337" t="s">
        <v>67</v>
      </c>
      <c r="S337">
        <v>4</v>
      </c>
      <c r="T337">
        <v>112</v>
      </c>
      <c r="U337" s="11">
        <v>-0.97492791218182362</v>
      </c>
      <c r="V337" s="11">
        <v>-0.22252093395631459</v>
      </c>
      <c r="W337" s="11">
        <v>0.94319646595658657</v>
      </c>
      <c r="X337" s="11">
        <v>-0.33223549871590435</v>
      </c>
      <c r="Y337">
        <v>1</v>
      </c>
      <c r="Z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6">
        <v>45039</v>
      </c>
      <c r="B338" t="s">
        <v>31</v>
      </c>
      <c r="C338" t="s">
        <v>32</v>
      </c>
      <c r="D338" t="s">
        <v>33</v>
      </c>
      <c r="E338" t="s">
        <v>34</v>
      </c>
      <c r="F338">
        <v>140</v>
      </c>
      <c r="G338">
        <v>360</v>
      </c>
      <c r="H338">
        <v>205</v>
      </c>
      <c r="I338">
        <v>85</v>
      </c>
      <c r="J338" s="8">
        <v>0.6071428571428571</v>
      </c>
      <c r="K338">
        <v>28</v>
      </c>
      <c r="L338">
        <v>50</v>
      </c>
      <c r="M338">
        <v>192</v>
      </c>
      <c r="N338" s="10">
        <v>494.13</v>
      </c>
      <c r="O338" s="7">
        <v>6</v>
      </c>
      <c r="P338" s="7">
        <v>28.2</v>
      </c>
      <c r="Q338">
        <v>6</v>
      </c>
      <c r="R338" t="s">
        <v>60</v>
      </c>
      <c r="S338">
        <v>4</v>
      </c>
      <c r="T338">
        <v>113</v>
      </c>
      <c r="U338" s="11">
        <v>-0.78183148246802991</v>
      </c>
      <c r="V338" s="11">
        <v>0.62348980185873337</v>
      </c>
      <c r="W338" s="11">
        <v>0.93734193846437719</v>
      </c>
      <c r="X338" s="11">
        <v>-0.3484108069446808</v>
      </c>
      <c r="Y338">
        <v>1</v>
      </c>
      <c r="Z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6">
        <v>45039</v>
      </c>
      <c r="B339" t="s">
        <v>36</v>
      </c>
      <c r="C339" t="s">
        <v>37</v>
      </c>
      <c r="D339" t="s">
        <v>38</v>
      </c>
      <c r="E339" t="s">
        <v>39</v>
      </c>
      <c r="F339">
        <v>125</v>
      </c>
      <c r="G339">
        <v>320</v>
      </c>
      <c r="H339">
        <v>176</v>
      </c>
      <c r="I339">
        <v>74</v>
      </c>
      <c r="J339" s="8">
        <v>0.59199999999999997</v>
      </c>
      <c r="K339">
        <v>32</v>
      </c>
      <c r="L339">
        <v>47</v>
      </c>
      <c r="M339">
        <v>165</v>
      </c>
      <c r="N339" s="10">
        <v>637.85</v>
      </c>
      <c r="O339" s="7">
        <v>6</v>
      </c>
      <c r="P339" s="7">
        <v>28.2</v>
      </c>
      <c r="Q339">
        <v>6</v>
      </c>
      <c r="R339" t="s">
        <v>60</v>
      </c>
      <c r="S339">
        <v>4</v>
      </c>
      <c r="T339">
        <v>113</v>
      </c>
      <c r="U339" s="11">
        <v>-0.78183148246802991</v>
      </c>
      <c r="V339" s="11">
        <v>0.62348980185873337</v>
      </c>
      <c r="W339" s="11">
        <v>0.93734193846437719</v>
      </c>
      <c r="X339" s="11">
        <v>-0.3484108069446808</v>
      </c>
      <c r="Y339">
        <v>1</v>
      </c>
      <c r="Z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6">
        <v>45039</v>
      </c>
      <c r="B340" t="s">
        <v>41</v>
      </c>
      <c r="C340" t="s">
        <v>42</v>
      </c>
      <c r="D340" t="s">
        <v>43</v>
      </c>
      <c r="E340" t="s">
        <v>44</v>
      </c>
      <c r="F340">
        <v>85</v>
      </c>
      <c r="G340">
        <v>210</v>
      </c>
      <c r="H340">
        <v>128</v>
      </c>
      <c r="I340">
        <v>55</v>
      </c>
      <c r="J340" s="8">
        <v>0.6470588235294118</v>
      </c>
      <c r="K340">
        <v>28</v>
      </c>
      <c r="L340">
        <v>16</v>
      </c>
      <c r="M340">
        <v>112</v>
      </c>
      <c r="N340" s="10">
        <v>648.94000000000005</v>
      </c>
      <c r="O340" s="7">
        <v>6</v>
      </c>
      <c r="P340" s="7">
        <v>28.2</v>
      </c>
      <c r="Q340">
        <v>6</v>
      </c>
      <c r="R340" t="s">
        <v>60</v>
      </c>
      <c r="S340">
        <v>4</v>
      </c>
      <c r="T340">
        <v>113</v>
      </c>
      <c r="U340" s="11">
        <v>-0.78183148246802991</v>
      </c>
      <c r="V340" s="11">
        <v>0.62348980185873337</v>
      </c>
      <c r="W340" s="11">
        <v>0.93734193846437719</v>
      </c>
      <c r="X340" s="11">
        <v>-0.3484108069446808</v>
      </c>
      <c r="Y340">
        <v>1</v>
      </c>
      <c r="Z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6">
        <v>45040</v>
      </c>
      <c r="B341" t="s">
        <v>31</v>
      </c>
      <c r="C341" t="s">
        <v>32</v>
      </c>
      <c r="D341" t="s">
        <v>33</v>
      </c>
      <c r="E341" t="s">
        <v>34</v>
      </c>
      <c r="F341">
        <v>140</v>
      </c>
      <c r="G341">
        <v>360</v>
      </c>
      <c r="H341">
        <v>158</v>
      </c>
      <c r="I341">
        <v>67</v>
      </c>
      <c r="J341" s="8">
        <v>0.47857142857142859</v>
      </c>
      <c r="K341">
        <v>24</v>
      </c>
      <c r="L341">
        <v>32</v>
      </c>
      <c r="M341">
        <v>135</v>
      </c>
      <c r="N341" s="10">
        <v>435.36</v>
      </c>
      <c r="O341" s="7">
        <v>15.3</v>
      </c>
      <c r="P341" s="7">
        <v>25.4</v>
      </c>
      <c r="Q341">
        <v>0</v>
      </c>
      <c r="R341" t="s">
        <v>62</v>
      </c>
      <c r="S341">
        <v>4</v>
      </c>
      <c r="T341">
        <v>114</v>
      </c>
      <c r="U341" s="11">
        <v>0</v>
      </c>
      <c r="V341" s="11">
        <v>1</v>
      </c>
      <c r="W341" s="11">
        <v>0.93121003641219469</v>
      </c>
      <c r="X341" s="11">
        <v>-0.36448301481029122</v>
      </c>
      <c r="Y341">
        <v>0</v>
      </c>
      <c r="Z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6">
        <v>45040</v>
      </c>
      <c r="B342" t="s">
        <v>36</v>
      </c>
      <c r="C342" t="s">
        <v>37</v>
      </c>
      <c r="D342" t="s">
        <v>38</v>
      </c>
      <c r="E342" t="s">
        <v>39</v>
      </c>
      <c r="F342">
        <v>125</v>
      </c>
      <c r="G342">
        <v>320</v>
      </c>
      <c r="H342">
        <v>154</v>
      </c>
      <c r="I342">
        <v>63</v>
      </c>
      <c r="J342" s="8">
        <v>0.504</v>
      </c>
      <c r="K342">
        <v>30</v>
      </c>
      <c r="L342">
        <v>24</v>
      </c>
      <c r="M342">
        <v>134</v>
      </c>
      <c r="N342" s="10">
        <v>639.71</v>
      </c>
      <c r="O342" s="7">
        <v>15.3</v>
      </c>
      <c r="P342" s="7">
        <v>25.4</v>
      </c>
      <c r="Q342">
        <v>0</v>
      </c>
      <c r="R342" t="s">
        <v>62</v>
      </c>
      <c r="S342">
        <v>4</v>
      </c>
      <c r="T342">
        <v>114</v>
      </c>
      <c r="U342" s="11">
        <v>0</v>
      </c>
      <c r="V342" s="11">
        <v>1</v>
      </c>
      <c r="W342" s="11">
        <v>0.93121003641219469</v>
      </c>
      <c r="X342" s="11">
        <v>-0.36448301481029122</v>
      </c>
      <c r="Y342">
        <v>0</v>
      </c>
      <c r="Z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6">
        <v>45040</v>
      </c>
      <c r="B343" t="s">
        <v>41</v>
      </c>
      <c r="C343" t="s">
        <v>42</v>
      </c>
      <c r="D343" t="s">
        <v>43</v>
      </c>
      <c r="E343" t="s">
        <v>44</v>
      </c>
      <c r="F343">
        <v>85</v>
      </c>
      <c r="G343">
        <v>210</v>
      </c>
      <c r="H343">
        <v>115</v>
      </c>
      <c r="I343">
        <v>46</v>
      </c>
      <c r="J343" s="8">
        <v>0.54117647058823526</v>
      </c>
      <c r="K343">
        <v>15</v>
      </c>
      <c r="L343">
        <v>32</v>
      </c>
      <c r="M343">
        <v>97</v>
      </c>
      <c r="N343" s="10">
        <v>564.63</v>
      </c>
      <c r="O343" s="7">
        <v>15.3</v>
      </c>
      <c r="P343" s="7">
        <v>25.4</v>
      </c>
      <c r="Q343">
        <v>0</v>
      </c>
      <c r="R343" t="s">
        <v>62</v>
      </c>
      <c r="S343">
        <v>4</v>
      </c>
      <c r="T343">
        <v>114</v>
      </c>
      <c r="U343" s="11">
        <v>0</v>
      </c>
      <c r="V343" s="11">
        <v>1</v>
      </c>
      <c r="W343" s="11">
        <v>0.93121003641219469</v>
      </c>
      <c r="X343" s="11">
        <v>-0.36448301481029122</v>
      </c>
      <c r="Y343">
        <v>0</v>
      </c>
      <c r="Z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6">
        <v>45041</v>
      </c>
      <c r="B344" t="s">
        <v>31</v>
      </c>
      <c r="C344" t="s">
        <v>32</v>
      </c>
      <c r="D344" t="s">
        <v>33</v>
      </c>
      <c r="E344" t="s">
        <v>34</v>
      </c>
      <c r="F344">
        <v>140</v>
      </c>
      <c r="G344">
        <v>360</v>
      </c>
      <c r="H344">
        <v>171</v>
      </c>
      <c r="I344">
        <v>74</v>
      </c>
      <c r="J344" s="8">
        <v>0.52857142857142858</v>
      </c>
      <c r="K344">
        <v>19</v>
      </c>
      <c r="L344">
        <v>28</v>
      </c>
      <c r="M344">
        <v>155</v>
      </c>
      <c r="N344" s="10">
        <v>461.99</v>
      </c>
      <c r="O344" s="7">
        <v>14.8</v>
      </c>
      <c r="P344" s="7">
        <v>25.7</v>
      </c>
      <c r="Q344">
        <v>1</v>
      </c>
      <c r="R344" t="s">
        <v>63</v>
      </c>
      <c r="S344">
        <v>4</v>
      </c>
      <c r="T344">
        <v>115</v>
      </c>
      <c r="U344" s="11">
        <v>0.7818314824680298</v>
      </c>
      <c r="V344" s="11">
        <v>0.62348980185873359</v>
      </c>
      <c r="W344" s="11">
        <v>0.92480257432850888</v>
      </c>
      <c r="X344" s="11">
        <v>-0.38044736628785164</v>
      </c>
      <c r="Y344">
        <v>0</v>
      </c>
      <c r="Z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6">
        <v>45041</v>
      </c>
      <c r="B345" t="s">
        <v>36</v>
      </c>
      <c r="C345" t="s">
        <v>37</v>
      </c>
      <c r="D345" t="s">
        <v>38</v>
      </c>
      <c r="E345" t="s">
        <v>39</v>
      </c>
      <c r="F345">
        <v>125</v>
      </c>
      <c r="G345">
        <v>320</v>
      </c>
      <c r="H345">
        <v>145</v>
      </c>
      <c r="I345">
        <v>60</v>
      </c>
      <c r="J345" s="8">
        <v>0.48</v>
      </c>
      <c r="K345">
        <v>42</v>
      </c>
      <c r="L345">
        <v>27</v>
      </c>
      <c r="M345">
        <v>135</v>
      </c>
      <c r="N345" s="10">
        <v>672.41</v>
      </c>
      <c r="O345" s="7">
        <v>14.8</v>
      </c>
      <c r="P345" s="7">
        <v>25.7</v>
      </c>
      <c r="Q345">
        <v>1</v>
      </c>
      <c r="R345" t="s">
        <v>63</v>
      </c>
      <c r="S345">
        <v>4</v>
      </c>
      <c r="T345">
        <v>115</v>
      </c>
      <c r="U345" s="11">
        <v>0.7818314824680298</v>
      </c>
      <c r="V345" s="11">
        <v>0.62348980185873359</v>
      </c>
      <c r="W345" s="11">
        <v>0.92480257432850888</v>
      </c>
      <c r="X345" s="11">
        <v>-0.38044736628785164</v>
      </c>
      <c r="Y345">
        <v>0</v>
      </c>
      <c r="Z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6">
        <v>45041</v>
      </c>
      <c r="B346" t="s">
        <v>41</v>
      </c>
      <c r="C346" t="s">
        <v>42</v>
      </c>
      <c r="D346" t="s">
        <v>43</v>
      </c>
      <c r="E346" t="s">
        <v>44</v>
      </c>
      <c r="F346">
        <v>85</v>
      </c>
      <c r="G346">
        <v>210</v>
      </c>
      <c r="H346">
        <v>121</v>
      </c>
      <c r="I346">
        <v>54</v>
      </c>
      <c r="J346" s="8">
        <v>0.63529411764705879</v>
      </c>
      <c r="K346">
        <v>22</v>
      </c>
      <c r="L346">
        <v>21</v>
      </c>
      <c r="M346">
        <v>107</v>
      </c>
      <c r="N346" s="10">
        <v>580.41999999999996</v>
      </c>
      <c r="O346" s="7">
        <v>14.8</v>
      </c>
      <c r="P346" s="7">
        <v>25.7</v>
      </c>
      <c r="Q346">
        <v>1</v>
      </c>
      <c r="R346" t="s">
        <v>63</v>
      </c>
      <c r="S346">
        <v>4</v>
      </c>
      <c r="T346">
        <v>115</v>
      </c>
      <c r="U346" s="11">
        <v>0.7818314824680298</v>
      </c>
      <c r="V346" s="11">
        <v>0.62348980185873359</v>
      </c>
      <c r="W346" s="11">
        <v>0.92480257432850888</v>
      </c>
      <c r="X346" s="11">
        <v>-0.38044736628785164</v>
      </c>
      <c r="Y346">
        <v>0</v>
      </c>
      <c r="Z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6">
        <v>45042</v>
      </c>
      <c r="B347" t="s">
        <v>31</v>
      </c>
      <c r="C347" t="s">
        <v>32</v>
      </c>
      <c r="D347" t="s">
        <v>33</v>
      </c>
      <c r="E347" t="s">
        <v>34</v>
      </c>
      <c r="F347">
        <v>140</v>
      </c>
      <c r="G347">
        <v>360</v>
      </c>
      <c r="H347">
        <v>165</v>
      </c>
      <c r="I347">
        <v>70</v>
      </c>
      <c r="J347" s="8">
        <v>0.5</v>
      </c>
      <c r="K347">
        <v>33</v>
      </c>
      <c r="L347">
        <v>19</v>
      </c>
      <c r="M347">
        <v>133</v>
      </c>
      <c r="N347" s="10">
        <v>431.69</v>
      </c>
      <c r="O347" s="7">
        <v>11.8</v>
      </c>
      <c r="P347" s="7">
        <v>27.7</v>
      </c>
      <c r="Q347">
        <v>2</v>
      </c>
      <c r="R347" t="s">
        <v>64</v>
      </c>
      <c r="S347">
        <v>4</v>
      </c>
      <c r="T347">
        <v>116</v>
      </c>
      <c r="U347" s="11">
        <v>0.97492791218182362</v>
      </c>
      <c r="V347" s="11">
        <v>-0.22252093395631434</v>
      </c>
      <c r="W347" s="11">
        <v>0.91812144828443654</v>
      </c>
      <c r="X347" s="11">
        <v>-0.39629913726891813</v>
      </c>
      <c r="Y347">
        <v>0</v>
      </c>
      <c r="Z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6">
        <v>45042</v>
      </c>
      <c r="B348" t="s">
        <v>36</v>
      </c>
      <c r="C348" t="s">
        <v>37</v>
      </c>
      <c r="D348" t="s">
        <v>38</v>
      </c>
      <c r="E348" t="s">
        <v>39</v>
      </c>
      <c r="F348">
        <v>125</v>
      </c>
      <c r="G348">
        <v>320</v>
      </c>
      <c r="H348">
        <v>129</v>
      </c>
      <c r="I348">
        <v>54</v>
      </c>
      <c r="J348" s="8">
        <v>0.432</v>
      </c>
      <c r="K348">
        <v>31</v>
      </c>
      <c r="L348">
        <v>15</v>
      </c>
      <c r="M348">
        <v>111</v>
      </c>
      <c r="N348" s="10">
        <v>573.79</v>
      </c>
      <c r="O348" s="7">
        <v>11.8</v>
      </c>
      <c r="P348" s="7">
        <v>27.7</v>
      </c>
      <c r="Q348">
        <v>2</v>
      </c>
      <c r="R348" t="s">
        <v>64</v>
      </c>
      <c r="S348">
        <v>4</v>
      </c>
      <c r="T348">
        <v>116</v>
      </c>
      <c r="U348" s="11">
        <v>0.97492791218182362</v>
      </c>
      <c r="V348" s="11">
        <v>-0.22252093395631434</v>
      </c>
      <c r="W348" s="11">
        <v>0.91812144828443654</v>
      </c>
      <c r="X348" s="11">
        <v>-0.39629913726891813</v>
      </c>
      <c r="Y348">
        <v>0</v>
      </c>
      <c r="Z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6">
        <v>45042</v>
      </c>
      <c r="B349" t="s">
        <v>41</v>
      </c>
      <c r="C349" t="s">
        <v>42</v>
      </c>
      <c r="D349" t="s">
        <v>43</v>
      </c>
      <c r="E349" t="s">
        <v>44</v>
      </c>
      <c r="F349">
        <v>85</v>
      </c>
      <c r="G349">
        <v>210</v>
      </c>
      <c r="H349">
        <v>103</v>
      </c>
      <c r="I349">
        <v>45</v>
      </c>
      <c r="J349" s="8">
        <v>0.52941176470588236</v>
      </c>
      <c r="K349">
        <v>16</v>
      </c>
      <c r="L349">
        <v>14</v>
      </c>
      <c r="M349">
        <v>86</v>
      </c>
      <c r="N349" s="10">
        <v>542.29</v>
      </c>
      <c r="O349" s="7">
        <v>11.8</v>
      </c>
      <c r="P349" s="7">
        <v>27.7</v>
      </c>
      <c r="Q349">
        <v>2</v>
      </c>
      <c r="R349" t="s">
        <v>64</v>
      </c>
      <c r="S349">
        <v>4</v>
      </c>
      <c r="T349">
        <v>116</v>
      </c>
      <c r="U349" s="11">
        <v>0.97492791218182362</v>
      </c>
      <c r="V349" s="11">
        <v>-0.22252093395631434</v>
      </c>
      <c r="W349" s="11">
        <v>0.91812144828443654</v>
      </c>
      <c r="X349" s="11">
        <v>-0.39629913726891813</v>
      </c>
      <c r="Y349">
        <v>0</v>
      </c>
      <c r="Z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6">
        <v>45043</v>
      </c>
      <c r="B350" t="s">
        <v>31</v>
      </c>
      <c r="C350" t="s">
        <v>32</v>
      </c>
      <c r="D350" t="s">
        <v>33</v>
      </c>
      <c r="E350" t="s">
        <v>34</v>
      </c>
      <c r="F350">
        <v>140</v>
      </c>
      <c r="G350">
        <v>360</v>
      </c>
      <c r="H350">
        <v>182</v>
      </c>
      <c r="I350">
        <v>76</v>
      </c>
      <c r="J350" s="8">
        <v>0.54285714285714282</v>
      </c>
      <c r="K350">
        <v>50</v>
      </c>
      <c r="L350">
        <v>51</v>
      </c>
      <c r="M350">
        <v>160</v>
      </c>
      <c r="N350" s="10">
        <v>418.24</v>
      </c>
      <c r="O350" s="7">
        <v>7.3</v>
      </c>
      <c r="P350" s="7">
        <v>27.7</v>
      </c>
      <c r="Q350">
        <v>3</v>
      </c>
      <c r="R350" t="s">
        <v>65</v>
      </c>
      <c r="S350">
        <v>4</v>
      </c>
      <c r="T350">
        <v>117</v>
      </c>
      <c r="U350" s="11">
        <v>0.43388373911755823</v>
      </c>
      <c r="V350" s="11">
        <v>-0.90096886790241903</v>
      </c>
      <c r="W350" s="11">
        <v>0.91116863533266312</v>
      </c>
      <c r="X350" s="11">
        <v>-0.41203363695942635</v>
      </c>
      <c r="Y350">
        <v>0</v>
      </c>
      <c r="Z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6">
        <v>45043</v>
      </c>
      <c r="B351" t="s">
        <v>36</v>
      </c>
      <c r="C351" t="s">
        <v>37</v>
      </c>
      <c r="D351" t="s">
        <v>38</v>
      </c>
      <c r="E351" t="s">
        <v>39</v>
      </c>
      <c r="F351">
        <v>125</v>
      </c>
      <c r="G351">
        <v>320</v>
      </c>
      <c r="H351">
        <v>151</v>
      </c>
      <c r="I351">
        <v>62</v>
      </c>
      <c r="J351" s="8">
        <v>0.496</v>
      </c>
      <c r="K351">
        <v>42</v>
      </c>
      <c r="L351">
        <v>26</v>
      </c>
      <c r="M351">
        <v>121</v>
      </c>
      <c r="N351" s="10">
        <v>644.59</v>
      </c>
      <c r="O351" s="7">
        <v>7.3</v>
      </c>
      <c r="P351" s="7">
        <v>27.7</v>
      </c>
      <c r="Q351">
        <v>3</v>
      </c>
      <c r="R351" t="s">
        <v>65</v>
      </c>
      <c r="S351">
        <v>4</v>
      </c>
      <c r="T351">
        <v>117</v>
      </c>
      <c r="U351" s="11">
        <v>0.43388373911755823</v>
      </c>
      <c r="V351" s="11">
        <v>-0.90096886790241903</v>
      </c>
      <c r="W351" s="11">
        <v>0.91116863533266312</v>
      </c>
      <c r="X351" s="11">
        <v>-0.41203363695942635</v>
      </c>
      <c r="Y351">
        <v>0</v>
      </c>
      <c r="Z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6">
        <v>45043</v>
      </c>
      <c r="B352" t="s">
        <v>41</v>
      </c>
      <c r="C352" t="s">
        <v>42</v>
      </c>
      <c r="D352" t="s">
        <v>43</v>
      </c>
      <c r="E352" t="s">
        <v>44</v>
      </c>
      <c r="F352">
        <v>85</v>
      </c>
      <c r="G352">
        <v>210</v>
      </c>
      <c r="H352">
        <v>122</v>
      </c>
      <c r="I352">
        <v>52</v>
      </c>
      <c r="J352" s="8">
        <v>0.61176470588235299</v>
      </c>
      <c r="K352">
        <v>23</v>
      </c>
      <c r="L352">
        <v>31</v>
      </c>
      <c r="M352">
        <v>110</v>
      </c>
      <c r="N352" s="10">
        <v>481.21</v>
      </c>
      <c r="O352" s="7">
        <v>7.3</v>
      </c>
      <c r="P352" s="7">
        <v>27.7</v>
      </c>
      <c r="Q352">
        <v>3</v>
      </c>
      <c r="R352" t="s">
        <v>65</v>
      </c>
      <c r="S352">
        <v>4</v>
      </c>
      <c r="T352">
        <v>117</v>
      </c>
      <c r="U352" s="11">
        <v>0.43388373911755823</v>
      </c>
      <c r="V352" s="11">
        <v>-0.90096886790241903</v>
      </c>
      <c r="W352" s="11">
        <v>0.91116863533266312</v>
      </c>
      <c r="X352" s="11">
        <v>-0.41203363695942635</v>
      </c>
      <c r="Y352">
        <v>0</v>
      </c>
      <c r="Z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6">
        <v>45044</v>
      </c>
      <c r="B353" t="s">
        <v>31</v>
      </c>
      <c r="C353" t="s">
        <v>32</v>
      </c>
      <c r="D353" t="s">
        <v>33</v>
      </c>
      <c r="E353" t="s">
        <v>34</v>
      </c>
      <c r="F353">
        <v>140</v>
      </c>
      <c r="G353">
        <v>360</v>
      </c>
      <c r="H353">
        <v>168</v>
      </c>
      <c r="I353">
        <v>73</v>
      </c>
      <c r="J353" s="8">
        <v>0.52142857142857146</v>
      </c>
      <c r="K353">
        <v>33</v>
      </c>
      <c r="L353">
        <v>32</v>
      </c>
      <c r="M353">
        <v>151</v>
      </c>
      <c r="N353" s="10">
        <v>404.3</v>
      </c>
      <c r="O353" s="7">
        <v>13.7</v>
      </c>
      <c r="P353" s="7">
        <v>27.5</v>
      </c>
      <c r="Q353">
        <v>4</v>
      </c>
      <c r="R353" t="s">
        <v>66</v>
      </c>
      <c r="S353">
        <v>4</v>
      </c>
      <c r="T353">
        <v>118</v>
      </c>
      <c r="U353" s="11">
        <v>-0.43388373911755801</v>
      </c>
      <c r="V353" s="11">
        <v>-0.90096886790241915</v>
      </c>
      <c r="W353" s="11">
        <v>0.90394619292240108</v>
      </c>
      <c r="X353" s="11">
        <v>-0.42764620926777464</v>
      </c>
      <c r="Y353">
        <v>0</v>
      </c>
      <c r="Z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6">
        <v>45044</v>
      </c>
      <c r="B354" t="s">
        <v>36</v>
      </c>
      <c r="C354" t="s">
        <v>37</v>
      </c>
      <c r="D354" t="s">
        <v>38</v>
      </c>
      <c r="E354" t="s">
        <v>39</v>
      </c>
      <c r="F354">
        <v>125</v>
      </c>
      <c r="G354">
        <v>320</v>
      </c>
      <c r="H354">
        <v>171</v>
      </c>
      <c r="I354">
        <v>73</v>
      </c>
      <c r="J354" s="8">
        <v>0.58399999999999996</v>
      </c>
      <c r="K354">
        <v>45</v>
      </c>
      <c r="L354">
        <v>37</v>
      </c>
      <c r="M354">
        <v>152</v>
      </c>
      <c r="N354" s="10">
        <v>586.63</v>
      </c>
      <c r="O354" s="7">
        <v>13.7</v>
      </c>
      <c r="P354" s="7">
        <v>27.5</v>
      </c>
      <c r="Q354">
        <v>4</v>
      </c>
      <c r="R354" t="s">
        <v>66</v>
      </c>
      <c r="S354">
        <v>4</v>
      </c>
      <c r="T354">
        <v>118</v>
      </c>
      <c r="U354" s="11">
        <v>-0.43388373911755801</v>
      </c>
      <c r="V354" s="11">
        <v>-0.90096886790241915</v>
      </c>
      <c r="W354" s="11">
        <v>0.90394619292240108</v>
      </c>
      <c r="X354" s="11">
        <v>-0.42764620926777464</v>
      </c>
      <c r="Y354">
        <v>0</v>
      </c>
      <c r="Z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6">
        <v>45044</v>
      </c>
      <c r="B355" t="s">
        <v>41</v>
      </c>
      <c r="C355" t="s">
        <v>42</v>
      </c>
      <c r="D355" t="s">
        <v>43</v>
      </c>
      <c r="E355" t="s">
        <v>44</v>
      </c>
      <c r="F355">
        <v>85</v>
      </c>
      <c r="G355">
        <v>210</v>
      </c>
      <c r="H355">
        <v>105</v>
      </c>
      <c r="I355">
        <v>46</v>
      </c>
      <c r="J355" s="8">
        <v>0.54117647058823526</v>
      </c>
      <c r="K355">
        <v>16</v>
      </c>
      <c r="L355">
        <v>15</v>
      </c>
      <c r="M355">
        <v>87</v>
      </c>
      <c r="N355" s="10">
        <v>498.54</v>
      </c>
      <c r="O355" s="7">
        <v>13.7</v>
      </c>
      <c r="P355" s="7">
        <v>27.5</v>
      </c>
      <c r="Q355">
        <v>4</v>
      </c>
      <c r="R355" t="s">
        <v>66</v>
      </c>
      <c r="S355">
        <v>4</v>
      </c>
      <c r="T355">
        <v>118</v>
      </c>
      <c r="U355" s="11">
        <v>-0.43388373911755801</v>
      </c>
      <c r="V355" s="11">
        <v>-0.90096886790241915</v>
      </c>
      <c r="W355" s="11">
        <v>0.90394619292240108</v>
      </c>
      <c r="X355" s="11">
        <v>-0.42764620926777464</v>
      </c>
      <c r="Y355">
        <v>0</v>
      </c>
      <c r="Z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6">
        <v>45045</v>
      </c>
      <c r="B356" t="s">
        <v>31</v>
      </c>
      <c r="C356" t="s">
        <v>32</v>
      </c>
      <c r="D356" t="s">
        <v>33</v>
      </c>
      <c r="E356" t="s">
        <v>34</v>
      </c>
      <c r="F356">
        <v>140</v>
      </c>
      <c r="G356">
        <v>360</v>
      </c>
      <c r="H356">
        <v>194</v>
      </c>
      <c r="I356">
        <v>79</v>
      </c>
      <c r="J356" s="8">
        <v>0.56428571428571428</v>
      </c>
      <c r="K356">
        <v>42</v>
      </c>
      <c r="L356">
        <v>39</v>
      </c>
      <c r="M356">
        <v>172</v>
      </c>
      <c r="N356" s="10">
        <v>434.89</v>
      </c>
      <c r="O356" s="7">
        <v>12.7</v>
      </c>
      <c r="P356" s="7">
        <v>27.7</v>
      </c>
      <c r="Q356">
        <v>5</v>
      </c>
      <c r="R356" t="s">
        <v>67</v>
      </c>
      <c r="S356">
        <v>4</v>
      </c>
      <c r="T356">
        <v>119</v>
      </c>
      <c r="U356" s="11">
        <v>-0.97492791218182362</v>
      </c>
      <c r="V356" s="11">
        <v>-0.22252093395631459</v>
      </c>
      <c r="W356" s="11">
        <v>0.89645625829055753</v>
      </c>
      <c r="X356" s="11">
        <v>-0.44313223418263453</v>
      </c>
      <c r="Y356">
        <v>1</v>
      </c>
      <c r="Z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6">
        <v>45045</v>
      </c>
      <c r="B357" t="s">
        <v>36</v>
      </c>
      <c r="C357" t="s">
        <v>37</v>
      </c>
      <c r="D357" t="s">
        <v>38</v>
      </c>
      <c r="E357" t="s">
        <v>39</v>
      </c>
      <c r="F357">
        <v>125</v>
      </c>
      <c r="G357">
        <v>320</v>
      </c>
      <c r="H357">
        <v>186</v>
      </c>
      <c r="I357">
        <v>77</v>
      </c>
      <c r="J357" s="8">
        <v>0.61599999999999999</v>
      </c>
      <c r="K357">
        <v>46</v>
      </c>
      <c r="L357">
        <v>30</v>
      </c>
      <c r="M357">
        <v>173</v>
      </c>
      <c r="N357" s="10">
        <v>697.92</v>
      </c>
      <c r="O357" s="7">
        <v>12.7</v>
      </c>
      <c r="P357" s="7">
        <v>27.7</v>
      </c>
      <c r="Q357">
        <v>5</v>
      </c>
      <c r="R357" t="s">
        <v>67</v>
      </c>
      <c r="S357">
        <v>4</v>
      </c>
      <c r="T357">
        <v>119</v>
      </c>
      <c r="U357" s="11">
        <v>-0.97492791218182362</v>
      </c>
      <c r="V357" s="11">
        <v>-0.22252093395631459</v>
      </c>
      <c r="W357" s="11">
        <v>0.89645625829055753</v>
      </c>
      <c r="X357" s="11">
        <v>-0.44313223418263453</v>
      </c>
      <c r="Y357">
        <v>1</v>
      </c>
      <c r="Z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6">
        <v>45045</v>
      </c>
      <c r="B358" t="s">
        <v>41</v>
      </c>
      <c r="C358" t="s">
        <v>42</v>
      </c>
      <c r="D358" t="s">
        <v>43</v>
      </c>
      <c r="E358" t="s">
        <v>44</v>
      </c>
      <c r="F358">
        <v>85</v>
      </c>
      <c r="G358">
        <v>210</v>
      </c>
      <c r="H358">
        <v>136</v>
      </c>
      <c r="I358">
        <v>60</v>
      </c>
      <c r="J358" s="8">
        <v>0.70588235294117652</v>
      </c>
      <c r="K358">
        <v>20</v>
      </c>
      <c r="L358">
        <v>16</v>
      </c>
      <c r="M358">
        <v>119</v>
      </c>
      <c r="N358" s="10">
        <v>573.72</v>
      </c>
      <c r="O358" s="7">
        <v>12.7</v>
      </c>
      <c r="P358" s="7">
        <v>27.7</v>
      </c>
      <c r="Q358">
        <v>5</v>
      </c>
      <c r="R358" t="s">
        <v>67</v>
      </c>
      <c r="S358">
        <v>4</v>
      </c>
      <c r="T358">
        <v>119</v>
      </c>
      <c r="U358" s="11">
        <v>-0.97492791218182362</v>
      </c>
      <c r="V358" s="11">
        <v>-0.22252093395631459</v>
      </c>
      <c r="W358" s="11">
        <v>0.89645625829055753</v>
      </c>
      <c r="X358" s="11">
        <v>-0.44313223418263453</v>
      </c>
      <c r="Y358">
        <v>1</v>
      </c>
      <c r="Z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6">
        <v>45046</v>
      </c>
      <c r="B359" t="s">
        <v>31</v>
      </c>
      <c r="C359" t="s">
        <v>32</v>
      </c>
      <c r="D359" t="s">
        <v>33</v>
      </c>
      <c r="E359" t="s">
        <v>34</v>
      </c>
      <c r="F359">
        <v>140</v>
      </c>
      <c r="G359">
        <v>360</v>
      </c>
      <c r="H359">
        <v>181</v>
      </c>
      <c r="I359">
        <v>75</v>
      </c>
      <c r="J359" s="8">
        <v>0.5357142857142857</v>
      </c>
      <c r="K359">
        <v>42</v>
      </c>
      <c r="L359">
        <v>47</v>
      </c>
      <c r="M359">
        <v>164</v>
      </c>
      <c r="N359" s="10">
        <v>477.1</v>
      </c>
      <c r="O359" s="7">
        <v>14</v>
      </c>
      <c r="P359" s="7">
        <v>26.4</v>
      </c>
      <c r="Q359">
        <v>6</v>
      </c>
      <c r="R359" t="s">
        <v>60</v>
      </c>
      <c r="S359">
        <v>4</v>
      </c>
      <c r="T359">
        <v>120</v>
      </c>
      <c r="U359" s="11">
        <v>-0.78183148246802991</v>
      </c>
      <c r="V359" s="11">
        <v>0.62348980185873337</v>
      </c>
      <c r="W359" s="11">
        <v>0.88870104782929149</v>
      </c>
      <c r="X359" s="11">
        <v>-0.45848712914008766</v>
      </c>
      <c r="Y359">
        <v>1</v>
      </c>
      <c r="Z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6">
        <v>45046</v>
      </c>
      <c r="B360" t="s">
        <v>36</v>
      </c>
      <c r="C360" t="s">
        <v>37</v>
      </c>
      <c r="D360" t="s">
        <v>38</v>
      </c>
      <c r="E360" t="s">
        <v>39</v>
      </c>
      <c r="F360">
        <v>125</v>
      </c>
      <c r="G360">
        <v>320</v>
      </c>
      <c r="H360">
        <v>177</v>
      </c>
      <c r="I360">
        <v>74</v>
      </c>
      <c r="J360" s="8">
        <v>0.59199999999999997</v>
      </c>
      <c r="K360">
        <v>35</v>
      </c>
      <c r="L360">
        <v>15</v>
      </c>
      <c r="M360">
        <v>153</v>
      </c>
      <c r="N360" s="10">
        <v>654.23</v>
      </c>
      <c r="O360" s="7">
        <v>14</v>
      </c>
      <c r="P360" s="7">
        <v>26.4</v>
      </c>
      <c r="Q360">
        <v>6</v>
      </c>
      <c r="R360" t="s">
        <v>60</v>
      </c>
      <c r="S360">
        <v>4</v>
      </c>
      <c r="T360">
        <v>120</v>
      </c>
      <c r="U360" s="11">
        <v>-0.78183148246802991</v>
      </c>
      <c r="V360" s="11">
        <v>0.62348980185873337</v>
      </c>
      <c r="W360" s="11">
        <v>0.88870104782929149</v>
      </c>
      <c r="X360" s="11">
        <v>-0.45848712914008766</v>
      </c>
      <c r="Y360">
        <v>1</v>
      </c>
      <c r="Z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6">
        <v>45046</v>
      </c>
      <c r="B361" t="s">
        <v>41</v>
      </c>
      <c r="C361" t="s">
        <v>42</v>
      </c>
      <c r="D361" t="s">
        <v>43</v>
      </c>
      <c r="E361" t="s">
        <v>44</v>
      </c>
      <c r="F361">
        <v>85</v>
      </c>
      <c r="G361">
        <v>210</v>
      </c>
      <c r="H361">
        <v>126</v>
      </c>
      <c r="I361">
        <v>58</v>
      </c>
      <c r="J361" s="8">
        <v>0.68235294117647061</v>
      </c>
      <c r="K361">
        <v>27</v>
      </c>
      <c r="L361">
        <v>27</v>
      </c>
      <c r="M361">
        <v>115</v>
      </c>
      <c r="N361" s="10">
        <v>602.12</v>
      </c>
      <c r="O361" s="7">
        <v>14</v>
      </c>
      <c r="P361" s="7">
        <v>26.4</v>
      </c>
      <c r="Q361">
        <v>6</v>
      </c>
      <c r="R361" t="s">
        <v>60</v>
      </c>
      <c r="S361">
        <v>4</v>
      </c>
      <c r="T361">
        <v>120</v>
      </c>
      <c r="U361" s="11">
        <v>-0.78183148246802991</v>
      </c>
      <c r="V361" s="11">
        <v>0.62348980185873337</v>
      </c>
      <c r="W361" s="11">
        <v>0.88870104782929149</v>
      </c>
      <c r="X361" s="11">
        <v>-0.45848712914008766</v>
      </c>
      <c r="Y361">
        <v>1</v>
      </c>
      <c r="Z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6">
        <v>45047</v>
      </c>
      <c r="B362" t="s">
        <v>31</v>
      </c>
      <c r="C362" t="s">
        <v>32</v>
      </c>
      <c r="D362" t="s">
        <v>33</v>
      </c>
      <c r="E362" t="s">
        <v>34</v>
      </c>
      <c r="F362">
        <v>140</v>
      </c>
      <c r="G362">
        <v>360</v>
      </c>
      <c r="H362">
        <v>196</v>
      </c>
      <c r="I362">
        <v>83</v>
      </c>
      <c r="J362" s="8">
        <v>0.59285714285714286</v>
      </c>
      <c r="K362">
        <v>38</v>
      </c>
      <c r="L362">
        <v>52</v>
      </c>
      <c r="M362">
        <v>165</v>
      </c>
      <c r="N362" s="10">
        <v>388.35</v>
      </c>
      <c r="O362" s="7">
        <v>9.6</v>
      </c>
      <c r="P362" s="7">
        <v>29.3</v>
      </c>
      <c r="Q362">
        <v>0</v>
      </c>
      <c r="R362" t="s">
        <v>62</v>
      </c>
      <c r="S362">
        <v>5</v>
      </c>
      <c r="T362">
        <v>121</v>
      </c>
      <c r="U362" s="11">
        <v>0</v>
      </c>
      <c r="V362" s="11">
        <v>1</v>
      </c>
      <c r="W362" s="11">
        <v>0.88068285643014754</v>
      </c>
      <c r="X362" s="11">
        <v>-0.47370635037968001</v>
      </c>
      <c r="Y362">
        <v>0</v>
      </c>
      <c r="Z362">
        <v>1</v>
      </c>
      <c r="AA362" t="s">
        <v>71</v>
      </c>
      <c r="AB362">
        <v>0</v>
      </c>
      <c r="AC362">
        <v>0</v>
      </c>
      <c r="AD362">
        <v>0</v>
      </c>
      <c r="AE362">
        <v>0</v>
      </c>
    </row>
    <row r="363" spans="1:31">
      <c r="A363" s="6">
        <v>45047</v>
      </c>
      <c r="B363" t="s">
        <v>36</v>
      </c>
      <c r="C363" t="s">
        <v>37</v>
      </c>
      <c r="D363" t="s">
        <v>38</v>
      </c>
      <c r="E363" t="s">
        <v>39</v>
      </c>
      <c r="F363">
        <v>125</v>
      </c>
      <c r="G363">
        <v>320</v>
      </c>
      <c r="H363">
        <v>152</v>
      </c>
      <c r="I363">
        <v>65</v>
      </c>
      <c r="J363" s="8">
        <v>0.52</v>
      </c>
      <c r="K363">
        <v>29</v>
      </c>
      <c r="L363">
        <v>22</v>
      </c>
      <c r="M363">
        <v>131</v>
      </c>
      <c r="N363" s="10">
        <v>573.91</v>
      </c>
      <c r="O363" s="7">
        <v>9.6</v>
      </c>
      <c r="P363" s="7">
        <v>29.3</v>
      </c>
      <c r="Q363">
        <v>0</v>
      </c>
      <c r="R363" t="s">
        <v>62</v>
      </c>
      <c r="S363">
        <v>5</v>
      </c>
      <c r="T363">
        <v>121</v>
      </c>
      <c r="U363" s="11">
        <v>0</v>
      </c>
      <c r="V363" s="11">
        <v>1</v>
      </c>
      <c r="W363" s="11">
        <v>0.88068285643014754</v>
      </c>
      <c r="X363" s="11">
        <v>-0.47370635037968001</v>
      </c>
      <c r="Y363">
        <v>0</v>
      </c>
      <c r="Z363">
        <v>1</v>
      </c>
      <c r="AA363" t="s">
        <v>71</v>
      </c>
      <c r="AB363">
        <v>0</v>
      </c>
      <c r="AC363">
        <v>0</v>
      </c>
      <c r="AD363">
        <v>0</v>
      </c>
      <c r="AE363">
        <v>0</v>
      </c>
    </row>
    <row r="364" spans="1:31">
      <c r="A364" s="6">
        <v>45047</v>
      </c>
      <c r="B364" t="s">
        <v>41</v>
      </c>
      <c r="C364" t="s">
        <v>42</v>
      </c>
      <c r="D364" t="s">
        <v>43</v>
      </c>
      <c r="E364" t="s">
        <v>44</v>
      </c>
      <c r="F364">
        <v>85</v>
      </c>
      <c r="G364">
        <v>210</v>
      </c>
      <c r="H364">
        <v>125</v>
      </c>
      <c r="I364">
        <v>57</v>
      </c>
      <c r="J364" s="8">
        <v>0.6705882352941176</v>
      </c>
      <c r="K364">
        <v>22</v>
      </c>
      <c r="L364">
        <v>28</v>
      </c>
      <c r="M364">
        <v>115</v>
      </c>
      <c r="N364" s="10">
        <v>509.98</v>
      </c>
      <c r="O364" s="7">
        <v>9.6</v>
      </c>
      <c r="P364" s="7">
        <v>29.3</v>
      </c>
      <c r="Q364">
        <v>0</v>
      </c>
      <c r="R364" t="s">
        <v>62</v>
      </c>
      <c r="S364">
        <v>5</v>
      </c>
      <c r="T364">
        <v>121</v>
      </c>
      <c r="U364" s="11">
        <v>0</v>
      </c>
      <c r="V364" s="11">
        <v>1</v>
      </c>
      <c r="W364" s="11">
        <v>0.88068285643014754</v>
      </c>
      <c r="X364" s="11">
        <v>-0.47370635037968001</v>
      </c>
      <c r="Y364">
        <v>0</v>
      </c>
      <c r="Z364">
        <v>1</v>
      </c>
      <c r="AA364" t="s">
        <v>71</v>
      </c>
      <c r="AB364">
        <v>0</v>
      </c>
      <c r="AC364">
        <v>0</v>
      </c>
      <c r="AD364">
        <v>0</v>
      </c>
      <c r="AE364">
        <v>0</v>
      </c>
    </row>
    <row r="365" spans="1:31">
      <c r="A365" s="6">
        <v>45048</v>
      </c>
      <c r="B365" t="s">
        <v>31</v>
      </c>
      <c r="C365" t="s">
        <v>32</v>
      </c>
      <c r="D365" t="s">
        <v>33</v>
      </c>
      <c r="E365" t="s">
        <v>34</v>
      </c>
      <c r="F365">
        <v>140</v>
      </c>
      <c r="G365">
        <v>360</v>
      </c>
      <c r="H365">
        <v>175</v>
      </c>
      <c r="I365">
        <v>73</v>
      </c>
      <c r="J365" s="8">
        <v>0.52142857142857146</v>
      </c>
      <c r="K365">
        <v>45</v>
      </c>
      <c r="L365">
        <v>26</v>
      </c>
      <c r="M365">
        <v>145</v>
      </c>
      <c r="N365" s="10">
        <v>416.73</v>
      </c>
      <c r="O365" s="7">
        <v>3.8</v>
      </c>
      <c r="P365" s="7">
        <v>28.5</v>
      </c>
      <c r="Q365">
        <v>1</v>
      </c>
      <c r="R365" t="s">
        <v>63</v>
      </c>
      <c r="S365">
        <v>5</v>
      </c>
      <c r="T365">
        <v>122</v>
      </c>
      <c r="U365" s="11">
        <v>0.7818314824680298</v>
      </c>
      <c r="V365" s="11">
        <v>0.62348980185873359</v>
      </c>
      <c r="W365" s="11">
        <v>0.87240405680496125</v>
      </c>
      <c r="X365" s="11">
        <v>-0.48878539428899265</v>
      </c>
      <c r="Y365">
        <v>0</v>
      </c>
      <c r="Z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6">
        <v>45048</v>
      </c>
      <c r="B366" t="s">
        <v>36</v>
      </c>
      <c r="C366" t="s">
        <v>37</v>
      </c>
      <c r="D366" t="s">
        <v>38</v>
      </c>
      <c r="E366" t="s">
        <v>39</v>
      </c>
      <c r="F366">
        <v>125</v>
      </c>
      <c r="G366">
        <v>320</v>
      </c>
      <c r="H366">
        <v>154</v>
      </c>
      <c r="I366">
        <v>62</v>
      </c>
      <c r="J366" s="8">
        <v>0.496</v>
      </c>
      <c r="K366">
        <v>21</v>
      </c>
      <c r="L366">
        <v>22</v>
      </c>
      <c r="M366">
        <v>134</v>
      </c>
      <c r="N366" s="10">
        <v>622.72</v>
      </c>
      <c r="O366" s="7">
        <v>3.8</v>
      </c>
      <c r="P366" s="7">
        <v>28.5</v>
      </c>
      <c r="Q366">
        <v>1</v>
      </c>
      <c r="R366" t="s">
        <v>63</v>
      </c>
      <c r="S366">
        <v>5</v>
      </c>
      <c r="T366">
        <v>122</v>
      </c>
      <c r="U366" s="11">
        <v>0.7818314824680298</v>
      </c>
      <c r="V366" s="11">
        <v>0.62348980185873359</v>
      </c>
      <c r="W366" s="11">
        <v>0.87240405680496125</v>
      </c>
      <c r="X366" s="11">
        <v>-0.48878539428899265</v>
      </c>
      <c r="Y366">
        <v>0</v>
      </c>
      <c r="Z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6">
        <v>45048</v>
      </c>
      <c r="B367" t="s">
        <v>41</v>
      </c>
      <c r="C367" t="s">
        <v>42</v>
      </c>
      <c r="D367" t="s">
        <v>43</v>
      </c>
      <c r="E367" t="s">
        <v>44</v>
      </c>
      <c r="F367">
        <v>85</v>
      </c>
      <c r="G367">
        <v>210</v>
      </c>
      <c r="H367">
        <v>111</v>
      </c>
      <c r="I367">
        <v>51</v>
      </c>
      <c r="J367" s="8">
        <v>0.6</v>
      </c>
      <c r="K367">
        <v>15</v>
      </c>
      <c r="L367">
        <v>16</v>
      </c>
      <c r="M367">
        <v>97</v>
      </c>
      <c r="N367" s="10">
        <v>508.39</v>
      </c>
      <c r="O367" s="7">
        <v>3.8</v>
      </c>
      <c r="P367" s="7">
        <v>28.5</v>
      </c>
      <c r="Q367">
        <v>1</v>
      </c>
      <c r="R367" t="s">
        <v>63</v>
      </c>
      <c r="S367">
        <v>5</v>
      </c>
      <c r="T367">
        <v>122</v>
      </c>
      <c r="U367" s="11">
        <v>0.7818314824680298</v>
      </c>
      <c r="V367" s="11">
        <v>0.62348980185873359</v>
      </c>
      <c r="W367" s="11">
        <v>0.87240405680496125</v>
      </c>
      <c r="X367" s="11">
        <v>-0.48878539428899265</v>
      </c>
      <c r="Y367">
        <v>0</v>
      </c>
      <c r="Z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6">
        <v>45049</v>
      </c>
      <c r="B368" t="s">
        <v>31</v>
      </c>
      <c r="C368" t="s">
        <v>32</v>
      </c>
      <c r="D368" t="s">
        <v>33</v>
      </c>
      <c r="E368" t="s">
        <v>34</v>
      </c>
      <c r="F368">
        <v>140</v>
      </c>
      <c r="G368">
        <v>360</v>
      </c>
      <c r="H368">
        <v>155</v>
      </c>
      <c r="I368">
        <v>66</v>
      </c>
      <c r="J368" s="8">
        <v>0.47142857142857142</v>
      </c>
      <c r="K368">
        <v>28</v>
      </c>
      <c r="L368">
        <v>35</v>
      </c>
      <c r="M368">
        <v>129</v>
      </c>
      <c r="N368" s="10">
        <v>403.65</v>
      </c>
      <c r="O368" s="7">
        <v>26.9</v>
      </c>
      <c r="P368" s="7">
        <v>27.9</v>
      </c>
      <c r="Q368">
        <v>2</v>
      </c>
      <c r="R368" t="s">
        <v>64</v>
      </c>
      <c r="S368">
        <v>5</v>
      </c>
      <c r="T368">
        <v>123</v>
      </c>
      <c r="U368" s="11">
        <v>0.97492791218182362</v>
      </c>
      <c r="V368" s="11">
        <v>-0.22252093395631434</v>
      </c>
      <c r="W368" s="11">
        <v>0.86386709878373491</v>
      </c>
      <c r="X368" s="11">
        <v>-0.50371979873633399</v>
      </c>
      <c r="Y368">
        <v>0</v>
      </c>
      <c r="Z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6">
        <v>45049</v>
      </c>
      <c r="B369" t="s">
        <v>36</v>
      </c>
      <c r="C369" t="s">
        <v>37</v>
      </c>
      <c r="D369" t="s">
        <v>38</v>
      </c>
      <c r="E369" t="s">
        <v>39</v>
      </c>
      <c r="F369">
        <v>125</v>
      </c>
      <c r="G369">
        <v>320</v>
      </c>
      <c r="H369">
        <v>154</v>
      </c>
      <c r="I369">
        <v>62</v>
      </c>
      <c r="J369" s="8">
        <v>0.496</v>
      </c>
      <c r="K369">
        <v>21</v>
      </c>
      <c r="L369">
        <v>18</v>
      </c>
      <c r="M369">
        <v>137</v>
      </c>
      <c r="N369" s="10">
        <v>642.03</v>
      </c>
      <c r="O369" s="7">
        <v>26.9</v>
      </c>
      <c r="P369" s="7">
        <v>27.9</v>
      </c>
      <c r="Q369">
        <v>2</v>
      </c>
      <c r="R369" t="s">
        <v>64</v>
      </c>
      <c r="S369">
        <v>5</v>
      </c>
      <c r="T369">
        <v>123</v>
      </c>
      <c r="U369" s="11">
        <v>0.97492791218182362</v>
      </c>
      <c r="V369" s="11">
        <v>-0.22252093395631434</v>
      </c>
      <c r="W369" s="11">
        <v>0.86386709878373491</v>
      </c>
      <c r="X369" s="11">
        <v>-0.50371979873633399</v>
      </c>
      <c r="Y369">
        <v>0</v>
      </c>
      <c r="Z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6">
        <v>45049</v>
      </c>
      <c r="B370" t="s">
        <v>41</v>
      </c>
      <c r="C370" t="s">
        <v>42</v>
      </c>
      <c r="D370" t="s">
        <v>43</v>
      </c>
      <c r="E370" t="s">
        <v>44</v>
      </c>
      <c r="F370">
        <v>85</v>
      </c>
      <c r="G370">
        <v>210</v>
      </c>
      <c r="H370">
        <v>112</v>
      </c>
      <c r="I370">
        <v>47</v>
      </c>
      <c r="J370" s="8">
        <v>0.55294117647058827</v>
      </c>
      <c r="K370">
        <v>14</v>
      </c>
      <c r="L370">
        <v>30</v>
      </c>
      <c r="M370">
        <v>101</v>
      </c>
      <c r="N370" s="10">
        <v>510.8</v>
      </c>
      <c r="O370" s="7">
        <v>26.9</v>
      </c>
      <c r="P370" s="7">
        <v>27.9</v>
      </c>
      <c r="Q370">
        <v>2</v>
      </c>
      <c r="R370" t="s">
        <v>64</v>
      </c>
      <c r="S370">
        <v>5</v>
      </c>
      <c r="T370">
        <v>123</v>
      </c>
      <c r="U370" s="11">
        <v>0.97492791218182362</v>
      </c>
      <c r="V370" s="11">
        <v>-0.22252093395631434</v>
      </c>
      <c r="W370" s="11">
        <v>0.86386709878373491</v>
      </c>
      <c r="X370" s="11">
        <v>-0.50371979873633399</v>
      </c>
      <c r="Y370">
        <v>0</v>
      </c>
      <c r="Z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6">
        <v>45050</v>
      </c>
      <c r="B371" t="s">
        <v>31</v>
      </c>
      <c r="C371" t="s">
        <v>32</v>
      </c>
      <c r="D371" t="s">
        <v>33</v>
      </c>
      <c r="E371" t="s">
        <v>34</v>
      </c>
      <c r="F371">
        <v>140</v>
      </c>
      <c r="G371">
        <v>360</v>
      </c>
      <c r="H371">
        <v>159</v>
      </c>
      <c r="I371">
        <v>67</v>
      </c>
      <c r="J371" s="8">
        <v>0.47857142857142859</v>
      </c>
      <c r="K371">
        <v>37</v>
      </c>
      <c r="L371">
        <v>19</v>
      </c>
      <c r="M371">
        <v>146</v>
      </c>
      <c r="N371" s="10">
        <v>457.95</v>
      </c>
      <c r="O371" s="7">
        <v>11.5</v>
      </c>
      <c r="P371" s="7">
        <v>27.5</v>
      </c>
      <c r="Q371">
        <v>3</v>
      </c>
      <c r="R371" t="s">
        <v>65</v>
      </c>
      <c r="S371">
        <v>5</v>
      </c>
      <c r="T371">
        <v>124</v>
      </c>
      <c r="U371" s="11">
        <v>0.43388373911755823</v>
      </c>
      <c r="V371" s="11">
        <v>-0.90096886790241903</v>
      </c>
      <c r="W371" s="11">
        <v>0.85507450858969325</v>
      </c>
      <c r="X371" s="11">
        <v>-0.51850514439115702</v>
      </c>
      <c r="Y371">
        <v>0</v>
      </c>
      <c r="Z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6">
        <v>45050</v>
      </c>
      <c r="B372" t="s">
        <v>36</v>
      </c>
      <c r="C372" t="s">
        <v>37</v>
      </c>
      <c r="D372" t="s">
        <v>38</v>
      </c>
      <c r="E372" t="s">
        <v>39</v>
      </c>
      <c r="F372">
        <v>125</v>
      </c>
      <c r="G372">
        <v>320</v>
      </c>
      <c r="H372">
        <v>148</v>
      </c>
      <c r="I372">
        <v>61</v>
      </c>
      <c r="J372" s="8">
        <v>0.48799999999999999</v>
      </c>
      <c r="K372">
        <v>22</v>
      </c>
      <c r="L372">
        <v>29</v>
      </c>
      <c r="M372">
        <v>119</v>
      </c>
      <c r="N372" s="10">
        <v>664.02</v>
      </c>
      <c r="O372" s="7">
        <v>11.5</v>
      </c>
      <c r="P372" s="7">
        <v>27.5</v>
      </c>
      <c r="Q372">
        <v>3</v>
      </c>
      <c r="R372" t="s">
        <v>65</v>
      </c>
      <c r="S372">
        <v>5</v>
      </c>
      <c r="T372">
        <v>124</v>
      </c>
      <c r="U372" s="11">
        <v>0.43388373911755823</v>
      </c>
      <c r="V372" s="11">
        <v>-0.90096886790241903</v>
      </c>
      <c r="W372" s="11">
        <v>0.85507450858969325</v>
      </c>
      <c r="X372" s="11">
        <v>-0.51850514439115702</v>
      </c>
      <c r="Y372">
        <v>0</v>
      </c>
      <c r="Z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6">
        <v>45050</v>
      </c>
      <c r="B373" t="s">
        <v>41</v>
      </c>
      <c r="C373" t="s">
        <v>42</v>
      </c>
      <c r="D373" t="s">
        <v>43</v>
      </c>
      <c r="E373" t="s">
        <v>44</v>
      </c>
      <c r="F373">
        <v>85</v>
      </c>
      <c r="G373">
        <v>210</v>
      </c>
      <c r="H373">
        <v>121</v>
      </c>
      <c r="I373">
        <v>52</v>
      </c>
      <c r="J373" s="8">
        <v>0.61176470588235299</v>
      </c>
      <c r="K373">
        <v>21</v>
      </c>
      <c r="L373">
        <v>22</v>
      </c>
      <c r="M373">
        <v>100</v>
      </c>
      <c r="N373" s="10">
        <v>555.35</v>
      </c>
      <c r="O373" s="7">
        <v>11.5</v>
      </c>
      <c r="P373" s="7">
        <v>27.5</v>
      </c>
      <c r="Q373">
        <v>3</v>
      </c>
      <c r="R373" t="s">
        <v>65</v>
      </c>
      <c r="S373">
        <v>5</v>
      </c>
      <c r="T373">
        <v>124</v>
      </c>
      <c r="U373" s="11">
        <v>0.43388373911755823</v>
      </c>
      <c r="V373" s="11">
        <v>-0.90096886790241903</v>
      </c>
      <c r="W373" s="11">
        <v>0.85507450858969325</v>
      </c>
      <c r="X373" s="11">
        <v>-0.51850514439115702</v>
      </c>
      <c r="Y373">
        <v>0</v>
      </c>
      <c r="Z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6">
        <v>45051</v>
      </c>
      <c r="B374" t="s">
        <v>31</v>
      </c>
      <c r="C374" t="s">
        <v>32</v>
      </c>
      <c r="D374" t="s">
        <v>33</v>
      </c>
      <c r="E374" t="s">
        <v>34</v>
      </c>
      <c r="F374">
        <v>140</v>
      </c>
      <c r="G374">
        <v>360</v>
      </c>
      <c r="H374">
        <v>189</v>
      </c>
      <c r="I374">
        <v>83</v>
      </c>
      <c r="J374" s="8">
        <v>0.59285714285714286</v>
      </c>
      <c r="K374">
        <v>22</v>
      </c>
      <c r="L374">
        <v>41</v>
      </c>
      <c r="M374">
        <v>163</v>
      </c>
      <c r="N374" s="10">
        <v>423.12</v>
      </c>
      <c r="O374" s="7">
        <v>13.1</v>
      </c>
      <c r="P374" s="7">
        <v>27.1</v>
      </c>
      <c r="Q374">
        <v>4</v>
      </c>
      <c r="R374" t="s">
        <v>66</v>
      </c>
      <c r="S374">
        <v>5</v>
      </c>
      <c r="T374">
        <v>125</v>
      </c>
      <c r="U374" s="11">
        <v>-0.43388373911755801</v>
      </c>
      <c r="V374" s="11">
        <v>-0.90096886790241915</v>
      </c>
      <c r="W374" s="11">
        <v>0.84602888809173393</v>
      </c>
      <c r="X374" s="11">
        <v>-0.53313705603180905</v>
      </c>
      <c r="Y374">
        <v>0</v>
      </c>
      <c r="Z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6">
        <v>45051</v>
      </c>
      <c r="B375" t="s">
        <v>36</v>
      </c>
      <c r="C375" t="s">
        <v>37</v>
      </c>
      <c r="D375" t="s">
        <v>38</v>
      </c>
      <c r="E375" t="s">
        <v>39</v>
      </c>
      <c r="F375">
        <v>125</v>
      </c>
      <c r="G375">
        <v>320</v>
      </c>
      <c r="H375">
        <v>165</v>
      </c>
      <c r="I375">
        <v>70</v>
      </c>
      <c r="J375" s="8">
        <v>0.56000000000000005</v>
      </c>
      <c r="K375">
        <v>26</v>
      </c>
      <c r="L375">
        <v>16</v>
      </c>
      <c r="M375">
        <v>148</v>
      </c>
      <c r="N375" s="10">
        <v>652.1</v>
      </c>
      <c r="O375" s="7">
        <v>13.1</v>
      </c>
      <c r="P375" s="7">
        <v>27.1</v>
      </c>
      <c r="Q375">
        <v>4</v>
      </c>
      <c r="R375" t="s">
        <v>66</v>
      </c>
      <c r="S375">
        <v>5</v>
      </c>
      <c r="T375">
        <v>125</v>
      </c>
      <c r="U375" s="11">
        <v>-0.43388373911755801</v>
      </c>
      <c r="V375" s="11">
        <v>-0.90096886790241915</v>
      </c>
      <c r="W375" s="11">
        <v>0.84602888809173393</v>
      </c>
      <c r="X375" s="11">
        <v>-0.53313705603180905</v>
      </c>
      <c r="Y375">
        <v>0</v>
      </c>
      <c r="Z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6">
        <v>45051</v>
      </c>
      <c r="B376" t="s">
        <v>41</v>
      </c>
      <c r="C376" t="s">
        <v>42</v>
      </c>
      <c r="D376" t="s">
        <v>43</v>
      </c>
      <c r="E376" t="s">
        <v>44</v>
      </c>
      <c r="F376">
        <v>85</v>
      </c>
      <c r="G376">
        <v>210</v>
      </c>
      <c r="H376">
        <v>103</v>
      </c>
      <c r="I376">
        <v>46</v>
      </c>
      <c r="J376" s="8">
        <v>0.54117647058823526</v>
      </c>
      <c r="K376">
        <v>25</v>
      </c>
      <c r="L376">
        <v>28</v>
      </c>
      <c r="M376">
        <v>97</v>
      </c>
      <c r="N376" s="10">
        <v>519.85</v>
      </c>
      <c r="O376" s="7">
        <v>13.1</v>
      </c>
      <c r="P376" s="7">
        <v>27.1</v>
      </c>
      <c r="Q376">
        <v>4</v>
      </c>
      <c r="R376" t="s">
        <v>66</v>
      </c>
      <c r="S376">
        <v>5</v>
      </c>
      <c r="T376">
        <v>125</v>
      </c>
      <c r="U376" s="11">
        <v>-0.43388373911755801</v>
      </c>
      <c r="V376" s="11">
        <v>-0.90096886790241915</v>
      </c>
      <c r="W376" s="11">
        <v>0.84602888809173393</v>
      </c>
      <c r="X376" s="11">
        <v>-0.53313705603180905</v>
      </c>
      <c r="Y376">
        <v>0</v>
      </c>
      <c r="Z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6">
        <v>45052</v>
      </c>
      <c r="B377" t="s">
        <v>31</v>
      </c>
      <c r="C377" t="s">
        <v>32</v>
      </c>
      <c r="D377" t="s">
        <v>33</v>
      </c>
      <c r="E377" t="s">
        <v>34</v>
      </c>
      <c r="F377">
        <v>140</v>
      </c>
      <c r="G377">
        <v>360</v>
      </c>
      <c r="H377">
        <v>201</v>
      </c>
      <c r="I377">
        <v>83</v>
      </c>
      <c r="J377" s="8">
        <v>0.59285714285714286</v>
      </c>
      <c r="K377">
        <v>29</v>
      </c>
      <c r="L377">
        <v>34</v>
      </c>
      <c r="M377">
        <v>181</v>
      </c>
      <c r="N377" s="10">
        <v>440.2</v>
      </c>
      <c r="O377" s="7">
        <v>1.9</v>
      </c>
      <c r="P377" s="7">
        <v>26.3</v>
      </c>
      <c r="Q377">
        <v>5</v>
      </c>
      <c r="R377" t="s">
        <v>67</v>
      </c>
      <c r="S377">
        <v>5</v>
      </c>
      <c r="T377">
        <v>126</v>
      </c>
      <c r="U377" s="11">
        <v>-0.97492791218182362</v>
      </c>
      <c r="V377" s="11">
        <v>-0.22252093395631459</v>
      </c>
      <c r="W377" s="11">
        <v>0.83673291403449213</v>
      </c>
      <c r="X377" s="11">
        <v>-0.54761120384023121</v>
      </c>
      <c r="Y377">
        <v>1</v>
      </c>
      <c r="Z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6">
        <v>45052</v>
      </c>
      <c r="B378" t="s">
        <v>36</v>
      </c>
      <c r="C378" t="s">
        <v>37</v>
      </c>
      <c r="D378" t="s">
        <v>38</v>
      </c>
      <c r="E378" t="s">
        <v>39</v>
      </c>
      <c r="F378">
        <v>125</v>
      </c>
      <c r="G378">
        <v>320</v>
      </c>
      <c r="H378">
        <v>183</v>
      </c>
      <c r="I378">
        <v>78</v>
      </c>
      <c r="J378" s="8">
        <v>0.624</v>
      </c>
      <c r="K378">
        <v>42</v>
      </c>
      <c r="L378">
        <v>33</v>
      </c>
      <c r="M378">
        <v>159</v>
      </c>
      <c r="N378" s="10">
        <v>647.83000000000004</v>
      </c>
      <c r="O378" s="7">
        <v>1.9</v>
      </c>
      <c r="P378" s="7">
        <v>26.3</v>
      </c>
      <c r="Q378">
        <v>5</v>
      </c>
      <c r="R378" t="s">
        <v>67</v>
      </c>
      <c r="S378">
        <v>5</v>
      </c>
      <c r="T378">
        <v>126</v>
      </c>
      <c r="U378" s="11">
        <v>-0.97492791218182362</v>
      </c>
      <c r="V378" s="11">
        <v>-0.22252093395631459</v>
      </c>
      <c r="W378" s="11">
        <v>0.83673291403449213</v>
      </c>
      <c r="X378" s="11">
        <v>-0.54761120384023121</v>
      </c>
      <c r="Y378">
        <v>1</v>
      </c>
      <c r="Z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6">
        <v>45052</v>
      </c>
      <c r="B379" t="s">
        <v>41</v>
      </c>
      <c r="C379" t="s">
        <v>42</v>
      </c>
      <c r="D379" t="s">
        <v>43</v>
      </c>
      <c r="E379" t="s">
        <v>44</v>
      </c>
      <c r="F379">
        <v>85</v>
      </c>
      <c r="G379">
        <v>210</v>
      </c>
      <c r="H379">
        <v>136</v>
      </c>
      <c r="I379">
        <v>61</v>
      </c>
      <c r="J379" s="8">
        <v>0.71764705882352942</v>
      </c>
      <c r="K379">
        <v>22</v>
      </c>
      <c r="L379">
        <v>17</v>
      </c>
      <c r="M379">
        <v>116</v>
      </c>
      <c r="N379" s="10">
        <v>612.85</v>
      </c>
      <c r="O379" s="7">
        <v>1.9</v>
      </c>
      <c r="P379" s="7">
        <v>26.3</v>
      </c>
      <c r="Q379">
        <v>5</v>
      </c>
      <c r="R379" t="s">
        <v>67</v>
      </c>
      <c r="S379">
        <v>5</v>
      </c>
      <c r="T379">
        <v>126</v>
      </c>
      <c r="U379" s="11">
        <v>-0.97492791218182362</v>
      </c>
      <c r="V379" s="11">
        <v>-0.22252093395631459</v>
      </c>
      <c r="W379" s="11">
        <v>0.83673291403449213</v>
      </c>
      <c r="X379" s="11">
        <v>-0.54761120384023121</v>
      </c>
      <c r="Y379">
        <v>1</v>
      </c>
      <c r="Z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6">
        <v>45053</v>
      </c>
      <c r="B380" t="s">
        <v>31</v>
      </c>
      <c r="C380" t="s">
        <v>32</v>
      </c>
      <c r="D380" t="s">
        <v>33</v>
      </c>
      <c r="E380" t="s">
        <v>34</v>
      </c>
      <c r="F380">
        <v>140</v>
      </c>
      <c r="G380">
        <v>360</v>
      </c>
      <c r="H380">
        <v>194</v>
      </c>
      <c r="I380">
        <v>82</v>
      </c>
      <c r="J380" s="8">
        <v>0.58571428571428574</v>
      </c>
      <c r="K380">
        <v>41</v>
      </c>
      <c r="L380">
        <v>28</v>
      </c>
      <c r="M380">
        <v>182</v>
      </c>
      <c r="N380" s="10">
        <v>496.56</v>
      </c>
      <c r="O380" s="7">
        <v>11.7</v>
      </c>
      <c r="P380" s="7">
        <v>27.2</v>
      </c>
      <c r="Q380">
        <v>6</v>
      </c>
      <c r="R380" t="s">
        <v>60</v>
      </c>
      <c r="S380">
        <v>5</v>
      </c>
      <c r="T380">
        <v>127</v>
      </c>
      <c r="U380" s="11">
        <v>-0.78183148246802991</v>
      </c>
      <c r="V380" s="11">
        <v>0.62348980185873337</v>
      </c>
      <c r="W380" s="11">
        <v>0.82718933724624966</v>
      </c>
      <c r="X380" s="11">
        <v>-0.56192330468321949</v>
      </c>
      <c r="Y380">
        <v>1</v>
      </c>
      <c r="Z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6">
        <v>45053</v>
      </c>
      <c r="B381" t="s">
        <v>36</v>
      </c>
      <c r="C381" t="s">
        <v>37</v>
      </c>
      <c r="D381" t="s">
        <v>38</v>
      </c>
      <c r="E381" t="s">
        <v>39</v>
      </c>
      <c r="F381">
        <v>125</v>
      </c>
      <c r="G381">
        <v>320</v>
      </c>
      <c r="H381">
        <v>169</v>
      </c>
      <c r="I381">
        <v>72</v>
      </c>
      <c r="J381" s="8">
        <v>0.57599999999999996</v>
      </c>
      <c r="K381">
        <v>23</v>
      </c>
      <c r="L381">
        <v>40</v>
      </c>
      <c r="M381">
        <v>135</v>
      </c>
      <c r="N381" s="10">
        <v>641.22</v>
      </c>
      <c r="O381" s="7">
        <v>11.7</v>
      </c>
      <c r="P381" s="7">
        <v>27.2</v>
      </c>
      <c r="Q381">
        <v>6</v>
      </c>
      <c r="R381" t="s">
        <v>60</v>
      </c>
      <c r="S381">
        <v>5</v>
      </c>
      <c r="T381">
        <v>127</v>
      </c>
      <c r="U381" s="11">
        <v>-0.78183148246802991</v>
      </c>
      <c r="V381" s="11">
        <v>0.62348980185873337</v>
      </c>
      <c r="W381" s="11">
        <v>0.82718933724624966</v>
      </c>
      <c r="X381" s="11">
        <v>-0.56192330468321949</v>
      </c>
      <c r="Y381">
        <v>1</v>
      </c>
      <c r="Z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6">
        <v>45053</v>
      </c>
      <c r="B382" t="s">
        <v>41</v>
      </c>
      <c r="C382" t="s">
        <v>42</v>
      </c>
      <c r="D382" t="s">
        <v>43</v>
      </c>
      <c r="E382" t="s">
        <v>44</v>
      </c>
      <c r="F382">
        <v>85</v>
      </c>
      <c r="G382">
        <v>210</v>
      </c>
      <c r="H382">
        <v>153</v>
      </c>
      <c r="I382">
        <v>64</v>
      </c>
      <c r="J382" s="8">
        <v>0.75294117647058822</v>
      </c>
      <c r="K382">
        <v>27</v>
      </c>
      <c r="L382">
        <v>24</v>
      </c>
      <c r="M382">
        <v>140</v>
      </c>
      <c r="N382" s="10">
        <v>576.1</v>
      </c>
      <c r="O382" s="7">
        <v>11.7</v>
      </c>
      <c r="P382" s="7">
        <v>27.2</v>
      </c>
      <c r="Q382">
        <v>6</v>
      </c>
      <c r="R382" t="s">
        <v>60</v>
      </c>
      <c r="S382">
        <v>5</v>
      </c>
      <c r="T382">
        <v>127</v>
      </c>
      <c r="U382" s="11">
        <v>-0.78183148246802991</v>
      </c>
      <c r="V382" s="11">
        <v>0.62348980185873337</v>
      </c>
      <c r="W382" s="11">
        <v>0.82718933724624966</v>
      </c>
      <c r="X382" s="11">
        <v>-0.56192330468321949</v>
      </c>
      <c r="Y382">
        <v>1</v>
      </c>
      <c r="Z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6">
        <v>45054</v>
      </c>
      <c r="B383" t="s">
        <v>31</v>
      </c>
      <c r="C383" t="s">
        <v>32</v>
      </c>
      <c r="D383" t="s">
        <v>33</v>
      </c>
      <c r="E383" t="s">
        <v>34</v>
      </c>
      <c r="F383">
        <v>140</v>
      </c>
      <c r="G383">
        <v>360</v>
      </c>
      <c r="H383">
        <v>168</v>
      </c>
      <c r="I383">
        <v>73</v>
      </c>
      <c r="J383" s="8">
        <v>0.52142857142857146</v>
      </c>
      <c r="K383">
        <v>36</v>
      </c>
      <c r="L383">
        <v>17</v>
      </c>
      <c r="M383">
        <v>157</v>
      </c>
      <c r="N383" s="10">
        <v>409.94</v>
      </c>
      <c r="O383" s="7">
        <v>14.6</v>
      </c>
      <c r="P383" s="7">
        <v>28.1</v>
      </c>
      <c r="Q383">
        <v>0</v>
      </c>
      <c r="R383" t="s">
        <v>62</v>
      </c>
      <c r="S383">
        <v>5</v>
      </c>
      <c r="T383">
        <v>128</v>
      </c>
      <c r="U383" s="11">
        <v>0</v>
      </c>
      <c r="V383" s="11">
        <v>1</v>
      </c>
      <c r="W383" s="11">
        <v>0.81740098182491894</v>
      </c>
      <c r="X383" s="11">
        <v>-0.57606912337987581</v>
      </c>
      <c r="Y383">
        <v>0</v>
      </c>
      <c r="Z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6">
        <v>45054</v>
      </c>
      <c r="B384" t="s">
        <v>36</v>
      </c>
      <c r="C384" t="s">
        <v>37</v>
      </c>
      <c r="D384" t="s">
        <v>38</v>
      </c>
      <c r="E384" t="s">
        <v>39</v>
      </c>
      <c r="F384">
        <v>125</v>
      </c>
      <c r="G384">
        <v>320</v>
      </c>
      <c r="H384">
        <v>156</v>
      </c>
      <c r="I384">
        <v>66</v>
      </c>
      <c r="J384" s="8">
        <v>0.52800000000000002</v>
      </c>
      <c r="K384">
        <v>34</v>
      </c>
      <c r="L384">
        <v>37</v>
      </c>
      <c r="M384">
        <v>136</v>
      </c>
      <c r="N384" s="10">
        <v>587.14</v>
      </c>
      <c r="O384" s="7">
        <v>14.6</v>
      </c>
      <c r="P384" s="7">
        <v>28.1</v>
      </c>
      <c r="Q384">
        <v>0</v>
      </c>
      <c r="R384" t="s">
        <v>62</v>
      </c>
      <c r="S384">
        <v>5</v>
      </c>
      <c r="T384">
        <v>128</v>
      </c>
      <c r="U384" s="11">
        <v>0</v>
      </c>
      <c r="V384" s="11">
        <v>1</v>
      </c>
      <c r="W384" s="11">
        <v>0.81740098182491894</v>
      </c>
      <c r="X384" s="11">
        <v>-0.57606912337987581</v>
      </c>
      <c r="Y384">
        <v>0</v>
      </c>
      <c r="Z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6">
        <v>45054</v>
      </c>
      <c r="B385" t="s">
        <v>41</v>
      </c>
      <c r="C385" t="s">
        <v>42</v>
      </c>
      <c r="D385" t="s">
        <v>43</v>
      </c>
      <c r="E385" t="s">
        <v>44</v>
      </c>
      <c r="F385">
        <v>85</v>
      </c>
      <c r="G385">
        <v>210</v>
      </c>
      <c r="H385">
        <v>111</v>
      </c>
      <c r="I385">
        <v>51</v>
      </c>
      <c r="J385" s="8">
        <v>0.6</v>
      </c>
      <c r="K385">
        <v>12</v>
      </c>
      <c r="L385">
        <v>30</v>
      </c>
      <c r="M385">
        <v>104</v>
      </c>
      <c r="N385" s="10">
        <v>516.36</v>
      </c>
      <c r="O385" s="7">
        <v>14.6</v>
      </c>
      <c r="P385" s="7">
        <v>28.1</v>
      </c>
      <c r="Q385">
        <v>0</v>
      </c>
      <c r="R385" t="s">
        <v>62</v>
      </c>
      <c r="S385">
        <v>5</v>
      </c>
      <c r="T385">
        <v>128</v>
      </c>
      <c r="U385" s="11">
        <v>0</v>
      </c>
      <c r="V385" s="11">
        <v>1</v>
      </c>
      <c r="W385" s="11">
        <v>0.81740098182491894</v>
      </c>
      <c r="X385" s="11">
        <v>-0.57606912337987581</v>
      </c>
      <c r="Y385">
        <v>0</v>
      </c>
      <c r="Z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6">
        <v>45055</v>
      </c>
      <c r="B386" t="s">
        <v>31</v>
      </c>
      <c r="C386" t="s">
        <v>32</v>
      </c>
      <c r="D386" t="s">
        <v>33</v>
      </c>
      <c r="E386" t="s">
        <v>34</v>
      </c>
      <c r="F386">
        <v>140</v>
      </c>
      <c r="G386">
        <v>360</v>
      </c>
      <c r="H386">
        <v>178</v>
      </c>
      <c r="I386">
        <v>76</v>
      </c>
      <c r="J386" s="8">
        <v>0.54285714285714282</v>
      </c>
      <c r="K386">
        <v>34</v>
      </c>
      <c r="L386">
        <v>46</v>
      </c>
      <c r="M386">
        <v>153</v>
      </c>
      <c r="N386" s="10">
        <v>420.72</v>
      </c>
      <c r="O386" s="7">
        <v>28.2</v>
      </c>
      <c r="P386" s="7">
        <v>27.3</v>
      </c>
      <c r="Q386">
        <v>1</v>
      </c>
      <c r="R386" t="s">
        <v>63</v>
      </c>
      <c r="S386">
        <v>5</v>
      </c>
      <c r="T386">
        <v>129</v>
      </c>
      <c r="U386" s="11">
        <v>0.7818314824680298</v>
      </c>
      <c r="V386" s="11">
        <v>0.62348980185873359</v>
      </c>
      <c r="W386" s="11">
        <v>0.80737074430234923</v>
      </c>
      <c r="X386" s="11">
        <v>-0.5900444739548627</v>
      </c>
      <c r="Y386">
        <v>0</v>
      </c>
      <c r="Z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6">
        <v>45055</v>
      </c>
      <c r="B387" t="s">
        <v>36</v>
      </c>
      <c r="C387" t="s">
        <v>37</v>
      </c>
      <c r="D387" t="s">
        <v>38</v>
      </c>
      <c r="E387" t="s">
        <v>39</v>
      </c>
      <c r="F387">
        <v>125</v>
      </c>
      <c r="G387">
        <v>320</v>
      </c>
      <c r="H387">
        <v>153</v>
      </c>
      <c r="I387">
        <v>63</v>
      </c>
      <c r="J387" s="8">
        <v>0.504</v>
      </c>
      <c r="K387">
        <v>38</v>
      </c>
      <c r="L387">
        <v>27</v>
      </c>
      <c r="M387">
        <v>134</v>
      </c>
      <c r="N387" s="10">
        <v>566.70000000000005</v>
      </c>
      <c r="O387" s="7">
        <v>28.2</v>
      </c>
      <c r="P387" s="7">
        <v>27.3</v>
      </c>
      <c r="Q387">
        <v>1</v>
      </c>
      <c r="R387" t="s">
        <v>63</v>
      </c>
      <c r="S387">
        <v>5</v>
      </c>
      <c r="T387">
        <v>129</v>
      </c>
      <c r="U387" s="11">
        <v>0.7818314824680298</v>
      </c>
      <c r="V387" s="11">
        <v>0.62348980185873359</v>
      </c>
      <c r="W387" s="11">
        <v>0.80737074430234923</v>
      </c>
      <c r="X387" s="11">
        <v>-0.5900444739548627</v>
      </c>
      <c r="Y387">
        <v>0</v>
      </c>
      <c r="Z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6">
        <v>45055</v>
      </c>
      <c r="B388" t="s">
        <v>41</v>
      </c>
      <c r="C388" t="s">
        <v>42</v>
      </c>
      <c r="D388" t="s">
        <v>43</v>
      </c>
      <c r="E388" t="s">
        <v>44</v>
      </c>
      <c r="F388">
        <v>85</v>
      </c>
      <c r="G388">
        <v>210</v>
      </c>
      <c r="H388">
        <v>102</v>
      </c>
      <c r="I388">
        <v>46</v>
      </c>
      <c r="J388" s="8">
        <v>0.54117647058823526</v>
      </c>
      <c r="K388">
        <v>13</v>
      </c>
      <c r="L388">
        <v>25</v>
      </c>
      <c r="M388">
        <v>88</v>
      </c>
      <c r="N388" s="10">
        <v>575</v>
      </c>
      <c r="O388" s="7">
        <v>28.2</v>
      </c>
      <c r="P388" s="7">
        <v>27.3</v>
      </c>
      <c r="Q388">
        <v>1</v>
      </c>
      <c r="R388" t="s">
        <v>63</v>
      </c>
      <c r="S388">
        <v>5</v>
      </c>
      <c r="T388">
        <v>129</v>
      </c>
      <c r="U388" s="11">
        <v>0.7818314824680298</v>
      </c>
      <c r="V388" s="11">
        <v>0.62348980185873359</v>
      </c>
      <c r="W388" s="11">
        <v>0.80737074430234923</v>
      </c>
      <c r="X388" s="11">
        <v>-0.5900444739548627</v>
      </c>
      <c r="Y388">
        <v>0</v>
      </c>
      <c r="Z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6">
        <v>45056</v>
      </c>
      <c r="B389" t="s">
        <v>31</v>
      </c>
      <c r="C389" t="s">
        <v>32</v>
      </c>
      <c r="D389" t="s">
        <v>33</v>
      </c>
      <c r="E389" t="s">
        <v>34</v>
      </c>
      <c r="F389">
        <v>140</v>
      </c>
      <c r="G389">
        <v>360</v>
      </c>
      <c r="H389">
        <v>158</v>
      </c>
      <c r="I389">
        <v>67</v>
      </c>
      <c r="J389" s="8">
        <v>0.47857142857142859</v>
      </c>
      <c r="K389">
        <v>26</v>
      </c>
      <c r="L389">
        <v>16</v>
      </c>
      <c r="M389">
        <v>135</v>
      </c>
      <c r="N389" s="10">
        <v>440.74</v>
      </c>
      <c r="O389" s="7">
        <v>15.5</v>
      </c>
      <c r="P389" s="7">
        <v>27.6</v>
      </c>
      <c r="Q389">
        <v>2</v>
      </c>
      <c r="R389" t="s">
        <v>64</v>
      </c>
      <c r="S389">
        <v>5</v>
      </c>
      <c r="T389">
        <v>130</v>
      </c>
      <c r="U389" s="11">
        <v>0.97492791218182362</v>
      </c>
      <c r="V389" s="11">
        <v>-0.22252093395631434</v>
      </c>
      <c r="W389" s="11">
        <v>0.79710159278719428</v>
      </c>
      <c r="X389" s="11">
        <v>-0.60384522087710346</v>
      </c>
      <c r="Y389">
        <v>0</v>
      </c>
      <c r="Z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6">
        <v>45056</v>
      </c>
      <c r="B390" t="s">
        <v>36</v>
      </c>
      <c r="C390" t="s">
        <v>37</v>
      </c>
      <c r="D390" t="s">
        <v>38</v>
      </c>
      <c r="E390" t="s">
        <v>39</v>
      </c>
      <c r="F390">
        <v>125</v>
      </c>
      <c r="G390">
        <v>320</v>
      </c>
      <c r="H390">
        <v>139</v>
      </c>
      <c r="I390">
        <v>59</v>
      </c>
      <c r="J390" s="8">
        <v>0.47199999999999998</v>
      </c>
      <c r="K390">
        <v>17</v>
      </c>
      <c r="L390">
        <v>23</v>
      </c>
      <c r="M390">
        <v>130</v>
      </c>
      <c r="N390" s="10">
        <v>661.03</v>
      </c>
      <c r="O390" s="7">
        <v>15.5</v>
      </c>
      <c r="P390" s="7">
        <v>27.6</v>
      </c>
      <c r="Q390">
        <v>2</v>
      </c>
      <c r="R390" t="s">
        <v>64</v>
      </c>
      <c r="S390">
        <v>5</v>
      </c>
      <c r="T390">
        <v>130</v>
      </c>
      <c r="U390" s="11">
        <v>0.97492791218182362</v>
      </c>
      <c r="V390" s="11">
        <v>-0.22252093395631434</v>
      </c>
      <c r="W390" s="11">
        <v>0.79710159278719428</v>
      </c>
      <c r="X390" s="11">
        <v>-0.60384522087710346</v>
      </c>
      <c r="Y390">
        <v>0</v>
      </c>
      <c r="Z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6">
        <v>45056</v>
      </c>
      <c r="B391" t="s">
        <v>41</v>
      </c>
      <c r="C391" t="s">
        <v>42</v>
      </c>
      <c r="D391" t="s">
        <v>43</v>
      </c>
      <c r="E391" t="s">
        <v>44</v>
      </c>
      <c r="F391">
        <v>85</v>
      </c>
      <c r="G391">
        <v>210</v>
      </c>
      <c r="H391">
        <v>98</v>
      </c>
      <c r="I391">
        <v>45</v>
      </c>
      <c r="J391" s="8">
        <v>0.52941176470588236</v>
      </c>
      <c r="K391">
        <v>20</v>
      </c>
      <c r="L391">
        <v>18</v>
      </c>
      <c r="M391">
        <v>85</v>
      </c>
      <c r="N391" s="10">
        <v>578.1</v>
      </c>
      <c r="O391" s="7">
        <v>15.5</v>
      </c>
      <c r="P391" s="7">
        <v>27.6</v>
      </c>
      <c r="Q391">
        <v>2</v>
      </c>
      <c r="R391" t="s">
        <v>64</v>
      </c>
      <c r="S391">
        <v>5</v>
      </c>
      <c r="T391">
        <v>130</v>
      </c>
      <c r="U391" s="11">
        <v>0.97492791218182362</v>
      </c>
      <c r="V391" s="11">
        <v>-0.22252093395631434</v>
      </c>
      <c r="W391" s="11">
        <v>0.79710159278719428</v>
      </c>
      <c r="X391" s="11">
        <v>-0.60384522087710346</v>
      </c>
      <c r="Y391">
        <v>0</v>
      </c>
      <c r="Z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6">
        <v>45057</v>
      </c>
      <c r="B392" t="s">
        <v>31</v>
      </c>
      <c r="C392" t="s">
        <v>32</v>
      </c>
      <c r="D392" t="s">
        <v>33</v>
      </c>
      <c r="E392" t="s">
        <v>34</v>
      </c>
      <c r="F392">
        <v>140</v>
      </c>
      <c r="G392">
        <v>360</v>
      </c>
      <c r="H392">
        <v>188</v>
      </c>
      <c r="I392">
        <v>79</v>
      </c>
      <c r="J392" s="8">
        <v>0.56428571428571428</v>
      </c>
      <c r="K392">
        <v>25</v>
      </c>
      <c r="L392">
        <v>45</v>
      </c>
      <c r="M392">
        <v>159</v>
      </c>
      <c r="N392" s="10">
        <v>409.62</v>
      </c>
      <c r="O392" s="7">
        <v>15.5</v>
      </c>
      <c r="P392" s="7">
        <v>26.3</v>
      </c>
      <c r="Q392">
        <v>3</v>
      </c>
      <c r="R392" t="s">
        <v>65</v>
      </c>
      <c r="S392">
        <v>5</v>
      </c>
      <c r="T392">
        <v>131</v>
      </c>
      <c r="U392" s="11">
        <v>0.43388373911755823</v>
      </c>
      <c r="V392" s="11">
        <v>-0.90096886790241903</v>
      </c>
      <c r="W392" s="11">
        <v>0.78659656608660211</v>
      </c>
      <c r="X392" s="11">
        <v>-0.61746728028355136</v>
      </c>
      <c r="Y392">
        <v>0</v>
      </c>
      <c r="Z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6">
        <v>45057</v>
      </c>
      <c r="B393" t="s">
        <v>36</v>
      </c>
      <c r="C393" t="s">
        <v>37</v>
      </c>
      <c r="D393" t="s">
        <v>38</v>
      </c>
      <c r="E393" t="s">
        <v>39</v>
      </c>
      <c r="F393">
        <v>125</v>
      </c>
      <c r="G393">
        <v>320</v>
      </c>
      <c r="H393">
        <v>144</v>
      </c>
      <c r="I393">
        <v>61</v>
      </c>
      <c r="J393" s="8">
        <v>0.48799999999999999</v>
      </c>
      <c r="K393">
        <v>28</v>
      </c>
      <c r="L393">
        <v>26</v>
      </c>
      <c r="M393">
        <v>133</v>
      </c>
      <c r="N393" s="10">
        <v>670.01</v>
      </c>
      <c r="O393" s="7">
        <v>15.5</v>
      </c>
      <c r="P393" s="7">
        <v>26.3</v>
      </c>
      <c r="Q393">
        <v>3</v>
      </c>
      <c r="R393" t="s">
        <v>65</v>
      </c>
      <c r="S393">
        <v>5</v>
      </c>
      <c r="T393">
        <v>131</v>
      </c>
      <c r="U393" s="11">
        <v>0.43388373911755823</v>
      </c>
      <c r="V393" s="11">
        <v>-0.90096886790241903</v>
      </c>
      <c r="W393" s="11">
        <v>0.78659656608660211</v>
      </c>
      <c r="X393" s="11">
        <v>-0.61746728028355136</v>
      </c>
      <c r="Y393">
        <v>0</v>
      </c>
      <c r="Z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6">
        <v>45057</v>
      </c>
      <c r="B394" t="s">
        <v>41</v>
      </c>
      <c r="C394" t="s">
        <v>42</v>
      </c>
      <c r="D394" t="s">
        <v>43</v>
      </c>
      <c r="E394" t="s">
        <v>44</v>
      </c>
      <c r="F394">
        <v>85</v>
      </c>
      <c r="G394">
        <v>210</v>
      </c>
      <c r="H394">
        <v>116</v>
      </c>
      <c r="I394">
        <v>48</v>
      </c>
      <c r="J394" s="8">
        <v>0.56470588235294117</v>
      </c>
      <c r="K394">
        <v>22</v>
      </c>
      <c r="L394">
        <v>24</v>
      </c>
      <c r="M394">
        <v>102</v>
      </c>
      <c r="N394" s="10">
        <v>523.17999999999995</v>
      </c>
      <c r="O394" s="7">
        <v>15.5</v>
      </c>
      <c r="P394" s="7">
        <v>26.3</v>
      </c>
      <c r="Q394">
        <v>3</v>
      </c>
      <c r="R394" t="s">
        <v>65</v>
      </c>
      <c r="S394">
        <v>5</v>
      </c>
      <c r="T394">
        <v>131</v>
      </c>
      <c r="U394" s="11">
        <v>0.43388373911755823</v>
      </c>
      <c r="V394" s="11">
        <v>-0.90096886790241903</v>
      </c>
      <c r="W394" s="11">
        <v>0.78659656608660211</v>
      </c>
      <c r="X394" s="11">
        <v>-0.61746728028355136</v>
      </c>
      <c r="Y394">
        <v>0</v>
      </c>
      <c r="Z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6">
        <v>45058</v>
      </c>
      <c r="B395" t="s">
        <v>31</v>
      </c>
      <c r="C395" t="s">
        <v>32</v>
      </c>
      <c r="D395" t="s">
        <v>33</v>
      </c>
      <c r="E395" t="s">
        <v>34</v>
      </c>
      <c r="F395">
        <v>140</v>
      </c>
      <c r="G395">
        <v>360</v>
      </c>
      <c r="H395">
        <v>189</v>
      </c>
      <c r="I395">
        <v>80</v>
      </c>
      <c r="J395" s="8">
        <v>0.5714285714285714</v>
      </c>
      <c r="K395">
        <v>40</v>
      </c>
      <c r="L395">
        <v>21</v>
      </c>
      <c r="M395">
        <v>177</v>
      </c>
      <c r="N395" s="10">
        <v>450.05</v>
      </c>
      <c r="O395" s="7">
        <v>7.5</v>
      </c>
      <c r="P395" s="7">
        <v>26.1</v>
      </c>
      <c r="Q395">
        <v>4</v>
      </c>
      <c r="R395" t="s">
        <v>66</v>
      </c>
      <c r="S395">
        <v>5</v>
      </c>
      <c r="T395">
        <v>132</v>
      </c>
      <c r="U395" s="11">
        <v>-0.43388373911755801</v>
      </c>
      <c r="V395" s="11">
        <v>-0.90096886790241915</v>
      </c>
      <c r="W395" s="11">
        <v>0.77585877280698279</v>
      </c>
      <c r="X395" s="11">
        <v>-0.63090662118767038</v>
      </c>
      <c r="Y395">
        <v>0</v>
      </c>
      <c r="Z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6">
        <v>45058</v>
      </c>
      <c r="B396" t="s">
        <v>36</v>
      </c>
      <c r="C396" t="s">
        <v>37</v>
      </c>
      <c r="D396" t="s">
        <v>38</v>
      </c>
      <c r="E396" t="s">
        <v>39</v>
      </c>
      <c r="F396">
        <v>125</v>
      </c>
      <c r="G396">
        <v>320</v>
      </c>
      <c r="H396">
        <v>145</v>
      </c>
      <c r="I396">
        <v>62</v>
      </c>
      <c r="J396" s="8">
        <v>0.496</v>
      </c>
      <c r="K396">
        <v>18</v>
      </c>
      <c r="L396">
        <v>19</v>
      </c>
      <c r="M396">
        <v>122</v>
      </c>
      <c r="N396" s="10">
        <v>636.89</v>
      </c>
      <c r="O396" s="7">
        <v>7.5</v>
      </c>
      <c r="P396" s="7">
        <v>26.1</v>
      </c>
      <c r="Q396">
        <v>4</v>
      </c>
      <c r="R396" t="s">
        <v>66</v>
      </c>
      <c r="S396">
        <v>5</v>
      </c>
      <c r="T396">
        <v>132</v>
      </c>
      <c r="U396" s="11">
        <v>-0.43388373911755801</v>
      </c>
      <c r="V396" s="11">
        <v>-0.90096886790241915</v>
      </c>
      <c r="W396" s="11">
        <v>0.77585877280698279</v>
      </c>
      <c r="X396" s="11">
        <v>-0.63090662118767038</v>
      </c>
      <c r="Y396">
        <v>0</v>
      </c>
      <c r="Z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6">
        <v>45058</v>
      </c>
      <c r="B397" t="s">
        <v>41</v>
      </c>
      <c r="C397" t="s">
        <v>42</v>
      </c>
      <c r="D397" t="s">
        <v>43</v>
      </c>
      <c r="E397" t="s">
        <v>44</v>
      </c>
      <c r="F397">
        <v>85</v>
      </c>
      <c r="G397">
        <v>210</v>
      </c>
      <c r="H397">
        <v>114</v>
      </c>
      <c r="I397">
        <v>52</v>
      </c>
      <c r="J397" s="8">
        <v>0.61176470588235299</v>
      </c>
      <c r="K397">
        <v>21</v>
      </c>
      <c r="L397">
        <v>29</v>
      </c>
      <c r="M397">
        <v>103</v>
      </c>
      <c r="N397" s="10">
        <v>549.41999999999996</v>
      </c>
      <c r="O397" s="7">
        <v>7.5</v>
      </c>
      <c r="P397" s="7">
        <v>26.1</v>
      </c>
      <c r="Q397">
        <v>4</v>
      </c>
      <c r="R397" t="s">
        <v>66</v>
      </c>
      <c r="S397">
        <v>5</v>
      </c>
      <c r="T397">
        <v>132</v>
      </c>
      <c r="U397" s="11">
        <v>-0.43388373911755801</v>
      </c>
      <c r="V397" s="11">
        <v>-0.90096886790241915</v>
      </c>
      <c r="W397" s="11">
        <v>0.77585877280698279</v>
      </c>
      <c r="X397" s="11">
        <v>-0.63090662118767038</v>
      </c>
      <c r="Y397">
        <v>0</v>
      </c>
      <c r="Z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6">
        <v>45059</v>
      </c>
      <c r="B398" t="s">
        <v>31</v>
      </c>
      <c r="C398" t="s">
        <v>32</v>
      </c>
      <c r="D398" t="s">
        <v>33</v>
      </c>
      <c r="E398" t="s">
        <v>34</v>
      </c>
      <c r="F398">
        <v>140</v>
      </c>
      <c r="G398">
        <v>360</v>
      </c>
      <c r="H398">
        <v>182</v>
      </c>
      <c r="I398">
        <v>79</v>
      </c>
      <c r="J398" s="8">
        <v>0.56428571428571428</v>
      </c>
      <c r="K398">
        <v>37</v>
      </c>
      <c r="L398">
        <v>31</v>
      </c>
      <c r="M398">
        <v>160</v>
      </c>
      <c r="N398" s="10">
        <v>503.58</v>
      </c>
      <c r="O398" s="7">
        <v>15.4</v>
      </c>
      <c r="P398" s="7">
        <v>27.8</v>
      </c>
      <c r="Q398">
        <v>5</v>
      </c>
      <c r="R398" t="s">
        <v>67</v>
      </c>
      <c r="S398">
        <v>5</v>
      </c>
      <c r="T398">
        <v>133</v>
      </c>
      <c r="U398" s="11">
        <v>-0.97492791218182362</v>
      </c>
      <c r="V398" s="11">
        <v>-0.22252093395631459</v>
      </c>
      <c r="W398" s="11">
        <v>0.76489139043412258</v>
      </c>
      <c r="X398" s="11">
        <v>-0.64415926667226853</v>
      </c>
      <c r="Y398">
        <v>1</v>
      </c>
      <c r="Z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6">
        <v>45059</v>
      </c>
      <c r="B399" t="s">
        <v>36</v>
      </c>
      <c r="C399" t="s">
        <v>37</v>
      </c>
      <c r="D399" t="s">
        <v>38</v>
      </c>
      <c r="E399" t="s">
        <v>39</v>
      </c>
      <c r="F399">
        <v>125</v>
      </c>
      <c r="G399">
        <v>320</v>
      </c>
      <c r="H399">
        <v>168</v>
      </c>
      <c r="I399">
        <v>71</v>
      </c>
      <c r="J399" s="8">
        <v>0.56799999999999995</v>
      </c>
      <c r="K399">
        <v>25</v>
      </c>
      <c r="L399">
        <v>28</v>
      </c>
      <c r="M399">
        <v>141</v>
      </c>
      <c r="N399" s="10">
        <v>681.3</v>
      </c>
      <c r="O399" s="7">
        <v>15.4</v>
      </c>
      <c r="P399" s="7">
        <v>27.8</v>
      </c>
      <c r="Q399">
        <v>5</v>
      </c>
      <c r="R399" t="s">
        <v>67</v>
      </c>
      <c r="S399">
        <v>5</v>
      </c>
      <c r="T399">
        <v>133</v>
      </c>
      <c r="U399" s="11">
        <v>-0.97492791218182362</v>
      </c>
      <c r="V399" s="11">
        <v>-0.22252093395631459</v>
      </c>
      <c r="W399" s="11">
        <v>0.76489139043412258</v>
      </c>
      <c r="X399" s="11">
        <v>-0.64415926667226853</v>
      </c>
      <c r="Y399">
        <v>1</v>
      </c>
      <c r="Z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6">
        <v>45059</v>
      </c>
      <c r="B400" t="s">
        <v>41</v>
      </c>
      <c r="C400" t="s">
        <v>42</v>
      </c>
      <c r="D400" t="s">
        <v>43</v>
      </c>
      <c r="E400" t="s">
        <v>44</v>
      </c>
      <c r="F400">
        <v>85</v>
      </c>
      <c r="G400">
        <v>210</v>
      </c>
      <c r="H400">
        <v>136</v>
      </c>
      <c r="I400">
        <v>62</v>
      </c>
      <c r="J400" s="8">
        <v>0.72941176470588232</v>
      </c>
      <c r="K400">
        <v>19</v>
      </c>
      <c r="L400">
        <v>26</v>
      </c>
      <c r="M400">
        <v>110</v>
      </c>
      <c r="N400" s="10">
        <v>551.97</v>
      </c>
      <c r="O400" s="7">
        <v>15.4</v>
      </c>
      <c r="P400" s="7">
        <v>27.8</v>
      </c>
      <c r="Q400">
        <v>5</v>
      </c>
      <c r="R400" t="s">
        <v>67</v>
      </c>
      <c r="S400">
        <v>5</v>
      </c>
      <c r="T400">
        <v>133</v>
      </c>
      <c r="U400" s="11">
        <v>-0.97492791218182362</v>
      </c>
      <c r="V400" s="11">
        <v>-0.22252093395631459</v>
      </c>
      <c r="W400" s="11">
        <v>0.76489139043412258</v>
      </c>
      <c r="X400" s="11">
        <v>-0.64415926667226853</v>
      </c>
      <c r="Y400">
        <v>1</v>
      </c>
      <c r="Z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6">
        <v>45060</v>
      </c>
      <c r="B401" t="s">
        <v>31</v>
      </c>
      <c r="C401" t="s">
        <v>32</v>
      </c>
      <c r="D401" t="s">
        <v>33</v>
      </c>
      <c r="E401" t="s">
        <v>34</v>
      </c>
      <c r="F401">
        <v>140</v>
      </c>
      <c r="G401">
        <v>360</v>
      </c>
      <c r="H401">
        <v>213</v>
      </c>
      <c r="I401">
        <v>90</v>
      </c>
      <c r="J401" s="8">
        <v>0.6428571428571429</v>
      </c>
      <c r="K401">
        <v>54</v>
      </c>
      <c r="L401">
        <v>36</v>
      </c>
      <c r="M401">
        <v>176</v>
      </c>
      <c r="N401" s="10">
        <v>482.02</v>
      </c>
      <c r="O401" s="7">
        <v>18.399999999999999</v>
      </c>
      <c r="P401" s="7">
        <v>27.7</v>
      </c>
      <c r="Q401">
        <v>6</v>
      </c>
      <c r="R401" t="s">
        <v>60</v>
      </c>
      <c r="S401">
        <v>5</v>
      </c>
      <c r="T401">
        <v>134</v>
      </c>
      <c r="U401" s="11">
        <v>-0.78183148246802991</v>
      </c>
      <c r="V401" s="11">
        <v>0.62348980185873337</v>
      </c>
      <c r="W401" s="11">
        <v>0.75369766439291397</v>
      </c>
      <c r="X401" s="11">
        <v>-0.65722129506633187</v>
      </c>
      <c r="Y401">
        <v>1</v>
      </c>
      <c r="Z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6">
        <v>45060</v>
      </c>
      <c r="B402" t="s">
        <v>36</v>
      </c>
      <c r="C402" t="s">
        <v>37</v>
      </c>
      <c r="D402" t="s">
        <v>38</v>
      </c>
      <c r="E402" t="s">
        <v>39</v>
      </c>
      <c r="F402">
        <v>125</v>
      </c>
      <c r="G402">
        <v>320</v>
      </c>
      <c r="H402">
        <v>175</v>
      </c>
      <c r="I402">
        <v>73</v>
      </c>
      <c r="J402" s="8">
        <v>0.58399999999999996</v>
      </c>
      <c r="K402">
        <v>28</v>
      </c>
      <c r="L402">
        <v>32</v>
      </c>
      <c r="M402">
        <v>149</v>
      </c>
      <c r="N402" s="10">
        <v>700.08</v>
      </c>
      <c r="O402" s="7">
        <v>18.399999999999999</v>
      </c>
      <c r="P402" s="7">
        <v>27.7</v>
      </c>
      <c r="Q402">
        <v>6</v>
      </c>
      <c r="R402" t="s">
        <v>60</v>
      </c>
      <c r="S402">
        <v>5</v>
      </c>
      <c r="T402">
        <v>134</v>
      </c>
      <c r="U402" s="11">
        <v>-0.78183148246802991</v>
      </c>
      <c r="V402" s="11">
        <v>0.62348980185873337</v>
      </c>
      <c r="W402" s="11">
        <v>0.75369766439291397</v>
      </c>
      <c r="X402" s="11">
        <v>-0.65722129506633187</v>
      </c>
      <c r="Y402">
        <v>1</v>
      </c>
      <c r="Z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6">
        <v>45060</v>
      </c>
      <c r="B403" t="s">
        <v>41</v>
      </c>
      <c r="C403" t="s">
        <v>42</v>
      </c>
      <c r="D403" t="s">
        <v>43</v>
      </c>
      <c r="E403" t="s">
        <v>44</v>
      </c>
      <c r="F403">
        <v>85</v>
      </c>
      <c r="G403">
        <v>210</v>
      </c>
      <c r="H403">
        <v>137</v>
      </c>
      <c r="I403">
        <v>60</v>
      </c>
      <c r="J403" s="8">
        <v>0.70588235294117652</v>
      </c>
      <c r="K403">
        <v>26</v>
      </c>
      <c r="L403">
        <v>27</v>
      </c>
      <c r="M403">
        <v>112</v>
      </c>
      <c r="N403" s="10">
        <v>648.24</v>
      </c>
      <c r="O403" s="7">
        <v>18.399999999999999</v>
      </c>
      <c r="P403" s="7">
        <v>27.7</v>
      </c>
      <c r="Q403">
        <v>6</v>
      </c>
      <c r="R403" t="s">
        <v>60</v>
      </c>
      <c r="S403">
        <v>5</v>
      </c>
      <c r="T403">
        <v>134</v>
      </c>
      <c r="U403" s="11">
        <v>-0.78183148246802991</v>
      </c>
      <c r="V403" s="11">
        <v>0.62348980185873337</v>
      </c>
      <c r="W403" s="11">
        <v>0.75369766439291397</v>
      </c>
      <c r="X403" s="11">
        <v>-0.65722129506633187</v>
      </c>
      <c r="Y403">
        <v>1</v>
      </c>
      <c r="Z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6">
        <v>45061</v>
      </c>
      <c r="B404" t="s">
        <v>31</v>
      </c>
      <c r="C404" t="s">
        <v>32</v>
      </c>
      <c r="D404" t="s">
        <v>33</v>
      </c>
      <c r="E404" t="s">
        <v>34</v>
      </c>
      <c r="F404">
        <v>140</v>
      </c>
      <c r="G404">
        <v>360</v>
      </c>
      <c r="H404">
        <v>181</v>
      </c>
      <c r="I404">
        <v>78</v>
      </c>
      <c r="J404" s="8">
        <v>0.55714285714285716</v>
      </c>
      <c r="K404">
        <v>19</v>
      </c>
      <c r="L404">
        <v>27</v>
      </c>
      <c r="M404">
        <v>150</v>
      </c>
      <c r="N404" s="10">
        <v>420.26</v>
      </c>
      <c r="O404" s="7">
        <v>9.3000000000000007</v>
      </c>
      <c r="P404" s="7">
        <v>27.8</v>
      </c>
      <c r="Q404">
        <v>0</v>
      </c>
      <c r="R404" t="s">
        <v>62</v>
      </c>
      <c r="S404">
        <v>5</v>
      </c>
      <c r="T404">
        <v>135</v>
      </c>
      <c r="U404" s="11">
        <v>0</v>
      </c>
      <c r="V404" s="11">
        <v>1</v>
      </c>
      <c r="W404" s="11">
        <v>0.74228090708698202</v>
      </c>
      <c r="X404" s="11">
        <v>-0.67008884110551126</v>
      </c>
      <c r="Y404">
        <v>0</v>
      </c>
      <c r="Z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6">
        <v>45061</v>
      </c>
      <c r="B405" t="s">
        <v>36</v>
      </c>
      <c r="C405" t="s">
        <v>37</v>
      </c>
      <c r="D405" t="s">
        <v>38</v>
      </c>
      <c r="E405" t="s">
        <v>39</v>
      </c>
      <c r="F405">
        <v>125</v>
      </c>
      <c r="G405">
        <v>320</v>
      </c>
      <c r="H405">
        <v>160</v>
      </c>
      <c r="I405">
        <v>68</v>
      </c>
      <c r="J405" s="8">
        <v>0.54400000000000004</v>
      </c>
      <c r="K405">
        <v>19</v>
      </c>
      <c r="L405">
        <v>24</v>
      </c>
      <c r="M405">
        <v>138</v>
      </c>
      <c r="N405" s="10">
        <v>585.91</v>
      </c>
      <c r="O405" s="7">
        <v>9.3000000000000007</v>
      </c>
      <c r="P405" s="7">
        <v>27.8</v>
      </c>
      <c r="Q405">
        <v>0</v>
      </c>
      <c r="R405" t="s">
        <v>62</v>
      </c>
      <c r="S405">
        <v>5</v>
      </c>
      <c r="T405">
        <v>135</v>
      </c>
      <c r="U405" s="11">
        <v>0</v>
      </c>
      <c r="V405" s="11">
        <v>1</v>
      </c>
      <c r="W405" s="11">
        <v>0.74228090708698202</v>
      </c>
      <c r="X405" s="11">
        <v>-0.67008884110551126</v>
      </c>
      <c r="Y405">
        <v>0</v>
      </c>
      <c r="Z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6">
        <v>45061</v>
      </c>
      <c r="B406" t="s">
        <v>41</v>
      </c>
      <c r="C406" t="s">
        <v>42</v>
      </c>
      <c r="D406" t="s">
        <v>43</v>
      </c>
      <c r="E406" t="s">
        <v>44</v>
      </c>
      <c r="F406">
        <v>85</v>
      </c>
      <c r="G406">
        <v>210</v>
      </c>
      <c r="H406">
        <v>119</v>
      </c>
      <c r="I406">
        <v>54</v>
      </c>
      <c r="J406" s="8">
        <v>0.63529411764705879</v>
      </c>
      <c r="K406">
        <v>24</v>
      </c>
      <c r="L406">
        <v>21</v>
      </c>
      <c r="M406">
        <v>95</v>
      </c>
      <c r="N406" s="10">
        <v>498.96</v>
      </c>
      <c r="O406" s="7">
        <v>9.3000000000000007</v>
      </c>
      <c r="P406" s="7">
        <v>27.8</v>
      </c>
      <c r="Q406">
        <v>0</v>
      </c>
      <c r="R406" t="s">
        <v>62</v>
      </c>
      <c r="S406">
        <v>5</v>
      </c>
      <c r="T406">
        <v>135</v>
      </c>
      <c r="U406" s="11">
        <v>0</v>
      </c>
      <c r="V406" s="11">
        <v>1</v>
      </c>
      <c r="W406" s="11">
        <v>0.74228090708698202</v>
      </c>
      <c r="X406" s="11">
        <v>-0.67008884110551126</v>
      </c>
      <c r="Y406">
        <v>0</v>
      </c>
      <c r="Z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6">
        <v>45062</v>
      </c>
      <c r="B407" t="s">
        <v>31</v>
      </c>
      <c r="C407" t="s">
        <v>32</v>
      </c>
      <c r="D407" t="s">
        <v>33</v>
      </c>
      <c r="E407" t="s">
        <v>34</v>
      </c>
      <c r="F407">
        <v>140</v>
      </c>
      <c r="G407">
        <v>360</v>
      </c>
      <c r="H407">
        <v>164</v>
      </c>
      <c r="I407">
        <v>69</v>
      </c>
      <c r="J407" s="8">
        <v>0.49285714285714288</v>
      </c>
      <c r="K407">
        <v>19</v>
      </c>
      <c r="L407">
        <v>41</v>
      </c>
      <c r="M407">
        <v>144</v>
      </c>
      <c r="N407" s="10">
        <v>438.81</v>
      </c>
      <c r="O407" s="7">
        <v>7.3</v>
      </c>
      <c r="P407" s="7">
        <v>27.2</v>
      </c>
      <c r="Q407">
        <v>1</v>
      </c>
      <c r="R407" t="s">
        <v>63</v>
      </c>
      <c r="S407">
        <v>5</v>
      </c>
      <c r="T407">
        <v>136</v>
      </c>
      <c r="U407" s="11">
        <v>0.7818314824680298</v>
      </c>
      <c r="V407" s="11">
        <v>0.62348980185873359</v>
      </c>
      <c r="W407" s="11">
        <v>0.73064449691849165</v>
      </c>
      <c r="X407" s="11">
        <v>-0.68275809707591473</v>
      </c>
      <c r="Y407">
        <v>0</v>
      </c>
      <c r="Z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6">
        <v>45062</v>
      </c>
      <c r="B408" t="s">
        <v>36</v>
      </c>
      <c r="C408" t="s">
        <v>37</v>
      </c>
      <c r="D408" t="s">
        <v>38</v>
      </c>
      <c r="E408" t="s">
        <v>39</v>
      </c>
      <c r="F408">
        <v>125</v>
      </c>
      <c r="G408">
        <v>320</v>
      </c>
      <c r="H408">
        <v>163</v>
      </c>
      <c r="I408">
        <v>67</v>
      </c>
      <c r="J408" s="8">
        <v>0.53600000000000003</v>
      </c>
      <c r="K408">
        <v>41</v>
      </c>
      <c r="L408">
        <v>33</v>
      </c>
      <c r="M408">
        <v>150</v>
      </c>
      <c r="N408" s="10">
        <v>608.15</v>
      </c>
      <c r="O408" s="7">
        <v>7.3</v>
      </c>
      <c r="P408" s="7">
        <v>27.2</v>
      </c>
      <c r="Q408">
        <v>1</v>
      </c>
      <c r="R408" t="s">
        <v>63</v>
      </c>
      <c r="S408">
        <v>5</v>
      </c>
      <c r="T408">
        <v>136</v>
      </c>
      <c r="U408" s="11">
        <v>0.7818314824680298</v>
      </c>
      <c r="V408" s="11">
        <v>0.62348980185873359</v>
      </c>
      <c r="W408" s="11">
        <v>0.73064449691849165</v>
      </c>
      <c r="X408" s="11">
        <v>-0.68275809707591473</v>
      </c>
      <c r="Y408">
        <v>0</v>
      </c>
      <c r="Z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6">
        <v>45062</v>
      </c>
      <c r="B409" t="s">
        <v>41</v>
      </c>
      <c r="C409" t="s">
        <v>42</v>
      </c>
      <c r="D409" t="s">
        <v>43</v>
      </c>
      <c r="E409" t="s">
        <v>44</v>
      </c>
      <c r="F409">
        <v>85</v>
      </c>
      <c r="G409">
        <v>210</v>
      </c>
      <c r="H409">
        <v>113</v>
      </c>
      <c r="I409">
        <v>50</v>
      </c>
      <c r="J409" s="8">
        <v>0.58823529411764708</v>
      </c>
      <c r="K409">
        <v>18</v>
      </c>
      <c r="L409">
        <v>21</v>
      </c>
      <c r="M409">
        <v>102</v>
      </c>
      <c r="N409" s="10">
        <v>532.28</v>
      </c>
      <c r="O409" s="7">
        <v>7.3</v>
      </c>
      <c r="P409" s="7">
        <v>27.2</v>
      </c>
      <c r="Q409">
        <v>1</v>
      </c>
      <c r="R409" t="s">
        <v>63</v>
      </c>
      <c r="S409">
        <v>5</v>
      </c>
      <c r="T409">
        <v>136</v>
      </c>
      <c r="U409" s="11">
        <v>0.7818314824680298</v>
      </c>
      <c r="V409" s="11">
        <v>0.62348980185873359</v>
      </c>
      <c r="W409" s="11">
        <v>0.73064449691849165</v>
      </c>
      <c r="X409" s="11">
        <v>-0.68275809707591473</v>
      </c>
      <c r="Y409">
        <v>0</v>
      </c>
      <c r="Z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6">
        <v>45063</v>
      </c>
      <c r="B410" t="s">
        <v>31</v>
      </c>
      <c r="C410" t="s">
        <v>32</v>
      </c>
      <c r="D410" t="s">
        <v>33</v>
      </c>
      <c r="E410" t="s">
        <v>34</v>
      </c>
      <c r="F410">
        <v>140</v>
      </c>
      <c r="G410">
        <v>360</v>
      </c>
      <c r="H410">
        <v>176</v>
      </c>
      <c r="I410">
        <v>74</v>
      </c>
      <c r="J410" s="8">
        <v>0.52857142857142858</v>
      </c>
      <c r="K410">
        <v>48</v>
      </c>
      <c r="L410">
        <v>41</v>
      </c>
      <c r="M410">
        <v>151</v>
      </c>
      <c r="N410" s="10">
        <v>439.99</v>
      </c>
      <c r="O410" s="7">
        <v>17.8</v>
      </c>
      <c r="P410" s="7">
        <v>28.3</v>
      </c>
      <c r="Q410">
        <v>2</v>
      </c>
      <c r="R410" t="s">
        <v>64</v>
      </c>
      <c r="S410">
        <v>5</v>
      </c>
      <c r="T410">
        <v>137</v>
      </c>
      <c r="U410" s="11">
        <v>0.97492791218182362</v>
      </c>
      <c r="V410" s="11">
        <v>-0.22252093395631434</v>
      </c>
      <c r="W410" s="11">
        <v>0.7187918772884232</v>
      </c>
      <c r="X410" s="11">
        <v>-0.69522531394087217</v>
      </c>
      <c r="Y410">
        <v>0</v>
      </c>
      <c r="Z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6">
        <v>45063</v>
      </c>
      <c r="B411" t="s">
        <v>36</v>
      </c>
      <c r="C411" t="s">
        <v>37</v>
      </c>
      <c r="D411" t="s">
        <v>38</v>
      </c>
      <c r="E411" t="s">
        <v>39</v>
      </c>
      <c r="F411">
        <v>125</v>
      </c>
      <c r="G411">
        <v>320</v>
      </c>
      <c r="H411">
        <v>162</v>
      </c>
      <c r="I411">
        <v>66</v>
      </c>
      <c r="J411" s="8">
        <v>0.52800000000000002</v>
      </c>
      <c r="K411">
        <v>22</v>
      </c>
      <c r="L411">
        <v>14</v>
      </c>
      <c r="M411">
        <v>142</v>
      </c>
      <c r="N411" s="10">
        <v>662.99</v>
      </c>
      <c r="O411" s="7">
        <v>17.8</v>
      </c>
      <c r="P411" s="7">
        <v>28.3</v>
      </c>
      <c r="Q411">
        <v>2</v>
      </c>
      <c r="R411" t="s">
        <v>64</v>
      </c>
      <c r="S411">
        <v>5</v>
      </c>
      <c r="T411">
        <v>137</v>
      </c>
      <c r="U411" s="11">
        <v>0.97492791218182362</v>
      </c>
      <c r="V411" s="11">
        <v>-0.22252093395631434</v>
      </c>
      <c r="W411" s="11">
        <v>0.7187918772884232</v>
      </c>
      <c r="X411" s="11">
        <v>-0.69522531394087217</v>
      </c>
      <c r="Y411">
        <v>0</v>
      </c>
      <c r="Z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6">
        <v>45063</v>
      </c>
      <c r="B412" t="s">
        <v>41</v>
      </c>
      <c r="C412" t="s">
        <v>42</v>
      </c>
      <c r="D412" t="s">
        <v>43</v>
      </c>
      <c r="E412" t="s">
        <v>44</v>
      </c>
      <c r="F412">
        <v>85</v>
      </c>
      <c r="G412">
        <v>210</v>
      </c>
      <c r="H412">
        <v>103</v>
      </c>
      <c r="I412">
        <v>45</v>
      </c>
      <c r="J412" s="8">
        <v>0.52941176470588236</v>
      </c>
      <c r="K412">
        <v>19</v>
      </c>
      <c r="L412">
        <v>13</v>
      </c>
      <c r="M412">
        <v>88</v>
      </c>
      <c r="N412" s="10">
        <v>547.96</v>
      </c>
      <c r="O412" s="7">
        <v>17.8</v>
      </c>
      <c r="P412" s="7">
        <v>28.3</v>
      </c>
      <c r="Q412">
        <v>2</v>
      </c>
      <c r="R412" t="s">
        <v>64</v>
      </c>
      <c r="S412">
        <v>5</v>
      </c>
      <c r="T412">
        <v>137</v>
      </c>
      <c r="U412" s="11">
        <v>0.97492791218182362</v>
      </c>
      <c r="V412" s="11">
        <v>-0.22252093395631434</v>
      </c>
      <c r="W412" s="11">
        <v>0.7187918772884232</v>
      </c>
      <c r="X412" s="11">
        <v>-0.69522531394087217</v>
      </c>
      <c r="Y412">
        <v>0</v>
      </c>
      <c r="Z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6">
        <v>45064</v>
      </c>
      <c r="B413" t="s">
        <v>31</v>
      </c>
      <c r="C413" t="s">
        <v>32</v>
      </c>
      <c r="D413" t="s">
        <v>33</v>
      </c>
      <c r="E413" t="s">
        <v>34</v>
      </c>
      <c r="F413">
        <v>140</v>
      </c>
      <c r="G413">
        <v>360</v>
      </c>
      <c r="H413">
        <v>195</v>
      </c>
      <c r="I413">
        <v>80</v>
      </c>
      <c r="J413" s="8">
        <v>0.5714285714285714</v>
      </c>
      <c r="K413">
        <v>39</v>
      </c>
      <c r="L413">
        <v>26</v>
      </c>
      <c r="M413">
        <v>156</v>
      </c>
      <c r="N413" s="10">
        <v>395.78</v>
      </c>
      <c r="O413" s="7">
        <v>11.2</v>
      </c>
      <c r="P413" s="7">
        <v>28.4</v>
      </c>
      <c r="Q413">
        <v>3</v>
      </c>
      <c r="R413" t="s">
        <v>65</v>
      </c>
      <c r="S413">
        <v>5</v>
      </c>
      <c r="T413">
        <v>138</v>
      </c>
      <c r="U413" s="11">
        <v>0.43388373911755823</v>
      </c>
      <c r="V413" s="11">
        <v>-0.90096886790241903</v>
      </c>
      <c r="W413" s="11">
        <v>0.70672655557761577</v>
      </c>
      <c r="X413" s="11">
        <v>-0.7074868024503348</v>
      </c>
      <c r="Y413">
        <v>0</v>
      </c>
      <c r="Z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6">
        <v>45064</v>
      </c>
      <c r="B414" t="s">
        <v>36</v>
      </c>
      <c r="C414" t="s">
        <v>37</v>
      </c>
      <c r="D414" t="s">
        <v>38</v>
      </c>
      <c r="E414" t="s">
        <v>39</v>
      </c>
      <c r="F414">
        <v>125</v>
      </c>
      <c r="G414">
        <v>320</v>
      </c>
      <c r="H414">
        <v>152</v>
      </c>
      <c r="I414">
        <v>60</v>
      </c>
      <c r="J414" s="8">
        <v>0.48</v>
      </c>
      <c r="K414">
        <v>24</v>
      </c>
      <c r="L414">
        <v>23</v>
      </c>
      <c r="M414">
        <v>127</v>
      </c>
      <c r="N414" s="10">
        <v>682.93</v>
      </c>
      <c r="O414" s="7">
        <v>11.2</v>
      </c>
      <c r="P414" s="7">
        <v>28.4</v>
      </c>
      <c r="Q414">
        <v>3</v>
      </c>
      <c r="R414" t="s">
        <v>65</v>
      </c>
      <c r="S414">
        <v>5</v>
      </c>
      <c r="T414">
        <v>138</v>
      </c>
      <c r="U414" s="11">
        <v>0.43388373911755823</v>
      </c>
      <c r="V414" s="11">
        <v>-0.90096886790241903</v>
      </c>
      <c r="W414" s="11">
        <v>0.70672655557761577</v>
      </c>
      <c r="X414" s="11">
        <v>-0.7074868024503348</v>
      </c>
      <c r="Y414">
        <v>0</v>
      </c>
      <c r="Z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6">
        <v>45064</v>
      </c>
      <c r="B415" t="s">
        <v>41</v>
      </c>
      <c r="C415" t="s">
        <v>42</v>
      </c>
      <c r="D415" t="s">
        <v>43</v>
      </c>
      <c r="E415" t="s">
        <v>44</v>
      </c>
      <c r="F415">
        <v>85</v>
      </c>
      <c r="G415">
        <v>210</v>
      </c>
      <c r="H415">
        <v>115</v>
      </c>
      <c r="I415">
        <v>51</v>
      </c>
      <c r="J415" s="8">
        <v>0.6</v>
      </c>
      <c r="K415">
        <v>16</v>
      </c>
      <c r="L415">
        <v>7</v>
      </c>
      <c r="M415">
        <v>103</v>
      </c>
      <c r="N415" s="10">
        <v>510.69</v>
      </c>
      <c r="O415" s="7">
        <v>11.2</v>
      </c>
      <c r="P415" s="7">
        <v>28.4</v>
      </c>
      <c r="Q415">
        <v>3</v>
      </c>
      <c r="R415" t="s">
        <v>65</v>
      </c>
      <c r="S415">
        <v>5</v>
      </c>
      <c r="T415">
        <v>138</v>
      </c>
      <c r="U415" s="11">
        <v>0.43388373911755823</v>
      </c>
      <c r="V415" s="11">
        <v>-0.90096886790241903</v>
      </c>
      <c r="W415" s="11">
        <v>0.70672655557761577</v>
      </c>
      <c r="X415" s="11">
        <v>-0.7074868024503348</v>
      </c>
      <c r="Y415">
        <v>0</v>
      </c>
      <c r="Z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6">
        <v>45065</v>
      </c>
      <c r="B416" t="s">
        <v>31</v>
      </c>
      <c r="C416" t="s">
        <v>32</v>
      </c>
      <c r="D416" t="s">
        <v>33</v>
      </c>
      <c r="E416" t="s">
        <v>34</v>
      </c>
      <c r="F416">
        <v>140</v>
      </c>
      <c r="G416">
        <v>360</v>
      </c>
      <c r="H416">
        <v>163</v>
      </c>
      <c r="I416">
        <v>69</v>
      </c>
      <c r="J416" s="8">
        <v>0.49285714285714288</v>
      </c>
      <c r="K416">
        <v>31</v>
      </c>
      <c r="L416">
        <v>40</v>
      </c>
      <c r="M416">
        <v>138</v>
      </c>
      <c r="N416" s="10">
        <v>435.52</v>
      </c>
      <c r="O416" s="7">
        <v>20.6</v>
      </c>
      <c r="P416" s="7">
        <v>28.2</v>
      </c>
      <c r="Q416">
        <v>4</v>
      </c>
      <c r="R416" t="s">
        <v>66</v>
      </c>
      <c r="S416">
        <v>5</v>
      </c>
      <c r="T416">
        <v>139</v>
      </c>
      <c r="U416" s="11">
        <v>-0.43388373911755801</v>
      </c>
      <c r="V416" s="11">
        <v>-0.90096886790241915</v>
      </c>
      <c r="W416" s="11">
        <v>0.69445210210887631</v>
      </c>
      <c r="X416" s="11">
        <v>-0.71953893423258397</v>
      </c>
      <c r="Y416">
        <v>0</v>
      </c>
      <c r="Z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6">
        <v>45065</v>
      </c>
      <c r="B417" t="s">
        <v>36</v>
      </c>
      <c r="C417" t="s">
        <v>37</v>
      </c>
      <c r="D417" t="s">
        <v>38</v>
      </c>
      <c r="E417" t="s">
        <v>39</v>
      </c>
      <c r="F417">
        <v>125</v>
      </c>
      <c r="G417">
        <v>320</v>
      </c>
      <c r="H417">
        <v>164</v>
      </c>
      <c r="I417">
        <v>68</v>
      </c>
      <c r="J417" s="8">
        <v>0.54400000000000004</v>
      </c>
      <c r="K417">
        <v>42</v>
      </c>
      <c r="L417">
        <v>41</v>
      </c>
      <c r="M417">
        <v>154</v>
      </c>
      <c r="N417" s="10">
        <v>626.96</v>
      </c>
      <c r="O417" s="7">
        <v>20.6</v>
      </c>
      <c r="P417" s="7">
        <v>28.2</v>
      </c>
      <c r="Q417">
        <v>4</v>
      </c>
      <c r="R417" t="s">
        <v>66</v>
      </c>
      <c r="S417">
        <v>5</v>
      </c>
      <c r="T417">
        <v>139</v>
      </c>
      <c r="U417" s="11">
        <v>-0.43388373911755801</v>
      </c>
      <c r="V417" s="11">
        <v>-0.90096886790241915</v>
      </c>
      <c r="W417" s="11">
        <v>0.69445210210887631</v>
      </c>
      <c r="X417" s="11">
        <v>-0.71953893423258397</v>
      </c>
      <c r="Y417">
        <v>0</v>
      </c>
      <c r="Z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6">
        <v>45065</v>
      </c>
      <c r="B418" t="s">
        <v>41</v>
      </c>
      <c r="C418" t="s">
        <v>42</v>
      </c>
      <c r="D418" t="s">
        <v>43</v>
      </c>
      <c r="E418" t="s">
        <v>44</v>
      </c>
      <c r="F418">
        <v>85</v>
      </c>
      <c r="G418">
        <v>210</v>
      </c>
      <c r="H418">
        <v>105</v>
      </c>
      <c r="I418">
        <v>48</v>
      </c>
      <c r="J418" s="8">
        <v>0.56470588235294117</v>
      </c>
      <c r="K418">
        <v>21</v>
      </c>
      <c r="L418">
        <v>30</v>
      </c>
      <c r="M418">
        <v>89</v>
      </c>
      <c r="N418" s="10">
        <v>479.34</v>
      </c>
      <c r="O418" s="7">
        <v>20.6</v>
      </c>
      <c r="P418" s="7">
        <v>28.2</v>
      </c>
      <c r="Q418">
        <v>4</v>
      </c>
      <c r="R418" t="s">
        <v>66</v>
      </c>
      <c r="S418">
        <v>5</v>
      </c>
      <c r="T418">
        <v>139</v>
      </c>
      <c r="U418" s="11">
        <v>-0.43388373911755801</v>
      </c>
      <c r="V418" s="11">
        <v>-0.90096886790241915</v>
      </c>
      <c r="W418" s="11">
        <v>0.69445210210887631</v>
      </c>
      <c r="X418" s="11">
        <v>-0.71953893423258397</v>
      </c>
      <c r="Y418">
        <v>0</v>
      </c>
      <c r="Z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6">
        <v>45066</v>
      </c>
      <c r="B419" t="s">
        <v>31</v>
      </c>
      <c r="C419" t="s">
        <v>32</v>
      </c>
      <c r="D419" t="s">
        <v>33</v>
      </c>
      <c r="E419" t="s">
        <v>34</v>
      </c>
      <c r="F419">
        <v>140</v>
      </c>
      <c r="G419">
        <v>360</v>
      </c>
      <c r="H419">
        <v>209</v>
      </c>
      <c r="I419">
        <v>89</v>
      </c>
      <c r="J419" s="8">
        <v>0.63571428571428568</v>
      </c>
      <c r="K419">
        <v>56</v>
      </c>
      <c r="L419">
        <v>31</v>
      </c>
      <c r="M419">
        <v>193</v>
      </c>
      <c r="N419" s="10">
        <v>487.02</v>
      </c>
      <c r="O419" s="7">
        <v>6</v>
      </c>
      <c r="P419" s="7">
        <v>28.1</v>
      </c>
      <c r="Q419">
        <v>5</v>
      </c>
      <c r="R419" t="s">
        <v>67</v>
      </c>
      <c r="S419">
        <v>5</v>
      </c>
      <c r="T419">
        <v>140</v>
      </c>
      <c r="U419" s="11">
        <v>-0.97492791218182362</v>
      </c>
      <c r="V419" s="11">
        <v>-0.22252093395631459</v>
      </c>
      <c r="W419" s="11">
        <v>0.68197214909046289</v>
      </c>
      <c r="X419" s="11">
        <v>-0.73137814286792535</v>
      </c>
      <c r="Y419">
        <v>1</v>
      </c>
      <c r="Z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6">
        <v>45066</v>
      </c>
      <c r="B420" t="s">
        <v>36</v>
      </c>
      <c r="C420" t="s">
        <v>37</v>
      </c>
      <c r="D420" t="s">
        <v>38</v>
      </c>
      <c r="E420" t="s">
        <v>39</v>
      </c>
      <c r="F420">
        <v>125</v>
      </c>
      <c r="G420">
        <v>320</v>
      </c>
      <c r="H420">
        <v>184</v>
      </c>
      <c r="I420">
        <v>78</v>
      </c>
      <c r="J420" s="8">
        <v>0.624</v>
      </c>
      <c r="K420">
        <v>27</v>
      </c>
      <c r="L420">
        <v>31</v>
      </c>
      <c r="M420">
        <v>169</v>
      </c>
      <c r="N420" s="10">
        <v>630.83000000000004</v>
      </c>
      <c r="O420" s="7">
        <v>6</v>
      </c>
      <c r="P420" s="7">
        <v>28.1</v>
      </c>
      <c r="Q420">
        <v>5</v>
      </c>
      <c r="R420" t="s">
        <v>67</v>
      </c>
      <c r="S420">
        <v>5</v>
      </c>
      <c r="T420">
        <v>140</v>
      </c>
      <c r="U420" s="11">
        <v>-0.97492791218182362</v>
      </c>
      <c r="V420" s="11">
        <v>-0.22252093395631459</v>
      </c>
      <c r="W420" s="11">
        <v>0.68197214909046289</v>
      </c>
      <c r="X420" s="11">
        <v>-0.73137814286792535</v>
      </c>
      <c r="Y420">
        <v>1</v>
      </c>
      <c r="Z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6">
        <v>45066</v>
      </c>
      <c r="B421" t="s">
        <v>41</v>
      </c>
      <c r="C421" t="s">
        <v>42</v>
      </c>
      <c r="D421" t="s">
        <v>43</v>
      </c>
      <c r="E421" t="s">
        <v>44</v>
      </c>
      <c r="F421">
        <v>85</v>
      </c>
      <c r="G421">
        <v>210</v>
      </c>
      <c r="H421">
        <v>130</v>
      </c>
      <c r="I421">
        <v>59</v>
      </c>
      <c r="J421" s="8">
        <v>0.69411764705882351</v>
      </c>
      <c r="K421">
        <v>26</v>
      </c>
      <c r="L421">
        <v>23</v>
      </c>
      <c r="M421">
        <v>110</v>
      </c>
      <c r="N421" s="10">
        <v>549.04</v>
      </c>
      <c r="O421" s="7">
        <v>6</v>
      </c>
      <c r="P421" s="7">
        <v>28.1</v>
      </c>
      <c r="Q421">
        <v>5</v>
      </c>
      <c r="R421" t="s">
        <v>67</v>
      </c>
      <c r="S421">
        <v>5</v>
      </c>
      <c r="T421">
        <v>140</v>
      </c>
      <c r="U421" s="11">
        <v>-0.97492791218182362</v>
      </c>
      <c r="V421" s="11">
        <v>-0.22252093395631459</v>
      </c>
      <c r="W421" s="11">
        <v>0.68197214909046289</v>
      </c>
      <c r="X421" s="11">
        <v>-0.73137814286792535</v>
      </c>
      <c r="Y421">
        <v>1</v>
      </c>
      <c r="Z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6">
        <v>45067</v>
      </c>
      <c r="B422" t="s">
        <v>31</v>
      </c>
      <c r="C422" t="s">
        <v>32</v>
      </c>
      <c r="D422" t="s">
        <v>33</v>
      </c>
      <c r="E422" t="s">
        <v>34</v>
      </c>
      <c r="F422">
        <v>140</v>
      </c>
      <c r="G422">
        <v>360</v>
      </c>
      <c r="H422">
        <v>213</v>
      </c>
      <c r="I422">
        <v>90</v>
      </c>
      <c r="J422" s="8">
        <v>0.6428571428571429</v>
      </c>
      <c r="K422">
        <v>29</v>
      </c>
      <c r="L422">
        <v>26</v>
      </c>
      <c r="M422">
        <v>195</v>
      </c>
      <c r="N422" s="10">
        <v>452.34</v>
      </c>
      <c r="O422" s="7">
        <v>7</v>
      </c>
      <c r="P422" s="7">
        <v>27.4</v>
      </c>
      <c r="Q422">
        <v>6</v>
      </c>
      <c r="R422" t="s">
        <v>60</v>
      </c>
      <c r="S422">
        <v>5</v>
      </c>
      <c r="T422">
        <v>141</v>
      </c>
      <c r="U422" s="11">
        <v>-0.78183148246802991</v>
      </c>
      <c r="V422" s="11">
        <v>0.62348980185873337</v>
      </c>
      <c r="W422" s="11">
        <v>0.66929038954125675</v>
      </c>
      <c r="X422" s="11">
        <v>-0.74300092494404935</v>
      </c>
      <c r="Y422">
        <v>1</v>
      </c>
      <c r="Z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6">
        <v>45067</v>
      </c>
      <c r="B423" t="s">
        <v>36</v>
      </c>
      <c r="C423" t="s">
        <v>37</v>
      </c>
      <c r="D423" t="s">
        <v>38</v>
      </c>
      <c r="E423" t="s">
        <v>39</v>
      </c>
      <c r="F423">
        <v>125</v>
      </c>
      <c r="G423">
        <v>320</v>
      </c>
      <c r="H423">
        <v>180</v>
      </c>
      <c r="I423">
        <v>75</v>
      </c>
      <c r="J423" s="8">
        <v>0.6</v>
      </c>
      <c r="K423">
        <v>42</v>
      </c>
      <c r="L423">
        <v>45</v>
      </c>
      <c r="M423">
        <v>157</v>
      </c>
      <c r="N423" s="10">
        <v>700.39</v>
      </c>
      <c r="O423" s="7">
        <v>7</v>
      </c>
      <c r="P423" s="7">
        <v>27.4</v>
      </c>
      <c r="Q423">
        <v>6</v>
      </c>
      <c r="R423" t="s">
        <v>60</v>
      </c>
      <c r="S423">
        <v>5</v>
      </c>
      <c r="T423">
        <v>141</v>
      </c>
      <c r="U423" s="11">
        <v>-0.78183148246802991</v>
      </c>
      <c r="V423" s="11">
        <v>0.62348980185873337</v>
      </c>
      <c r="W423" s="11">
        <v>0.66929038954125675</v>
      </c>
      <c r="X423" s="11">
        <v>-0.74300092494404935</v>
      </c>
      <c r="Y423">
        <v>1</v>
      </c>
      <c r="Z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6">
        <v>45067</v>
      </c>
      <c r="B424" t="s">
        <v>41</v>
      </c>
      <c r="C424" t="s">
        <v>42</v>
      </c>
      <c r="D424" t="s">
        <v>43</v>
      </c>
      <c r="E424" t="s">
        <v>44</v>
      </c>
      <c r="F424">
        <v>85</v>
      </c>
      <c r="G424">
        <v>210</v>
      </c>
      <c r="H424">
        <v>134</v>
      </c>
      <c r="I424">
        <v>61</v>
      </c>
      <c r="J424" s="8">
        <v>0.71764705882352942</v>
      </c>
      <c r="K424">
        <v>19</v>
      </c>
      <c r="L424">
        <v>16</v>
      </c>
      <c r="M424">
        <v>112</v>
      </c>
      <c r="N424" s="10">
        <v>586.65</v>
      </c>
      <c r="O424" s="7">
        <v>7</v>
      </c>
      <c r="P424" s="7">
        <v>27.4</v>
      </c>
      <c r="Q424">
        <v>6</v>
      </c>
      <c r="R424" t="s">
        <v>60</v>
      </c>
      <c r="S424">
        <v>5</v>
      </c>
      <c r="T424">
        <v>141</v>
      </c>
      <c r="U424" s="11">
        <v>-0.78183148246802991</v>
      </c>
      <c r="V424" s="11">
        <v>0.62348980185873337</v>
      </c>
      <c r="W424" s="11">
        <v>0.66929038954125675</v>
      </c>
      <c r="X424" s="11">
        <v>-0.74300092494404935</v>
      </c>
      <c r="Y424">
        <v>1</v>
      </c>
      <c r="Z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6">
        <v>45068</v>
      </c>
      <c r="B425" t="s">
        <v>31</v>
      </c>
      <c r="C425" t="s">
        <v>32</v>
      </c>
      <c r="D425" t="s">
        <v>33</v>
      </c>
      <c r="E425" t="s">
        <v>34</v>
      </c>
      <c r="F425">
        <v>140</v>
      </c>
      <c r="G425">
        <v>360</v>
      </c>
      <c r="H425">
        <v>182</v>
      </c>
      <c r="I425">
        <v>80</v>
      </c>
      <c r="J425" s="8">
        <v>0.5714285714285714</v>
      </c>
      <c r="K425">
        <v>36</v>
      </c>
      <c r="L425">
        <v>44</v>
      </c>
      <c r="M425">
        <v>160</v>
      </c>
      <c r="N425" s="10">
        <v>406.84</v>
      </c>
      <c r="O425" s="7">
        <v>14.3</v>
      </c>
      <c r="P425" s="7">
        <v>25.8</v>
      </c>
      <c r="Q425">
        <v>0</v>
      </c>
      <c r="R425" t="s">
        <v>62</v>
      </c>
      <c r="S425">
        <v>5</v>
      </c>
      <c r="T425">
        <v>142</v>
      </c>
      <c r="U425" s="11">
        <v>0</v>
      </c>
      <c r="V425" s="11">
        <v>1</v>
      </c>
      <c r="W425" s="11">
        <v>0.65641057619793808</v>
      </c>
      <c r="X425" s="11">
        <v>-0.75440384109274716</v>
      </c>
      <c r="Y425">
        <v>0</v>
      </c>
      <c r="Z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6">
        <v>45068</v>
      </c>
      <c r="B426" t="s">
        <v>36</v>
      </c>
      <c r="C426" t="s">
        <v>37</v>
      </c>
      <c r="D426" t="s">
        <v>38</v>
      </c>
      <c r="E426" t="s">
        <v>39</v>
      </c>
      <c r="F426">
        <v>125</v>
      </c>
      <c r="G426">
        <v>320</v>
      </c>
      <c r="H426">
        <v>145</v>
      </c>
      <c r="I426">
        <v>60</v>
      </c>
      <c r="J426" s="8">
        <v>0.48</v>
      </c>
      <c r="K426">
        <v>29</v>
      </c>
      <c r="L426">
        <v>19</v>
      </c>
      <c r="M426">
        <v>132</v>
      </c>
      <c r="N426" s="10">
        <v>638.41</v>
      </c>
      <c r="O426" s="7">
        <v>14.3</v>
      </c>
      <c r="P426" s="7">
        <v>25.8</v>
      </c>
      <c r="Q426">
        <v>0</v>
      </c>
      <c r="R426" t="s">
        <v>62</v>
      </c>
      <c r="S426">
        <v>5</v>
      </c>
      <c r="T426">
        <v>142</v>
      </c>
      <c r="U426" s="11">
        <v>0</v>
      </c>
      <c r="V426" s="11">
        <v>1</v>
      </c>
      <c r="W426" s="11">
        <v>0.65641057619793808</v>
      </c>
      <c r="X426" s="11">
        <v>-0.75440384109274716</v>
      </c>
      <c r="Y426">
        <v>0</v>
      </c>
      <c r="Z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6">
        <v>45068</v>
      </c>
      <c r="B427" t="s">
        <v>41</v>
      </c>
      <c r="C427" t="s">
        <v>42</v>
      </c>
      <c r="D427" t="s">
        <v>43</v>
      </c>
      <c r="E427" t="s">
        <v>44</v>
      </c>
      <c r="F427">
        <v>85</v>
      </c>
      <c r="G427">
        <v>210</v>
      </c>
      <c r="H427">
        <v>109</v>
      </c>
      <c r="I427">
        <v>49</v>
      </c>
      <c r="J427" s="8">
        <v>0.57647058823529407</v>
      </c>
      <c r="K427">
        <v>27</v>
      </c>
      <c r="L427">
        <v>15</v>
      </c>
      <c r="M427">
        <v>91</v>
      </c>
      <c r="N427" s="10">
        <v>490.92</v>
      </c>
      <c r="O427" s="7">
        <v>14.3</v>
      </c>
      <c r="P427" s="7">
        <v>25.8</v>
      </c>
      <c r="Q427">
        <v>0</v>
      </c>
      <c r="R427" t="s">
        <v>62</v>
      </c>
      <c r="S427">
        <v>5</v>
      </c>
      <c r="T427">
        <v>142</v>
      </c>
      <c r="U427" s="11">
        <v>0</v>
      </c>
      <c r="V427" s="11">
        <v>1</v>
      </c>
      <c r="W427" s="11">
        <v>0.65641057619793808</v>
      </c>
      <c r="X427" s="11">
        <v>-0.75440384109274716</v>
      </c>
      <c r="Y427">
        <v>0</v>
      </c>
      <c r="Z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6">
        <v>45069</v>
      </c>
      <c r="B428" t="s">
        <v>31</v>
      </c>
      <c r="C428" t="s">
        <v>32</v>
      </c>
      <c r="D428" t="s">
        <v>33</v>
      </c>
      <c r="E428" t="s">
        <v>34</v>
      </c>
      <c r="F428">
        <v>140</v>
      </c>
      <c r="G428">
        <v>360</v>
      </c>
      <c r="H428">
        <v>166</v>
      </c>
      <c r="I428">
        <v>73</v>
      </c>
      <c r="J428" s="8">
        <v>0.52142857142857146</v>
      </c>
      <c r="K428">
        <v>29</v>
      </c>
      <c r="L428">
        <v>29</v>
      </c>
      <c r="M428">
        <v>138</v>
      </c>
      <c r="N428" s="10">
        <v>437.22</v>
      </c>
      <c r="O428" s="7">
        <v>15.6</v>
      </c>
      <c r="P428" s="7">
        <v>27.9</v>
      </c>
      <c r="Q428">
        <v>1</v>
      </c>
      <c r="R428" t="s">
        <v>63</v>
      </c>
      <c r="S428">
        <v>5</v>
      </c>
      <c r="T428">
        <v>143</v>
      </c>
      <c r="U428" s="11">
        <v>0.7818314824680298</v>
      </c>
      <c r="V428" s="11">
        <v>0.62348980185873359</v>
      </c>
      <c r="W428" s="11">
        <v>0.64333652040449174</v>
      </c>
      <c r="X428" s="11">
        <v>-0.76558351700767502</v>
      </c>
      <c r="Y428">
        <v>0</v>
      </c>
      <c r="Z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6">
        <v>45069</v>
      </c>
      <c r="B429" t="s">
        <v>36</v>
      </c>
      <c r="C429" t="s">
        <v>37</v>
      </c>
      <c r="D429" t="s">
        <v>38</v>
      </c>
      <c r="E429" t="s">
        <v>39</v>
      </c>
      <c r="F429">
        <v>125</v>
      </c>
      <c r="G429">
        <v>320</v>
      </c>
      <c r="H429">
        <v>143</v>
      </c>
      <c r="I429">
        <v>61</v>
      </c>
      <c r="J429" s="8">
        <v>0.48799999999999999</v>
      </c>
      <c r="K429">
        <v>32</v>
      </c>
      <c r="L429">
        <v>16</v>
      </c>
      <c r="M429">
        <v>120</v>
      </c>
      <c r="N429" s="10">
        <v>648.07000000000005</v>
      </c>
      <c r="O429" s="7">
        <v>15.6</v>
      </c>
      <c r="P429" s="7">
        <v>27.9</v>
      </c>
      <c r="Q429">
        <v>1</v>
      </c>
      <c r="R429" t="s">
        <v>63</v>
      </c>
      <c r="S429">
        <v>5</v>
      </c>
      <c r="T429">
        <v>143</v>
      </c>
      <c r="U429" s="11">
        <v>0.7818314824680298</v>
      </c>
      <c r="V429" s="11">
        <v>0.62348980185873359</v>
      </c>
      <c r="W429" s="11">
        <v>0.64333652040449174</v>
      </c>
      <c r="X429" s="11">
        <v>-0.76558351700767502</v>
      </c>
      <c r="Y429">
        <v>0</v>
      </c>
      <c r="Z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6">
        <v>45069</v>
      </c>
      <c r="B430" t="s">
        <v>41</v>
      </c>
      <c r="C430" t="s">
        <v>42</v>
      </c>
      <c r="D430" t="s">
        <v>43</v>
      </c>
      <c r="E430" t="s">
        <v>44</v>
      </c>
      <c r="F430">
        <v>85</v>
      </c>
      <c r="G430">
        <v>210</v>
      </c>
      <c r="H430">
        <v>112</v>
      </c>
      <c r="I430">
        <v>48</v>
      </c>
      <c r="J430" s="8">
        <v>0.56470588235294117</v>
      </c>
      <c r="K430">
        <v>11</v>
      </c>
      <c r="L430">
        <v>18</v>
      </c>
      <c r="M430">
        <v>92</v>
      </c>
      <c r="N430" s="10">
        <v>478.57</v>
      </c>
      <c r="O430" s="7">
        <v>15.6</v>
      </c>
      <c r="P430" s="7">
        <v>27.9</v>
      </c>
      <c r="Q430">
        <v>1</v>
      </c>
      <c r="R430" t="s">
        <v>63</v>
      </c>
      <c r="S430">
        <v>5</v>
      </c>
      <c r="T430">
        <v>143</v>
      </c>
      <c r="U430" s="11">
        <v>0.7818314824680298</v>
      </c>
      <c r="V430" s="11">
        <v>0.62348980185873359</v>
      </c>
      <c r="W430" s="11">
        <v>0.64333652040449174</v>
      </c>
      <c r="X430" s="11">
        <v>-0.76558351700767502</v>
      </c>
      <c r="Y430">
        <v>0</v>
      </c>
      <c r="Z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6">
        <v>45070</v>
      </c>
      <c r="B431" t="s">
        <v>31</v>
      </c>
      <c r="C431" t="s">
        <v>32</v>
      </c>
      <c r="D431" t="s">
        <v>33</v>
      </c>
      <c r="E431" t="s">
        <v>34</v>
      </c>
      <c r="F431">
        <v>140</v>
      </c>
      <c r="G431">
        <v>360</v>
      </c>
      <c r="H431">
        <v>173</v>
      </c>
      <c r="I431">
        <v>73</v>
      </c>
      <c r="J431" s="8">
        <v>0.52142857142857146</v>
      </c>
      <c r="K431">
        <v>46</v>
      </c>
      <c r="L431">
        <v>43</v>
      </c>
      <c r="M431">
        <v>155</v>
      </c>
      <c r="N431" s="10">
        <v>454.49</v>
      </c>
      <c r="O431" s="7">
        <v>9.1</v>
      </c>
      <c r="P431" s="7">
        <v>26.9</v>
      </c>
      <c r="Q431">
        <v>2</v>
      </c>
      <c r="R431" t="s">
        <v>64</v>
      </c>
      <c r="S431">
        <v>5</v>
      </c>
      <c r="T431">
        <v>144</v>
      </c>
      <c r="U431" s="11">
        <v>0.97492791218182362</v>
      </c>
      <c r="V431" s="11">
        <v>-0.22252093395631434</v>
      </c>
      <c r="W431" s="11">
        <v>0.63007209098436867</v>
      </c>
      <c r="X431" s="11">
        <v>-0.77653664444286552</v>
      </c>
      <c r="Y431">
        <v>0</v>
      </c>
      <c r="Z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6">
        <v>45070</v>
      </c>
      <c r="B432" t="s">
        <v>36</v>
      </c>
      <c r="C432" t="s">
        <v>37</v>
      </c>
      <c r="D432" t="s">
        <v>38</v>
      </c>
      <c r="E432" t="s">
        <v>39</v>
      </c>
      <c r="F432">
        <v>125</v>
      </c>
      <c r="G432">
        <v>320</v>
      </c>
      <c r="H432">
        <v>142</v>
      </c>
      <c r="I432">
        <v>60</v>
      </c>
      <c r="J432" s="8">
        <v>0.48</v>
      </c>
      <c r="K432">
        <v>32</v>
      </c>
      <c r="L432">
        <v>22</v>
      </c>
      <c r="M432">
        <v>122</v>
      </c>
      <c r="N432" s="10">
        <v>579.21</v>
      </c>
      <c r="O432" s="7">
        <v>9.1</v>
      </c>
      <c r="P432" s="7">
        <v>26.9</v>
      </c>
      <c r="Q432">
        <v>2</v>
      </c>
      <c r="R432" t="s">
        <v>64</v>
      </c>
      <c r="S432">
        <v>5</v>
      </c>
      <c r="T432">
        <v>144</v>
      </c>
      <c r="U432" s="11">
        <v>0.97492791218182362</v>
      </c>
      <c r="V432" s="11">
        <v>-0.22252093395631434</v>
      </c>
      <c r="W432" s="11">
        <v>0.63007209098436867</v>
      </c>
      <c r="X432" s="11">
        <v>-0.77653664444286552</v>
      </c>
      <c r="Y432">
        <v>0</v>
      </c>
      <c r="Z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6">
        <v>45070</v>
      </c>
      <c r="B433" t="s">
        <v>41</v>
      </c>
      <c r="C433" t="s">
        <v>42</v>
      </c>
      <c r="D433" t="s">
        <v>43</v>
      </c>
      <c r="E433" t="s">
        <v>44</v>
      </c>
      <c r="F433">
        <v>85</v>
      </c>
      <c r="G433">
        <v>210</v>
      </c>
      <c r="H433">
        <v>114</v>
      </c>
      <c r="I433">
        <v>50</v>
      </c>
      <c r="J433" s="8">
        <v>0.58823529411764708</v>
      </c>
      <c r="K433">
        <v>22</v>
      </c>
      <c r="L433">
        <v>25</v>
      </c>
      <c r="M433">
        <v>100</v>
      </c>
      <c r="N433" s="10">
        <v>491.94</v>
      </c>
      <c r="O433" s="7">
        <v>9.1</v>
      </c>
      <c r="P433" s="7">
        <v>26.9</v>
      </c>
      <c r="Q433">
        <v>2</v>
      </c>
      <c r="R433" t="s">
        <v>64</v>
      </c>
      <c r="S433">
        <v>5</v>
      </c>
      <c r="T433">
        <v>144</v>
      </c>
      <c r="U433" s="11">
        <v>0.97492791218182362</v>
      </c>
      <c r="V433" s="11">
        <v>-0.22252093395631434</v>
      </c>
      <c r="W433" s="11">
        <v>0.63007209098436867</v>
      </c>
      <c r="X433" s="11">
        <v>-0.77653664444286552</v>
      </c>
      <c r="Y433">
        <v>0</v>
      </c>
      <c r="Z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6">
        <v>45071</v>
      </c>
      <c r="B434" t="s">
        <v>31</v>
      </c>
      <c r="C434" t="s">
        <v>32</v>
      </c>
      <c r="D434" t="s">
        <v>33</v>
      </c>
      <c r="E434" t="s">
        <v>34</v>
      </c>
      <c r="F434">
        <v>140</v>
      </c>
      <c r="G434">
        <v>360</v>
      </c>
      <c r="H434">
        <v>179</v>
      </c>
      <c r="I434">
        <v>75</v>
      </c>
      <c r="J434" s="8">
        <v>0.5357142857142857</v>
      </c>
      <c r="K434">
        <v>33</v>
      </c>
      <c r="L434">
        <v>26</v>
      </c>
      <c r="M434">
        <v>148</v>
      </c>
      <c r="N434" s="10">
        <v>464.08</v>
      </c>
      <c r="O434" s="7">
        <v>5.3</v>
      </c>
      <c r="P434" s="7">
        <v>27.9</v>
      </c>
      <c r="Q434">
        <v>3</v>
      </c>
      <c r="R434" t="s">
        <v>65</v>
      </c>
      <c r="S434">
        <v>5</v>
      </c>
      <c r="T434">
        <v>145</v>
      </c>
      <c r="U434" s="11">
        <v>0.43388373911755823</v>
      </c>
      <c r="V434" s="11">
        <v>-0.90096886790241903</v>
      </c>
      <c r="W434" s="11">
        <v>0.61662121309563822</v>
      </c>
      <c r="X434" s="11">
        <v>-0.78725998219169224</v>
      </c>
      <c r="Y434">
        <v>0</v>
      </c>
      <c r="Z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6">
        <v>45071</v>
      </c>
      <c r="B435" t="s">
        <v>36</v>
      </c>
      <c r="C435" t="s">
        <v>37</v>
      </c>
      <c r="D435" t="s">
        <v>38</v>
      </c>
      <c r="E435" t="s">
        <v>39</v>
      </c>
      <c r="F435">
        <v>125</v>
      </c>
      <c r="G435">
        <v>320</v>
      </c>
      <c r="H435">
        <v>144</v>
      </c>
      <c r="I435">
        <v>62</v>
      </c>
      <c r="J435" s="8">
        <v>0.496</v>
      </c>
      <c r="K435">
        <v>14</v>
      </c>
      <c r="L435">
        <v>25</v>
      </c>
      <c r="M435">
        <v>127</v>
      </c>
      <c r="N435" s="10">
        <v>652.92999999999995</v>
      </c>
      <c r="O435" s="7">
        <v>5.3</v>
      </c>
      <c r="P435" s="7">
        <v>27.9</v>
      </c>
      <c r="Q435">
        <v>3</v>
      </c>
      <c r="R435" t="s">
        <v>65</v>
      </c>
      <c r="S435">
        <v>5</v>
      </c>
      <c r="T435">
        <v>145</v>
      </c>
      <c r="U435" s="11">
        <v>0.43388373911755823</v>
      </c>
      <c r="V435" s="11">
        <v>-0.90096886790241903</v>
      </c>
      <c r="W435" s="11">
        <v>0.61662121309563822</v>
      </c>
      <c r="X435" s="11">
        <v>-0.78725998219169224</v>
      </c>
      <c r="Y435">
        <v>0</v>
      </c>
      <c r="Z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6">
        <v>45071</v>
      </c>
      <c r="B436" t="s">
        <v>41</v>
      </c>
      <c r="C436" t="s">
        <v>42</v>
      </c>
      <c r="D436" t="s">
        <v>43</v>
      </c>
      <c r="E436" t="s">
        <v>44</v>
      </c>
      <c r="F436">
        <v>85</v>
      </c>
      <c r="G436">
        <v>210</v>
      </c>
      <c r="H436">
        <v>103</v>
      </c>
      <c r="I436">
        <v>47</v>
      </c>
      <c r="J436" s="8">
        <v>0.55294117647058827</v>
      </c>
      <c r="K436">
        <v>13</v>
      </c>
      <c r="L436">
        <v>15</v>
      </c>
      <c r="M436">
        <v>84</v>
      </c>
      <c r="N436" s="10">
        <v>516.29999999999995</v>
      </c>
      <c r="O436" s="7">
        <v>5.3</v>
      </c>
      <c r="P436" s="7">
        <v>27.9</v>
      </c>
      <c r="Q436">
        <v>3</v>
      </c>
      <c r="R436" t="s">
        <v>65</v>
      </c>
      <c r="S436">
        <v>5</v>
      </c>
      <c r="T436">
        <v>145</v>
      </c>
      <c r="U436" s="11">
        <v>0.43388373911755823</v>
      </c>
      <c r="V436" s="11">
        <v>-0.90096886790241903</v>
      </c>
      <c r="W436" s="11">
        <v>0.61662121309563822</v>
      </c>
      <c r="X436" s="11">
        <v>-0.78725998219169224</v>
      </c>
      <c r="Y436">
        <v>0</v>
      </c>
      <c r="Z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6">
        <v>45072</v>
      </c>
      <c r="B437" t="s">
        <v>31</v>
      </c>
      <c r="C437" t="s">
        <v>32</v>
      </c>
      <c r="D437" t="s">
        <v>33</v>
      </c>
      <c r="E437" t="s">
        <v>34</v>
      </c>
      <c r="F437">
        <v>140</v>
      </c>
      <c r="G437">
        <v>360</v>
      </c>
      <c r="H437">
        <v>184</v>
      </c>
      <c r="I437">
        <v>81</v>
      </c>
      <c r="J437" s="8">
        <v>0.57857142857142863</v>
      </c>
      <c r="K437">
        <v>38</v>
      </c>
      <c r="L437">
        <v>17</v>
      </c>
      <c r="M437">
        <v>151</v>
      </c>
      <c r="N437" s="10">
        <v>445.06</v>
      </c>
      <c r="O437" s="7">
        <v>8.1999999999999993</v>
      </c>
      <c r="P437" s="7">
        <v>26.8</v>
      </c>
      <c r="Q437">
        <v>4</v>
      </c>
      <c r="R437" t="s">
        <v>66</v>
      </c>
      <c r="S437">
        <v>5</v>
      </c>
      <c r="T437">
        <v>146</v>
      </c>
      <c r="U437" s="11">
        <v>-0.43388373911755801</v>
      </c>
      <c r="V437" s="11">
        <v>-0.90096886790241915</v>
      </c>
      <c r="W437" s="11">
        <v>0.60298786706947138</v>
      </c>
      <c r="X437" s="11">
        <v>-0.79775035704599317</v>
      </c>
      <c r="Y437">
        <v>0</v>
      </c>
      <c r="Z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6">
        <v>45072</v>
      </c>
      <c r="B438" t="s">
        <v>36</v>
      </c>
      <c r="C438" t="s">
        <v>37</v>
      </c>
      <c r="D438" t="s">
        <v>38</v>
      </c>
      <c r="E438" t="s">
        <v>39</v>
      </c>
      <c r="F438">
        <v>125</v>
      </c>
      <c r="G438">
        <v>320</v>
      </c>
      <c r="H438">
        <v>162</v>
      </c>
      <c r="I438">
        <v>67</v>
      </c>
      <c r="J438" s="8">
        <v>0.53600000000000003</v>
      </c>
      <c r="K438">
        <v>25</v>
      </c>
      <c r="L438">
        <v>20</v>
      </c>
      <c r="M438">
        <v>140</v>
      </c>
      <c r="N438" s="10">
        <v>594.20000000000005</v>
      </c>
      <c r="O438" s="7">
        <v>8.1999999999999993</v>
      </c>
      <c r="P438" s="7">
        <v>26.8</v>
      </c>
      <c r="Q438">
        <v>4</v>
      </c>
      <c r="R438" t="s">
        <v>66</v>
      </c>
      <c r="S438">
        <v>5</v>
      </c>
      <c r="T438">
        <v>146</v>
      </c>
      <c r="U438" s="11">
        <v>-0.43388373911755801</v>
      </c>
      <c r="V438" s="11">
        <v>-0.90096886790241915</v>
      </c>
      <c r="W438" s="11">
        <v>0.60298786706947138</v>
      </c>
      <c r="X438" s="11">
        <v>-0.79775035704599317</v>
      </c>
      <c r="Y438">
        <v>0</v>
      </c>
      <c r="Z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6">
        <v>45072</v>
      </c>
      <c r="B439" t="s">
        <v>41</v>
      </c>
      <c r="C439" t="s">
        <v>42</v>
      </c>
      <c r="D439" t="s">
        <v>43</v>
      </c>
      <c r="E439" t="s">
        <v>44</v>
      </c>
      <c r="F439">
        <v>85</v>
      </c>
      <c r="G439">
        <v>210</v>
      </c>
      <c r="H439">
        <v>98</v>
      </c>
      <c r="I439">
        <v>45</v>
      </c>
      <c r="J439" s="8">
        <v>0.52941176470588236</v>
      </c>
      <c r="K439">
        <v>14</v>
      </c>
      <c r="L439">
        <v>13</v>
      </c>
      <c r="M439">
        <v>88</v>
      </c>
      <c r="N439" s="10">
        <v>506.08</v>
      </c>
      <c r="O439" s="7">
        <v>8.1999999999999993</v>
      </c>
      <c r="P439" s="7">
        <v>26.8</v>
      </c>
      <c r="Q439">
        <v>4</v>
      </c>
      <c r="R439" t="s">
        <v>66</v>
      </c>
      <c r="S439">
        <v>5</v>
      </c>
      <c r="T439">
        <v>146</v>
      </c>
      <c r="U439" s="11">
        <v>-0.43388373911755801</v>
      </c>
      <c r="V439" s="11">
        <v>-0.90096886790241915</v>
      </c>
      <c r="W439" s="11">
        <v>0.60298786706947138</v>
      </c>
      <c r="X439" s="11">
        <v>-0.79775035704599317</v>
      </c>
      <c r="Y439">
        <v>0</v>
      </c>
      <c r="Z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6">
        <v>45073</v>
      </c>
      <c r="B440" t="s">
        <v>31</v>
      </c>
      <c r="C440" t="s">
        <v>32</v>
      </c>
      <c r="D440" t="s">
        <v>33</v>
      </c>
      <c r="E440" t="s">
        <v>34</v>
      </c>
      <c r="F440">
        <v>140</v>
      </c>
      <c r="G440">
        <v>360</v>
      </c>
      <c r="H440">
        <v>209</v>
      </c>
      <c r="I440">
        <v>87</v>
      </c>
      <c r="J440" s="8">
        <v>0.62142857142857144</v>
      </c>
      <c r="K440">
        <v>48</v>
      </c>
      <c r="L440">
        <v>27</v>
      </c>
      <c r="M440">
        <v>177</v>
      </c>
      <c r="N440" s="10">
        <v>505.9</v>
      </c>
      <c r="O440" s="7">
        <v>24.4</v>
      </c>
      <c r="P440" s="7">
        <v>25.1</v>
      </c>
      <c r="Q440">
        <v>5</v>
      </c>
      <c r="R440" t="s">
        <v>67</v>
      </c>
      <c r="S440">
        <v>5</v>
      </c>
      <c r="T440">
        <v>147</v>
      </c>
      <c r="U440" s="11">
        <v>-0.97492791218182362</v>
      </c>
      <c r="V440" s="11">
        <v>-0.22252093395631459</v>
      </c>
      <c r="W440" s="11">
        <v>0.58917608723229631</v>
      </c>
      <c r="X440" s="11">
        <v>-0.80800466473507537</v>
      </c>
      <c r="Y440">
        <v>1</v>
      </c>
      <c r="Z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6">
        <v>45073</v>
      </c>
      <c r="B441" t="s">
        <v>36</v>
      </c>
      <c r="C441" t="s">
        <v>37</v>
      </c>
      <c r="D441" t="s">
        <v>38</v>
      </c>
      <c r="E441" t="s">
        <v>39</v>
      </c>
      <c r="F441">
        <v>125</v>
      </c>
      <c r="G441">
        <v>320</v>
      </c>
      <c r="H441">
        <v>186</v>
      </c>
      <c r="I441">
        <v>78</v>
      </c>
      <c r="J441" s="8">
        <v>0.624</v>
      </c>
      <c r="K441">
        <v>25</v>
      </c>
      <c r="L441">
        <v>45</v>
      </c>
      <c r="M441">
        <v>154</v>
      </c>
      <c r="N441" s="10">
        <v>646.53</v>
      </c>
      <c r="O441" s="7">
        <v>24.4</v>
      </c>
      <c r="P441" s="7">
        <v>25.1</v>
      </c>
      <c r="Q441">
        <v>5</v>
      </c>
      <c r="R441" t="s">
        <v>67</v>
      </c>
      <c r="S441">
        <v>5</v>
      </c>
      <c r="T441">
        <v>147</v>
      </c>
      <c r="U441" s="11">
        <v>-0.97492791218182362</v>
      </c>
      <c r="V441" s="11">
        <v>-0.22252093395631459</v>
      </c>
      <c r="W441" s="11">
        <v>0.58917608723229631</v>
      </c>
      <c r="X441" s="11">
        <v>-0.80800466473507537</v>
      </c>
      <c r="Y441">
        <v>1</v>
      </c>
      <c r="Z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6">
        <v>45073</v>
      </c>
      <c r="B442" t="s">
        <v>41</v>
      </c>
      <c r="C442" t="s">
        <v>42</v>
      </c>
      <c r="D442" t="s">
        <v>43</v>
      </c>
      <c r="E442" t="s">
        <v>44</v>
      </c>
      <c r="F442">
        <v>85</v>
      </c>
      <c r="G442">
        <v>210</v>
      </c>
      <c r="H442">
        <v>135</v>
      </c>
      <c r="I442">
        <v>63</v>
      </c>
      <c r="J442" s="8">
        <v>0.74117647058823533</v>
      </c>
      <c r="K442">
        <v>22</v>
      </c>
      <c r="L442">
        <v>22</v>
      </c>
      <c r="M442">
        <v>119</v>
      </c>
      <c r="N442" s="10">
        <v>564.03</v>
      </c>
      <c r="O442" s="7">
        <v>24.4</v>
      </c>
      <c r="P442" s="7">
        <v>25.1</v>
      </c>
      <c r="Q442">
        <v>5</v>
      </c>
      <c r="R442" t="s">
        <v>67</v>
      </c>
      <c r="S442">
        <v>5</v>
      </c>
      <c r="T442">
        <v>147</v>
      </c>
      <c r="U442" s="11">
        <v>-0.97492791218182362</v>
      </c>
      <c r="V442" s="11">
        <v>-0.22252093395631459</v>
      </c>
      <c r="W442" s="11">
        <v>0.58917608723229631</v>
      </c>
      <c r="X442" s="11">
        <v>-0.80800466473507537</v>
      </c>
      <c r="Y442">
        <v>1</v>
      </c>
      <c r="Z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6">
        <v>45074</v>
      </c>
      <c r="B443" t="s">
        <v>31</v>
      </c>
      <c r="C443" t="s">
        <v>32</v>
      </c>
      <c r="D443" t="s">
        <v>33</v>
      </c>
      <c r="E443" t="s">
        <v>34</v>
      </c>
      <c r="F443">
        <v>140</v>
      </c>
      <c r="G443">
        <v>360</v>
      </c>
      <c r="H443">
        <v>192</v>
      </c>
      <c r="I443">
        <v>82</v>
      </c>
      <c r="J443" s="8">
        <v>0.58571428571428574</v>
      </c>
      <c r="K443">
        <v>36</v>
      </c>
      <c r="L443">
        <v>31</v>
      </c>
      <c r="M443">
        <v>178</v>
      </c>
      <c r="N443" s="10">
        <v>513.41999999999996</v>
      </c>
      <c r="O443" s="7">
        <v>23.4</v>
      </c>
      <c r="P443" s="7">
        <v>26.9</v>
      </c>
      <c r="Q443">
        <v>6</v>
      </c>
      <c r="R443" t="s">
        <v>60</v>
      </c>
      <c r="S443">
        <v>5</v>
      </c>
      <c r="T443">
        <v>148</v>
      </c>
      <c r="U443" s="11">
        <v>-0.78183148246802991</v>
      </c>
      <c r="V443" s="11">
        <v>0.62348980185873337</v>
      </c>
      <c r="W443" s="11">
        <v>0.57518996071197748</v>
      </c>
      <c r="X443" s="11">
        <v>-0.81801987084431749</v>
      </c>
      <c r="Y443">
        <v>1</v>
      </c>
      <c r="Z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6">
        <v>45074</v>
      </c>
      <c r="B444" t="s">
        <v>36</v>
      </c>
      <c r="C444" t="s">
        <v>37</v>
      </c>
      <c r="D444" t="s">
        <v>38</v>
      </c>
      <c r="E444" t="s">
        <v>39</v>
      </c>
      <c r="F444">
        <v>125</v>
      </c>
      <c r="G444">
        <v>320</v>
      </c>
      <c r="H444">
        <v>185</v>
      </c>
      <c r="I444">
        <v>80</v>
      </c>
      <c r="J444" s="8">
        <v>0.64</v>
      </c>
      <c r="K444">
        <v>34</v>
      </c>
      <c r="L444">
        <v>28</v>
      </c>
      <c r="M444">
        <v>149</v>
      </c>
      <c r="N444" s="10">
        <v>647.1</v>
      </c>
      <c r="O444" s="7">
        <v>23.4</v>
      </c>
      <c r="P444" s="7">
        <v>26.9</v>
      </c>
      <c r="Q444">
        <v>6</v>
      </c>
      <c r="R444" t="s">
        <v>60</v>
      </c>
      <c r="S444">
        <v>5</v>
      </c>
      <c r="T444">
        <v>148</v>
      </c>
      <c r="U444" s="11">
        <v>-0.78183148246802991</v>
      </c>
      <c r="V444" s="11">
        <v>0.62348980185873337</v>
      </c>
      <c r="W444" s="11">
        <v>0.57518996071197748</v>
      </c>
      <c r="X444" s="11">
        <v>-0.81801987084431749</v>
      </c>
      <c r="Y444">
        <v>1</v>
      </c>
      <c r="Z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6">
        <v>45074</v>
      </c>
      <c r="B445" t="s">
        <v>41</v>
      </c>
      <c r="C445" t="s">
        <v>42</v>
      </c>
      <c r="D445" t="s">
        <v>43</v>
      </c>
      <c r="E445" t="s">
        <v>44</v>
      </c>
      <c r="F445">
        <v>85</v>
      </c>
      <c r="G445">
        <v>210</v>
      </c>
      <c r="H445">
        <v>145</v>
      </c>
      <c r="I445">
        <v>66</v>
      </c>
      <c r="J445" s="8">
        <v>0.77647058823529413</v>
      </c>
      <c r="K445">
        <v>36</v>
      </c>
      <c r="L445">
        <v>27</v>
      </c>
      <c r="M445">
        <v>134</v>
      </c>
      <c r="N445" s="10">
        <v>614.85</v>
      </c>
      <c r="O445" s="7">
        <v>23.4</v>
      </c>
      <c r="P445" s="7">
        <v>26.9</v>
      </c>
      <c r="Q445">
        <v>6</v>
      </c>
      <c r="R445" t="s">
        <v>60</v>
      </c>
      <c r="S445">
        <v>5</v>
      </c>
      <c r="T445">
        <v>148</v>
      </c>
      <c r="U445" s="11">
        <v>-0.78183148246802991</v>
      </c>
      <c r="V445" s="11">
        <v>0.62348980185873337</v>
      </c>
      <c r="W445" s="11">
        <v>0.57518996071197748</v>
      </c>
      <c r="X445" s="11">
        <v>-0.81801987084431749</v>
      </c>
      <c r="Y445">
        <v>1</v>
      </c>
      <c r="Z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6">
        <v>45075</v>
      </c>
      <c r="B446" t="s">
        <v>31</v>
      </c>
      <c r="C446" t="s">
        <v>32</v>
      </c>
      <c r="D446" t="s">
        <v>33</v>
      </c>
      <c r="E446" t="s">
        <v>34</v>
      </c>
      <c r="F446">
        <v>140</v>
      </c>
      <c r="G446">
        <v>360</v>
      </c>
      <c r="H446">
        <v>176</v>
      </c>
      <c r="I446">
        <v>76</v>
      </c>
      <c r="J446" s="8">
        <v>0.54285714285714282</v>
      </c>
      <c r="K446">
        <v>34</v>
      </c>
      <c r="L446">
        <v>30</v>
      </c>
      <c r="M446">
        <v>147</v>
      </c>
      <c r="N446" s="10">
        <v>452.16</v>
      </c>
      <c r="O446" s="7">
        <v>0</v>
      </c>
      <c r="P446" s="7">
        <v>27.4</v>
      </c>
      <c r="Q446">
        <v>0</v>
      </c>
      <c r="R446" t="s">
        <v>62</v>
      </c>
      <c r="S446">
        <v>5</v>
      </c>
      <c r="T446">
        <v>149</v>
      </c>
      <c r="U446" s="11">
        <v>0</v>
      </c>
      <c r="V446" s="11">
        <v>1</v>
      </c>
      <c r="W446" s="11">
        <v>0.56103362622836772</v>
      </c>
      <c r="X446" s="11">
        <v>-0.82779301171310216</v>
      </c>
      <c r="Y446">
        <v>0</v>
      </c>
      <c r="Z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6">
        <v>45075</v>
      </c>
      <c r="B447" t="s">
        <v>36</v>
      </c>
      <c r="C447" t="s">
        <v>37</v>
      </c>
      <c r="D447" t="s">
        <v>38</v>
      </c>
      <c r="E447" t="s">
        <v>39</v>
      </c>
      <c r="F447">
        <v>125</v>
      </c>
      <c r="G447">
        <v>320</v>
      </c>
      <c r="H447">
        <v>157</v>
      </c>
      <c r="I447">
        <v>65</v>
      </c>
      <c r="J447" s="8">
        <v>0.52</v>
      </c>
      <c r="K447">
        <v>23</v>
      </c>
      <c r="L447">
        <v>29</v>
      </c>
      <c r="M447">
        <v>144</v>
      </c>
      <c r="N447" s="10">
        <v>681.41</v>
      </c>
      <c r="O447" s="7">
        <v>0</v>
      </c>
      <c r="P447" s="7">
        <v>27.4</v>
      </c>
      <c r="Q447">
        <v>0</v>
      </c>
      <c r="R447" t="s">
        <v>62</v>
      </c>
      <c r="S447">
        <v>5</v>
      </c>
      <c r="T447">
        <v>149</v>
      </c>
      <c r="U447" s="11">
        <v>0</v>
      </c>
      <c r="V447" s="11">
        <v>1</v>
      </c>
      <c r="W447" s="11">
        <v>0.56103362622836772</v>
      </c>
      <c r="X447" s="11">
        <v>-0.82779301171310216</v>
      </c>
      <c r="Y447">
        <v>0</v>
      </c>
      <c r="Z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6">
        <v>45075</v>
      </c>
      <c r="B448" t="s">
        <v>41</v>
      </c>
      <c r="C448" t="s">
        <v>42</v>
      </c>
      <c r="D448" t="s">
        <v>43</v>
      </c>
      <c r="E448" t="s">
        <v>44</v>
      </c>
      <c r="F448">
        <v>85</v>
      </c>
      <c r="G448">
        <v>210</v>
      </c>
      <c r="H448">
        <v>102</v>
      </c>
      <c r="I448">
        <v>44</v>
      </c>
      <c r="J448" s="8">
        <v>0.51764705882352946</v>
      </c>
      <c r="K448">
        <v>27</v>
      </c>
      <c r="L448">
        <v>17</v>
      </c>
      <c r="M448">
        <v>86</v>
      </c>
      <c r="N448" s="10">
        <v>532.49</v>
      </c>
      <c r="O448" s="7">
        <v>0</v>
      </c>
      <c r="P448" s="7">
        <v>27.4</v>
      </c>
      <c r="Q448">
        <v>0</v>
      </c>
      <c r="R448" t="s">
        <v>62</v>
      </c>
      <c r="S448">
        <v>5</v>
      </c>
      <c r="T448">
        <v>149</v>
      </c>
      <c r="U448" s="11">
        <v>0</v>
      </c>
      <c r="V448" s="11">
        <v>1</v>
      </c>
      <c r="W448" s="11">
        <v>0.56103362622836772</v>
      </c>
      <c r="X448" s="11">
        <v>-0.82779301171310216</v>
      </c>
      <c r="Y448">
        <v>0</v>
      </c>
      <c r="Z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6">
        <v>45076</v>
      </c>
      <c r="B449" t="s">
        <v>31</v>
      </c>
      <c r="C449" t="s">
        <v>32</v>
      </c>
      <c r="D449" t="s">
        <v>33</v>
      </c>
      <c r="E449" t="s">
        <v>34</v>
      </c>
      <c r="F449">
        <v>140</v>
      </c>
      <c r="G449">
        <v>360</v>
      </c>
      <c r="H449">
        <v>169</v>
      </c>
      <c r="I449">
        <v>71</v>
      </c>
      <c r="J449" s="8">
        <v>0.50714285714285712</v>
      </c>
      <c r="K449">
        <v>26</v>
      </c>
      <c r="L449">
        <v>34</v>
      </c>
      <c r="M449">
        <v>136</v>
      </c>
      <c r="N449" s="10">
        <v>467.56</v>
      </c>
      <c r="O449" s="7">
        <v>20.9</v>
      </c>
      <c r="P449" s="7">
        <v>26.8</v>
      </c>
      <c r="Q449">
        <v>1</v>
      </c>
      <c r="R449" t="s">
        <v>63</v>
      </c>
      <c r="S449">
        <v>5</v>
      </c>
      <c r="T449">
        <v>150</v>
      </c>
      <c r="U449" s="11">
        <v>0.7818314824680298</v>
      </c>
      <c r="V449" s="11">
        <v>0.62348980185873359</v>
      </c>
      <c r="W449" s="11">
        <v>0.54671127286859389</v>
      </c>
      <c r="X449" s="11">
        <v>-0.83732119531181215</v>
      </c>
      <c r="Y449">
        <v>0</v>
      </c>
      <c r="Z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6">
        <v>45076</v>
      </c>
      <c r="B450" t="s">
        <v>36</v>
      </c>
      <c r="C450" t="s">
        <v>37</v>
      </c>
      <c r="D450" t="s">
        <v>38</v>
      </c>
      <c r="E450" t="s">
        <v>39</v>
      </c>
      <c r="F450">
        <v>125</v>
      </c>
      <c r="G450">
        <v>320</v>
      </c>
      <c r="H450">
        <v>166</v>
      </c>
      <c r="I450">
        <v>70</v>
      </c>
      <c r="J450" s="8">
        <v>0.56000000000000005</v>
      </c>
      <c r="K450">
        <v>38</v>
      </c>
      <c r="L450">
        <v>25</v>
      </c>
      <c r="M450">
        <v>136</v>
      </c>
      <c r="N450" s="10">
        <v>660.73</v>
      </c>
      <c r="O450" s="7">
        <v>20.9</v>
      </c>
      <c r="P450" s="7">
        <v>26.8</v>
      </c>
      <c r="Q450">
        <v>1</v>
      </c>
      <c r="R450" t="s">
        <v>63</v>
      </c>
      <c r="S450">
        <v>5</v>
      </c>
      <c r="T450">
        <v>150</v>
      </c>
      <c r="U450" s="11">
        <v>0.7818314824680298</v>
      </c>
      <c r="V450" s="11">
        <v>0.62348980185873359</v>
      </c>
      <c r="W450" s="11">
        <v>0.54671127286859389</v>
      </c>
      <c r="X450" s="11">
        <v>-0.83732119531181215</v>
      </c>
      <c r="Y450">
        <v>0</v>
      </c>
      <c r="Z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6">
        <v>45076</v>
      </c>
      <c r="B451" t="s">
        <v>41</v>
      </c>
      <c r="C451" t="s">
        <v>42</v>
      </c>
      <c r="D451" t="s">
        <v>43</v>
      </c>
      <c r="E451" t="s">
        <v>44</v>
      </c>
      <c r="F451">
        <v>85</v>
      </c>
      <c r="G451">
        <v>210</v>
      </c>
      <c r="H451">
        <v>108</v>
      </c>
      <c r="I451">
        <v>47</v>
      </c>
      <c r="J451" s="8">
        <v>0.55294117647058827</v>
      </c>
      <c r="K451">
        <v>25</v>
      </c>
      <c r="L451">
        <v>11</v>
      </c>
      <c r="M451">
        <v>95</v>
      </c>
      <c r="N451" s="10">
        <v>502.91</v>
      </c>
      <c r="O451" s="7">
        <v>20.9</v>
      </c>
      <c r="P451" s="7">
        <v>26.8</v>
      </c>
      <c r="Q451">
        <v>1</v>
      </c>
      <c r="R451" t="s">
        <v>63</v>
      </c>
      <c r="S451">
        <v>5</v>
      </c>
      <c r="T451">
        <v>150</v>
      </c>
      <c r="U451" s="11">
        <v>0.7818314824680298</v>
      </c>
      <c r="V451" s="11">
        <v>0.62348980185873359</v>
      </c>
      <c r="W451" s="11">
        <v>0.54671127286859389</v>
      </c>
      <c r="X451" s="11">
        <v>-0.83732119531181215</v>
      </c>
      <c r="Y451">
        <v>0</v>
      </c>
      <c r="Z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6">
        <v>45077</v>
      </c>
      <c r="B452" t="s">
        <v>31</v>
      </c>
      <c r="C452" t="s">
        <v>32</v>
      </c>
      <c r="D452" t="s">
        <v>33</v>
      </c>
      <c r="E452" t="s">
        <v>34</v>
      </c>
      <c r="F452">
        <v>140</v>
      </c>
      <c r="G452">
        <v>360</v>
      </c>
      <c r="H452">
        <v>184</v>
      </c>
      <c r="I452">
        <v>77</v>
      </c>
      <c r="J452" s="8">
        <v>0.55000000000000004</v>
      </c>
      <c r="K452">
        <v>36</v>
      </c>
      <c r="L452">
        <v>19</v>
      </c>
      <c r="M452">
        <v>160</v>
      </c>
      <c r="N452" s="10">
        <v>400.54</v>
      </c>
      <c r="O452" s="7">
        <v>4.8</v>
      </c>
      <c r="P452" s="7">
        <v>28.5</v>
      </c>
      <c r="Q452">
        <v>2</v>
      </c>
      <c r="R452" t="s">
        <v>64</v>
      </c>
      <c r="S452">
        <v>5</v>
      </c>
      <c r="T452">
        <v>151</v>
      </c>
      <c r="U452" s="11">
        <v>0.97492791218182362</v>
      </c>
      <c r="V452" s="11">
        <v>-0.22252093395631434</v>
      </c>
      <c r="W452" s="11">
        <v>0.53222713884743966</v>
      </c>
      <c r="X452" s="11">
        <v>-0.84660160209762669</v>
      </c>
      <c r="Y452">
        <v>0</v>
      </c>
      <c r="Z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6">
        <v>45077</v>
      </c>
      <c r="B453" t="s">
        <v>36</v>
      </c>
      <c r="C453" t="s">
        <v>37</v>
      </c>
      <c r="D453" t="s">
        <v>38</v>
      </c>
      <c r="E453" t="s">
        <v>39</v>
      </c>
      <c r="F453">
        <v>125</v>
      </c>
      <c r="G453">
        <v>320</v>
      </c>
      <c r="H453">
        <v>157</v>
      </c>
      <c r="I453">
        <v>65</v>
      </c>
      <c r="J453" s="8">
        <v>0.52</v>
      </c>
      <c r="K453">
        <v>20</v>
      </c>
      <c r="L453">
        <v>41</v>
      </c>
      <c r="M453">
        <v>130</v>
      </c>
      <c r="N453" s="10">
        <v>585.57000000000005</v>
      </c>
      <c r="O453" s="7">
        <v>4.8</v>
      </c>
      <c r="P453" s="7">
        <v>28.5</v>
      </c>
      <c r="Q453">
        <v>2</v>
      </c>
      <c r="R453" t="s">
        <v>64</v>
      </c>
      <c r="S453">
        <v>5</v>
      </c>
      <c r="T453">
        <v>151</v>
      </c>
      <c r="U453" s="11">
        <v>0.97492791218182362</v>
      </c>
      <c r="V453" s="11">
        <v>-0.22252093395631434</v>
      </c>
      <c r="W453" s="11">
        <v>0.53222713884743966</v>
      </c>
      <c r="X453" s="11">
        <v>-0.84660160209762669</v>
      </c>
      <c r="Y453">
        <v>0</v>
      </c>
      <c r="Z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6">
        <v>45077</v>
      </c>
      <c r="B454" t="s">
        <v>41</v>
      </c>
      <c r="C454" t="s">
        <v>42</v>
      </c>
      <c r="D454" t="s">
        <v>43</v>
      </c>
      <c r="E454" t="s">
        <v>44</v>
      </c>
      <c r="F454">
        <v>85</v>
      </c>
      <c r="G454">
        <v>210</v>
      </c>
      <c r="H454">
        <v>111</v>
      </c>
      <c r="I454">
        <v>51</v>
      </c>
      <c r="J454" s="8">
        <v>0.6</v>
      </c>
      <c r="K454">
        <v>26</v>
      </c>
      <c r="L454">
        <v>24</v>
      </c>
      <c r="M454">
        <v>90</v>
      </c>
      <c r="N454" s="10">
        <v>580.24</v>
      </c>
      <c r="O454" s="7">
        <v>4.8</v>
      </c>
      <c r="P454" s="7">
        <v>28.5</v>
      </c>
      <c r="Q454">
        <v>2</v>
      </c>
      <c r="R454" t="s">
        <v>64</v>
      </c>
      <c r="S454">
        <v>5</v>
      </c>
      <c r="T454">
        <v>151</v>
      </c>
      <c r="U454" s="11">
        <v>0.97492791218182362</v>
      </c>
      <c r="V454" s="11">
        <v>-0.22252093395631434</v>
      </c>
      <c r="W454" s="11">
        <v>0.53222713884743966</v>
      </c>
      <c r="X454" s="11">
        <v>-0.84660160209762669</v>
      </c>
      <c r="Y454">
        <v>0</v>
      </c>
      <c r="Z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6">
        <v>45078</v>
      </c>
      <c r="B455" t="s">
        <v>31</v>
      </c>
      <c r="C455" t="s">
        <v>32</v>
      </c>
      <c r="D455" t="s">
        <v>33</v>
      </c>
      <c r="E455" t="s">
        <v>34</v>
      </c>
      <c r="F455">
        <v>140</v>
      </c>
      <c r="G455">
        <v>360</v>
      </c>
      <c r="H455">
        <v>173</v>
      </c>
      <c r="I455">
        <v>76</v>
      </c>
      <c r="J455" s="8">
        <v>0.54285714285714282</v>
      </c>
      <c r="K455">
        <v>31</v>
      </c>
      <c r="L455">
        <v>20</v>
      </c>
      <c r="M455">
        <v>143</v>
      </c>
      <c r="N455" s="10">
        <v>406.03</v>
      </c>
      <c r="O455" s="7">
        <v>4.0999999999999996</v>
      </c>
      <c r="P455" s="7">
        <v>28.9</v>
      </c>
      <c r="Q455">
        <v>3</v>
      </c>
      <c r="R455" t="s">
        <v>65</v>
      </c>
      <c r="S455">
        <v>6</v>
      </c>
      <c r="T455">
        <v>152</v>
      </c>
      <c r="U455" s="11">
        <v>0.43388373911755823</v>
      </c>
      <c r="V455" s="11">
        <v>-0.90096886790241903</v>
      </c>
      <c r="W455" s="11">
        <v>0.51758551025318889</v>
      </c>
      <c r="X455" s="11">
        <v>-0.85563148584887061</v>
      </c>
      <c r="Y455">
        <v>0</v>
      </c>
      <c r="Z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6">
        <v>45078</v>
      </c>
      <c r="B456" t="s">
        <v>36</v>
      </c>
      <c r="C456" t="s">
        <v>37</v>
      </c>
      <c r="D456" t="s">
        <v>38</v>
      </c>
      <c r="E456" t="s">
        <v>39</v>
      </c>
      <c r="F456">
        <v>125</v>
      </c>
      <c r="G456">
        <v>320</v>
      </c>
      <c r="H456">
        <v>158</v>
      </c>
      <c r="I456">
        <v>64</v>
      </c>
      <c r="J456" s="8">
        <v>0.51200000000000001</v>
      </c>
      <c r="K456">
        <v>38</v>
      </c>
      <c r="L456">
        <v>19</v>
      </c>
      <c r="M456">
        <v>142</v>
      </c>
      <c r="N456" s="10">
        <v>652.66</v>
      </c>
      <c r="O456" s="7">
        <v>4.0999999999999996</v>
      </c>
      <c r="P456" s="7">
        <v>28.9</v>
      </c>
      <c r="Q456">
        <v>3</v>
      </c>
      <c r="R456" t="s">
        <v>65</v>
      </c>
      <c r="S456">
        <v>6</v>
      </c>
      <c r="T456">
        <v>152</v>
      </c>
      <c r="U456" s="11">
        <v>0.43388373911755823</v>
      </c>
      <c r="V456" s="11">
        <v>-0.90096886790241903</v>
      </c>
      <c r="W456" s="11">
        <v>0.51758551025318889</v>
      </c>
      <c r="X456" s="11">
        <v>-0.85563148584887061</v>
      </c>
      <c r="Y456">
        <v>0</v>
      </c>
      <c r="Z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6">
        <v>45078</v>
      </c>
      <c r="B457" t="s">
        <v>41</v>
      </c>
      <c r="C457" t="s">
        <v>42</v>
      </c>
      <c r="D457" t="s">
        <v>43</v>
      </c>
      <c r="E457" t="s">
        <v>44</v>
      </c>
      <c r="F457">
        <v>85</v>
      </c>
      <c r="G457">
        <v>210</v>
      </c>
      <c r="H457">
        <v>116</v>
      </c>
      <c r="I457">
        <v>53</v>
      </c>
      <c r="J457" s="8">
        <v>0.62352941176470589</v>
      </c>
      <c r="K457">
        <v>23</v>
      </c>
      <c r="L457">
        <v>15</v>
      </c>
      <c r="M457">
        <v>104</v>
      </c>
      <c r="N457" s="10">
        <v>569.41</v>
      </c>
      <c r="O457" s="7">
        <v>4.0999999999999996</v>
      </c>
      <c r="P457" s="7">
        <v>28.9</v>
      </c>
      <c r="Q457">
        <v>3</v>
      </c>
      <c r="R457" t="s">
        <v>65</v>
      </c>
      <c r="S457">
        <v>6</v>
      </c>
      <c r="T457">
        <v>152</v>
      </c>
      <c r="U457" s="11">
        <v>0.43388373911755823</v>
      </c>
      <c r="V457" s="11">
        <v>-0.90096886790241903</v>
      </c>
      <c r="W457" s="11">
        <v>0.51758551025318889</v>
      </c>
      <c r="X457" s="11">
        <v>-0.85563148584887061</v>
      </c>
      <c r="Y457">
        <v>0</v>
      </c>
      <c r="Z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6">
        <v>45079</v>
      </c>
      <c r="B458" t="s">
        <v>31</v>
      </c>
      <c r="C458" t="s">
        <v>32</v>
      </c>
      <c r="D458" t="s">
        <v>33</v>
      </c>
      <c r="E458" t="s">
        <v>34</v>
      </c>
      <c r="F458">
        <v>140</v>
      </c>
      <c r="G458">
        <v>360</v>
      </c>
      <c r="H458">
        <v>178</v>
      </c>
      <c r="I458">
        <v>78</v>
      </c>
      <c r="J458" s="8">
        <v>0.55714285714285716</v>
      </c>
      <c r="K458">
        <v>32</v>
      </c>
      <c r="L458">
        <v>51</v>
      </c>
      <c r="M458">
        <v>159</v>
      </c>
      <c r="N458" s="10">
        <v>399.43</v>
      </c>
      <c r="O458" s="7">
        <v>9.4</v>
      </c>
      <c r="P458" s="7">
        <v>26.5</v>
      </c>
      <c r="Q458">
        <v>4</v>
      </c>
      <c r="R458" t="s">
        <v>66</v>
      </c>
      <c r="S458">
        <v>6</v>
      </c>
      <c r="T458">
        <v>153</v>
      </c>
      <c r="U458" s="11">
        <v>-0.43388373911755801</v>
      </c>
      <c r="V458" s="11">
        <v>-0.90096886790241915</v>
      </c>
      <c r="W458" s="11">
        <v>0.50279071977930434</v>
      </c>
      <c r="X458" s="11">
        <v>-0.86440817447766483</v>
      </c>
      <c r="Y458">
        <v>0</v>
      </c>
      <c r="Z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6">
        <v>45079</v>
      </c>
      <c r="B459" t="s">
        <v>36</v>
      </c>
      <c r="C459" t="s">
        <v>37</v>
      </c>
      <c r="D459" t="s">
        <v>38</v>
      </c>
      <c r="E459" t="s">
        <v>39</v>
      </c>
      <c r="F459">
        <v>125</v>
      </c>
      <c r="G459">
        <v>320</v>
      </c>
      <c r="H459">
        <v>164</v>
      </c>
      <c r="I459">
        <v>65</v>
      </c>
      <c r="J459" s="8">
        <v>0.52</v>
      </c>
      <c r="K459">
        <v>25</v>
      </c>
      <c r="L459">
        <v>42</v>
      </c>
      <c r="M459">
        <v>132</v>
      </c>
      <c r="N459" s="10">
        <v>591.16</v>
      </c>
      <c r="O459" s="7">
        <v>9.4</v>
      </c>
      <c r="P459" s="7">
        <v>26.5</v>
      </c>
      <c r="Q459">
        <v>4</v>
      </c>
      <c r="R459" t="s">
        <v>66</v>
      </c>
      <c r="S459">
        <v>6</v>
      </c>
      <c r="T459">
        <v>153</v>
      </c>
      <c r="U459" s="11">
        <v>-0.43388373911755801</v>
      </c>
      <c r="V459" s="11">
        <v>-0.90096886790241915</v>
      </c>
      <c r="W459" s="11">
        <v>0.50279071977930434</v>
      </c>
      <c r="X459" s="11">
        <v>-0.86440817447766483</v>
      </c>
      <c r="Y459">
        <v>0</v>
      </c>
      <c r="Z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6">
        <v>45079</v>
      </c>
      <c r="B460" t="s">
        <v>41</v>
      </c>
      <c r="C460" t="s">
        <v>42</v>
      </c>
      <c r="D460" t="s">
        <v>43</v>
      </c>
      <c r="E460" t="s">
        <v>44</v>
      </c>
      <c r="F460">
        <v>85</v>
      </c>
      <c r="G460">
        <v>210</v>
      </c>
      <c r="H460">
        <v>116</v>
      </c>
      <c r="I460">
        <v>55</v>
      </c>
      <c r="J460" s="8">
        <v>0.6470588235294118</v>
      </c>
      <c r="K460">
        <v>28</v>
      </c>
      <c r="L460">
        <v>24</v>
      </c>
      <c r="M460">
        <v>96</v>
      </c>
      <c r="N460" s="10">
        <v>578.73</v>
      </c>
      <c r="O460" s="7">
        <v>9.4</v>
      </c>
      <c r="P460" s="7">
        <v>26.5</v>
      </c>
      <c r="Q460">
        <v>4</v>
      </c>
      <c r="R460" t="s">
        <v>66</v>
      </c>
      <c r="S460">
        <v>6</v>
      </c>
      <c r="T460">
        <v>153</v>
      </c>
      <c r="U460" s="11">
        <v>-0.43388373911755801</v>
      </c>
      <c r="V460" s="11">
        <v>-0.90096886790241915</v>
      </c>
      <c r="W460" s="11">
        <v>0.50279071977930434</v>
      </c>
      <c r="X460" s="11">
        <v>-0.86440817447766483</v>
      </c>
      <c r="Y460">
        <v>0</v>
      </c>
      <c r="Z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6">
        <v>45080</v>
      </c>
      <c r="B461" t="s">
        <v>31</v>
      </c>
      <c r="C461" t="s">
        <v>32</v>
      </c>
      <c r="D461" t="s">
        <v>33</v>
      </c>
      <c r="E461" t="s">
        <v>34</v>
      </c>
      <c r="F461">
        <v>140</v>
      </c>
      <c r="G461">
        <v>360</v>
      </c>
      <c r="H461">
        <v>215</v>
      </c>
      <c r="I461">
        <v>90</v>
      </c>
      <c r="J461" s="8">
        <v>0.6428571428571429</v>
      </c>
      <c r="K461">
        <v>27</v>
      </c>
      <c r="L461">
        <v>37</v>
      </c>
      <c r="M461">
        <v>191</v>
      </c>
      <c r="N461" s="10">
        <v>446.73</v>
      </c>
      <c r="O461" s="7">
        <v>1.7</v>
      </c>
      <c r="P461" s="7">
        <v>27.6</v>
      </c>
      <c r="Q461">
        <v>5</v>
      </c>
      <c r="R461" t="s">
        <v>67</v>
      </c>
      <c r="S461">
        <v>6</v>
      </c>
      <c r="T461">
        <v>154</v>
      </c>
      <c r="U461" s="11">
        <v>-0.97492791218182362</v>
      </c>
      <c r="V461" s="11">
        <v>-0.22252093395631459</v>
      </c>
      <c r="W461" s="11">
        <v>0.48784714544231189</v>
      </c>
      <c r="X461" s="11">
        <v>-0.87292907082064108</v>
      </c>
      <c r="Y461">
        <v>1</v>
      </c>
      <c r="Z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6">
        <v>45080</v>
      </c>
      <c r="B462" t="s">
        <v>36</v>
      </c>
      <c r="C462" t="s">
        <v>37</v>
      </c>
      <c r="D462" t="s">
        <v>38</v>
      </c>
      <c r="E462" t="s">
        <v>39</v>
      </c>
      <c r="F462">
        <v>125</v>
      </c>
      <c r="G462">
        <v>320</v>
      </c>
      <c r="H462">
        <v>189</v>
      </c>
      <c r="I462">
        <v>78</v>
      </c>
      <c r="J462" s="8">
        <v>0.624</v>
      </c>
      <c r="K462">
        <v>42</v>
      </c>
      <c r="L462">
        <v>32</v>
      </c>
      <c r="M462">
        <v>173</v>
      </c>
      <c r="N462" s="10">
        <v>760.7</v>
      </c>
      <c r="O462" s="7">
        <v>1.7</v>
      </c>
      <c r="P462" s="7">
        <v>27.6</v>
      </c>
      <c r="Q462">
        <v>5</v>
      </c>
      <c r="R462" t="s">
        <v>67</v>
      </c>
      <c r="S462">
        <v>6</v>
      </c>
      <c r="T462">
        <v>154</v>
      </c>
      <c r="U462" s="11">
        <v>-0.97492791218182362</v>
      </c>
      <c r="V462" s="11">
        <v>-0.22252093395631459</v>
      </c>
      <c r="W462" s="11">
        <v>0.48784714544231189</v>
      </c>
      <c r="X462" s="11">
        <v>-0.87292907082064108</v>
      </c>
      <c r="Y462">
        <v>1</v>
      </c>
      <c r="Z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6">
        <v>45080</v>
      </c>
      <c r="B463" t="s">
        <v>41</v>
      </c>
      <c r="C463" t="s">
        <v>42</v>
      </c>
      <c r="D463" t="s">
        <v>43</v>
      </c>
      <c r="E463" t="s">
        <v>44</v>
      </c>
      <c r="F463">
        <v>85</v>
      </c>
      <c r="G463">
        <v>210</v>
      </c>
      <c r="H463">
        <v>132</v>
      </c>
      <c r="I463">
        <v>59</v>
      </c>
      <c r="J463" s="8">
        <v>0.69411764705882351</v>
      </c>
      <c r="K463">
        <v>27</v>
      </c>
      <c r="L463">
        <v>29</v>
      </c>
      <c r="M463">
        <v>107</v>
      </c>
      <c r="N463" s="10">
        <v>614.36</v>
      </c>
      <c r="O463" s="7">
        <v>1.7</v>
      </c>
      <c r="P463" s="7">
        <v>27.6</v>
      </c>
      <c r="Q463">
        <v>5</v>
      </c>
      <c r="R463" t="s">
        <v>67</v>
      </c>
      <c r="S463">
        <v>6</v>
      </c>
      <c r="T463">
        <v>154</v>
      </c>
      <c r="U463" s="11">
        <v>-0.97492791218182362</v>
      </c>
      <c r="V463" s="11">
        <v>-0.22252093395631459</v>
      </c>
      <c r="W463" s="11">
        <v>0.48784714544231189</v>
      </c>
      <c r="X463" s="11">
        <v>-0.87292907082064108</v>
      </c>
      <c r="Y463">
        <v>1</v>
      </c>
      <c r="Z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6">
        <v>45081</v>
      </c>
      <c r="B464" t="s">
        <v>31</v>
      </c>
      <c r="C464" t="s">
        <v>32</v>
      </c>
      <c r="D464" t="s">
        <v>33</v>
      </c>
      <c r="E464" t="s">
        <v>34</v>
      </c>
      <c r="F464">
        <v>140</v>
      </c>
      <c r="G464">
        <v>360</v>
      </c>
      <c r="H464">
        <v>215</v>
      </c>
      <c r="I464">
        <v>92</v>
      </c>
      <c r="J464" s="8">
        <v>0.65714285714285714</v>
      </c>
      <c r="K464">
        <v>32</v>
      </c>
      <c r="L464">
        <v>40</v>
      </c>
      <c r="M464">
        <v>175</v>
      </c>
      <c r="N464" s="10">
        <v>519.27</v>
      </c>
      <c r="O464" s="7">
        <v>0</v>
      </c>
      <c r="P464" s="7">
        <v>26.6</v>
      </c>
      <c r="Q464">
        <v>6</v>
      </c>
      <c r="R464" t="s">
        <v>60</v>
      </c>
      <c r="S464">
        <v>6</v>
      </c>
      <c r="T464">
        <v>155</v>
      </c>
      <c r="U464" s="11">
        <v>-0.78183148246802991</v>
      </c>
      <c r="V464" s="11">
        <v>0.62348980185873337</v>
      </c>
      <c r="W464" s="11">
        <v>0.47275920928627757</v>
      </c>
      <c r="X464" s="11">
        <v>-0.88119165340748296</v>
      </c>
      <c r="Y464">
        <v>1</v>
      </c>
      <c r="Z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6">
        <v>45081</v>
      </c>
      <c r="B465" t="s">
        <v>36</v>
      </c>
      <c r="C465" t="s">
        <v>37</v>
      </c>
      <c r="D465" t="s">
        <v>38</v>
      </c>
      <c r="E465" t="s">
        <v>39</v>
      </c>
      <c r="F465">
        <v>125</v>
      </c>
      <c r="G465">
        <v>320</v>
      </c>
      <c r="H465">
        <v>191</v>
      </c>
      <c r="I465">
        <v>78</v>
      </c>
      <c r="J465" s="8">
        <v>0.624</v>
      </c>
      <c r="K465">
        <v>20</v>
      </c>
      <c r="L465">
        <v>40</v>
      </c>
      <c r="M465">
        <v>171</v>
      </c>
      <c r="N465" s="10">
        <v>629.84</v>
      </c>
      <c r="O465" s="7">
        <v>0</v>
      </c>
      <c r="P465" s="7">
        <v>26.6</v>
      </c>
      <c r="Q465">
        <v>6</v>
      </c>
      <c r="R465" t="s">
        <v>60</v>
      </c>
      <c r="S465">
        <v>6</v>
      </c>
      <c r="T465">
        <v>155</v>
      </c>
      <c r="U465" s="11">
        <v>-0.78183148246802991</v>
      </c>
      <c r="V465" s="11">
        <v>0.62348980185873337</v>
      </c>
      <c r="W465" s="11">
        <v>0.47275920928627757</v>
      </c>
      <c r="X465" s="11">
        <v>-0.88119165340748296</v>
      </c>
      <c r="Y465">
        <v>1</v>
      </c>
      <c r="Z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6">
        <v>45081</v>
      </c>
      <c r="B466" t="s">
        <v>41</v>
      </c>
      <c r="C466" t="s">
        <v>42</v>
      </c>
      <c r="D466" t="s">
        <v>43</v>
      </c>
      <c r="E466" t="s">
        <v>44</v>
      </c>
      <c r="F466">
        <v>85</v>
      </c>
      <c r="G466">
        <v>210</v>
      </c>
      <c r="H466">
        <v>130</v>
      </c>
      <c r="I466">
        <v>58</v>
      </c>
      <c r="J466" s="8">
        <v>0.68235294117647061</v>
      </c>
      <c r="K466">
        <v>24</v>
      </c>
      <c r="L466">
        <v>28</v>
      </c>
      <c r="M466">
        <v>112</v>
      </c>
      <c r="N466" s="10">
        <v>625.04999999999995</v>
      </c>
      <c r="O466" s="7">
        <v>0</v>
      </c>
      <c r="P466" s="7">
        <v>26.6</v>
      </c>
      <c r="Q466">
        <v>6</v>
      </c>
      <c r="R466" t="s">
        <v>60</v>
      </c>
      <c r="S466">
        <v>6</v>
      </c>
      <c r="T466">
        <v>155</v>
      </c>
      <c r="U466" s="11">
        <v>-0.78183148246802991</v>
      </c>
      <c r="V466" s="11">
        <v>0.62348980185873337</v>
      </c>
      <c r="W466" s="11">
        <v>0.47275920928627757</v>
      </c>
      <c r="X466" s="11">
        <v>-0.88119165340748296</v>
      </c>
      <c r="Y466">
        <v>1</v>
      </c>
      <c r="Z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6">
        <v>45082</v>
      </c>
      <c r="B467" t="s">
        <v>31</v>
      </c>
      <c r="C467" t="s">
        <v>32</v>
      </c>
      <c r="D467" t="s">
        <v>33</v>
      </c>
      <c r="E467" t="s">
        <v>34</v>
      </c>
      <c r="F467">
        <v>140</v>
      </c>
      <c r="G467">
        <v>360</v>
      </c>
      <c r="H467">
        <v>166</v>
      </c>
      <c r="I467">
        <v>72</v>
      </c>
      <c r="J467" s="8">
        <v>0.51428571428571423</v>
      </c>
      <c r="K467">
        <v>21</v>
      </c>
      <c r="L467">
        <v>37</v>
      </c>
      <c r="M467">
        <v>136</v>
      </c>
      <c r="N467" s="10">
        <v>428.72</v>
      </c>
      <c r="O467" s="7">
        <v>12.1</v>
      </c>
      <c r="P467" s="7">
        <v>27.7</v>
      </c>
      <c r="Q467">
        <v>0</v>
      </c>
      <c r="R467" t="s">
        <v>62</v>
      </c>
      <c r="S467">
        <v>6</v>
      </c>
      <c r="T467">
        <v>156</v>
      </c>
      <c r="U467" s="11">
        <v>0</v>
      </c>
      <c r="V467" s="11">
        <v>1</v>
      </c>
      <c r="W467" s="11">
        <v>0.45753137607425121</v>
      </c>
      <c r="X467" s="11">
        <v>-0.88919347720707109</v>
      </c>
      <c r="Y467">
        <v>0</v>
      </c>
      <c r="Z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6">
        <v>45082</v>
      </c>
      <c r="B468" t="s">
        <v>36</v>
      </c>
      <c r="C468" t="s">
        <v>37</v>
      </c>
      <c r="D468" t="s">
        <v>38</v>
      </c>
      <c r="E468" t="s">
        <v>39</v>
      </c>
      <c r="F468">
        <v>125</v>
      </c>
      <c r="G468">
        <v>320</v>
      </c>
      <c r="H468">
        <v>164</v>
      </c>
      <c r="I468">
        <v>68</v>
      </c>
      <c r="J468" s="8">
        <v>0.54400000000000004</v>
      </c>
      <c r="K468">
        <v>43</v>
      </c>
      <c r="L468">
        <v>38</v>
      </c>
      <c r="M468">
        <v>148</v>
      </c>
      <c r="N468" s="10">
        <v>563.23</v>
      </c>
      <c r="O468" s="7">
        <v>12.1</v>
      </c>
      <c r="P468" s="7">
        <v>27.7</v>
      </c>
      <c r="Q468">
        <v>0</v>
      </c>
      <c r="R468" t="s">
        <v>62</v>
      </c>
      <c r="S468">
        <v>6</v>
      </c>
      <c r="T468">
        <v>156</v>
      </c>
      <c r="U468" s="11">
        <v>0</v>
      </c>
      <c r="V468" s="11">
        <v>1</v>
      </c>
      <c r="W468" s="11">
        <v>0.45753137607425121</v>
      </c>
      <c r="X468" s="11">
        <v>-0.88919347720707109</v>
      </c>
      <c r="Y468">
        <v>0</v>
      </c>
      <c r="Z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6">
        <v>45082</v>
      </c>
      <c r="B469" t="s">
        <v>41</v>
      </c>
      <c r="C469" t="s">
        <v>42</v>
      </c>
      <c r="D469" t="s">
        <v>43</v>
      </c>
      <c r="E469" t="s">
        <v>44</v>
      </c>
      <c r="F469">
        <v>85</v>
      </c>
      <c r="G469">
        <v>210</v>
      </c>
      <c r="H469">
        <v>100</v>
      </c>
      <c r="I469">
        <v>45</v>
      </c>
      <c r="J469" s="8">
        <v>0.52941176470588236</v>
      </c>
      <c r="K469">
        <v>17</v>
      </c>
      <c r="L469">
        <v>19</v>
      </c>
      <c r="M469">
        <v>83</v>
      </c>
      <c r="N469" s="10">
        <v>499.72</v>
      </c>
      <c r="O469" s="7">
        <v>12.1</v>
      </c>
      <c r="P469" s="7">
        <v>27.7</v>
      </c>
      <c r="Q469">
        <v>0</v>
      </c>
      <c r="R469" t="s">
        <v>62</v>
      </c>
      <c r="S469">
        <v>6</v>
      </c>
      <c r="T469">
        <v>156</v>
      </c>
      <c r="U469" s="11">
        <v>0</v>
      </c>
      <c r="V469" s="11">
        <v>1</v>
      </c>
      <c r="W469" s="11">
        <v>0.45753137607425121</v>
      </c>
      <c r="X469" s="11">
        <v>-0.88919347720707109</v>
      </c>
      <c r="Y469">
        <v>0</v>
      </c>
      <c r="Z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s="6">
        <v>45083</v>
      </c>
      <c r="B470" t="s">
        <v>31</v>
      </c>
      <c r="C470" t="s">
        <v>32</v>
      </c>
      <c r="D470" t="s">
        <v>33</v>
      </c>
      <c r="E470" t="s">
        <v>34</v>
      </c>
      <c r="F470">
        <v>140</v>
      </c>
      <c r="G470">
        <v>360</v>
      </c>
      <c r="H470">
        <v>204</v>
      </c>
      <c r="I470">
        <v>86</v>
      </c>
      <c r="J470" s="8">
        <v>0.61428571428571432</v>
      </c>
      <c r="K470">
        <v>49</v>
      </c>
      <c r="L470">
        <v>25</v>
      </c>
      <c r="M470">
        <v>174</v>
      </c>
      <c r="N470" s="10">
        <v>426.96</v>
      </c>
      <c r="O470" s="7">
        <v>6.2</v>
      </c>
      <c r="P470" s="7">
        <v>26.7</v>
      </c>
      <c r="Q470">
        <v>1</v>
      </c>
      <c r="R470" t="s">
        <v>63</v>
      </c>
      <c r="S470">
        <v>6</v>
      </c>
      <c r="T470">
        <v>157</v>
      </c>
      <c r="U470" s="11">
        <v>0.7818314824680298</v>
      </c>
      <c r="V470" s="11">
        <v>0.62348980185873359</v>
      </c>
      <c r="W470" s="11">
        <v>0.44216815196707204</v>
      </c>
      <c r="X470" s="11">
        <v>-0.89693217435100647</v>
      </c>
      <c r="Y470">
        <v>0</v>
      </c>
      <c r="Z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6">
        <v>45083</v>
      </c>
      <c r="B471" t="s">
        <v>36</v>
      </c>
      <c r="C471" t="s">
        <v>37</v>
      </c>
      <c r="D471" t="s">
        <v>38</v>
      </c>
      <c r="E471" t="s">
        <v>39</v>
      </c>
      <c r="F471">
        <v>125</v>
      </c>
      <c r="G471">
        <v>320</v>
      </c>
      <c r="H471">
        <v>156</v>
      </c>
      <c r="I471">
        <v>66</v>
      </c>
      <c r="J471" s="8">
        <v>0.52800000000000002</v>
      </c>
      <c r="K471">
        <v>22</v>
      </c>
      <c r="L471">
        <v>26</v>
      </c>
      <c r="M471">
        <v>125</v>
      </c>
      <c r="N471" s="10">
        <v>661.62</v>
      </c>
      <c r="O471" s="7">
        <v>6.2</v>
      </c>
      <c r="P471" s="7">
        <v>26.7</v>
      </c>
      <c r="Q471">
        <v>1</v>
      </c>
      <c r="R471" t="s">
        <v>63</v>
      </c>
      <c r="S471">
        <v>6</v>
      </c>
      <c r="T471">
        <v>157</v>
      </c>
      <c r="U471" s="11">
        <v>0.7818314824680298</v>
      </c>
      <c r="V471" s="11">
        <v>0.62348980185873359</v>
      </c>
      <c r="W471" s="11">
        <v>0.44216815196707204</v>
      </c>
      <c r="X471" s="11">
        <v>-0.89693217435100647</v>
      </c>
      <c r="Y471">
        <v>0</v>
      </c>
      <c r="Z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6">
        <v>45083</v>
      </c>
      <c r="B472" t="s">
        <v>41</v>
      </c>
      <c r="C472" t="s">
        <v>42</v>
      </c>
      <c r="D472" t="s">
        <v>43</v>
      </c>
      <c r="E472" t="s">
        <v>44</v>
      </c>
      <c r="F472">
        <v>85</v>
      </c>
      <c r="G472">
        <v>210</v>
      </c>
      <c r="H472">
        <v>124</v>
      </c>
      <c r="I472">
        <v>53</v>
      </c>
      <c r="J472" s="8">
        <v>0.62352941176470589</v>
      </c>
      <c r="K472">
        <v>31</v>
      </c>
      <c r="L472">
        <v>21</v>
      </c>
      <c r="M472">
        <v>116</v>
      </c>
      <c r="N472" s="10">
        <v>535.49</v>
      </c>
      <c r="O472" s="7">
        <v>6.2</v>
      </c>
      <c r="P472" s="7">
        <v>26.7</v>
      </c>
      <c r="Q472">
        <v>1</v>
      </c>
      <c r="R472" t="s">
        <v>63</v>
      </c>
      <c r="S472">
        <v>6</v>
      </c>
      <c r="T472">
        <v>157</v>
      </c>
      <c r="U472" s="11">
        <v>0.7818314824680298</v>
      </c>
      <c r="V472" s="11">
        <v>0.62348980185873359</v>
      </c>
      <c r="W472" s="11">
        <v>0.44216815196707204</v>
      </c>
      <c r="X472" s="11">
        <v>-0.89693217435100647</v>
      </c>
      <c r="Y472">
        <v>0</v>
      </c>
      <c r="Z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6">
        <v>45084</v>
      </c>
      <c r="B473" t="s">
        <v>31</v>
      </c>
      <c r="C473" t="s">
        <v>32</v>
      </c>
      <c r="D473" t="s">
        <v>33</v>
      </c>
      <c r="E473" t="s">
        <v>34</v>
      </c>
      <c r="F473">
        <v>140</v>
      </c>
      <c r="G473">
        <v>360</v>
      </c>
      <c r="H473">
        <v>180</v>
      </c>
      <c r="I473">
        <v>80</v>
      </c>
      <c r="J473" s="8">
        <v>0.5714285714285714</v>
      </c>
      <c r="K473">
        <v>41</v>
      </c>
      <c r="L473">
        <v>39</v>
      </c>
      <c r="M473">
        <v>145</v>
      </c>
      <c r="N473" s="10">
        <v>437.71</v>
      </c>
      <c r="O473" s="7">
        <v>18.399999999999999</v>
      </c>
      <c r="P473" s="7">
        <v>27.6</v>
      </c>
      <c r="Q473">
        <v>2</v>
      </c>
      <c r="R473" t="s">
        <v>64</v>
      </c>
      <c r="S473">
        <v>6</v>
      </c>
      <c r="T473">
        <v>158</v>
      </c>
      <c r="U473" s="11">
        <v>0.97492791218182362</v>
      </c>
      <c r="V473" s="11">
        <v>-0.22252093395631434</v>
      </c>
      <c r="W473" s="11">
        <v>0.42667408318992467</v>
      </c>
      <c r="X473" s="11">
        <v>-0.90440545483430013</v>
      </c>
      <c r="Y473">
        <v>0</v>
      </c>
      <c r="Z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6">
        <v>45084</v>
      </c>
      <c r="B474" t="s">
        <v>36</v>
      </c>
      <c r="C474" t="s">
        <v>37</v>
      </c>
      <c r="D474" t="s">
        <v>38</v>
      </c>
      <c r="E474" t="s">
        <v>39</v>
      </c>
      <c r="F474">
        <v>125</v>
      </c>
      <c r="G474">
        <v>320</v>
      </c>
      <c r="H474">
        <v>163</v>
      </c>
      <c r="I474">
        <v>68</v>
      </c>
      <c r="J474" s="8">
        <v>0.54400000000000004</v>
      </c>
      <c r="K474">
        <v>34</v>
      </c>
      <c r="L474">
        <v>22</v>
      </c>
      <c r="M474">
        <v>143</v>
      </c>
      <c r="N474" s="10">
        <v>623.39</v>
      </c>
      <c r="O474" s="7">
        <v>18.399999999999999</v>
      </c>
      <c r="P474" s="7">
        <v>27.6</v>
      </c>
      <c r="Q474">
        <v>2</v>
      </c>
      <c r="R474" t="s">
        <v>64</v>
      </c>
      <c r="S474">
        <v>6</v>
      </c>
      <c r="T474">
        <v>158</v>
      </c>
      <c r="U474" s="11">
        <v>0.97492791218182362</v>
      </c>
      <c r="V474" s="11">
        <v>-0.22252093395631434</v>
      </c>
      <c r="W474" s="11">
        <v>0.42667408318992467</v>
      </c>
      <c r="X474" s="11">
        <v>-0.90440545483430013</v>
      </c>
      <c r="Y474">
        <v>0</v>
      </c>
      <c r="Z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6">
        <v>45084</v>
      </c>
      <c r="B475" t="s">
        <v>41</v>
      </c>
      <c r="C475" t="s">
        <v>42</v>
      </c>
      <c r="D475" t="s">
        <v>43</v>
      </c>
      <c r="E475" t="s">
        <v>44</v>
      </c>
      <c r="F475">
        <v>85</v>
      </c>
      <c r="G475">
        <v>210</v>
      </c>
      <c r="H475">
        <v>116</v>
      </c>
      <c r="I475">
        <v>52</v>
      </c>
      <c r="J475" s="8">
        <v>0.61176470588235299</v>
      </c>
      <c r="K475">
        <v>28</v>
      </c>
      <c r="L475">
        <v>20</v>
      </c>
      <c r="M475">
        <v>103</v>
      </c>
      <c r="N475" s="10">
        <v>483.57</v>
      </c>
      <c r="O475" s="7">
        <v>18.399999999999999</v>
      </c>
      <c r="P475" s="7">
        <v>27.6</v>
      </c>
      <c r="Q475">
        <v>2</v>
      </c>
      <c r="R475" t="s">
        <v>64</v>
      </c>
      <c r="S475">
        <v>6</v>
      </c>
      <c r="T475">
        <v>158</v>
      </c>
      <c r="U475" s="11">
        <v>0.97492791218182362</v>
      </c>
      <c r="V475" s="11">
        <v>-0.22252093395631434</v>
      </c>
      <c r="W475" s="11">
        <v>0.42667408318992467</v>
      </c>
      <c r="X475" s="11">
        <v>-0.90440545483430013</v>
      </c>
      <c r="Y475">
        <v>0</v>
      </c>
      <c r="Z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6">
        <v>45085</v>
      </c>
      <c r="B476" t="s">
        <v>31</v>
      </c>
      <c r="C476" t="s">
        <v>32</v>
      </c>
      <c r="D476" t="s">
        <v>33</v>
      </c>
      <c r="E476" t="s">
        <v>34</v>
      </c>
      <c r="F476">
        <v>140</v>
      </c>
      <c r="G476">
        <v>360</v>
      </c>
      <c r="H476">
        <v>166</v>
      </c>
      <c r="I476">
        <v>72</v>
      </c>
      <c r="J476" s="8">
        <v>0.51428571428571423</v>
      </c>
      <c r="K476">
        <v>26</v>
      </c>
      <c r="L476">
        <v>23</v>
      </c>
      <c r="M476">
        <v>151</v>
      </c>
      <c r="N476" s="10">
        <v>460.71</v>
      </c>
      <c r="O476" s="7">
        <v>8.6</v>
      </c>
      <c r="P476" s="7">
        <v>27.2</v>
      </c>
      <c r="Q476">
        <v>3</v>
      </c>
      <c r="R476" t="s">
        <v>65</v>
      </c>
      <c r="S476">
        <v>6</v>
      </c>
      <c r="T476">
        <v>159</v>
      </c>
      <c r="U476" s="11">
        <v>0.43388373911755823</v>
      </c>
      <c r="V476" s="11">
        <v>-0.90096886790241903</v>
      </c>
      <c r="W476" s="11">
        <v>0.41105375468703509</v>
      </c>
      <c r="X476" s="11">
        <v>-0.91161110719302385</v>
      </c>
      <c r="Y476">
        <v>0</v>
      </c>
      <c r="Z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6">
        <v>45085</v>
      </c>
      <c r="B477" t="s">
        <v>36</v>
      </c>
      <c r="C477" t="s">
        <v>37</v>
      </c>
      <c r="D477" t="s">
        <v>38</v>
      </c>
      <c r="E477" t="s">
        <v>39</v>
      </c>
      <c r="F477">
        <v>125</v>
      </c>
      <c r="G477">
        <v>320</v>
      </c>
      <c r="H477">
        <v>166</v>
      </c>
      <c r="I477">
        <v>68</v>
      </c>
      <c r="J477" s="8">
        <v>0.54400000000000004</v>
      </c>
      <c r="K477">
        <v>23</v>
      </c>
      <c r="L477">
        <v>37</v>
      </c>
      <c r="M477">
        <v>148</v>
      </c>
      <c r="N477" s="10">
        <v>679.74</v>
      </c>
      <c r="O477" s="7">
        <v>8.6</v>
      </c>
      <c r="P477" s="7">
        <v>27.2</v>
      </c>
      <c r="Q477">
        <v>3</v>
      </c>
      <c r="R477" t="s">
        <v>65</v>
      </c>
      <c r="S477">
        <v>6</v>
      </c>
      <c r="T477">
        <v>159</v>
      </c>
      <c r="U477" s="11">
        <v>0.43388373911755823</v>
      </c>
      <c r="V477" s="11">
        <v>-0.90096886790241903</v>
      </c>
      <c r="W477" s="11">
        <v>0.41105375468703509</v>
      </c>
      <c r="X477" s="11">
        <v>-0.91161110719302385</v>
      </c>
      <c r="Y477">
        <v>0</v>
      </c>
      <c r="Z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6">
        <v>45085</v>
      </c>
      <c r="B478" t="s">
        <v>41</v>
      </c>
      <c r="C478" t="s">
        <v>42</v>
      </c>
      <c r="D478" t="s">
        <v>43</v>
      </c>
      <c r="E478" t="s">
        <v>44</v>
      </c>
      <c r="F478">
        <v>85</v>
      </c>
      <c r="G478">
        <v>210</v>
      </c>
      <c r="H478">
        <v>119</v>
      </c>
      <c r="I478">
        <v>50</v>
      </c>
      <c r="J478" s="8">
        <v>0.58823529411764708</v>
      </c>
      <c r="K478">
        <v>20</v>
      </c>
      <c r="L478">
        <v>23</v>
      </c>
      <c r="M478">
        <v>104</v>
      </c>
      <c r="N478" s="10">
        <v>552.80999999999995</v>
      </c>
      <c r="O478" s="7">
        <v>8.6</v>
      </c>
      <c r="P478" s="7">
        <v>27.2</v>
      </c>
      <c r="Q478">
        <v>3</v>
      </c>
      <c r="R478" t="s">
        <v>65</v>
      </c>
      <c r="S478">
        <v>6</v>
      </c>
      <c r="T478">
        <v>159</v>
      </c>
      <c r="U478" s="11">
        <v>0.43388373911755823</v>
      </c>
      <c r="V478" s="11">
        <v>-0.90096886790241903</v>
      </c>
      <c r="W478" s="11">
        <v>0.41105375468703509</v>
      </c>
      <c r="X478" s="11">
        <v>-0.91161110719302385</v>
      </c>
      <c r="Y478">
        <v>0</v>
      </c>
      <c r="Z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6">
        <v>45086</v>
      </c>
      <c r="B479" t="s">
        <v>31</v>
      </c>
      <c r="C479" t="s">
        <v>32</v>
      </c>
      <c r="D479" t="s">
        <v>33</v>
      </c>
      <c r="E479" t="s">
        <v>34</v>
      </c>
      <c r="F479">
        <v>140</v>
      </c>
      <c r="G479">
        <v>360</v>
      </c>
      <c r="H479">
        <v>167</v>
      </c>
      <c r="I479">
        <v>73</v>
      </c>
      <c r="J479" s="8">
        <v>0.52142857142857146</v>
      </c>
      <c r="K479">
        <v>42</v>
      </c>
      <c r="L479">
        <v>27</v>
      </c>
      <c r="M479">
        <v>143</v>
      </c>
      <c r="N479" s="10">
        <v>420.48</v>
      </c>
      <c r="O479" s="7">
        <v>2.4</v>
      </c>
      <c r="P479" s="7">
        <v>29</v>
      </c>
      <c r="Q479">
        <v>4</v>
      </c>
      <c r="R479" t="s">
        <v>66</v>
      </c>
      <c r="S479">
        <v>6</v>
      </c>
      <c r="T479">
        <v>160</v>
      </c>
      <c r="U479" s="11">
        <v>-0.43388373911755801</v>
      </c>
      <c r="V479" s="11">
        <v>-0.90096886790241915</v>
      </c>
      <c r="W479" s="11">
        <v>0.39531178876491507</v>
      </c>
      <c r="X479" s="11">
        <v>-0.91854699915871652</v>
      </c>
      <c r="Y479">
        <v>0</v>
      </c>
      <c r="Z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6">
        <v>45086</v>
      </c>
      <c r="B480" t="s">
        <v>36</v>
      </c>
      <c r="C480" t="s">
        <v>37</v>
      </c>
      <c r="D480" t="s">
        <v>38</v>
      </c>
      <c r="E480" t="s">
        <v>39</v>
      </c>
      <c r="F480">
        <v>125</v>
      </c>
      <c r="G480">
        <v>320</v>
      </c>
      <c r="H480">
        <v>144</v>
      </c>
      <c r="I480">
        <v>60</v>
      </c>
      <c r="J480" s="8">
        <v>0.48</v>
      </c>
      <c r="K480">
        <v>16</v>
      </c>
      <c r="L480">
        <v>30</v>
      </c>
      <c r="M480">
        <v>134</v>
      </c>
      <c r="N480" s="10">
        <v>608.52</v>
      </c>
      <c r="O480" s="7">
        <v>2.4</v>
      </c>
      <c r="P480" s="7">
        <v>29</v>
      </c>
      <c r="Q480">
        <v>4</v>
      </c>
      <c r="R480" t="s">
        <v>66</v>
      </c>
      <c r="S480">
        <v>6</v>
      </c>
      <c r="T480">
        <v>160</v>
      </c>
      <c r="U480" s="11">
        <v>-0.43388373911755801</v>
      </c>
      <c r="V480" s="11">
        <v>-0.90096886790241915</v>
      </c>
      <c r="W480" s="11">
        <v>0.39531178876491507</v>
      </c>
      <c r="X480" s="11">
        <v>-0.91854699915871652</v>
      </c>
      <c r="Y480">
        <v>0</v>
      </c>
      <c r="Z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6">
        <v>45086</v>
      </c>
      <c r="B481" t="s">
        <v>41</v>
      </c>
      <c r="C481" t="s">
        <v>42</v>
      </c>
      <c r="D481" t="s">
        <v>43</v>
      </c>
      <c r="E481" t="s">
        <v>44</v>
      </c>
      <c r="F481">
        <v>85</v>
      </c>
      <c r="G481">
        <v>210</v>
      </c>
      <c r="H481">
        <v>108</v>
      </c>
      <c r="I481">
        <v>50</v>
      </c>
      <c r="J481" s="8">
        <v>0.58823529411764708</v>
      </c>
      <c r="K481">
        <v>28</v>
      </c>
      <c r="L481">
        <v>22</v>
      </c>
      <c r="M481">
        <v>95</v>
      </c>
      <c r="N481" s="10">
        <v>512.75</v>
      </c>
      <c r="O481" s="7">
        <v>2.4</v>
      </c>
      <c r="P481" s="7">
        <v>29</v>
      </c>
      <c r="Q481">
        <v>4</v>
      </c>
      <c r="R481" t="s">
        <v>66</v>
      </c>
      <c r="S481">
        <v>6</v>
      </c>
      <c r="T481">
        <v>160</v>
      </c>
      <c r="U481" s="11">
        <v>-0.43388373911755801</v>
      </c>
      <c r="V481" s="11">
        <v>-0.90096886790241915</v>
      </c>
      <c r="W481" s="11">
        <v>0.39531178876491507</v>
      </c>
      <c r="X481" s="11">
        <v>-0.91854699915871652</v>
      </c>
      <c r="Y481">
        <v>0</v>
      </c>
      <c r="Z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6">
        <v>45087</v>
      </c>
      <c r="B482" t="s">
        <v>31</v>
      </c>
      <c r="C482" t="s">
        <v>32</v>
      </c>
      <c r="D482" t="s">
        <v>33</v>
      </c>
      <c r="E482" t="s">
        <v>34</v>
      </c>
      <c r="F482">
        <v>140</v>
      </c>
      <c r="G482">
        <v>360</v>
      </c>
      <c r="H482">
        <v>208</v>
      </c>
      <c r="I482">
        <v>88</v>
      </c>
      <c r="J482" s="8">
        <v>0.62857142857142856</v>
      </c>
      <c r="K482">
        <v>48</v>
      </c>
      <c r="L482">
        <v>39</v>
      </c>
      <c r="M482">
        <v>170</v>
      </c>
      <c r="N482" s="10">
        <v>440.44</v>
      </c>
      <c r="O482" s="7">
        <v>9.6</v>
      </c>
      <c r="P482" s="7">
        <v>26.7</v>
      </c>
      <c r="Q482">
        <v>5</v>
      </c>
      <c r="R482" t="s">
        <v>67</v>
      </c>
      <c r="S482">
        <v>6</v>
      </c>
      <c r="T482">
        <v>161</v>
      </c>
      <c r="U482" s="11">
        <v>-0.97492791218182362</v>
      </c>
      <c r="V482" s="11">
        <v>-0.22252093395631459</v>
      </c>
      <c r="W482" s="11">
        <v>0.37945284372454435</v>
      </c>
      <c r="X482" s="11">
        <v>-0.925211078289358</v>
      </c>
      <c r="Y482">
        <v>1</v>
      </c>
      <c r="Z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6">
        <v>45087</v>
      </c>
      <c r="B483" t="s">
        <v>36</v>
      </c>
      <c r="C483" t="s">
        <v>37</v>
      </c>
      <c r="D483" t="s">
        <v>38</v>
      </c>
      <c r="E483" t="s">
        <v>39</v>
      </c>
      <c r="F483">
        <v>125</v>
      </c>
      <c r="G483">
        <v>320</v>
      </c>
      <c r="H483">
        <v>172</v>
      </c>
      <c r="I483">
        <v>73</v>
      </c>
      <c r="J483" s="8">
        <v>0.58399999999999996</v>
      </c>
      <c r="K483">
        <v>49</v>
      </c>
      <c r="L483">
        <v>43</v>
      </c>
      <c r="M483">
        <v>142</v>
      </c>
      <c r="N483" s="10">
        <v>694.78</v>
      </c>
      <c r="O483" s="7">
        <v>9.6</v>
      </c>
      <c r="P483" s="7">
        <v>26.7</v>
      </c>
      <c r="Q483">
        <v>5</v>
      </c>
      <c r="R483" t="s">
        <v>67</v>
      </c>
      <c r="S483">
        <v>6</v>
      </c>
      <c r="T483">
        <v>161</v>
      </c>
      <c r="U483" s="11">
        <v>-0.97492791218182362</v>
      </c>
      <c r="V483" s="11">
        <v>-0.22252093395631459</v>
      </c>
      <c r="W483" s="11">
        <v>0.37945284372454435</v>
      </c>
      <c r="X483" s="11">
        <v>-0.925211078289358</v>
      </c>
      <c r="Y483">
        <v>1</v>
      </c>
      <c r="Z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6">
        <v>45087</v>
      </c>
      <c r="B484" t="s">
        <v>41</v>
      </c>
      <c r="C484" t="s">
        <v>42</v>
      </c>
      <c r="D484" t="s">
        <v>43</v>
      </c>
      <c r="E484" t="s">
        <v>44</v>
      </c>
      <c r="F484">
        <v>85</v>
      </c>
      <c r="G484">
        <v>210</v>
      </c>
      <c r="H484">
        <v>139</v>
      </c>
      <c r="I484">
        <v>61</v>
      </c>
      <c r="J484" s="8">
        <v>0.71764705882352942</v>
      </c>
      <c r="K484">
        <v>26</v>
      </c>
      <c r="L484">
        <v>39</v>
      </c>
      <c r="M484">
        <v>129</v>
      </c>
      <c r="N484" s="10">
        <v>640.5</v>
      </c>
      <c r="O484" s="7">
        <v>9.6</v>
      </c>
      <c r="P484" s="7">
        <v>26.7</v>
      </c>
      <c r="Q484">
        <v>5</v>
      </c>
      <c r="R484" t="s">
        <v>67</v>
      </c>
      <c r="S484">
        <v>6</v>
      </c>
      <c r="T484">
        <v>161</v>
      </c>
      <c r="U484" s="11">
        <v>-0.97492791218182362</v>
      </c>
      <c r="V484" s="11">
        <v>-0.22252093395631459</v>
      </c>
      <c r="W484" s="11">
        <v>0.37945284372454435</v>
      </c>
      <c r="X484" s="11">
        <v>-0.925211078289358</v>
      </c>
      <c r="Y484">
        <v>1</v>
      </c>
      <c r="Z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6">
        <v>45088</v>
      </c>
      <c r="B485" t="s">
        <v>31</v>
      </c>
      <c r="C485" t="s">
        <v>32</v>
      </c>
      <c r="D485" t="s">
        <v>33</v>
      </c>
      <c r="E485" t="s">
        <v>34</v>
      </c>
      <c r="F485">
        <v>140</v>
      </c>
      <c r="G485">
        <v>360</v>
      </c>
      <c r="H485">
        <v>210</v>
      </c>
      <c r="I485">
        <v>88</v>
      </c>
      <c r="J485" s="8">
        <v>0.62857142857142856</v>
      </c>
      <c r="K485">
        <v>56</v>
      </c>
      <c r="L485">
        <v>31</v>
      </c>
      <c r="M485">
        <v>171</v>
      </c>
      <c r="N485" s="10">
        <v>489.27</v>
      </c>
      <c r="O485" s="7">
        <v>3.7</v>
      </c>
      <c r="P485" s="7">
        <v>27.7</v>
      </c>
      <c r="Q485">
        <v>6</v>
      </c>
      <c r="R485" t="s">
        <v>60</v>
      </c>
      <c r="S485">
        <v>6</v>
      </c>
      <c r="T485">
        <v>162</v>
      </c>
      <c r="U485" s="11">
        <v>-0.78183148246802991</v>
      </c>
      <c r="V485" s="11">
        <v>0.62348980185873337</v>
      </c>
      <c r="W485" s="11">
        <v>0.36348161248290634</v>
      </c>
      <c r="X485" s="11">
        <v>-0.93160137257671871</v>
      </c>
      <c r="Y485">
        <v>1</v>
      </c>
      <c r="Z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6">
        <v>45088</v>
      </c>
      <c r="B486" t="s">
        <v>36</v>
      </c>
      <c r="C486" t="s">
        <v>37</v>
      </c>
      <c r="D486" t="s">
        <v>38</v>
      </c>
      <c r="E486" t="s">
        <v>39</v>
      </c>
      <c r="F486">
        <v>125</v>
      </c>
      <c r="G486">
        <v>320</v>
      </c>
      <c r="H486">
        <v>198</v>
      </c>
      <c r="I486">
        <v>80</v>
      </c>
      <c r="J486" s="8">
        <v>0.64</v>
      </c>
      <c r="K486">
        <v>22</v>
      </c>
      <c r="L486">
        <v>46</v>
      </c>
      <c r="M486">
        <v>172</v>
      </c>
      <c r="N486" s="10">
        <v>737.68</v>
      </c>
      <c r="O486" s="7">
        <v>3.7</v>
      </c>
      <c r="P486" s="7">
        <v>27.7</v>
      </c>
      <c r="Q486">
        <v>6</v>
      </c>
      <c r="R486" t="s">
        <v>60</v>
      </c>
      <c r="S486">
        <v>6</v>
      </c>
      <c r="T486">
        <v>162</v>
      </c>
      <c r="U486" s="11">
        <v>-0.78183148246802991</v>
      </c>
      <c r="V486" s="11">
        <v>0.62348980185873337</v>
      </c>
      <c r="W486" s="11">
        <v>0.36348161248290634</v>
      </c>
      <c r="X486" s="11">
        <v>-0.93160137257671871</v>
      </c>
      <c r="Y486">
        <v>1</v>
      </c>
      <c r="Z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6">
        <v>45088</v>
      </c>
      <c r="B487" t="s">
        <v>41</v>
      </c>
      <c r="C487" t="s">
        <v>42</v>
      </c>
      <c r="D487" t="s">
        <v>43</v>
      </c>
      <c r="E487" t="s">
        <v>44</v>
      </c>
      <c r="F487">
        <v>85</v>
      </c>
      <c r="G487">
        <v>210</v>
      </c>
      <c r="H487">
        <v>133</v>
      </c>
      <c r="I487">
        <v>60</v>
      </c>
      <c r="J487" s="8">
        <v>0.70588235294117652</v>
      </c>
      <c r="K487">
        <v>33</v>
      </c>
      <c r="L487">
        <v>26</v>
      </c>
      <c r="M487">
        <v>111</v>
      </c>
      <c r="N487" s="10">
        <v>544.17999999999995</v>
      </c>
      <c r="O487" s="7">
        <v>3.7</v>
      </c>
      <c r="P487" s="7">
        <v>27.7</v>
      </c>
      <c r="Q487">
        <v>6</v>
      </c>
      <c r="R487" t="s">
        <v>60</v>
      </c>
      <c r="S487">
        <v>6</v>
      </c>
      <c r="T487">
        <v>162</v>
      </c>
      <c r="U487" s="11">
        <v>-0.78183148246802991</v>
      </c>
      <c r="V487" s="11">
        <v>0.62348980185873337</v>
      </c>
      <c r="W487" s="11">
        <v>0.36348161248290634</v>
      </c>
      <c r="X487" s="11">
        <v>-0.93160137257671871</v>
      </c>
      <c r="Y487">
        <v>1</v>
      </c>
      <c r="Z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6">
        <v>45089</v>
      </c>
      <c r="B488" t="s">
        <v>31</v>
      </c>
      <c r="C488" t="s">
        <v>32</v>
      </c>
      <c r="D488" t="s">
        <v>33</v>
      </c>
      <c r="E488" t="s">
        <v>34</v>
      </c>
      <c r="F488">
        <v>140</v>
      </c>
      <c r="G488">
        <v>360</v>
      </c>
      <c r="H488">
        <v>180</v>
      </c>
      <c r="I488">
        <v>77</v>
      </c>
      <c r="J488" s="8">
        <v>0.55000000000000004</v>
      </c>
      <c r="K488">
        <v>34</v>
      </c>
      <c r="L488">
        <v>24</v>
      </c>
      <c r="M488">
        <v>166</v>
      </c>
      <c r="N488" s="10">
        <v>437.06</v>
      </c>
      <c r="O488" s="7">
        <v>4.7</v>
      </c>
      <c r="P488" s="7">
        <v>27.1</v>
      </c>
      <c r="Q488">
        <v>0</v>
      </c>
      <c r="R488" t="s">
        <v>62</v>
      </c>
      <c r="S488">
        <v>6</v>
      </c>
      <c r="T488">
        <v>163</v>
      </c>
      <c r="U488" s="11">
        <v>0</v>
      </c>
      <c r="V488" s="11">
        <v>1</v>
      </c>
      <c r="W488" s="11">
        <v>0.3474028211842774</v>
      </c>
      <c r="X488" s="11">
        <v>-0.93771599102990932</v>
      </c>
      <c r="Y488">
        <v>0</v>
      </c>
      <c r="Z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6">
        <v>45089</v>
      </c>
      <c r="B489" t="s">
        <v>36</v>
      </c>
      <c r="C489" t="s">
        <v>37</v>
      </c>
      <c r="D489" t="s">
        <v>38</v>
      </c>
      <c r="E489" t="s">
        <v>39</v>
      </c>
      <c r="F489">
        <v>125</v>
      </c>
      <c r="G489">
        <v>320</v>
      </c>
      <c r="H489">
        <v>170</v>
      </c>
      <c r="I489">
        <v>69</v>
      </c>
      <c r="J489" s="8">
        <v>0.55200000000000005</v>
      </c>
      <c r="K489">
        <v>26</v>
      </c>
      <c r="L489">
        <v>48</v>
      </c>
      <c r="M489">
        <v>160</v>
      </c>
      <c r="N489" s="10">
        <v>672.48</v>
      </c>
      <c r="O489" s="7">
        <v>4.7</v>
      </c>
      <c r="P489" s="7">
        <v>27.1</v>
      </c>
      <c r="Q489">
        <v>0</v>
      </c>
      <c r="R489" t="s">
        <v>62</v>
      </c>
      <c r="S489">
        <v>6</v>
      </c>
      <c r="T489">
        <v>163</v>
      </c>
      <c r="U489" s="11">
        <v>0</v>
      </c>
      <c r="V489" s="11">
        <v>1</v>
      </c>
      <c r="W489" s="11">
        <v>0.3474028211842774</v>
      </c>
      <c r="X489" s="11">
        <v>-0.93771599102990932</v>
      </c>
      <c r="Y489">
        <v>0</v>
      </c>
      <c r="Z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6">
        <v>45089</v>
      </c>
      <c r="B490" t="s">
        <v>41</v>
      </c>
      <c r="C490" t="s">
        <v>42</v>
      </c>
      <c r="D490" t="s">
        <v>43</v>
      </c>
      <c r="E490" t="s">
        <v>44</v>
      </c>
      <c r="F490">
        <v>85</v>
      </c>
      <c r="G490">
        <v>210</v>
      </c>
      <c r="H490">
        <v>109</v>
      </c>
      <c r="I490">
        <v>49</v>
      </c>
      <c r="J490" s="8">
        <v>0.57647058823529407</v>
      </c>
      <c r="K490">
        <v>18</v>
      </c>
      <c r="L490">
        <v>25</v>
      </c>
      <c r="M490">
        <v>96</v>
      </c>
      <c r="N490" s="10">
        <v>576.47</v>
      </c>
      <c r="O490" s="7">
        <v>4.7</v>
      </c>
      <c r="P490" s="7">
        <v>27.1</v>
      </c>
      <c r="Q490">
        <v>0</v>
      </c>
      <c r="R490" t="s">
        <v>62</v>
      </c>
      <c r="S490">
        <v>6</v>
      </c>
      <c r="T490">
        <v>163</v>
      </c>
      <c r="U490" s="11">
        <v>0</v>
      </c>
      <c r="V490" s="11">
        <v>1</v>
      </c>
      <c r="W490" s="11">
        <v>0.3474028211842774</v>
      </c>
      <c r="X490" s="11">
        <v>-0.93771599102990932</v>
      </c>
      <c r="Y490">
        <v>0</v>
      </c>
      <c r="Z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6">
        <v>45090</v>
      </c>
      <c r="B491" t="s">
        <v>31</v>
      </c>
      <c r="C491" t="s">
        <v>32</v>
      </c>
      <c r="D491" t="s">
        <v>33</v>
      </c>
      <c r="E491" t="s">
        <v>34</v>
      </c>
      <c r="F491">
        <v>140</v>
      </c>
      <c r="G491">
        <v>360</v>
      </c>
      <c r="H491">
        <v>203</v>
      </c>
      <c r="I491">
        <v>85</v>
      </c>
      <c r="J491" s="8">
        <v>0.6071428571428571</v>
      </c>
      <c r="K491">
        <v>48</v>
      </c>
      <c r="L491">
        <v>55</v>
      </c>
      <c r="M491">
        <v>179</v>
      </c>
      <c r="N491" s="10">
        <v>405.24</v>
      </c>
      <c r="O491" s="7">
        <v>9</v>
      </c>
      <c r="P491" s="7">
        <v>28</v>
      </c>
      <c r="Q491">
        <v>1</v>
      </c>
      <c r="R491" t="s">
        <v>63</v>
      </c>
      <c r="S491">
        <v>6</v>
      </c>
      <c r="T491">
        <v>164</v>
      </c>
      <c r="U491" s="11">
        <v>0.7818314824680298</v>
      </c>
      <c r="V491" s="11">
        <v>0.62348980185873359</v>
      </c>
      <c r="W491" s="11">
        <v>0.3312212278016865</v>
      </c>
      <c r="X491" s="11">
        <v>-0.94355312423495441</v>
      </c>
      <c r="Y491">
        <v>0</v>
      </c>
      <c r="Z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6">
        <v>45090</v>
      </c>
      <c r="B492" t="s">
        <v>36</v>
      </c>
      <c r="C492" t="s">
        <v>37</v>
      </c>
      <c r="D492" t="s">
        <v>38</v>
      </c>
      <c r="E492" t="s">
        <v>39</v>
      </c>
      <c r="F492">
        <v>125</v>
      </c>
      <c r="G492">
        <v>320</v>
      </c>
      <c r="H492">
        <v>156</v>
      </c>
      <c r="I492">
        <v>68</v>
      </c>
      <c r="J492" s="8">
        <v>0.54400000000000004</v>
      </c>
      <c r="K492">
        <v>41</v>
      </c>
      <c r="L492">
        <v>26</v>
      </c>
      <c r="M492">
        <v>132</v>
      </c>
      <c r="N492" s="10">
        <v>631.75</v>
      </c>
      <c r="O492" s="7">
        <v>9</v>
      </c>
      <c r="P492" s="7">
        <v>28</v>
      </c>
      <c r="Q492">
        <v>1</v>
      </c>
      <c r="R492" t="s">
        <v>63</v>
      </c>
      <c r="S492">
        <v>6</v>
      </c>
      <c r="T492">
        <v>164</v>
      </c>
      <c r="U492" s="11">
        <v>0.7818314824680298</v>
      </c>
      <c r="V492" s="11">
        <v>0.62348980185873359</v>
      </c>
      <c r="W492" s="11">
        <v>0.3312212278016865</v>
      </c>
      <c r="X492" s="11">
        <v>-0.94355312423495441</v>
      </c>
      <c r="Y492">
        <v>0</v>
      </c>
      <c r="Z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6">
        <v>45090</v>
      </c>
      <c r="B493" t="s">
        <v>41</v>
      </c>
      <c r="C493" t="s">
        <v>42</v>
      </c>
      <c r="D493" t="s">
        <v>43</v>
      </c>
      <c r="E493" t="s">
        <v>44</v>
      </c>
      <c r="F493">
        <v>85</v>
      </c>
      <c r="G493">
        <v>210</v>
      </c>
      <c r="H493">
        <v>124</v>
      </c>
      <c r="I493">
        <v>55</v>
      </c>
      <c r="J493" s="8">
        <v>0.6470588235294118</v>
      </c>
      <c r="K493">
        <v>23</v>
      </c>
      <c r="L493">
        <v>21</v>
      </c>
      <c r="M493">
        <v>111</v>
      </c>
      <c r="N493" s="10">
        <v>529.48</v>
      </c>
      <c r="O493" s="7">
        <v>9</v>
      </c>
      <c r="P493" s="7">
        <v>28</v>
      </c>
      <c r="Q493">
        <v>1</v>
      </c>
      <c r="R493" t="s">
        <v>63</v>
      </c>
      <c r="S493">
        <v>6</v>
      </c>
      <c r="T493">
        <v>164</v>
      </c>
      <c r="U493" s="11">
        <v>0.7818314824680298</v>
      </c>
      <c r="V493" s="11">
        <v>0.62348980185873359</v>
      </c>
      <c r="W493" s="11">
        <v>0.3312212278016865</v>
      </c>
      <c r="X493" s="11">
        <v>-0.94355312423495441</v>
      </c>
      <c r="Y493">
        <v>0</v>
      </c>
      <c r="Z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6">
        <v>45091</v>
      </c>
      <c r="B494" t="s">
        <v>31</v>
      </c>
      <c r="C494" t="s">
        <v>32</v>
      </c>
      <c r="D494" t="s">
        <v>33</v>
      </c>
      <c r="E494" t="s">
        <v>34</v>
      </c>
      <c r="F494">
        <v>140</v>
      </c>
      <c r="G494">
        <v>360</v>
      </c>
      <c r="H494">
        <v>182</v>
      </c>
      <c r="I494">
        <v>78</v>
      </c>
      <c r="J494" s="8">
        <v>0.55714285714285716</v>
      </c>
      <c r="K494">
        <v>46</v>
      </c>
      <c r="L494">
        <v>28</v>
      </c>
      <c r="M494">
        <v>157</v>
      </c>
      <c r="N494" s="10">
        <v>421.5</v>
      </c>
      <c r="O494" s="7">
        <v>1.6</v>
      </c>
      <c r="P494" s="7">
        <v>28.5</v>
      </c>
      <c r="Q494">
        <v>2</v>
      </c>
      <c r="R494" t="s">
        <v>64</v>
      </c>
      <c r="S494">
        <v>6</v>
      </c>
      <c r="T494">
        <v>165</v>
      </c>
      <c r="U494" s="11">
        <v>0.97492791218182362</v>
      </c>
      <c r="V494" s="11">
        <v>-0.22252093395631434</v>
      </c>
      <c r="W494" s="11">
        <v>0.31494162072895193</v>
      </c>
      <c r="X494" s="11">
        <v>-0.94911104489022835</v>
      </c>
      <c r="Y494">
        <v>0</v>
      </c>
      <c r="Z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6">
        <v>45091</v>
      </c>
      <c r="B495" t="s">
        <v>36</v>
      </c>
      <c r="C495" t="s">
        <v>37</v>
      </c>
      <c r="D495" t="s">
        <v>38</v>
      </c>
      <c r="E495" t="s">
        <v>39</v>
      </c>
      <c r="F495">
        <v>125</v>
      </c>
      <c r="G495">
        <v>320</v>
      </c>
      <c r="H495">
        <v>157</v>
      </c>
      <c r="I495">
        <v>66</v>
      </c>
      <c r="J495" s="8">
        <v>0.52800000000000002</v>
      </c>
      <c r="K495">
        <v>19</v>
      </c>
      <c r="L495">
        <v>27</v>
      </c>
      <c r="M495">
        <v>145</v>
      </c>
      <c r="N495" s="10">
        <v>588.54</v>
      </c>
      <c r="O495" s="7">
        <v>1.6</v>
      </c>
      <c r="P495" s="7">
        <v>28.5</v>
      </c>
      <c r="Q495">
        <v>2</v>
      </c>
      <c r="R495" t="s">
        <v>64</v>
      </c>
      <c r="S495">
        <v>6</v>
      </c>
      <c r="T495">
        <v>165</v>
      </c>
      <c r="U495" s="11">
        <v>0.97492791218182362</v>
      </c>
      <c r="V495" s="11">
        <v>-0.22252093395631434</v>
      </c>
      <c r="W495" s="11">
        <v>0.31494162072895193</v>
      </c>
      <c r="X495" s="11">
        <v>-0.94911104489022835</v>
      </c>
      <c r="Y495">
        <v>0</v>
      </c>
      <c r="Z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6">
        <v>45091</v>
      </c>
      <c r="B496" t="s">
        <v>41</v>
      </c>
      <c r="C496" t="s">
        <v>42</v>
      </c>
      <c r="D496" t="s">
        <v>43</v>
      </c>
      <c r="E496" t="s">
        <v>44</v>
      </c>
      <c r="F496">
        <v>85</v>
      </c>
      <c r="G496">
        <v>210</v>
      </c>
      <c r="H496">
        <v>98</v>
      </c>
      <c r="I496">
        <v>48</v>
      </c>
      <c r="J496" s="8">
        <v>0.56470588235294117</v>
      </c>
      <c r="K496">
        <v>27</v>
      </c>
      <c r="L496">
        <v>20</v>
      </c>
      <c r="M496">
        <v>80</v>
      </c>
      <c r="N496" s="10">
        <v>580.73</v>
      </c>
      <c r="O496" s="7">
        <v>1.6</v>
      </c>
      <c r="P496" s="7">
        <v>28.5</v>
      </c>
      <c r="Q496">
        <v>2</v>
      </c>
      <c r="R496" t="s">
        <v>64</v>
      </c>
      <c r="S496">
        <v>6</v>
      </c>
      <c r="T496">
        <v>165</v>
      </c>
      <c r="U496" s="11">
        <v>0.97492791218182362</v>
      </c>
      <c r="V496" s="11">
        <v>-0.22252093395631434</v>
      </c>
      <c r="W496" s="11">
        <v>0.31494162072895193</v>
      </c>
      <c r="X496" s="11">
        <v>-0.94911104489022835</v>
      </c>
      <c r="Y496">
        <v>0</v>
      </c>
      <c r="Z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6">
        <v>45092</v>
      </c>
      <c r="B497" t="s">
        <v>31</v>
      </c>
      <c r="C497" t="s">
        <v>32</v>
      </c>
      <c r="D497" t="s">
        <v>33</v>
      </c>
      <c r="E497" t="s">
        <v>34</v>
      </c>
      <c r="F497">
        <v>140</v>
      </c>
      <c r="G497">
        <v>360</v>
      </c>
      <c r="H497">
        <v>199</v>
      </c>
      <c r="I497">
        <v>82</v>
      </c>
      <c r="J497" s="8">
        <v>0.58571428571428574</v>
      </c>
      <c r="K497">
        <v>28</v>
      </c>
      <c r="L497">
        <v>42</v>
      </c>
      <c r="M497">
        <v>173</v>
      </c>
      <c r="N497" s="10">
        <v>463.51</v>
      </c>
      <c r="O497" s="7">
        <v>0</v>
      </c>
      <c r="P497" s="7">
        <v>25.9</v>
      </c>
      <c r="Q497">
        <v>3</v>
      </c>
      <c r="R497" t="s">
        <v>65</v>
      </c>
      <c r="S497">
        <v>6</v>
      </c>
      <c r="T497">
        <v>166</v>
      </c>
      <c r="U497" s="11">
        <v>0.43388373911755823</v>
      </c>
      <c r="V497" s="11">
        <v>-0.90096886790241903</v>
      </c>
      <c r="W497" s="11">
        <v>0.29856881736372021</v>
      </c>
      <c r="X497" s="11">
        <v>-0.9543881083175908</v>
      </c>
      <c r="Y497">
        <v>0</v>
      </c>
      <c r="Z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6">
        <v>45092</v>
      </c>
      <c r="B498" t="s">
        <v>36</v>
      </c>
      <c r="C498" t="s">
        <v>37</v>
      </c>
      <c r="D498" t="s">
        <v>38</v>
      </c>
      <c r="E498" t="s">
        <v>39</v>
      </c>
      <c r="F498">
        <v>125</v>
      </c>
      <c r="G498">
        <v>320</v>
      </c>
      <c r="H498">
        <v>176</v>
      </c>
      <c r="I498">
        <v>70</v>
      </c>
      <c r="J498" s="8">
        <v>0.56000000000000005</v>
      </c>
      <c r="K498">
        <v>37</v>
      </c>
      <c r="L498">
        <v>26</v>
      </c>
      <c r="M498">
        <v>165</v>
      </c>
      <c r="N498" s="10">
        <v>645.73</v>
      </c>
      <c r="O498" s="7">
        <v>0</v>
      </c>
      <c r="P498" s="7">
        <v>25.9</v>
      </c>
      <c r="Q498">
        <v>3</v>
      </c>
      <c r="R498" t="s">
        <v>65</v>
      </c>
      <c r="S498">
        <v>6</v>
      </c>
      <c r="T498">
        <v>166</v>
      </c>
      <c r="U498" s="11">
        <v>0.43388373911755823</v>
      </c>
      <c r="V498" s="11">
        <v>-0.90096886790241903</v>
      </c>
      <c r="W498" s="11">
        <v>0.29856881736372021</v>
      </c>
      <c r="X498" s="11">
        <v>-0.9543881083175908</v>
      </c>
      <c r="Y498">
        <v>0</v>
      </c>
      <c r="Z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6">
        <v>45092</v>
      </c>
      <c r="B499" t="s">
        <v>41</v>
      </c>
      <c r="C499" t="s">
        <v>42</v>
      </c>
      <c r="D499" t="s">
        <v>43</v>
      </c>
      <c r="E499" t="s">
        <v>44</v>
      </c>
      <c r="F499">
        <v>85</v>
      </c>
      <c r="G499">
        <v>210</v>
      </c>
      <c r="H499">
        <v>121</v>
      </c>
      <c r="I499">
        <v>53</v>
      </c>
      <c r="J499" s="8">
        <v>0.62352941176470589</v>
      </c>
      <c r="K499">
        <v>27</v>
      </c>
      <c r="L499">
        <v>28</v>
      </c>
      <c r="M499">
        <v>104</v>
      </c>
      <c r="N499" s="10">
        <v>563.32000000000005</v>
      </c>
      <c r="O499" s="7">
        <v>0</v>
      </c>
      <c r="P499" s="7">
        <v>25.9</v>
      </c>
      <c r="Q499">
        <v>3</v>
      </c>
      <c r="R499" t="s">
        <v>65</v>
      </c>
      <c r="S499">
        <v>6</v>
      </c>
      <c r="T499">
        <v>166</v>
      </c>
      <c r="U499" s="11">
        <v>0.43388373911755823</v>
      </c>
      <c r="V499" s="11">
        <v>-0.90096886790241903</v>
      </c>
      <c r="W499" s="11">
        <v>0.29856881736372021</v>
      </c>
      <c r="X499" s="11">
        <v>-0.9543881083175908</v>
      </c>
      <c r="Y499">
        <v>0</v>
      </c>
      <c r="Z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6">
        <v>45093</v>
      </c>
      <c r="B500" t="s">
        <v>31</v>
      </c>
      <c r="C500" t="s">
        <v>32</v>
      </c>
      <c r="D500" t="s">
        <v>33</v>
      </c>
      <c r="E500" t="s">
        <v>34</v>
      </c>
      <c r="F500">
        <v>140</v>
      </c>
      <c r="G500">
        <v>360</v>
      </c>
      <c r="H500">
        <v>200</v>
      </c>
      <c r="I500">
        <v>83</v>
      </c>
      <c r="J500" s="8">
        <v>0.59285714285714286</v>
      </c>
      <c r="K500">
        <v>54</v>
      </c>
      <c r="L500">
        <v>43</v>
      </c>
      <c r="M500">
        <v>179</v>
      </c>
      <c r="N500" s="10">
        <v>452.77</v>
      </c>
      <c r="O500" s="7">
        <v>17.600000000000001</v>
      </c>
      <c r="P500" s="7">
        <v>27</v>
      </c>
      <c r="Q500">
        <v>4</v>
      </c>
      <c r="R500" t="s">
        <v>66</v>
      </c>
      <c r="S500">
        <v>6</v>
      </c>
      <c r="T500">
        <v>167</v>
      </c>
      <c r="U500" s="11">
        <v>-0.43388373911755801</v>
      </c>
      <c r="V500" s="11">
        <v>-0.90096886790241915</v>
      </c>
      <c r="W500" s="11">
        <v>0.28210766268191939</v>
      </c>
      <c r="X500" s="11">
        <v>-0.95938275294907427</v>
      </c>
      <c r="Y500">
        <v>0</v>
      </c>
      <c r="Z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6">
        <v>45093</v>
      </c>
      <c r="B501" t="s">
        <v>36</v>
      </c>
      <c r="C501" t="s">
        <v>37</v>
      </c>
      <c r="D501" t="s">
        <v>38</v>
      </c>
      <c r="E501" t="s">
        <v>39</v>
      </c>
      <c r="F501">
        <v>125</v>
      </c>
      <c r="G501">
        <v>320</v>
      </c>
      <c r="H501">
        <v>140</v>
      </c>
      <c r="I501">
        <v>59</v>
      </c>
      <c r="J501" s="8">
        <v>0.47199999999999998</v>
      </c>
      <c r="K501">
        <v>28</v>
      </c>
      <c r="L501">
        <v>33</v>
      </c>
      <c r="M501">
        <v>115</v>
      </c>
      <c r="N501" s="10">
        <v>593.54999999999995</v>
      </c>
      <c r="O501" s="7">
        <v>17.600000000000001</v>
      </c>
      <c r="P501" s="7">
        <v>27</v>
      </c>
      <c r="Q501">
        <v>4</v>
      </c>
      <c r="R501" t="s">
        <v>66</v>
      </c>
      <c r="S501">
        <v>6</v>
      </c>
      <c r="T501">
        <v>167</v>
      </c>
      <c r="U501" s="11">
        <v>-0.43388373911755801</v>
      </c>
      <c r="V501" s="11">
        <v>-0.90096886790241915</v>
      </c>
      <c r="W501" s="11">
        <v>0.28210766268191939</v>
      </c>
      <c r="X501" s="11">
        <v>-0.95938275294907427</v>
      </c>
      <c r="Y501">
        <v>0</v>
      </c>
      <c r="Z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6">
        <v>45093</v>
      </c>
      <c r="B502" t="s">
        <v>41</v>
      </c>
      <c r="C502" t="s">
        <v>42</v>
      </c>
      <c r="D502" t="s">
        <v>43</v>
      </c>
      <c r="E502" t="s">
        <v>44</v>
      </c>
      <c r="F502">
        <v>85</v>
      </c>
      <c r="G502">
        <v>210</v>
      </c>
      <c r="H502">
        <v>109</v>
      </c>
      <c r="I502">
        <v>53</v>
      </c>
      <c r="J502" s="8">
        <v>0.62352941176470589</v>
      </c>
      <c r="K502">
        <v>24</v>
      </c>
      <c r="L502">
        <v>19</v>
      </c>
      <c r="M502">
        <v>93</v>
      </c>
      <c r="N502" s="10">
        <v>506.34</v>
      </c>
      <c r="O502" s="7">
        <v>17.600000000000001</v>
      </c>
      <c r="P502" s="7">
        <v>27</v>
      </c>
      <c r="Q502">
        <v>4</v>
      </c>
      <c r="R502" t="s">
        <v>66</v>
      </c>
      <c r="S502">
        <v>6</v>
      </c>
      <c r="T502">
        <v>167</v>
      </c>
      <c r="U502" s="11">
        <v>-0.43388373911755801</v>
      </c>
      <c r="V502" s="11">
        <v>-0.90096886790241915</v>
      </c>
      <c r="W502" s="11">
        <v>0.28210766268191939</v>
      </c>
      <c r="X502" s="11">
        <v>-0.95938275294907427</v>
      </c>
      <c r="Y502">
        <v>0</v>
      </c>
      <c r="Z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6">
        <v>45094</v>
      </c>
      <c r="B503" t="s">
        <v>31</v>
      </c>
      <c r="C503" t="s">
        <v>32</v>
      </c>
      <c r="D503" t="s">
        <v>33</v>
      </c>
      <c r="E503" t="s">
        <v>34</v>
      </c>
      <c r="F503">
        <v>140</v>
      </c>
      <c r="G503">
        <v>360</v>
      </c>
      <c r="H503">
        <v>223</v>
      </c>
      <c r="I503">
        <v>94</v>
      </c>
      <c r="J503" s="8">
        <v>0.67142857142857137</v>
      </c>
      <c r="K503">
        <v>58</v>
      </c>
      <c r="L503">
        <v>17</v>
      </c>
      <c r="M503">
        <v>207</v>
      </c>
      <c r="N503" s="10">
        <v>441.1</v>
      </c>
      <c r="O503" s="7">
        <v>9.8000000000000007</v>
      </c>
      <c r="P503" s="7">
        <v>27.8</v>
      </c>
      <c r="Q503">
        <v>5</v>
      </c>
      <c r="R503" t="s">
        <v>67</v>
      </c>
      <c r="S503">
        <v>6</v>
      </c>
      <c r="T503">
        <v>168</v>
      </c>
      <c r="U503" s="11">
        <v>-0.97492791218182362</v>
      </c>
      <c r="V503" s="11">
        <v>-0.22252093395631459</v>
      </c>
      <c r="W503" s="11">
        <v>0.26556302780405594</v>
      </c>
      <c r="X503" s="11">
        <v>-0.96409350078897549</v>
      </c>
      <c r="Y503">
        <v>1</v>
      </c>
      <c r="Z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6">
        <v>45094</v>
      </c>
      <c r="B504" t="s">
        <v>36</v>
      </c>
      <c r="C504" t="s">
        <v>37</v>
      </c>
      <c r="D504" t="s">
        <v>38</v>
      </c>
      <c r="E504" t="s">
        <v>39</v>
      </c>
      <c r="F504">
        <v>125</v>
      </c>
      <c r="G504">
        <v>320</v>
      </c>
      <c r="H504">
        <v>183</v>
      </c>
      <c r="I504">
        <v>78</v>
      </c>
      <c r="J504" s="8">
        <v>0.624</v>
      </c>
      <c r="K504">
        <v>51</v>
      </c>
      <c r="L504">
        <v>44</v>
      </c>
      <c r="M504">
        <v>169</v>
      </c>
      <c r="N504" s="10">
        <v>745.56</v>
      </c>
      <c r="O504" s="7">
        <v>9.8000000000000007</v>
      </c>
      <c r="P504" s="7">
        <v>27.8</v>
      </c>
      <c r="Q504">
        <v>5</v>
      </c>
      <c r="R504" t="s">
        <v>67</v>
      </c>
      <c r="S504">
        <v>6</v>
      </c>
      <c r="T504">
        <v>168</v>
      </c>
      <c r="U504" s="11">
        <v>-0.97492791218182362</v>
      </c>
      <c r="V504" s="11">
        <v>-0.22252093395631459</v>
      </c>
      <c r="W504" s="11">
        <v>0.26556302780405594</v>
      </c>
      <c r="X504" s="11">
        <v>-0.96409350078897549</v>
      </c>
      <c r="Y504">
        <v>1</v>
      </c>
      <c r="Z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6">
        <v>45094</v>
      </c>
      <c r="B505" t="s">
        <v>41</v>
      </c>
      <c r="C505" t="s">
        <v>42</v>
      </c>
      <c r="D505" t="s">
        <v>43</v>
      </c>
      <c r="E505" t="s">
        <v>44</v>
      </c>
      <c r="F505">
        <v>85</v>
      </c>
      <c r="G505">
        <v>210</v>
      </c>
      <c r="H505">
        <v>142</v>
      </c>
      <c r="I505">
        <v>64</v>
      </c>
      <c r="J505" s="8">
        <v>0.75294117647058822</v>
      </c>
      <c r="K505">
        <v>39</v>
      </c>
      <c r="L505">
        <v>21</v>
      </c>
      <c r="M505">
        <v>118</v>
      </c>
      <c r="N505" s="10">
        <v>562.76</v>
      </c>
      <c r="O505" s="7">
        <v>9.8000000000000007</v>
      </c>
      <c r="P505" s="7">
        <v>27.8</v>
      </c>
      <c r="Q505">
        <v>5</v>
      </c>
      <c r="R505" t="s">
        <v>67</v>
      </c>
      <c r="S505">
        <v>6</v>
      </c>
      <c r="T505">
        <v>168</v>
      </c>
      <c r="U505" s="11">
        <v>-0.97492791218182362</v>
      </c>
      <c r="V505" s="11">
        <v>-0.22252093395631459</v>
      </c>
      <c r="W505" s="11">
        <v>0.26556302780405594</v>
      </c>
      <c r="X505" s="11">
        <v>-0.96409350078897549</v>
      </c>
      <c r="Y505">
        <v>1</v>
      </c>
      <c r="Z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6">
        <v>45095</v>
      </c>
      <c r="B506" t="s">
        <v>31</v>
      </c>
      <c r="C506" t="s">
        <v>32</v>
      </c>
      <c r="D506" t="s">
        <v>33</v>
      </c>
      <c r="E506" t="s">
        <v>34</v>
      </c>
      <c r="F506">
        <v>140</v>
      </c>
      <c r="G506">
        <v>360</v>
      </c>
      <c r="H506">
        <v>219</v>
      </c>
      <c r="I506">
        <v>94</v>
      </c>
      <c r="J506" s="8">
        <v>0.67142857142857137</v>
      </c>
      <c r="K506">
        <v>34</v>
      </c>
      <c r="L506">
        <v>21</v>
      </c>
      <c r="M506">
        <v>178</v>
      </c>
      <c r="N506" s="10">
        <v>477.24</v>
      </c>
      <c r="O506" s="7">
        <v>15</v>
      </c>
      <c r="P506" s="7">
        <v>27.5</v>
      </c>
      <c r="Q506">
        <v>6</v>
      </c>
      <c r="R506" t="s">
        <v>60</v>
      </c>
      <c r="S506">
        <v>6</v>
      </c>
      <c r="T506">
        <v>169</v>
      </c>
      <c r="U506" s="11">
        <v>-0.78183148246802991</v>
      </c>
      <c r="V506" s="11">
        <v>0.62348980185873337</v>
      </c>
      <c r="W506" s="11">
        <v>0.24893980855376657</v>
      </c>
      <c r="X506" s="11">
        <v>-0.96851895785122044</v>
      </c>
      <c r="Y506">
        <v>1</v>
      </c>
      <c r="Z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6">
        <v>45095</v>
      </c>
      <c r="B507" t="s">
        <v>36</v>
      </c>
      <c r="C507" t="s">
        <v>37</v>
      </c>
      <c r="D507" t="s">
        <v>38</v>
      </c>
      <c r="E507" t="s">
        <v>39</v>
      </c>
      <c r="F507">
        <v>125</v>
      </c>
      <c r="G507">
        <v>320</v>
      </c>
      <c r="H507">
        <v>200</v>
      </c>
      <c r="I507">
        <v>82</v>
      </c>
      <c r="J507" s="8">
        <v>0.65600000000000003</v>
      </c>
      <c r="K507">
        <v>46</v>
      </c>
      <c r="L507">
        <v>32</v>
      </c>
      <c r="M507">
        <v>183</v>
      </c>
      <c r="N507" s="10">
        <v>639.20000000000005</v>
      </c>
      <c r="O507" s="7">
        <v>15</v>
      </c>
      <c r="P507" s="7">
        <v>27.5</v>
      </c>
      <c r="Q507">
        <v>6</v>
      </c>
      <c r="R507" t="s">
        <v>60</v>
      </c>
      <c r="S507">
        <v>6</v>
      </c>
      <c r="T507">
        <v>169</v>
      </c>
      <c r="U507" s="11">
        <v>-0.78183148246802991</v>
      </c>
      <c r="V507" s="11">
        <v>0.62348980185873337</v>
      </c>
      <c r="W507" s="11">
        <v>0.24893980855376657</v>
      </c>
      <c r="X507" s="11">
        <v>-0.96851895785122044</v>
      </c>
      <c r="Y507">
        <v>1</v>
      </c>
      <c r="Z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6">
        <v>45095</v>
      </c>
      <c r="B508" t="s">
        <v>41</v>
      </c>
      <c r="C508" t="s">
        <v>42</v>
      </c>
      <c r="D508" t="s">
        <v>43</v>
      </c>
      <c r="E508" t="s">
        <v>44</v>
      </c>
      <c r="F508">
        <v>85</v>
      </c>
      <c r="G508">
        <v>210</v>
      </c>
      <c r="H508">
        <v>134</v>
      </c>
      <c r="I508">
        <v>59</v>
      </c>
      <c r="J508" s="8">
        <v>0.69411764705882351</v>
      </c>
      <c r="K508">
        <v>21</v>
      </c>
      <c r="L508">
        <v>12</v>
      </c>
      <c r="M508">
        <v>123</v>
      </c>
      <c r="N508" s="10">
        <v>567.45000000000005</v>
      </c>
      <c r="O508" s="7">
        <v>15</v>
      </c>
      <c r="P508" s="7">
        <v>27.5</v>
      </c>
      <c r="Q508">
        <v>6</v>
      </c>
      <c r="R508" t="s">
        <v>60</v>
      </c>
      <c r="S508">
        <v>6</v>
      </c>
      <c r="T508">
        <v>169</v>
      </c>
      <c r="U508" s="11">
        <v>-0.78183148246802991</v>
      </c>
      <c r="V508" s="11">
        <v>0.62348980185873337</v>
      </c>
      <c r="W508" s="11">
        <v>0.24893980855376657</v>
      </c>
      <c r="X508" s="11">
        <v>-0.96851895785122044</v>
      </c>
      <c r="Y508">
        <v>1</v>
      </c>
      <c r="Z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6">
        <v>45096</v>
      </c>
      <c r="B509" t="s">
        <v>31</v>
      </c>
      <c r="C509" t="s">
        <v>32</v>
      </c>
      <c r="D509" t="s">
        <v>33</v>
      </c>
      <c r="E509" t="s">
        <v>34</v>
      </c>
      <c r="F509">
        <v>140</v>
      </c>
      <c r="G509">
        <v>360</v>
      </c>
      <c r="H509">
        <v>169</v>
      </c>
      <c r="I509">
        <v>75</v>
      </c>
      <c r="J509" s="8">
        <v>0.5357142857142857</v>
      </c>
      <c r="K509">
        <v>39</v>
      </c>
      <c r="L509">
        <v>37</v>
      </c>
      <c r="M509">
        <v>137</v>
      </c>
      <c r="N509" s="10">
        <v>449.06</v>
      </c>
      <c r="O509" s="7">
        <v>29.5</v>
      </c>
      <c r="P509" s="7">
        <v>26.7</v>
      </c>
      <c r="Q509">
        <v>0</v>
      </c>
      <c r="R509" t="s">
        <v>62</v>
      </c>
      <c r="S509">
        <v>6</v>
      </c>
      <c r="T509">
        <v>170</v>
      </c>
      <c r="U509" s="11">
        <v>0</v>
      </c>
      <c r="V509" s="11">
        <v>1</v>
      </c>
      <c r="W509" s="11">
        <v>0.23224292400907015</v>
      </c>
      <c r="X509" s="11">
        <v>-0.9726578145718654</v>
      </c>
      <c r="Y509">
        <v>0</v>
      </c>
      <c r="Z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6">
        <v>45096</v>
      </c>
      <c r="B510" t="s">
        <v>36</v>
      </c>
      <c r="C510" t="s">
        <v>37</v>
      </c>
      <c r="D510" t="s">
        <v>38</v>
      </c>
      <c r="E510" t="s">
        <v>39</v>
      </c>
      <c r="F510">
        <v>125</v>
      </c>
      <c r="G510">
        <v>320</v>
      </c>
      <c r="H510">
        <v>164</v>
      </c>
      <c r="I510">
        <v>68</v>
      </c>
      <c r="J510" s="8">
        <v>0.54400000000000004</v>
      </c>
      <c r="K510">
        <v>34</v>
      </c>
      <c r="L510">
        <v>29</v>
      </c>
      <c r="M510">
        <v>146</v>
      </c>
      <c r="N510" s="10">
        <v>587.91</v>
      </c>
      <c r="O510" s="7">
        <v>29.5</v>
      </c>
      <c r="P510" s="7">
        <v>26.7</v>
      </c>
      <c r="Q510">
        <v>0</v>
      </c>
      <c r="R510" t="s">
        <v>62</v>
      </c>
      <c r="S510">
        <v>6</v>
      </c>
      <c r="T510">
        <v>170</v>
      </c>
      <c r="U510" s="11">
        <v>0</v>
      </c>
      <c r="V510" s="11">
        <v>1</v>
      </c>
      <c r="W510" s="11">
        <v>0.23224292400907015</v>
      </c>
      <c r="X510" s="11">
        <v>-0.9726578145718654</v>
      </c>
      <c r="Y510">
        <v>0</v>
      </c>
      <c r="Z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6">
        <v>45096</v>
      </c>
      <c r="B511" t="s">
        <v>41</v>
      </c>
      <c r="C511" t="s">
        <v>42</v>
      </c>
      <c r="D511" t="s">
        <v>43</v>
      </c>
      <c r="E511" t="s">
        <v>44</v>
      </c>
      <c r="F511">
        <v>85</v>
      </c>
      <c r="G511">
        <v>210</v>
      </c>
      <c r="H511">
        <v>109</v>
      </c>
      <c r="I511">
        <v>48</v>
      </c>
      <c r="J511" s="8">
        <v>0.56470588235294117</v>
      </c>
      <c r="K511">
        <v>19</v>
      </c>
      <c r="L511">
        <v>27</v>
      </c>
      <c r="M511">
        <v>92</v>
      </c>
      <c r="N511" s="10">
        <v>501.44</v>
      </c>
      <c r="O511" s="7">
        <v>29.5</v>
      </c>
      <c r="P511" s="7">
        <v>26.7</v>
      </c>
      <c r="Q511">
        <v>0</v>
      </c>
      <c r="R511" t="s">
        <v>62</v>
      </c>
      <c r="S511">
        <v>6</v>
      </c>
      <c r="T511">
        <v>170</v>
      </c>
      <c r="U511" s="11">
        <v>0</v>
      </c>
      <c r="V511" s="11">
        <v>1</v>
      </c>
      <c r="W511" s="11">
        <v>0.23224292400907015</v>
      </c>
      <c r="X511" s="11">
        <v>-0.9726578145718654</v>
      </c>
      <c r="Y511">
        <v>0</v>
      </c>
      <c r="Z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6">
        <v>45097</v>
      </c>
      <c r="B512" t="s">
        <v>31</v>
      </c>
      <c r="C512" t="s">
        <v>32</v>
      </c>
      <c r="D512" t="s">
        <v>33</v>
      </c>
      <c r="E512" t="s">
        <v>34</v>
      </c>
      <c r="F512">
        <v>140</v>
      </c>
      <c r="G512">
        <v>360</v>
      </c>
      <c r="H512">
        <v>213</v>
      </c>
      <c r="I512">
        <v>90</v>
      </c>
      <c r="J512" s="8">
        <v>0.6428571428571429</v>
      </c>
      <c r="K512">
        <v>31</v>
      </c>
      <c r="L512">
        <v>31</v>
      </c>
      <c r="M512">
        <v>193</v>
      </c>
      <c r="N512" s="10">
        <v>401.52</v>
      </c>
      <c r="O512" s="7">
        <v>13.8</v>
      </c>
      <c r="P512" s="7">
        <v>28.8</v>
      </c>
      <c r="Q512">
        <v>1</v>
      </c>
      <c r="R512" t="s">
        <v>63</v>
      </c>
      <c r="S512">
        <v>6</v>
      </c>
      <c r="T512">
        <v>171</v>
      </c>
      <c r="U512" s="11">
        <v>0.7818314824680298</v>
      </c>
      <c r="V512" s="11">
        <v>0.62348980185873359</v>
      </c>
      <c r="W512" s="11">
        <v>0.21547731504673012</v>
      </c>
      <c r="X512" s="11">
        <v>-0.97650884619661904</v>
      </c>
      <c r="Y512">
        <v>0</v>
      </c>
      <c r="Z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6">
        <v>45097</v>
      </c>
      <c r="B513" t="s">
        <v>36</v>
      </c>
      <c r="C513" t="s">
        <v>37</v>
      </c>
      <c r="D513" t="s">
        <v>38</v>
      </c>
      <c r="E513" t="s">
        <v>39</v>
      </c>
      <c r="F513">
        <v>125</v>
      </c>
      <c r="G513">
        <v>320</v>
      </c>
      <c r="H513">
        <v>165</v>
      </c>
      <c r="I513">
        <v>68</v>
      </c>
      <c r="J513" s="8">
        <v>0.54400000000000004</v>
      </c>
      <c r="K513">
        <v>41</v>
      </c>
      <c r="L513">
        <v>40</v>
      </c>
      <c r="M513">
        <v>151</v>
      </c>
      <c r="N513" s="10">
        <v>577.69000000000005</v>
      </c>
      <c r="O513" s="7">
        <v>13.8</v>
      </c>
      <c r="P513" s="7">
        <v>28.8</v>
      </c>
      <c r="Q513">
        <v>1</v>
      </c>
      <c r="R513" t="s">
        <v>63</v>
      </c>
      <c r="S513">
        <v>6</v>
      </c>
      <c r="T513">
        <v>171</v>
      </c>
      <c r="U513" s="11">
        <v>0.7818314824680298</v>
      </c>
      <c r="V513" s="11">
        <v>0.62348980185873359</v>
      </c>
      <c r="W513" s="11">
        <v>0.21547731504673012</v>
      </c>
      <c r="X513" s="11">
        <v>-0.97650884619661904</v>
      </c>
      <c r="Y513">
        <v>0</v>
      </c>
      <c r="Z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6">
        <v>45097</v>
      </c>
      <c r="B514" t="s">
        <v>41</v>
      </c>
      <c r="C514" t="s">
        <v>42</v>
      </c>
      <c r="D514" t="s">
        <v>43</v>
      </c>
      <c r="E514" t="s">
        <v>44</v>
      </c>
      <c r="F514">
        <v>85</v>
      </c>
      <c r="G514">
        <v>210</v>
      </c>
      <c r="H514">
        <v>130</v>
      </c>
      <c r="I514">
        <v>54</v>
      </c>
      <c r="J514" s="8">
        <v>0.63529411764705879</v>
      </c>
      <c r="K514">
        <v>21</v>
      </c>
      <c r="L514">
        <v>15</v>
      </c>
      <c r="M514">
        <v>106</v>
      </c>
      <c r="N514" s="10">
        <v>497.92</v>
      </c>
      <c r="O514" s="7">
        <v>13.8</v>
      </c>
      <c r="P514" s="7">
        <v>28.8</v>
      </c>
      <c r="Q514">
        <v>1</v>
      </c>
      <c r="R514" t="s">
        <v>63</v>
      </c>
      <c r="S514">
        <v>6</v>
      </c>
      <c r="T514">
        <v>171</v>
      </c>
      <c r="U514" s="11">
        <v>0.7818314824680298</v>
      </c>
      <c r="V514" s="11">
        <v>0.62348980185873359</v>
      </c>
      <c r="W514" s="11">
        <v>0.21547731504673012</v>
      </c>
      <c r="X514" s="11">
        <v>-0.97650884619661904</v>
      </c>
      <c r="Y514">
        <v>0</v>
      </c>
      <c r="Z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6">
        <v>45098</v>
      </c>
      <c r="B515" t="s">
        <v>31</v>
      </c>
      <c r="C515" t="s">
        <v>32</v>
      </c>
      <c r="D515" t="s">
        <v>33</v>
      </c>
      <c r="E515" t="s">
        <v>34</v>
      </c>
      <c r="F515">
        <v>140</v>
      </c>
      <c r="G515">
        <v>360</v>
      </c>
      <c r="H515">
        <v>182</v>
      </c>
      <c r="I515">
        <v>75</v>
      </c>
      <c r="J515" s="8">
        <v>0.5357142857142857</v>
      </c>
      <c r="K515">
        <v>41</v>
      </c>
      <c r="L515">
        <v>27</v>
      </c>
      <c r="M515">
        <v>155</v>
      </c>
      <c r="N515" s="10">
        <v>403.88</v>
      </c>
      <c r="O515" s="7">
        <v>4.5999999999999996</v>
      </c>
      <c r="P515" s="7">
        <v>28.1</v>
      </c>
      <c r="Q515">
        <v>2</v>
      </c>
      <c r="R515" t="s">
        <v>64</v>
      </c>
      <c r="S515">
        <v>6</v>
      </c>
      <c r="T515">
        <v>172</v>
      </c>
      <c r="U515" s="11">
        <v>0.97492791218182362</v>
      </c>
      <c r="V515" s="11">
        <v>-0.22252093395631434</v>
      </c>
      <c r="W515" s="11">
        <v>0.19864794288017112</v>
      </c>
      <c r="X515" s="11">
        <v>-0.98007091314326655</v>
      </c>
      <c r="Y515">
        <v>0</v>
      </c>
      <c r="Z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6">
        <v>45098</v>
      </c>
      <c r="B516" t="s">
        <v>36</v>
      </c>
      <c r="C516" t="s">
        <v>37</v>
      </c>
      <c r="D516" t="s">
        <v>38</v>
      </c>
      <c r="E516" t="s">
        <v>39</v>
      </c>
      <c r="F516">
        <v>125</v>
      </c>
      <c r="G516">
        <v>320</v>
      </c>
      <c r="H516">
        <v>151</v>
      </c>
      <c r="I516">
        <v>65</v>
      </c>
      <c r="J516" s="8">
        <v>0.52</v>
      </c>
      <c r="K516">
        <v>17</v>
      </c>
      <c r="L516">
        <v>40</v>
      </c>
      <c r="M516">
        <v>126</v>
      </c>
      <c r="N516" s="10">
        <v>587.82000000000005</v>
      </c>
      <c r="O516" s="7">
        <v>4.5999999999999996</v>
      </c>
      <c r="P516" s="7">
        <v>28.1</v>
      </c>
      <c r="Q516">
        <v>2</v>
      </c>
      <c r="R516" t="s">
        <v>64</v>
      </c>
      <c r="S516">
        <v>6</v>
      </c>
      <c r="T516">
        <v>172</v>
      </c>
      <c r="U516" s="11">
        <v>0.97492791218182362</v>
      </c>
      <c r="V516" s="11">
        <v>-0.22252093395631434</v>
      </c>
      <c r="W516" s="11">
        <v>0.19864794288017112</v>
      </c>
      <c r="X516" s="11">
        <v>-0.98007091314326655</v>
      </c>
      <c r="Y516">
        <v>0</v>
      </c>
      <c r="Z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6">
        <v>45098</v>
      </c>
      <c r="B517" t="s">
        <v>41</v>
      </c>
      <c r="C517" t="s">
        <v>42</v>
      </c>
      <c r="D517" t="s">
        <v>43</v>
      </c>
      <c r="E517" t="s">
        <v>44</v>
      </c>
      <c r="F517">
        <v>85</v>
      </c>
      <c r="G517">
        <v>210</v>
      </c>
      <c r="H517">
        <v>102</v>
      </c>
      <c r="I517">
        <v>49</v>
      </c>
      <c r="J517" s="8">
        <v>0.57647058823529407</v>
      </c>
      <c r="K517">
        <v>21</v>
      </c>
      <c r="L517">
        <v>9</v>
      </c>
      <c r="M517">
        <v>94</v>
      </c>
      <c r="N517" s="10">
        <v>507.72</v>
      </c>
      <c r="O517" s="7">
        <v>4.5999999999999996</v>
      </c>
      <c r="P517" s="7">
        <v>28.1</v>
      </c>
      <c r="Q517">
        <v>2</v>
      </c>
      <c r="R517" t="s">
        <v>64</v>
      </c>
      <c r="S517">
        <v>6</v>
      </c>
      <c r="T517">
        <v>172</v>
      </c>
      <c r="U517" s="11">
        <v>0.97492791218182362</v>
      </c>
      <c r="V517" s="11">
        <v>-0.22252093395631434</v>
      </c>
      <c r="W517" s="11">
        <v>0.19864794288017112</v>
      </c>
      <c r="X517" s="11">
        <v>-0.98007091314326655</v>
      </c>
      <c r="Y517">
        <v>0</v>
      </c>
      <c r="Z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6">
        <v>45099</v>
      </c>
      <c r="B518" t="s">
        <v>31</v>
      </c>
      <c r="C518" t="s">
        <v>32</v>
      </c>
      <c r="D518" t="s">
        <v>33</v>
      </c>
      <c r="E518" t="s">
        <v>34</v>
      </c>
      <c r="F518">
        <v>140</v>
      </c>
      <c r="G518">
        <v>360</v>
      </c>
      <c r="H518">
        <v>193</v>
      </c>
      <c r="I518">
        <v>80</v>
      </c>
      <c r="J518" s="8">
        <v>0.5714285714285714</v>
      </c>
      <c r="K518">
        <v>33</v>
      </c>
      <c r="L518">
        <v>40</v>
      </c>
      <c r="M518">
        <v>161</v>
      </c>
      <c r="N518" s="10">
        <v>410.27</v>
      </c>
      <c r="O518" s="7">
        <v>13</v>
      </c>
      <c r="P518" s="7">
        <v>27.9</v>
      </c>
      <c r="Q518">
        <v>3</v>
      </c>
      <c r="R518" t="s">
        <v>65</v>
      </c>
      <c r="S518">
        <v>6</v>
      </c>
      <c r="T518">
        <v>173</v>
      </c>
      <c r="U518" s="11">
        <v>0.43388373911755823</v>
      </c>
      <c r="V518" s="11">
        <v>-0.90096886790241903</v>
      </c>
      <c r="W518" s="11">
        <v>0.18175978759137534</v>
      </c>
      <c r="X518" s="11">
        <v>-0.98334296133889021</v>
      </c>
      <c r="Y518">
        <v>0</v>
      </c>
      <c r="Z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6">
        <v>45099</v>
      </c>
      <c r="B519" t="s">
        <v>36</v>
      </c>
      <c r="C519" t="s">
        <v>37</v>
      </c>
      <c r="D519" t="s">
        <v>38</v>
      </c>
      <c r="E519" t="s">
        <v>39</v>
      </c>
      <c r="F519">
        <v>125</v>
      </c>
      <c r="G519">
        <v>320</v>
      </c>
      <c r="H519">
        <v>188</v>
      </c>
      <c r="I519">
        <v>76</v>
      </c>
      <c r="J519" s="8">
        <v>0.60799999999999998</v>
      </c>
      <c r="K519">
        <v>24</v>
      </c>
      <c r="L519">
        <v>24</v>
      </c>
      <c r="M519">
        <v>164</v>
      </c>
      <c r="N519" s="10">
        <v>564.25</v>
      </c>
      <c r="O519" s="7">
        <v>13</v>
      </c>
      <c r="P519" s="7">
        <v>27.9</v>
      </c>
      <c r="Q519">
        <v>3</v>
      </c>
      <c r="R519" t="s">
        <v>65</v>
      </c>
      <c r="S519">
        <v>6</v>
      </c>
      <c r="T519">
        <v>173</v>
      </c>
      <c r="U519" s="11">
        <v>0.43388373911755823</v>
      </c>
      <c r="V519" s="11">
        <v>-0.90096886790241903</v>
      </c>
      <c r="W519" s="11">
        <v>0.18175978759137534</v>
      </c>
      <c r="X519" s="11">
        <v>-0.98334296133889021</v>
      </c>
      <c r="Y519">
        <v>0</v>
      </c>
      <c r="Z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6">
        <v>45099</v>
      </c>
      <c r="B520" t="s">
        <v>41</v>
      </c>
      <c r="C520" t="s">
        <v>42</v>
      </c>
      <c r="D520" t="s">
        <v>43</v>
      </c>
      <c r="E520" t="s">
        <v>44</v>
      </c>
      <c r="F520">
        <v>85</v>
      </c>
      <c r="G520">
        <v>210</v>
      </c>
      <c r="H520">
        <v>117</v>
      </c>
      <c r="I520">
        <v>54</v>
      </c>
      <c r="J520" s="8">
        <v>0.63529411764705879</v>
      </c>
      <c r="K520">
        <v>11</v>
      </c>
      <c r="L520">
        <v>23</v>
      </c>
      <c r="M520">
        <v>96</v>
      </c>
      <c r="N520" s="10">
        <v>503.97</v>
      </c>
      <c r="O520" s="7">
        <v>13</v>
      </c>
      <c r="P520" s="7">
        <v>27.9</v>
      </c>
      <c r="Q520">
        <v>3</v>
      </c>
      <c r="R520" t="s">
        <v>65</v>
      </c>
      <c r="S520">
        <v>6</v>
      </c>
      <c r="T520">
        <v>173</v>
      </c>
      <c r="U520" s="11">
        <v>0.43388373911755823</v>
      </c>
      <c r="V520" s="11">
        <v>-0.90096886790241903</v>
      </c>
      <c r="W520" s="11">
        <v>0.18175978759137534</v>
      </c>
      <c r="X520" s="11">
        <v>-0.98334296133889021</v>
      </c>
      <c r="Y520">
        <v>0</v>
      </c>
      <c r="Z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6">
        <v>45100</v>
      </c>
      <c r="B521" t="s">
        <v>31</v>
      </c>
      <c r="C521" t="s">
        <v>32</v>
      </c>
      <c r="D521" t="s">
        <v>33</v>
      </c>
      <c r="E521" t="s">
        <v>34</v>
      </c>
      <c r="F521">
        <v>140</v>
      </c>
      <c r="G521">
        <v>360</v>
      </c>
      <c r="H521">
        <v>208</v>
      </c>
      <c r="I521">
        <v>87</v>
      </c>
      <c r="J521" s="8">
        <v>0.62142857142857144</v>
      </c>
      <c r="K521">
        <v>36</v>
      </c>
      <c r="L521">
        <v>55</v>
      </c>
      <c r="M521">
        <v>179</v>
      </c>
      <c r="N521" s="10">
        <v>426.96</v>
      </c>
      <c r="O521" s="7">
        <v>0</v>
      </c>
      <c r="P521" s="7">
        <v>27.9</v>
      </c>
      <c r="Q521">
        <v>4</v>
      </c>
      <c r="R521" t="s">
        <v>66</v>
      </c>
      <c r="S521">
        <v>6</v>
      </c>
      <c r="T521">
        <v>174</v>
      </c>
      <c r="U521" s="11">
        <v>-0.43388373911755801</v>
      </c>
      <c r="V521" s="11">
        <v>-0.90096886790241915</v>
      </c>
      <c r="W521" s="11">
        <v>0.16481784665719793</v>
      </c>
      <c r="X521" s="11">
        <v>-0.98632402253178664</v>
      </c>
      <c r="Y521">
        <v>0</v>
      </c>
      <c r="Z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6">
        <v>45100</v>
      </c>
      <c r="B522" t="s">
        <v>36</v>
      </c>
      <c r="C522" t="s">
        <v>37</v>
      </c>
      <c r="D522" t="s">
        <v>38</v>
      </c>
      <c r="E522" t="s">
        <v>39</v>
      </c>
      <c r="F522">
        <v>125</v>
      </c>
      <c r="G522">
        <v>320</v>
      </c>
      <c r="H522">
        <v>158</v>
      </c>
      <c r="I522">
        <v>65</v>
      </c>
      <c r="J522" s="8">
        <v>0.52</v>
      </c>
      <c r="K522">
        <v>23</v>
      </c>
      <c r="L522">
        <v>23</v>
      </c>
      <c r="M522">
        <v>145</v>
      </c>
      <c r="N522" s="10">
        <v>592.29</v>
      </c>
      <c r="O522" s="7">
        <v>0</v>
      </c>
      <c r="P522" s="7">
        <v>27.9</v>
      </c>
      <c r="Q522">
        <v>4</v>
      </c>
      <c r="R522" t="s">
        <v>66</v>
      </c>
      <c r="S522">
        <v>6</v>
      </c>
      <c r="T522">
        <v>174</v>
      </c>
      <c r="U522" s="11">
        <v>-0.43388373911755801</v>
      </c>
      <c r="V522" s="11">
        <v>-0.90096886790241915</v>
      </c>
      <c r="W522" s="11">
        <v>0.16481784665719793</v>
      </c>
      <c r="X522" s="11">
        <v>-0.98632402253178664</v>
      </c>
      <c r="Y522">
        <v>0</v>
      </c>
      <c r="Z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6">
        <v>45100</v>
      </c>
      <c r="B523" t="s">
        <v>41</v>
      </c>
      <c r="C523" t="s">
        <v>42</v>
      </c>
      <c r="D523" t="s">
        <v>43</v>
      </c>
      <c r="E523" t="s">
        <v>44</v>
      </c>
      <c r="F523">
        <v>85</v>
      </c>
      <c r="G523">
        <v>210</v>
      </c>
      <c r="H523">
        <v>130</v>
      </c>
      <c r="I523">
        <v>56</v>
      </c>
      <c r="J523" s="8">
        <v>0.6588235294117647</v>
      </c>
      <c r="K523">
        <v>34</v>
      </c>
      <c r="L523">
        <v>31</v>
      </c>
      <c r="M523">
        <v>111</v>
      </c>
      <c r="N523" s="10">
        <v>486.24</v>
      </c>
      <c r="O523" s="7">
        <v>0</v>
      </c>
      <c r="P523" s="7">
        <v>27.9</v>
      </c>
      <c r="Q523">
        <v>4</v>
      </c>
      <c r="R523" t="s">
        <v>66</v>
      </c>
      <c r="S523">
        <v>6</v>
      </c>
      <c r="T523">
        <v>174</v>
      </c>
      <c r="U523" s="11">
        <v>-0.43388373911755801</v>
      </c>
      <c r="V523" s="11">
        <v>-0.90096886790241915</v>
      </c>
      <c r="W523" s="11">
        <v>0.16481784665719793</v>
      </c>
      <c r="X523" s="11">
        <v>-0.98632402253178664</v>
      </c>
      <c r="Y523">
        <v>0</v>
      </c>
      <c r="Z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6">
        <v>45101</v>
      </c>
      <c r="B524" t="s">
        <v>31</v>
      </c>
      <c r="C524" t="s">
        <v>32</v>
      </c>
      <c r="D524" t="s">
        <v>33</v>
      </c>
      <c r="E524" t="s">
        <v>34</v>
      </c>
      <c r="F524">
        <v>140</v>
      </c>
      <c r="G524">
        <v>360</v>
      </c>
      <c r="H524">
        <v>212</v>
      </c>
      <c r="I524">
        <v>92</v>
      </c>
      <c r="J524" s="8">
        <v>0.65714285714285714</v>
      </c>
      <c r="K524">
        <v>39</v>
      </c>
      <c r="L524">
        <v>34</v>
      </c>
      <c r="M524">
        <v>182</v>
      </c>
      <c r="N524" s="10">
        <v>486.24</v>
      </c>
      <c r="O524" s="7">
        <v>0.2</v>
      </c>
      <c r="P524" s="7">
        <v>29.9</v>
      </c>
      <c r="Q524">
        <v>5</v>
      </c>
      <c r="R524" t="s">
        <v>67</v>
      </c>
      <c r="S524">
        <v>6</v>
      </c>
      <c r="T524">
        <v>175</v>
      </c>
      <c r="U524" s="11">
        <v>-0.97492791218182362</v>
      </c>
      <c r="V524" s="11">
        <v>-0.22252093395631459</v>
      </c>
      <c r="W524" s="11">
        <v>0.14782713347053048</v>
      </c>
      <c r="X524" s="11">
        <v>-0.9890132145779883</v>
      </c>
      <c r="Y524">
        <v>1</v>
      </c>
      <c r="Z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6">
        <v>45101</v>
      </c>
      <c r="B525" t="s">
        <v>36</v>
      </c>
      <c r="C525" t="s">
        <v>37</v>
      </c>
      <c r="D525" t="s">
        <v>38</v>
      </c>
      <c r="E525" t="s">
        <v>39</v>
      </c>
      <c r="F525">
        <v>125</v>
      </c>
      <c r="G525">
        <v>320</v>
      </c>
      <c r="H525">
        <v>203</v>
      </c>
      <c r="I525">
        <v>84</v>
      </c>
      <c r="J525" s="8">
        <v>0.67200000000000004</v>
      </c>
      <c r="K525">
        <v>43</v>
      </c>
      <c r="L525">
        <v>53</v>
      </c>
      <c r="M525">
        <v>181</v>
      </c>
      <c r="N525" s="10">
        <v>737.62</v>
      </c>
      <c r="O525" s="7">
        <v>0.2</v>
      </c>
      <c r="P525" s="7">
        <v>29.9</v>
      </c>
      <c r="Q525">
        <v>5</v>
      </c>
      <c r="R525" t="s">
        <v>67</v>
      </c>
      <c r="S525">
        <v>6</v>
      </c>
      <c r="T525">
        <v>175</v>
      </c>
      <c r="U525" s="11">
        <v>-0.97492791218182362</v>
      </c>
      <c r="V525" s="11">
        <v>-0.22252093395631459</v>
      </c>
      <c r="W525" s="11">
        <v>0.14782713347053048</v>
      </c>
      <c r="X525" s="11">
        <v>-0.9890132145779883</v>
      </c>
      <c r="Y525">
        <v>1</v>
      </c>
      <c r="Z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6">
        <v>45101</v>
      </c>
      <c r="B526" t="s">
        <v>41</v>
      </c>
      <c r="C526" t="s">
        <v>42</v>
      </c>
      <c r="D526" t="s">
        <v>43</v>
      </c>
      <c r="E526" t="s">
        <v>44</v>
      </c>
      <c r="F526">
        <v>85</v>
      </c>
      <c r="G526">
        <v>210</v>
      </c>
      <c r="H526">
        <v>153</v>
      </c>
      <c r="I526">
        <v>69</v>
      </c>
      <c r="J526" s="8">
        <v>0.81176470588235294</v>
      </c>
      <c r="K526">
        <v>25</v>
      </c>
      <c r="L526">
        <v>23</v>
      </c>
      <c r="M526">
        <v>123</v>
      </c>
      <c r="N526" s="10">
        <v>641.02</v>
      </c>
      <c r="O526" s="7">
        <v>0.2</v>
      </c>
      <c r="P526" s="7">
        <v>29.9</v>
      </c>
      <c r="Q526">
        <v>5</v>
      </c>
      <c r="R526" t="s">
        <v>67</v>
      </c>
      <c r="S526">
        <v>6</v>
      </c>
      <c r="T526">
        <v>175</v>
      </c>
      <c r="U526" s="11">
        <v>-0.97492791218182362</v>
      </c>
      <c r="V526" s="11">
        <v>-0.22252093395631459</v>
      </c>
      <c r="W526" s="11">
        <v>0.14782713347053048</v>
      </c>
      <c r="X526" s="11">
        <v>-0.9890132145779883</v>
      </c>
      <c r="Y526">
        <v>1</v>
      </c>
      <c r="Z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6">
        <v>45102</v>
      </c>
      <c r="B527" t="s">
        <v>31</v>
      </c>
      <c r="C527" t="s">
        <v>32</v>
      </c>
      <c r="D527" t="s">
        <v>33</v>
      </c>
      <c r="E527" t="s">
        <v>34</v>
      </c>
      <c r="F527">
        <v>140</v>
      </c>
      <c r="G527">
        <v>360</v>
      </c>
      <c r="H527">
        <v>231</v>
      </c>
      <c r="I527">
        <v>98</v>
      </c>
      <c r="J527" s="8">
        <v>0.7</v>
      </c>
      <c r="K527">
        <v>25</v>
      </c>
      <c r="L527">
        <v>44</v>
      </c>
      <c r="M527">
        <v>215</v>
      </c>
      <c r="N527" s="10">
        <v>487.67</v>
      </c>
      <c r="O527" s="7">
        <v>5.4</v>
      </c>
      <c r="P527" s="7">
        <v>28.7</v>
      </c>
      <c r="Q527">
        <v>6</v>
      </c>
      <c r="R527" t="s">
        <v>60</v>
      </c>
      <c r="S527">
        <v>6</v>
      </c>
      <c r="T527">
        <v>176</v>
      </c>
      <c r="U527" s="11">
        <v>-0.78183148246802991</v>
      </c>
      <c r="V527" s="11">
        <v>0.62348980185873337</v>
      </c>
      <c r="W527" s="11">
        <v>0.13079267585675922</v>
      </c>
      <c r="X527" s="11">
        <v>-0.99140974170230378</v>
      </c>
      <c r="Y527">
        <v>1</v>
      </c>
      <c r="Z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6">
        <v>45102</v>
      </c>
      <c r="B528" t="s">
        <v>36</v>
      </c>
      <c r="C528" t="s">
        <v>37</v>
      </c>
      <c r="D528" t="s">
        <v>38</v>
      </c>
      <c r="E528" t="s">
        <v>39</v>
      </c>
      <c r="F528">
        <v>125</v>
      </c>
      <c r="G528">
        <v>320</v>
      </c>
      <c r="H528">
        <v>213</v>
      </c>
      <c r="I528">
        <v>86</v>
      </c>
      <c r="J528" s="8">
        <v>0.68799999999999994</v>
      </c>
      <c r="K528">
        <v>36</v>
      </c>
      <c r="L528">
        <v>50</v>
      </c>
      <c r="M528">
        <v>187</v>
      </c>
      <c r="N528" s="10">
        <v>734.57</v>
      </c>
      <c r="O528" s="7">
        <v>5.4</v>
      </c>
      <c r="P528" s="7">
        <v>28.7</v>
      </c>
      <c r="Q528">
        <v>6</v>
      </c>
      <c r="R528" t="s">
        <v>60</v>
      </c>
      <c r="S528">
        <v>6</v>
      </c>
      <c r="T528">
        <v>176</v>
      </c>
      <c r="U528" s="11">
        <v>-0.78183148246802991</v>
      </c>
      <c r="V528" s="11">
        <v>0.62348980185873337</v>
      </c>
      <c r="W528" s="11">
        <v>0.13079267585675922</v>
      </c>
      <c r="X528" s="11">
        <v>-0.99140974170230378</v>
      </c>
      <c r="Y528">
        <v>1</v>
      </c>
      <c r="Z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6">
        <v>45102</v>
      </c>
      <c r="B529" t="s">
        <v>41</v>
      </c>
      <c r="C529" t="s">
        <v>42</v>
      </c>
      <c r="D529" t="s">
        <v>43</v>
      </c>
      <c r="E529" t="s">
        <v>44</v>
      </c>
      <c r="F529">
        <v>85</v>
      </c>
      <c r="G529">
        <v>210</v>
      </c>
      <c r="H529">
        <v>141</v>
      </c>
      <c r="I529">
        <v>60</v>
      </c>
      <c r="J529" s="8">
        <v>0.70588235294117652</v>
      </c>
      <c r="K529">
        <v>27</v>
      </c>
      <c r="L529">
        <v>28</v>
      </c>
      <c r="M529">
        <v>126</v>
      </c>
      <c r="N529" s="10">
        <v>616.6</v>
      </c>
      <c r="O529" s="7">
        <v>5.4</v>
      </c>
      <c r="P529" s="7">
        <v>28.7</v>
      </c>
      <c r="Q529">
        <v>6</v>
      </c>
      <c r="R529" t="s">
        <v>60</v>
      </c>
      <c r="S529">
        <v>6</v>
      </c>
      <c r="T529">
        <v>176</v>
      </c>
      <c r="U529" s="11">
        <v>-0.78183148246802991</v>
      </c>
      <c r="V529" s="11">
        <v>0.62348980185873337</v>
      </c>
      <c r="W529" s="11">
        <v>0.13079267585675922</v>
      </c>
      <c r="X529" s="11">
        <v>-0.99140974170230378</v>
      </c>
      <c r="Y529">
        <v>1</v>
      </c>
      <c r="Z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6">
        <v>45103</v>
      </c>
      <c r="B530" t="s">
        <v>31</v>
      </c>
      <c r="C530" t="s">
        <v>32</v>
      </c>
      <c r="D530" t="s">
        <v>33</v>
      </c>
      <c r="E530" t="s">
        <v>34</v>
      </c>
      <c r="F530">
        <v>140</v>
      </c>
      <c r="G530">
        <v>360</v>
      </c>
      <c r="H530">
        <v>183</v>
      </c>
      <c r="I530">
        <v>79</v>
      </c>
      <c r="J530" s="8">
        <v>0.56428571428571428</v>
      </c>
      <c r="K530">
        <v>33</v>
      </c>
      <c r="L530">
        <v>38</v>
      </c>
      <c r="M530">
        <v>157</v>
      </c>
      <c r="N530" s="10">
        <v>416.83</v>
      </c>
      <c r="O530" s="7">
        <v>0</v>
      </c>
      <c r="P530" s="7">
        <v>27.7</v>
      </c>
      <c r="Q530">
        <v>0</v>
      </c>
      <c r="R530" t="s">
        <v>62</v>
      </c>
      <c r="S530">
        <v>6</v>
      </c>
      <c r="T530">
        <v>177</v>
      </c>
      <c r="U530" s="11">
        <v>0</v>
      </c>
      <c r="V530" s="11">
        <v>1</v>
      </c>
      <c r="W530" s="11">
        <v>0.11371951458594969</v>
      </c>
      <c r="X530" s="11">
        <v>-0.99351289473380067</v>
      </c>
      <c r="Y530">
        <v>0</v>
      </c>
      <c r="Z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6">
        <v>45103</v>
      </c>
      <c r="B531" t="s">
        <v>36</v>
      </c>
      <c r="C531" t="s">
        <v>37</v>
      </c>
      <c r="D531" t="s">
        <v>38</v>
      </c>
      <c r="E531" t="s">
        <v>39</v>
      </c>
      <c r="F531">
        <v>125</v>
      </c>
      <c r="G531">
        <v>320</v>
      </c>
      <c r="H531">
        <v>166</v>
      </c>
      <c r="I531">
        <v>68</v>
      </c>
      <c r="J531" s="8">
        <v>0.54400000000000004</v>
      </c>
      <c r="K531">
        <v>37</v>
      </c>
      <c r="L531">
        <v>28</v>
      </c>
      <c r="M531">
        <v>148</v>
      </c>
      <c r="N531" s="10">
        <v>595.94000000000005</v>
      </c>
      <c r="O531" s="7">
        <v>0</v>
      </c>
      <c r="P531" s="7">
        <v>27.7</v>
      </c>
      <c r="Q531">
        <v>0</v>
      </c>
      <c r="R531" t="s">
        <v>62</v>
      </c>
      <c r="S531">
        <v>6</v>
      </c>
      <c r="T531">
        <v>177</v>
      </c>
      <c r="U531" s="11">
        <v>0</v>
      </c>
      <c r="V531" s="11">
        <v>1</v>
      </c>
      <c r="W531" s="11">
        <v>0.11371951458594969</v>
      </c>
      <c r="X531" s="11">
        <v>-0.99351289473380067</v>
      </c>
      <c r="Y531">
        <v>0</v>
      </c>
      <c r="Z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6">
        <v>45103</v>
      </c>
      <c r="B532" t="s">
        <v>41</v>
      </c>
      <c r="C532" t="s">
        <v>42</v>
      </c>
      <c r="D532" t="s">
        <v>43</v>
      </c>
      <c r="E532" t="s">
        <v>44</v>
      </c>
      <c r="F532">
        <v>85</v>
      </c>
      <c r="G532">
        <v>210</v>
      </c>
      <c r="H532">
        <v>120</v>
      </c>
      <c r="I532">
        <v>55</v>
      </c>
      <c r="J532" s="8">
        <v>0.6470588235294118</v>
      </c>
      <c r="K532">
        <v>23</v>
      </c>
      <c r="L532">
        <v>19</v>
      </c>
      <c r="M532">
        <v>111</v>
      </c>
      <c r="N532" s="10">
        <v>493.72</v>
      </c>
      <c r="O532" s="7">
        <v>0</v>
      </c>
      <c r="P532" s="7">
        <v>27.7</v>
      </c>
      <c r="Q532">
        <v>0</v>
      </c>
      <c r="R532" t="s">
        <v>62</v>
      </c>
      <c r="S532">
        <v>6</v>
      </c>
      <c r="T532">
        <v>177</v>
      </c>
      <c r="U532" s="11">
        <v>0</v>
      </c>
      <c r="V532" s="11">
        <v>1</v>
      </c>
      <c r="W532" s="11">
        <v>0.11371951458594969</v>
      </c>
      <c r="X532" s="11">
        <v>-0.99351289473380067</v>
      </c>
      <c r="Y532">
        <v>0</v>
      </c>
      <c r="Z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6">
        <v>45104</v>
      </c>
      <c r="B533" t="s">
        <v>31</v>
      </c>
      <c r="C533" t="s">
        <v>32</v>
      </c>
      <c r="D533" t="s">
        <v>33</v>
      </c>
      <c r="E533" t="s">
        <v>34</v>
      </c>
      <c r="F533">
        <v>140</v>
      </c>
      <c r="G533">
        <v>360</v>
      </c>
      <c r="H533">
        <v>203</v>
      </c>
      <c r="I533">
        <v>83</v>
      </c>
      <c r="J533" s="8">
        <v>0.59285714285714286</v>
      </c>
      <c r="K533">
        <v>43</v>
      </c>
      <c r="L533">
        <v>27</v>
      </c>
      <c r="M533">
        <v>184</v>
      </c>
      <c r="N533" s="10">
        <v>454.82</v>
      </c>
      <c r="O533" s="7">
        <v>9.6</v>
      </c>
      <c r="P533" s="7">
        <v>27.8</v>
      </c>
      <c r="Q533">
        <v>1</v>
      </c>
      <c r="R533" t="s">
        <v>63</v>
      </c>
      <c r="S533">
        <v>6</v>
      </c>
      <c r="T533">
        <v>178</v>
      </c>
      <c r="U533" s="11">
        <v>0.7818314824680298</v>
      </c>
      <c r="V533" s="11">
        <v>0.62348980185873359</v>
      </c>
      <c r="W533" s="11">
        <v>9.6612701881203106E-2</v>
      </c>
      <c r="X533" s="11">
        <v>-0.99532205131566021</v>
      </c>
      <c r="Y533">
        <v>0</v>
      </c>
      <c r="Z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6">
        <v>45104</v>
      </c>
      <c r="B534" t="s">
        <v>36</v>
      </c>
      <c r="C534" t="s">
        <v>37</v>
      </c>
      <c r="D534" t="s">
        <v>38</v>
      </c>
      <c r="E534" t="s">
        <v>39</v>
      </c>
      <c r="F534">
        <v>125</v>
      </c>
      <c r="G534">
        <v>320</v>
      </c>
      <c r="H534">
        <v>153</v>
      </c>
      <c r="I534">
        <v>65</v>
      </c>
      <c r="J534" s="8">
        <v>0.52</v>
      </c>
      <c r="K534">
        <v>41</v>
      </c>
      <c r="L534">
        <v>22</v>
      </c>
      <c r="M534">
        <v>125</v>
      </c>
      <c r="N534" s="10">
        <v>647.76</v>
      </c>
      <c r="O534" s="7">
        <v>9.6</v>
      </c>
      <c r="P534" s="7">
        <v>27.8</v>
      </c>
      <c r="Q534">
        <v>1</v>
      </c>
      <c r="R534" t="s">
        <v>63</v>
      </c>
      <c r="S534">
        <v>6</v>
      </c>
      <c r="T534">
        <v>178</v>
      </c>
      <c r="U534" s="11">
        <v>0.7818314824680298</v>
      </c>
      <c r="V534" s="11">
        <v>0.62348980185873359</v>
      </c>
      <c r="W534" s="11">
        <v>9.6612701881203106E-2</v>
      </c>
      <c r="X534" s="11">
        <v>-0.99532205131566021</v>
      </c>
      <c r="Y534">
        <v>0</v>
      </c>
      <c r="Z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6">
        <v>45104</v>
      </c>
      <c r="B535" t="s">
        <v>41</v>
      </c>
      <c r="C535" t="s">
        <v>42</v>
      </c>
      <c r="D535" t="s">
        <v>43</v>
      </c>
      <c r="E535" t="s">
        <v>44</v>
      </c>
      <c r="F535">
        <v>85</v>
      </c>
      <c r="G535">
        <v>210</v>
      </c>
      <c r="H535">
        <v>129</v>
      </c>
      <c r="I535">
        <v>58</v>
      </c>
      <c r="J535" s="8">
        <v>0.68235294117647061</v>
      </c>
      <c r="K535">
        <v>26</v>
      </c>
      <c r="L535">
        <v>11</v>
      </c>
      <c r="M535">
        <v>120</v>
      </c>
      <c r="N535" s="10">
        <v>480.55</v>
      </c>
      <c r="O535" s="7">
        <v>9.6</v>
      </c>
      <c r="P535" s="7">
        <v>27.8</v>
      </c>
      <c r="Q535">
        <v>1</v>
      </c>
      <c r="R535" t="s">
        <v>63</v>
      </c>
      <c r="S535">
        <v>6</v>
      </c>
      <c r="T535">
        <v>178</v>
      </c>
      <c r="U535" s="11">
        <v>0.7818314824680298</v>
      </c>
      <c r="V535" s="11">
        <v>0.62348980185873359</v>
      </c>
      <c r="W535" s="11">
        <v>9.6612701881203106E-2</v>
      </c>
      <c r="X535" s="11">
        <v>-0.99532205131566021</v>
      </c>
      <c r="Y535">
        <v>0</v>
      </c>
      <c r="Z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6">
        <v>45105</v>
      </c>
      <c r="B536" t="s">
        <v>31</v>
      </c>
      <c r="C536" t="s">
        <v>32</v>
      </c>
      <c r="D536" t="s">
        <v>33</v>
      </c>
      <c r="E536" t="s">
        <v>34</v>
      </c>
      <c r="F536">
        <v>140</v>
      </c>
      <c r="G536">
        <v>360</v>
      </c>
      <c r="H536">
        <v>195</v>
      </c>
      <c r="I536">
        <v>86</v>
      </c>
      <c r="J536" s="8">
        <v>0.61428571428571432</v>
      </c>
      <c r="K536">
        <v>43</v>
      </c>
      <c r="L536">
        <v>50</v>
      </c>
      <c r="M536">
        <v>167</v>
      </c>
      <c r="N536" s="10">
        <v>420.16</v>
      </c>
      <c r="O536" s="7">
        <v>12.6</v>
      </c>
      <c r="P536" s="7">
        <v>26.6</v>
      </c>
      <c r="Q536">
        <v>2</v>
      </c>
      <c r="R536" t="s">
        <v>64</v>
      </c>
      <c r="S536">
        <v>6</v>
      </c>
      <c r="T536">
        <v>179</v>
      </c>
      <c r="U536" s="11">
        <v>0.97492791218182362</v>
      </c>
      <c r="V536" s="11">
        <v>-0.22252093395631434</v>
      </c>
      <c r="W536" s="11">
        <v>7.9477299923620973E-2</v>
      </c>
      <c r="X536" s="11">
        <v>-0.99683667608934357</v>
      </c>
      <c r="Y536">
        <v>0</v>
      </c>
      <c r="Z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6">
        <v>45105</v>
      </c>
      <c r="B537" t="s">
        <v>36</v>
      </c>
      <c r="C537" t="s">
        <v>37</v>
      </c>
      <c r="D537" t="s">
        <v>38</v>
      </c>
      <c r="E537" t="s">
        <v>39</v>
      </c>
      <c r="F537">
        <v>125</v>
      </c>
      <c r="G537">
        <v>320</v>
      </c>
      <c r="H537">
        <v>166</v>
      </c>
      <c r="I537">
        <v>69</v>
      </c>
      <c r="J537" s="8">
        <v>0.55200000000000005</v>
      </c>
      <c r="K537">
        <v>20</v>
      </c>
      <c r="L537">
        <v>42</v>
      </c>
      <c r="M537">
        <v>140</v>
      </c>
      <c r="N537" s="10">
        <v>665.09</v>
      </c>
      <c r="O537" s="7">
        <v>12.6</v>
      </c>
      <c r="P537" s="7">
        <v>26.6</v>
      </c>
      <c r="Q537">
        <v>2</v>
      </c>
      <c r="R537" t="s">
        <v>64</v>
      </c>
      <c r="S537">
        <v>6</v>
      </c>
      <c r="T537">
        <v>179</v>
      </c>
      <c r="U537" s="11">
        <v>0.97492791218182362</v>
      </c>
      <c r="V537" s="11">
        <v>-0.22252093395631434</v>
      </c>
      <c r="W537" s="11">
        <v>7.9477299923620973E-2</v>
      </c>
      <c r="X537" s="11">
        <v>-0.99683667608934357</v>
      </c>
      <c r="Y537">
        <v>0</v>
      </c>
      <c r="Z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6">
        <v>45105</v>
      </c>
      <c r="B538" t="s">
        <v>41</v>
      </c>
      <c r="C538" t="s">
        <v>42</v>
      </c>
      <c r="D538" t="s">
        <v>43</v>
      </c>
      <c r="E538" t="s">
        <v>44</v>
      </c>
      <c r="F538">
        <v>85</v>
      </c>
      <c r="G538">
        <v>210</v>
      </c>
      <c r="H538">
        <v>124</v>
      </c>
      <c r="I538">
        <v>57</v>
      </c>
      <c r="J538" s="8">
        <v>0.6705882352941176</v>
      </c>
      <c r="K538">
        <v>19</v>
      </c>
      <c r="L538">
        <v>30</v>
      </c>
      <c r="M538">
        <v>99</v>
      </c>
      <c r="N538" s="10">
        <v>558.52</v>
      </c>
      <c r="O538" s="7">
        <v>12.6</v>
      </c>
      <c r="P538" s="7">
        <v>26.6</v>
      </c>
      <c r="Q538">
        <v>2</v>
      </c>
      <c r="R538" t="s">
        <v>64</v>
      </c>
      <c r="S538">
        <v>6</v>
      </c>
      <c r="T538">
        <v>179</v>
      </c>
      <c r="U538" s="11">
        <v>0.97492791218182362</v>
      </c>
      <c r="V538" s="11">
        <v>-0.22252093395631434</v>
      </c>
      <c r="W538" s="11">
        <v>7.9477299923620973E-2</v>
      </c>
      <c r="X538" s="11">
        <v>-0.99683667608934357</v>
      </c>
      <c r="Y538">
        <v>0</v>
      </c>
      <c r="Z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6">
        <v>45106</v>
      </c>
      <c r="B539" t="s">
        <v>31</v>
      </c>
      <c r="C539" t="s">
        <v>32</v>
      </c>
      <c r="D539" t="s">
        <v>33</v>
      </c>
      <c r="E539" t="s">
        <v>34</v>
      </c>
      <c r="F539">
        <v>140</v>
      </c>
      <c r="G539">
        <v>360</v>
      </c>
      <c r="H539">
        <v>190</v>
      </c>
      <c r="I539">
        <v>83</v>
      </c>
      <c r="J539" s="8">
        <v>0.59285714285714286</v>
      </c>
      <c r="K539">
        <v>50</v>
      </c>
      <c r="L539">
        <v>28</v>
      </c>
      <c r="M539">
        <v>176</v>
      </c>
      <c r="N539" s="10">
        <v>448.24</v>
      </c>
      <c r="O539" s="7">
        <v>12.2</v>
      </c>
      <c r="P539" s="7">
        <v>28.5</v>
      </c>
      <c r="Q539">
        <v>3</v>
      </c>
      <c r="R539" t="s">
        <v>65</v>
      </c>
      <c r="S539">
        <v>6</v>
      </c>
      <c r="T539">
        <v>180</v>
      </c>
      <c r="U539" s="11">
        <v>0.43388373911755823</v>
      </c>
      <c r="V539" s="11">
        <v>-0.90096886790241903</v>
      </c>
      <c r="W539" s="11">
        <v>6.2318379354325076E-2</v>
      </c>
      <c r="X539" s="11">
        <v>-0.99805632085301199</v>
      </c>
      <c r="Y539">
        <v>0</v>
      </c>
      <c r="Z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6">
        <v>45106</v>
      </c>
      <c r="B540" t="s">
        <v>36</v>
      </c>
      <c r="C540" t="s">
        <v>37</v>
      </c>
      <c r="D540" t="s">
        <v>38</v>
      </c>
      <c r="E540" t="s">
        <v>39</v>
      </c>
      <c r="F540">
        <v>125</v>
      </c>
      <c r="G540">
        <v>320</v>
      </c>
      <c r="H540">
        <v>179</v>
      </c>
      <c r="I540">
        <v>74</v>
      </c>
      <c r="J540" s="8">
        <v>0.59199999999999997</v>
      </c>
      <c r="K540">
        <v>27</v>
      </c>
      <c r="L540">
        <v>42</v>
      </c>
      <c r="M540">
        <v>165</v>
      </c>
      <c r="N540" s="10">
        <v>640.62</v>
      </c>
      <c r="O540" s="7">
        <v>12.2</v>
      </c>
      <c r="P540" s="7">
        <v>28.5</v>
      </c>
      <c r="Q540">
        <v>3</v>
      </c>
      <c r="R540" t="s">
        <v>65</v>
      </c>
      <c r="S540">
        <v>6</v>
      </c>
      <c r="T540">
        <v>180</v>
      </c>
      <c r="U540" s="11">
        <v>0.43388373911755823</v>
      </c>
      <c r="V540" s="11">
        <v>-0.90096886790241903</v>
      </c>
      <c r="W540" s="11">
        <v>6.2318379354325076E-2</v>
      </c>
      <c r="X540" s="11">
        <v>-0.99805632085301199</v>
      </c>
      <c r="Y540">
        <v>0</v>
      </c>
      <c r="Z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6">
        <v>45106</v>
      </c>
      <c r="B541" t="s">
        <v>41</v>
      </c>
      <c r="C541" t="s">
        <v>42</v>
      </c>
      <c r="D541" t="s">
        <v>43</v>
      </c>
      <c r="E541" t="s">
        <v>44</v>
      </c>
      <c r="F541">
        <v>85</v>
      </c>
      <c r="G541">
        <v>210</v>
      </c>
      <c r="H541">
        <v>130</v>
      </c>
      <c r="I541">
        <v>58</v>
      </c>
      <c r="J541" s="8">
        <v>0.68235294117647061</v>
      </c>
      <c r="K541">
        <v>36</v>
      </c>
      <c r="L541">
        <v>26</v>
      </c>
      <c r="M541">
        <v>118</v>
      </c>
      <c r="N541" s="10">
        <v>537.79</v>
      </c>
      <c r="O541" s="7">
        <v>12.2</v>
      </c>
      <c r="P541" s="7">
        <v>28.5</v>
      </c>
      <c r="Q541">
        <v>3</v>
      </c>
      <c r="R541" t="s">
        <v>65</v>
      </c>
      <c r="S541">
        <v>6</v>
      </c>
      <c r="T541">
        <v>180</v>
      </c>
      <c r="U541" s="11">
        <v>0.43388373911755823</v>
      </c>
      <c r="V541" s="11">
        <v>-0.90096886790241903</v>
      </c>
      <c r="W541" s="11">
        <v>6.2318379354325076E-2</v>
      </c>
      <c r="X541" s="11">
        <v>-0.99805632085301199</v>
      </c>
      <c r="Y541">
        <v>0</v>
      </c>
      <c r="Z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6">
        <v>45107</v>
      </c>
      <c r="B542" t="s">
        <v>31</v>
      </c>
      <c r="C542" t="s">
        <v>32</v>
      </c>
      <c r="D542" t="s">
        <v>33</v>
      </c>
      <c r="E542" t="s">
        <v>34</v>
      </c>
      <c r="F542">
        <v>140</v>
      </c>
      <c r="G542">
        <v>360</v>
      </c>
      <c r="H542">
        <v>183</v>
      </c>
      <c r="I542">
        <v>74</v>
      </c>
      <c r="J542" s="8">
        <v>0.52857142857142858</v>
      </c>
      <c r="K542">
        <v>44</v>
      </c>
      <c r="L542">
        <v>31</v>
      </c>
      <c r="M542">
        <v>160</v>
      </c>
      <c r="N542" s="10">
        <v>439.67</v>
      </c>
      <c r="O542" s="7">
        <v>16.399999999999999</v>
      </c>
      <c r="P542" s="7">
        <v>27.4</v>
      </c>
      <c r="Q542">
        <v>4</v>
      </c>
      <c r="R542" t="s">
        <v>66</v>
      </c>
      <c r="S542">
        <v>6</v>
      </c>
      <c r="T542">
        <v>181</v>
      </c>
      <c r="U542" s="11">
        <v>-0.43388373911755801</v>
      </c>
      <c r="V542" s="11">
        <v>-0.90096886790241915</v>
      </c>
      <c r="W542" s="11">
        <v>4.5141017773971927E-2</v>
      </c>
      <c r="X542" s="11">
        <v>-0.99898062469415794</v>
      </c>
      <c r="Y542">
        <v>0</v>
      </c>
      <c r="Z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6">
        <v>45107</v>
      </c>
      <c r="B543" t="s">
        <v>36</v>
      </c>
      <c r="C543" t="s">
        <v>37</v>
      </c>
      <c r="D543" t="s">
        <v>38</v>
      </c>
      <c r="E543" t="s">
        <v>39</v>
      </c>
      <c r="F543">
        <v>125</v>
      </c>
      <c r="G543">
        <v>320</v>
      </c>
      <c r="H543">
        <v>173</v>
      </c>
      <c r="I543">
        <v>71</v>
      </c>
      <c r="J543" s="8">
        <v>0.56799999999999995</v>
      </c>
      <c r="K543">
        <v>42</v>
      </c>
      <c r="L543">
        <v>39</v>
      </c>
      <c r="M543">
        <v>141</v>
      </c>
      <c r="N543" s="10">
        <v>634.82000000000005</v>
      </c>
      <c r="O543" s="7">
        <v>16.399999999999999</v>
      </c>
      <c r="P543" s="7">
        <v>27.4</v>
      </c>
      <c r="Q543">
        <v>4</v>
      </c>
      <c r="R543" t="s">
        <v>66</v>
      </c>
      <c r="S543">
        <v>6</v>
      </c>
      <c r="T543">
        <v>181</v>
      </c>
      <c r="U543" s="11">
        <v>-0.43388373911755801</v>
      </c>
      <c r="V543" s="11">
        <v>-0.90096886790241915</v>
      </c>
      <c r="W543" s="11">
        <v>4.5141017773971927E-2</v>
      </c>
      <c r="X543" s="11">
        <v>-0.99898062469415794</v>
      </c>
      <c r="Y543">
        <v>0</v>
      </c>
      <c r="Z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6">
        <v>45107</v>
      </c>
      <c r="B544" t="s">
        <v>41</v>
      </c>
      <c r="C544" t="s">
        <v>42</v>
      </c>
      <c r="D544" t="s">
        <v>43</v>
      </c>
      <c r="E544" t="s">
        <v>44</v>
      </c>
      <c r="F544">
        <v>85</v>
      </c>
      <c r="G544">
        <v>210</v>
      </c>
      <c r="H544">
        <v>132</v>
      </c>
      <c r="I544">
        <v>58</v>
      </c>
      <c r="J544" s="8">
        <v>0.68235294117647061</v>
      </c>
      <c r="K544">
        <v>28</v>
      </c>
      <c r="L544">
        <v>15</v>
      </c>
      <c r="M544">
        <v>116</v>
      </c>
      <c r="N544" s="10">
        <v>558.29</v>
      </c>
      <c r="O544" s="7">
        <v>16.399999999999999</v>
      </c>
      <c r="P544" s="7">
        <v>27.4</v>
      </c>
      <c r="Q544">
        <v>4</v>
      </c>
      <c r="R544" t="s">
        <v>66</v>
      </c>
      <c r="S544">
        <v>6</v>
      </c>
      <c r="T544">
        <v>181</v>
      </c>
      <c r="U544" s="11">
        <v>-0.43388373911755801</v>
      </c>
      <c r="V544" s="11">
        <v>-0.90096886790241915</v>
      </c>
      <c r="W544" s="11">
        <v>4.5141017773971927E-2</v>
      </c>
      <c r="X544" s="11">
        <v>-0.99898062469415794</v>
      </c>
      <c r="Y544">
        <v>0</v>
      </c>
      <c r="Z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6">
        <v>45108</v>
      </c>
      <c r="B545" t="s">
        <v>31</v>
      </c>
      <c r="C545" t="s">
        <v>32</v>
      </c>
      <c r="D545" t="s">
        <v>33</v>
      </c>
      <c r="E545" t="s">
        <v>34</v>
      </c>
      <c r="F545">
        <v>140</v>
      </c>
      <c r="G545">
        <v>360</v>
      </c>
      <c r="H545">
        <v>230</v>
      </c>
      <c r="I545">
        <v>100</v>
      </c>
      <c r="J545" s="8">
        <v>0.7142857142857143</v>
      </c>
      <c r="K545">
        <v>56</v>
      </c>
      <c r="L545">
        <v>55</v>
      </c>
      <c r="M545">
        <v>213</v>
      </c>
      <c r="N545" s="10">
        <v>557.66</v>
      </c>
      <c r="O545" s="7">
        <v>0</v>
      </c>
      <c r="P545" s="7">
        <v>28.6</v>
      </c>
      <c r="Q545">
        <v>5</v>
      </c>
      <c r="R545" t="s">
        <v>67</v>
      </c>
      <c r="S545">
        <v>7</v>
      </c>
      <c r="T545">
        <v>182</v>
      </c>
      <c r="U545" s="11">
        <v>-0.97492791218182362</v>
      </c>
      <c r="V545" s="11">
        <v>-0.22252093395631459</v>
      </c>
      <c r="W545" s="11">
        <v>2.7950298240210319E-2</v>
      </c>
      <c r="X545" s="11">
        <v>-0.99960931409640397</v>
      </c>
      <c r="Y545">
        <v>1</v>
      </c>
      <c r="Z545">
        <v>0</v>
      </c>
      <c r="AB545">
        <v>1</v>
      </c>
      <c r="AC545">
        <v>0</v>
      </c>
      <c r="AD545">
        <v>0</v>
      </c>
      <c r="AE545">
        <v>0</v>
      </c>
    </row>
    <row r="546" spans="1:31">
      <c r="A546" s="6">
        <v>45108</v>
      </c>
      <c r="B546" t="s">
        <v>36</v>
      </c>
      <c r="C546" t="s">
        <v>37</v>
      </c>
      <c r="D546" t="s">
        <v>38</v>
      </c>
      <c r="E546" t="s">
        <v>39</v>
      </c>
      <c r="F546">
        <v>125</v>
      </c>
      <c r="G546">
        <v>320</v>
      </c>
      <c r="H546">
        <v>251</v>
      </c>
      <c r="I546">
        <v>102</v>
      </c>
      <c r="J546" s="8">
        <v>0.81599999999999995</v>
      </c>
      <c r="K546">
        <v>33</v>
      </c>
      <c r="L546">
        <v>39</v>
      </c>
      <c r="M546">
        <v>228</v>
      </c>
      <c r="N546" s="10">
        <v>754.86</v>
      </c>
      <c r="O546" s="7">
        <v>0</v>
      </c>
      <c r="P546" s="7">
        <v>28.6</v>
      </c>
      <c r="Q546">
        <v>5</v>
      </c>
      <c r="R546" t="s">
        <v>67</v>
      </c>
      <c r="S546">
        <v>7</v>
      </c>
      <c r="T546">
        <v>182</v>
      </c>
      <c r="U546" s="11">
        <v>-0.97492791218182362</v>
      </c>
      <c r="V546" s="11">
        <v>-0.22252093395631459</v>
      </c>
      <c r="W546" s="11">
        <v>2.7950298240210319E-2</v>
      </c>
      <c r="X546" s="11">
        <v>-0.99960931409640397</v>
      </c>
      <c r="Y546">
        <v>1</v>
      </c>
      <c r="Z546">
        <v>0</v>
      </c>
      <c r="AB546">
        <v>1</v>
      </c>
      <c r="AC546">
        <v>0</v>
      </c>
      <c r="AD546">
        <v>0</v>
      </c>
      <c r="AE546">
        <v>0</v>
      </c>
    </row>
    <row r="547" spans="1:31">
      <c r="A547" s="6">
        <v>45108</v>
      </c>
      <c r="B547" t="s">
        <v>41</v>
      </c>
      <c r="C547" t="s">
        <v>42</v>
      </c>
      <c r="D547" t="s">
        <v>43</v>
      </c>
      <c r="E547" t="s">
        <v>44</v>
      </c>
      <c r="F547">
        <v>85</v>
      </c>
      <c r="G547">
        <v>210</v>
      </c>
      <c r="H547">
        <v>174</v>
      </c>
      <c r="I547">
        <v>77</v>
      </c>
      <c r="J547" s="8">
        <v>0.90588235294117647</v>
      </c>
      <c r="K547">
        <v>42</v>
      </c>
      <c r="L547">
        <v>33</v>
      </c>
      <c r="M547">
        <v>151</v>
      </c>
      <c r="N547" s="10">
        <v>582.84</v>
      </c>
      <c r="O547" s="7">
        <v>0</v>
      </c>
      <c r="P547" s="7">
        <v>28.6</v>
      </c>
      <c r="Q547">
        <v>5</v>
      </c>
      <c r="R547" t="s">
        <v>67</v>
      </c>
      <c r="S547">
        <v>7</v>
      </c>
      <c r="T547">
        <v>182</v>
      </c>
      <c r="U547" s="11">
        <v>-0.97492791218182362</v>
      </c>
      <c r="V547" s="11">
        <v>-0.22252093395631459</v>
      </c>
      <c r="W547" s="11">
        <v>2.7950298240210319E-2</v>
      </c>
      <c r="X547" s="11">
        <v>-0.99960931409640397</v>
      </c>
      <c r="Y547">
        <v>1</v>
      </c>
      <c r="Z547">
        <v>0</v>
      </c>
      <c r="AB547">
        <v>1</v>
      </c>
      <c r="AC547">
        <v>0</v>
      </c>
      <c r="AD547">
        <v>0</v>
      </c>
      <c r="AE547">
        <v>0</v>
      </c>
    </row>
    <row r="548" spans="1:31">
      <c r="A548" s="6">
        <v>45109</v>
      </c>
      <c r="B548" t="s">
        <v>31</v>
      </c>
      <c r="C548" t="s">
        <v>32</v>
      </c>
      <c r="D548" t="s">
        <v>33</v>
      </c>
      <c r="E548" t="s">
        <v>34</v>
      </c>
      <c r="F548">
        <v>140</v>
      </c>
      <c r="G548">
        <v>360</v>
      </c>
      <c r="H548">
        <v>225</v>
      </c>
      <c r="I548">
        <v>95</v>
      </c>
      <c r="J548" s="8">
        <v>0.6785714285714286</v>
      </c>
      <c r="K548">
        <v>59</v>
      </c>
      <c r="L548">
        <v>26</v>
      </c>
      <c r="M548">
        <v>204</v>
      </c>
      <c r="N548" s="10">
        <v>567.37</v>
      </c>
      <c r="O548" s="7">
        <v>7.1</v>
      </c>
      <c r="P548" s="7">
        <v>28</v>
      </c>
      <c r="Q548">
        <v>6</v>
      </c>
      <c r="R548" t="s">
        <v>60</v>
      </c>
      <c r="S548">
        <v>7</v>
      </c>
      <c r="T548">
        <v>183</v>
      </c>
      <c r="U548" s="11">
        <v>-0.78183148246802991</v>
      </c>
      <c r="V548" s="11">
        <v>0.62348980185873337</v>
      </c>
      <c r="W548" s="11">
        <v>1.075130776352193E-2</v>
      </c>
      <c r="X548" s="11">
        <v>-0.99994220302044157</v>
      </c>
      <c r="Y548">
        <v>1</v>
      </c>
      <c r="Z548">
        <v>0</v>
      </c>
      <c r="AB548">
        <v>1</v>
      </c>
      <c r="AC548">
        <v>0</v>
      </c>
      <c r="AD548">
        <v>0</v>
      </c>
      <c r="AE548">
        <v>0</v>
      </c>
    </row>
    <row r="549" spans="1:31">
      <c r="A549" s="6">
        <v>45109</v>
      </c>
      <c r="B549" t="s">
        <v>36</v>
      </c>
      <c r="C549" t="s">
        <v>37</v>
      </c>
      <c r="D549" t="s">
        <v>38</v>
      </c>
      <c r="E549" t="s">
        <v>39</v>
      </c>
      <c r="F549">
        <v>125</v>
      </c>
      <c r="G549">
        <v>320</v>
      </c>
      <c r="H549">
        <v>266</v>
      </c>
      <c r="I549">
        <v>108</v>
      </c>
      <c r="J549" s="8">
        <v>0.86399999999999999</v>
      </c>
      <c r="K549">
        <v>40</v>
      </c>
      <c r="L549">
        <v>33</v>
      </c>
      <c r="M549">
        <v>225</v>
      </c>
      <c r="N549" s="10">
        <v>733.37</v>
      </c>
      <c r="O549" s="7">
        <v>7.1</v>
      </c>
      <c r="P549" s="7">
        <v>28</v>
      </c>
      <c r="Q549">
        <v>6</v>
      </c>
      <c r="R549" t="s">
        <v>60</v>
      </c>
      <c r="S549">
        <v>7</v>
      </c>
      <c r="T549">
        <v>183</v>
      </c>
      <c r="U549" s="11">
        <v>-0.78183148246802991</v>
      </c>
      <c r="V549" s="11">
        <v>0.62348980185873337</v>
      </c>
      <c r="W549" s="11">
        <v>1.075130776352193E-2</v>
      </c>
      <c r="X549" s="11">
        <v>-0.99994220302044157</v>
      </c>
      <c r="Y549">
        <v>1</v>
      </c>
      <c r="Z549">
        <v>0</v>
      </c>
      <c r="AB549">
        <v>1</v>
      </c>
      <c r="AC549">
        <v>0</v>
      </c>
      <c r="AD549">
        <v>0</v>
      </c>
      <c r="AE549">
        <v>0</v>
      </c>
    </row>
    <row r="550" spans="1:31">
      <c r="A550" s="6">
        <v>45109</v>
      </c>
      <c r="B550" t="s">
        <v>41</v>
      </c>
      <c r="C550" t="s">
        <v>42</v>
      </c>
      <c r="D550" t="s">
        <v>43</v>
      </c>
      <c r="E550" t="s">
        <v>44</v>
      </c>
      <c r="F550">
        <v>85</v>
      </c>
      <c r="G550">
        <v>210</v>
      </c>
      <c r="H550">
        <v>173</v>
      </c>
      <c r="I550">
        <v>79</v>
      </c>
      <c r="J550" s="8">
        <v>0.92941176470588238</v>
      </c>
      <c r="K550">
        <v>28</v>
      </c>
      <c r="L550">
        <v>43</v>
      </c>
      <c r="M550">
        <v>150</v>
      </c>
      <c r="N550" s="10">
        <v>679.28</v>
      </c>
      <c r="O550" s="7">
        <v>7.1</v>
      </c>
      <c r="P550" s="7">
        <v>28</v>
      </c>
      <c r="Q550">
        <v>6</v>
      </c>
      <c r="R550" t="s">
        <v>60</v>
      </c>
      <c r="S550">
        <v>7</v>
      </c>
      <c r="T550">
        <v>183</v>
      </c>
      <c r="U550" s="11">
        <v>-0.78183148246802991</v>
      </c>
      <c r="V550" s="11">
        <v>0.62348980185873337</v>
      </c>
      <c r="W550" s="11">
        <v>1.075130776352193E-2</v>
      </c>
      <c r="X550" s="11">
        <v>-0.99994220302044157</v>
      </c>
      <c r="Y550">
        <v>1</v>
      </c>
      <c r="Z550">
        <v>0</v>
      </c>
      <c r="AB550">
        <v>1</v>
      </c>
      <c r="AC550">
        <v>0</v>
      </c>
      <c r="AD550">
        <v>0</v>
      </c>
      <c r="AE550">
        <v>0</v>
      </c>
    </row>
    <row r="551" spans="1:31">
      <c r="A551" s="6">
        <v>45110</v>
      </c>
      <c r="B551" t="s">
        <v>31</v>
      </c>
      <c r="C551" t="s">
        <v>32</v>
      </c>
      <c r="D551" t="s">
        <v>33</v>
      </c>
      <c r="E551" t="s">
        <v>34</v>
      </c>
      <c r="F551">
        <v>140</v>
      </c>
      <c r="G551">
        <v>360</v>
      </c>
      <c r="H551">
        <v>218</v>
      </c>
      <c r="I551">
        <v>95</v>
      </c>
      <c r="J551" s="8">
        <v>0.6785714285714286</v>
      </c>
      <c r="K551">
        <v>40</v>
      </c>
      <c r="L551">
        <v>55</v>
      </c>
      <c r="M551">
        <v>193</v>
      </c>
      <c r="N551" s="10">
        <v>463.32</v>
      </c>
      <c r="O551" s="7">
        <v>5.9</v>
      </c>
      <c r="P551" s="7">
        <v>28.6</v>
      </c>
      <c r="Q551">
        <v>0</v>
      </c>
      <c r="R551" t="s">
        <v>62</v>
      </c>
      <c r="S551">
        <v>7</v>
      </c>
      <c r="T551">
        <v>184</v>
      </c>
      <c r="U551" s="11">
        <v>0</v>
      </c>
      <c r="V551" s="11">
        <v>1</v>
      </c>
      <c r="W551" s="11">
        <v>-6.4508641981051501E-3</v>
      </c>
      <c r="X551" s="11">
        <v>-0.99997919295908233</v>
      </c>
      <c r="Y551">
        <v>0</v>
      </c>
      <c r="Z551">
        <v>0</v>
      </c>
      <c r="AB551">
        <v>1</v>
      </c>
      <c r="AC551">
        <v>0</v>
      </c>
      <c r="AD551">
        <v>0</v>
      </c>
      <c r="AE551">
        <v>0</v>
      </c>
    </row>
    <row r="552" spans="1:31">
      <c r="A552" s="6">
        <v>45110</v>
      </c>
      <c r="B552" t="s">
        <v>36</v>
      </c>
      <c r="C552" t="s">
        <v>37</v>
      </c>
      <c r="D552" t="s">
        <v>38</v>
      </c>
      <c r="E552" t="s">
        <v>39</v>
      </c>
      <c r="F552">
        <v>125</v>
      </c>
      <c r="G552">
        <v>320</v>
      </c>
      <c r="H552">
        <v>217</v>
      </c>
      <c r="I552">
        <v>91</v>
      </c>
      <c r="J552" s="8">
        <v>0.72799999999999998</v>
      </c>
      <c r="K552">
        <v>53</v>
      </c>
      <c r="L552">
        <v>45</v>
      </c>
      <c r="M552">
        <v>180</v>
      </c>
      <c r="N552" s="10">
        <v>680.53</v>
      </c>
      <c r="O552" s="7">
        <v>5.9</v>
      </c>
      <c r="P552" s="7">
        <v>28.6</v>
      </c>
      <c r="Q552">
        <v>0</v>
      </c>
      <c r="R552" t="s">
        <v>62</v>
      </c>
      <c r="S552">
        <v>7</v>
      </c>
      <c r="T552">
        <v>184</v>
      </c>
      <c r="U552" s="11">
        <v>0</v>
      </c>
      <c r="V552" s="11">
        <v>1</v>
      </c>
      <c r="W552" s="11">
        <v>-6.4508641981051501E-3</v>
      </c>
      <c r="X552" s="11">
        <v>-0.99997919295908233</v>
      </c>
      <c r="Y552">
        <v>0</v>
      </c>
      <c r="Z552">
        <v>0</v>
      </c>
      <c r="AB552">
        <v>1</v>
      </c>
      <c r="AC552">
        <v>0</v>
      </c>
      <c r="AD552">
        <v>0</v>
      </c>
      <c r="AE552">
        <v>0</v>
      </c>
    </row>
    <row r="553" spans="1:31">
      <c r="A553" s="6">
        <v>45110</v>
      </c>
      <c r="B553" t="s">
        <v>41</v>
      </c>
      <c r="C553" t="s">
        <v>42</v>
      </c>
      <c r="D553" t="s">
        <v>43</v>
      </c>
      <c r="E553" t="s">
        <v>44</v>
      </c>
      <c r="F553">
        <v>85</v>
      </c>
      <c r="G553">
        <v>210</v>
      </c>
      <c r="H553">
        <v>145</v>
      </c>
      <c r="I553">
        <v>63</v>
      </c>
      <c r="J553" s="8">
        <v>0.74117647058823533</v>
      </c>
      <c r="K553">
        <v>34</v>
      </c>
      <c r="L553">
        <v>22</v>
      </c>
      <c r="M553">
        <v>136</v>
      </c>
      <c r="N553" s="10">
        <v>571.42999999999995</v>
      </c>
      <c r="O553" s="7">
        <v>5.9</v>
      </c>
      <c r="P553" s="7">
        <v>28.6</v>
      </c>
      <c r="Q553">
        <v>0</v>
      </c>
      <c r="R553" t="s">
        <v>62</v>
      </c>
      <c r="S553">
        <v>7</v>
      </c>
      <c r="T553">
        <v>184</v>
      </c>
      <c r="U553" s="11">
        <v>0</v>
      </c>
      <c r="V553" s="11">
        <v>1</v>
      </c>
      <c r="W553" s="11">
        <v>-6.4508641981051501E-3</v>
      </c>
      <c r="X553" s="11">
        <v>-0.99997919295908233</v>
      </c>
      <c r="Y553">
        <v>0</v>
      </c>
      <c r="Z553">
        <v>0</v>
      </c>
      <c r="AB553">
        <v>1</v>
      </c>
      <c r="AC553">
        <v>0</v>
      </c>
      <c r="AD553">
        <v>0</v>
      </c>
      <c r="AE553">
        <v>0</v>
      </c>
    </row>
    <row r="554" spans="1:31">
      <c r="A554" s="6">
        <v>45111</v>
      </c>
      <c r="B554" t="s">
        <v>31</v>
      </c>
      <c r="C554" t="s">
        <v>32</v>
      </c>
      <c r="D554" t="s">
        <v>33</v>
      </c>
      <c r="E554" t="s">
        <v>34</v>
      </c>
      <c r="F554">
        <v>140</v>
      </c>
      <c r="G554">
        <v>360</v>
      </c>
      <c r="H554">
        <v>220</v>
      </c>
      <c r="I554">
        <v>92</v>
      </c>
      <c r="J554" s="8">
        <v>0.65714285714285714</v>
      </c>
      <c r="K554">
        <v>38</v>
      </c>
      <c r="L554">
        <v>26</v>
      </c>
      <c r="M554">
        <v>200</v>
      </c>
      <c r="N554" s="10">
        <v>464.84</v>
      </c>
      <c r="O554" s="7">
        <v>8.9</v>
      </c>
      <c r="P554" s="7">
        <v>28.5</v>
      </c>
      <c r="Q554">
        <v>1</v>
      </c>
      <c r="R554" t="s">
        <v>63</v>
      </c>
      <c r="S554">
        <v>7</v>
      </c>
      <c r="T554">
        <v>185</v>
      </c>
      <c r="U554" s="11">
        <v>0.7818314824680298</v>
      </c>
      <c r="V554" s="11">
        <v>0.62348980185873359</v>
      </c>
      <c r="W554" s="11">
        <v>-2.3651127245231586E-2</v>
      </c>
      <c r="X554" s="11">
        <v>-0.99972027296640831</v>
      </c>
      <c r="Y554">
        <v>0</v>
      </c>
      <c r="Z554">
        <v>0</v>
      </c>
      <c r="AB554">
        <v>1</v>
      </c>
      <c r="AC554">
        <v>0</v>
      </c>
      <c r="AD554">
        <v>0</v>
      </c>
      <c r="AE554">
        <v>0</v>
      </c>
    </row>
    <row r="555" spans="1:31">
      <c r="A555" s="6">
        <v>45111</v>
      </c>
      <c r="B555" t="s">
        <v>36</v>
      </c>
      <c r="C555" t="s">
        <v>37</v>
      </c>
      <c r="D555" t="s">
        <v>38</v>
      </c>
      <c r="E555" t="s">
        <v>39</v>
      </c>
      <c r="F555">
        <v>125</v>
      </c>
      <c r="G555">
        <v>320</v>
      </c>
      <c r="H555">
        <v>220</v>
      </c>
      <c r="I555">
        <v>92</v>
      </c>
      <c r="J555" s="8">
        <v>0.73599999999999999</v>
      </c>
      <c r="K555">
        <v>30</v>
      </c>
      <c r="L555">
        <v>33</v>
      </c>
      <c r="M555">
        <v>195</v>
      </c>
      <c r="N555" s="10">
        <v>664.37</v>
      </c>
      <c r="O555" s="7">
        <v>8.9</v>
      </c>
      <c r="P555" s="7">
        <v>28.5</v>
      </c>
      <c r="Q555">
        <v>1</v>
      </c>
      <c r="R555" t="s">
        <v>63</v>
      </c>
      <c r="S555">
        <v>7</v>
      </c>
      <c r="T555">
        <v>185</v>
      </c>
      <c r="U555" s="11">
        <v>0.7818314824680298</v>
      </c>
      <c r="V555" s="11">
        <v>0.62348980185873359</v>
      </c>
      <c r="W555" s="11">
        <v>-2.3651127245231586E-2</v>
      </c>
      <c r="X555" s="11">
        <v>-0.99972027296640831</v>
      </c>
      <c r="Y555">
        <v>0</v>
      </c>
      <c r="Z555">
        <v>0</v>
      </c>
      <c r="AB555">
        <v>1</v>
      </c>
      <c r="AC555">
        <v>0</v>
      </c>
      <c r="AD555">
        <v>0</v>
      </c>
      <c r="AE555">
        <v>0</v>
      </c>
    </row>
    <row r="556" spans="1:31">
      <c r="A556" s="6">
        <v>45111</v>
      </c>
      <c r="B556" t="s">
        <v>41</v>
      </c>
      <c r="C556" t="s">
        <v>42</v>
      </c>
      <c r="D556" t="s">
        <v>43</v>
      </c>
      <c r="E556" t="s">
        <v>44</v>
      </c>
      <c r="F556">
        <v>85</v>
      </c>
      <c r="G556">
        <v>210</v>
      </c>
      <c r="H556">
        <v>149</v>
      </c>
      <c r="I556">
        <v>67</v>
      </c>
      <c r="J556" s="8">
        <v>0.78823529411764703</v>
      </c>
      <c r="K556">
        <v>33</v>
      </c>
      <c r="L556">
        <v>20</v>
      </c>
      <c r="M556">
        <v>127</v>
      </c>
      <c r="N556" s="10">
        <v>530.1</v>
      </c>
      <c r="O556" s="7">
        <v>8.9</v>
      </c>
      <c r="P556" s="7">
        <v>28.5</v>
      </c>
      <c r="Q556">
        <v>1</v>
      </c>
      <c r="R556" t="s">
        <v>63</v>
      </c>
      <c r="S556">
        <v>7</v>
      </c>
      <c r="T556">
        <v>185</v>
      </c>
      <c r="U556" s="11">
        <v>0.7818314824680298</v>
      </c>
      <c r="V556" s="11">
        <v>0.62348980185873359</v>
      </c>
      <c r="W556" s="11">
        <v>-2.3651127245231586E-2</v>
      </c>
      <c r="X556" s="11">
        <v>-0.99972027296640831</v>
      </c>
      <c r="Y556">
        <v>0</v>
      </c>
      <c r="Z556">
        <v>0</v>
      </c>
      <c r="AB556">
        <v>1</v>
      </c>
      <c r="AC556">
        <v>0</v>
      </c>
      <c r="AD556">
        <v>0</v>
      </c>
      <c r="AE556">
        <v>0</v>
      </c>
    </row>
    <row r="557" spans="1:31">
      <c r="A557" s="6">
        <v>45112</v>
      </c>
      <c r="B557" t="s">
        <v>31</v>
      </c>
      <c r="C557" t="s">
        <v>32</v>
      </c>
      <c r="D557" t="s">
        <v>33</v>
      </c>
      <c r="E557" t="s">
        <v>34</v>
      </c>
      <c r="F557">
        <v>140</v>
      </c>
      <c r="G557">
        <v>360</v>
      </c>
      <c r="H557">
        <v>206</v>
      </c>
      <c r="I557">
        <v>88</v>
      </c>
      <c r="J557" s="8">
        <v>0.62857142857142856</v>
      </c>
      <c r="K557">
        <v>52</v>
      </c>
      <c r="L557">
        <v>58</v>
      </c>
      <c r="M557">
        <v>169</v>
      </c>
      <c r="N557" s="10">
        <v>424.01</v>
      </c>
      <c r="O557" s="7">
        <v>13.2</v>
      </c>
      <c r="P557" s="7">
        <v>28.9</v>
      </c>
      <c r="Q557">
        <v>2</v>
      </c>
      <c r="R557" t="s">
        <v>64</v>
      </c>
      <c r="S557">
        <v>7</v>
      </c>
      <c r="T557">
        <v>186</v>
      </c>
      <c r="U557" s="11">
        <v>0.97492791218182362</v>
      </c>
      <c r="V557" s="11">
        <v>-0.22252093395631434</v>
      </c>
      <c r="W557" s="11">
        <v>-4.084439154329611E-2</v>
      </c>
      <c r="X557" s="11">
        <v>-0.99916551966101086</v>
      </c>
      <c r="Y557">
        <v>0</v>
      </c>
      <c r="Z557">
        <v>0</v>
      </c>
      <c r="AB557">
        <v>1</v>
      </c>
      <c r="AC557">
        <v>0</v>
      </c>
      <c r="AD557">
        <v>0</v>
      </c>
      <c r="AE557">
        <v>0</v>
      </c>
    </row>
    <row r="558" spans="1:31">
      <c r="A558" s="6">
        <v>45112</v>
      </c>
      <c r="B558" t="s">
        <v>36</v>
      </c>
      <c r="C558" t="s">
        <v>37</v>
      </c>
      <c r="D558" t="s">
        <v>38</v>
      </c>
      <c r="E558" t="s">
        <v>39</v>
      </c>
      <c r="F558">
        <v>125</v>
      </c>
      <c r="G558">
        <v>320</v>
      </c>
      <c r="H558">
        <v>226</v>
      </c>
      <c r="I558">
        <v>95</v>
      </c>
      <c r="J558" s="8">
        <v>0.76</v>
      </c>
      <c r="K558">
        <v>34</v>
      </c>
      <c r="L558">
        <v>54</v>
      </c>
      <c r="M558">
        <v>211</v>
      </c>
      <c r="N558" s="10">
        <v>642.59</v>
      </c>
      <c r="O558" s="7">
        <v>13.2</v>
      </c>
      <c r="P558" s="7">
        <v>28.9</v>
      </c>
      <c r="Q558">
        <v>2</v>
      </c>
      <c r="R558" t="s">
        <v>64</v>
      </c>
      <c r="S558">
        <v>7</v>
      </c>
      <c r="T558">
        <v>186</v>
      </c>
      <c r="U558" s="11">
        <v>0.97492791218182362</v>
      </c>
      <c r="V558" s="11">
        <v>-0.22252093395631434</v>
      </c>
      <c r="W558" s="11">
        <v>-4.084439154329611E-2</v>
      </c>
      <c r="X558" s="11">
        <v>-0.99916551966101086</v>
      </c>
      <c r="Y558">
        <v>0</v>
      </c>
      <c r="Z558">
        <v>0</v>
      </c>
      <c r="AB558">
        <v>1</v>
      </c>
      <c r="AC558">
        <v>0</v>
      </c>
      <c r="AD558">
        <v>0</v>
      </c>
      <c r="AE558">
        <v>0</v>
      </c>
    </row>
    <row r="559" spans="1:31">
      <c r="A559" s="6">
        <v>45112</v>
      </c>
      <c r="B559" t="s">
        <v>41</v>
      </c>
      <c r="C559" t="s">
        <v>42</v>
      </c>
      <c r="D559" t="s">
        <v>43</v>
      </c>
      <c r="E559" t="s">
        <v>44</v>
      </c>
      <c r="F559">
        <v>85</v>
      </c>
      <c r="G559">
        <v>210</v>
      </c>
      <c r="H559">
        <v>144</v>
      </c>
      <c r="I559">
        <v>64</v>
      </c>
      <c r="J559" s="8">
        <v>0.75294117647058822</v>
      </c>
      <c r="K559">
        <v>22</v>
      </c>
      <c r="L559">
        <v>40</v>
      </c>
      <c r="M559">
        <v>122</v>
      </c>
      <c r="N559" s="10">
        <v>571.28</v>
      </c>
      <c r="O559" s="7">
        <v>13.2</v>
      </c>
      <c r="P559" s="7">
        <v>28.9</v>
      </c>
      <c r="Q559">
        <v>2</v>
      </c>
      <c r="R559" t="s">
        <v>64</v>
      </c>
      <c r="S559">
        <v>7</v>
      </c>
      <c r="T559">
        <v>186</v>
      </c>
      <c r="U559" s="11">
        <v>0.97492791218182362</v>
      </c>
      <c r="V559" s="11">
        <v>-0.22252093395631434</v>
      </c>
      <c r="W559" s="11">
        <v>-4.084439154329611E-2</v>
      </c>
      <c r="X559" s="11">
        <v>-0.99916551966101086</v>
      </c>
      <c r="Y559">
        <v>0</v>
      </c>
      <c r="Z559">
        <v>0</v>
      </c>
      <c r="AB559">
        <v>1</v>
      </c>
      <c r="AC559">
        <v>0</v>
      </c>
      <c r="AD559">
        <v>0</v>
      </c>
      <c r="AE559">
        <v>0</v>
      </c>
    </row>
    <row r="560" spans="1:31">
      <c r="A560" s="6">
        <v>45113</v>
      </c>
      <c r="B560" t="s">
        <v>31</v>
      </c>
      <c r="C560" t="s">
        <v>32</v>
      </c>
      <c r="D560" t="s">
        <v>33</v>
      </c>
      <c r="E560" t="s">
        <v>34</v>
      </c>
      <c r="F560">
        <v>140</v>
      </c>
      <c r="G560">
        <v>360</v>
      </c>
      <c r="H560">
        <v>213</v>
      </c>
      <c r="I560">
        <v>92</v>
      </c>
      <c r="J560" s="8">
        <v>0.65714285714285714</v>
      </c>
      <c r="K560">
        <v>34</v>
      </c>
      <c r="L560">
        <v>23</v>
      </c>
      <c r="M560">
        <v>175</v>
      </c>
      <c r="N560" s="10">
        <v>440.81</v>
      </c>
      <c r="O560" s="7">
        <v>6.7</v>
      </c>
      <c r="P560" s="7">
        <v>29.1</v>
      </c>
      <c r="Q560">
        <v>3</v>
      </c>
      <c r="R560" t="s">
        <v>65</v>
      </c>
      <c r="S560">
        <v>7</v>
      </c>
      <c r="T560">
        <v>187</v>
      </c>
      <c r="U560" s="11">
        <v>0.43388373911755823</v>
      </c>
      <c r="V560" s="11">
        <v>-0.90096886790241903</v>
      </c>
      <c r="W560" s="11">
        <v>-5.8025569328780349E-2</v>
      </c>
      <c r="X560" s="11">
        <v>-0.99831509720331835</v>
      </c>
      <c r="Y560">
        <v>0</v>
      </c>
      <c r="Z560">
        <v>0</v>
      </c>
      <c r="AB560">
        <v>1</v>
      </c>
      <c r="AC560">
        <v>0</v>
      </c>
      <c r="AD560">
        <v>0</v>
      </c>
      <c r="AE560">
        <v>0</v>
      </c>
    </row>
    <row r="561" spans="1:31">
      <c r="A561" s="6">
        <v>45113</v>
      </c>
      <c r="B561" t="s">
        <v>36</v>
      </c>
      <c r="C561" t="s">
        <v>37</v>
      </c>
      <c r="D561" t="s">
        <v>38</v>
      </c>
      <c r="E561" t="s">
        <v>39</v>
      </c>
      <c r="F561">
        <v>125</v>
      </c>
      <c r="G561">
        <v>320</v>
      </c>
      <c r="H561">
        <v>217</v>
      </c>
      <c r="I561">
        <v>89</v>
      </c>
      <c r="J561" s="8">
        <v>0.71199999999999997</v>
      </c>
      <c r="K561">
        <v>43</v>
      </c>
      <c r="L561">
        <v>35</v>
      </c>
      <c r="M561">
        <v>186</v>
      </c>
      <c r="N561" s="10">
        <v>689.32</v>
      </c>
      <c r="O561" s="7">
        <v>6.7</v>
      </c>
      <c r="P561" s="7">
        <v>29.1</v>
      </c>
      <c r="Q561">
        <v>3</v>
      </c>
      <c r="R561" t="s">
        <v>65</v>
      </c>
      <c r="S561">
        <v>7</v>
      </c>
      <c r="T561">
        <v>187</v>
      </c>
      <c r="U561" s="11">
        <v>0.43388373911755823</v>
      </c>
      <c r="V561" s="11">
        <v>-0.90096886790241903</v>
      </c>
      <c r="W561" s="11">
        <v>-5.8025569328780349E-2</v>
      </c>
      <c r="X561" s="11">
        <v>-0.99831509720331835</v>
      </c>
      <c r="Y561">
        <v>0</v>
      </c>
      <c r="Z561">
        <v>0</v>
      </c>
      <c r="AB561">
        <v>1</v>
      </c>
      <c r="AC561">
        <v>0</v>
      </c>
      <c r="AD561">
        <v>0</v>
      </c>
      <c r="AE561">
        <v>0</v>
      </c>
    </row>
    <row r="562" spans="1:31">
      <c r="A562" s="6">
        <v>45113</v>
      </c>
      <c r="B562" t="s">
        <v>41</v>
      </c>
      <c r="C562" t="s">
        <v>42</v>
      </c>
      <c r="D562" t="s">
        <v>43</v>
      </c>
      <c r="E562" t="s">
        <v>44</v>
      </c>
      <c r="F562">
        <v>85</v>
      </c>
      <c r="G562">
        <v>210</v>
      </c>
      <c r="H562">
        <v>153</v>
      </c>
      <c r="I562">
        <v>70</v>
      </c>
      <c r="J562" s="8">
        <v>0.82352941176470584</v>
      </c>
      <c r="K562">
        <v>28</v>
      </c>
      <c r="L562">
        <v>21</v>
      </c>
      <c r="M562">
        <v>138</v>
      </c>
      <c r="N562" s="10">
        <v>530.78</v>
      </c>
      <c r="O562" s="7">
        <v>6.7</v>
      </c>
      <c r="P562" s="7">
        <v>29.1</v>
      </c>
      <c r="Q562">
        <v>3</v>
      </c>
      <c r="R562" t="s">
        <v>65</v>
      </c>
      <c r="S562">
        <v>7</v>
      </c>
      <c r="T562">
        <v>187</v>
      </c>
      <c r="U562" s="11">
        <v>0.43388373911755823</v>
      </c>
      <c r="V562" s="11">
        <v>-0.90096886790241903</v>
      </c>
      <c r="W562" s="11">
        <v>-5.8025569328780349E-2</v>
      </c>
      <c r="X562" s="11">
        <v>-0.99831509720331835</v>
      </c>
      <c r="Y562">
        <v>0</v>
      </c>
      <c r="Z562">
        <v>0</v>
      </c>
      <c r="AB562">
        <v>1</v>
      </c>
      <c r="AC562">
        <v>0</v>
      </c>
      <c r="AD562">
        <v>0</v>
      </c>
      <c r="AE562">
        <v>0</v>
      </c>
    </row>
    <row r="563" spans="1:31">
      <c r="A563" s="6">
        <v>45114</v>
      </c>
      <c r="B563" t="s">
        <v>31</v>
      </c>
      <c r="C563" t="s">
        <v>32</v>
      </c>
      <c r="D563" t="s">
        <v>33</v>
      </c>
      <c r="E563" t="s">
        <v>34</v>
      </c>
      <c r="F563">
        <v>140</v>
      </c>
      <c r="G563">
        <v>360</v>
      </c>
      <c r="H563">
        <v>221</v>
      </c>
      <c r="I563">
        <v>95</v>
      </c>
      <c r="J563" s="8">
        <v>0.6785714285714286</v>
      </c>
      <c r="K563">
        <v>59</v>
      </c>
      <c r="L563">
        <v>26</v>
      </c>
      <c r="M563">
        <v>200</v>
      </c>
      <c r="N563" s="10">
        <v>426.83</v>
      </c>
      <c r="O563" s="7">
        <v>3.1</v>
      </c>
      <c r="P563" s="7">
        <v>29.2</v>
      </c>
      <c r="Q563">
        <v>4</v>
      </c>
      <c r="R563" t="s">
        <v>66</v>
      </c>
      <c r="S563">
        <v>7</v>
      </c>
      <c r="T563">
        <v>188</v>
      </c>
      <c r="U563" s="11">
        <v>-0.43388373911755801</v>
      </c>
      <c r="V563" s="11">
        <v>-0.90096886790241915</v>
      </c>
      <c r="W563" s="11">
        <v>-7.5189576414758555E-2</v>
      </c>
      <c r="X563" s="11">
        <v>-0.99716925724701777</v>
      </c>
      <c r="Y563">
        <v>0</v>
      </c>
      <c r="Z563">
        <v>0</v>
      </c>
      <c r="AB563">
        <v>1</v>
      </c>
      <c r="AC563">
        <v>0</v>
      </c>
      <c r="AD563">
        <v>0</v>
      </c>
      <c r="AE563">
        <v>0</v>
      </c>
    </row>
    <row r="564" spans="1:31">
      <c r="A564" s="6">
        <v>45114</v>
      </c>
      <c r="B564" t="s">
        <v>36</v>
      </c>
      <c r="C564" t="s">
        <v>37</v>
      </c>
      <c r="D564" t="s">
        <v>38</v>
      </c>
      <c r="E564" t="s">
        <v>39</v>
      </c>
      <c r="F564">
        <v>125</v>
      </c>
      <c r="G564">
        <v>320</v>
      </c>
      <c r="H564">
        <v>217</v>
      </c>
      <c r="I564">
        <v>91</v>
      </c>
      <c r="J564" s="8">
        <v>0.72799999999999998</v>
      </c>
      <c r="K564">
        <v>61</v>
      </c>
      <c r="L564">
        <v>25</v>
      </c>
      <c r="M564">
        <v>180</v>
      </c>
      <c r="N564" s="10">
        <v>672.08</v>
      </c>
      <c r="O564" s="7">
        <v>3.1</v>
      </c>
      <c r="P564" s="7">
        <v>29.2</v>
      </c>
      <c r="Q564">
        <v>4</v>
      </c>
      <c r="R564" t="s">
        <v>66</v>
      </c>
      <c r="S564">
        <v>7</v>
      </c>
      <c r="T564">
        <v>188</v>
      </c>
      <c r="U564" s="11">
        <v>-0.43388373911755801</v>
      </c>
      <c r="V564" s="11">
        <v>-0.90096886790241915</v>
      </c>
      <c r="W564" s="11">
        <v>-7.5189576414758555E-2</v>
      </c>
      <c r="X564" s="11">
        <v>-0.99716925724701777</v>
      </c>
      <c r="Y564">
        <v>0</v>
      </c>
      <c r="Z564">
        <v>0</v>
      </c>
      <c r="AB564">
        <v>1</v>
      </c>
      <c r="AC564">
        <v>0</v>
      </c>
      <c r="AD564">
        <v>0</v>
      </c>
      <c r="AE564">
        <v>0</v>
      </c>
    </row>
    <row r="565" spans="1:31">
      <c r="A565" s="6">
        <v>45114</v>
      </c>
      <c r="B565" t="s">
        <v>41</v>
      </c>
      <c r="C565" t="s">
        <v>42</v>
      </c>
      <c r="D565" t="s">
        <v>43</v>
      </c>
      <c r="E565" t="s">
        <v>44</v>
      </c>
      <c r="F565">
        <v>85</v>
      </c>
      <c r="G565">
        <v>210</v>
      </c>
      <c r="H565">
        <v>151</v>
      </c>
      <c r="I565">
        <v>64</v>
      </c>
      <c r="J565" s="8">
        <v>0.75294117647058822</v>
      </c>
      <c r="K565">
        <v>23</v>
      </c>
      <c r="L565">
        <v>34</v>
      </c>
      <c r="M565">
        <v>135</v>
      </c>
      <c r="N565" s="10">
        <v>539.35</v>
      </c>
      <c r="O565" s="7">
        <v>3.1</v>
      </c>
      <c r="P565" s="7">
        <v>29.2</v>
      </c>
      <c r="Q565">
        <v>4</v>
      </c>
      <c r="R565" t="s">
        <v>66</v>
      </c>
      <c r="S565">
        <v>7</v>
      </c>
      <c r="T565">
        <v>188</v>
      </c>
      <c r="U565" s="11">
        <v>-0.43388373911755801</v>
      </c>
      <c r="V565" s="11">
        <v>-0.90096886790241915</v>
      </c>
      <c r="W565" s="11">
        <v>-7.5189576414758555E-2</v>
      </c>
      <c r="X565" s="11">
        <v>-0.99716925724701777</v>
      </c>
      <c r="Y565">
        <v>0</v>
      </c>
      <c r="Z565">
        <v>0</v>
      </c>
      <c r="AB565">
        <v>1</v>
      </c>
      <c r="AC565">
        <v>0</v>
      </c>
      <c r="AD565">
        <v>0</v>
      </c>
      <c r="AE565">
        <v>0</v>
      </c>
    </row>
    <row r="566" spans="1:31">
      <c r="A566" s="6">
        <v>45115</v>
      </c>
      <c r="B566" t="s">
        <v>31</v>
      </c>
      <c r="C566" t="s">
        <v>32</v>
      </c>
      <c r="D566" t="s">
        <v>33</v>
      </c>
      <c r="E566" t="s">
        <v>34</v>
      </c>
      <c r="F566">
        <v>140</v>
      </c>
      <c r="G566">
        <v>360</v>
      </c>
      <c r="H566">
        <v>268</v>
      </c>
      <c r="I566">
        <v>111</v>
      </c>
      <c r="J566" s="8">
        <v>0.79285714285714282</v>
      </c>
      <c r="K566">
        <v>51</v>
      </c>
      <c r="L566">
        <v>58</v>
      </c>
      <c r="M566">
        <v>237</v>
      </c>
      <c r="N566" s="10">
        <v>487.11</v>
      </c>
      <c r="O566" s="7">
        <v>8.6</v>
      </c>
      <c r="P566" s="7">
        <v>28.5</v>
      </c>
      <c r="Q566">
        <v>5</v>
      </c>
      <c r="R566" t="s">
        <v>67</v>
      </c>
      <c r="S566">
        <v>7</v>
      </c>
      <c r="T566">
        <v>189</v>
      </c>
      <c r="U566" s="11">
        <v>-0.97492791218182362</v>
      </c>
      <c r="V566" s="11">
        <v>-0.22252093395631459</v>
      </c>
      <c r="W566" s="11">
        <v>-9.2331333695391218E-2</v>
      </c>
      <c r="X566" s="11">
        <v>-0.99572833886458723</v>
      </c>
      <c r="Y566">
        <v>1</v>
      </c>
      <c r="Z566">
        <v>0</v>
      </c>
      <c r="AB566">
        <v>1</v>
      </c>
      <c r="AC566">
        <v>0</v>
      </c>
      <c r="AD566">
        <v>0</v>
      </c>
      <c r="AE566">
        <v>0</v>
      </c>
    </row>
    <row r="567" spans="1:31">
      <c r="A567" s="6">
        <v>45115</v>
      </c>
      <c r="B567" t="s">
        <v>36</v>
      </c>
      <c r="C567" t="s">
        <v>37</v>
      </c>
      <c r="D567" t="s">
        <v>38</v>
      </c>
      <c r="E567" t="s">
        <v>39</v>
      </c>
      <c r="F567">
        <v>125</v>
      </c>
      <c r="G567">
        <v>320</v>
      </c>
      <c r="H567">
        <v>254</v>
      </c>
      <c r="I567">
        <v>105</v>
      </c>
      <c r="J567" s="8">
        <v>0.84</v>
      </c>
      <c r="K567">
        <v>72</v>
      </c>
      <c r="L567">
        <v>26</v>
      </c>
      <c r="M567">
        <v>236</v>
      </c>
      <c r="N567" s="10">
        <v>730.1</v>
      </c>
      <c r="O567" s="7">
        <v>8.6</v>
      </c>
      <c r="P567" s="7">
        <v>28.5</v>
      </c>
      <c r="Q567">
        <v>5</v>
      </c>
      <c r="R567" t="s">
        <v>67</v>
      </c>
      <c r="S567">
        <v>7</v>
      </c>
      <c r="T567">
        <v>189</v>
      </c>
      <c r="U567" s="11">
        <v>-0.97492791218182362</v>
      </c>
      <c r="V567" s="11">
        <v>-0.22252093395631459</v>
      </c>
      <c r="W567" s="11">
        <v>-9.2331333695391218E-2</v>
      </c>
      <c r="X567" s="11">
        <v>-0.99572833886458723</v>
      </c>
      <c r="Y567">
        <v>1</v>
      </c>
      <c r="Z567">
        <v>0</v>
      </c>
      <c r="AB567">
        <v>1</v>
      </c>
      <c r="AC567">
        <v>0</v>
      </c>
      <c r="AD567">
        <v>0</v>
      </c>
      <c r="AE567">
        <v>0</v>
      </c>
    </row>
    <row r="568" spans="1:31">
      <c r="A568" s="6">
        <v>45115</v>
      </c>
      <c r="B568" t="s">
        <v>41</v>
      </c>
      <c r="C568" t="s">
        <v>42</v>
      </c>
      <c r="D568" t="s">
        <v>43</v>
      </c>
      <c r="E568" t="s">
        <v>44</v>
      </c>
      <c r="F568">
        <v>85</v>
      </c>
      <c r="G568">
        <v>210</v>
      </c>
      <c r="H568">
        <v>176</v>
      </c>
      <c r="I568">
        <v>79</v>
      </c>
      <c r="J568" s="8">
        <v>0.92941176470588238</v>
      </c>
      <c r="K568">
        <v>35</v>
      </c>
      <c r="L568">
        <v>25</v>
      </c>
      <c r="M568">
        <v>161</v>
      </c>
      <c r="N568" s="10">
        <v>653.89</v>
      </c>
      <c r="O568" s="7">
        <v>8.6</v>
      </c>
      <c r="P568" s="7">
        <v>28.5</v>
      </c>
      <c r="Q568">
        <v>5</v>
      </c>
      <c r="R568" t="s">
        <v>67</v>
      </c>
      <c r="S568">
        <v>7</v>
      </c>
      <c r="T568">
        <v>189</v>
      </c>
      <c r="U568" s="11">
        <v>-0.97492791218182362</v>
      </c>
      <c r="V568" s="11">
        <v>-0.22252093395631459</v>
      </c>
      <c r="W568" s="11">
        <v>-9.2331333695391218E-2</v>
      </c>
      <c r="X568" s="11">
        <v>-0.99572833886458723</v>
      </c>
      <c r="Y568">
        <v>1</v>
      </c>
      <c r="Z568">
        <v>0</v>
      </c>
      <c r="AB568">
        <v>1</v>
      </c>
      <c r="AC568">
        <v>0</v>
      </c>
      <c r="AD568">
        <v>0</v>
      </c>
      <c r="AE568">
        <v>0</v>
      </c>
    </row>
    <row r="569" spans="1:31">
      <c r="A569" s="6">
        <v>45116</v>
      </c>
      <c r="B569" t="s">
        <v>31</v>
      </c>
      <c r="C569" t="s">
        <v>32</v>
      </c>
      <c r="D569" t="s">
        <v>33</v>
      </c>
      <c r="E569" t="s">
        <v>34</v>
      </c>
      <c r="F569">
        <v>140</v>
      </c>
      <c r="G569">
        <v>360</v>
      </c>
      <c r="H569">
        <v>253</v>
      </c>
      <c r="I569">
        <v>105</v>
      </c>
      <c r="J569" s="8">
        <v>0.75</v>
      </c>
      <c r="K569">
        <v>42</v>
      </c>
      <c r="L569">
        <v>45</v>
      </c>
      <c r="M569">
        <v>237</v>
      </c>
      <c r="N569" s="10">
        <v>560.39</v>
      </c>
      <c r="O569" s="7">
        <v>0</v>
      </c>
      <c r="P569" s="7">
        <v>28.5</v>
      </c>
      <c r="Q569">
        <v>6</v>
      </c>
      <c r="R569" t="s">
        <v>60</v>
      </c>
      <c r="S569">
        <v>7</v>
      </c>
      <c r="T569">
        <v>190</v>
      </c>
      <c r="U569" s="11">
        <v>-0.78183148246802991</v>
      </c>
      <c r="V569" s="11">
        <v>0.62348980185873337</v>
      </c>
      <c r="W569" s="11">
        <v>-0.10944576864891556</v>
      </c>
      <c r="X569" s="11">
        <v>-0.99399276844695805</v>
      </c>
      <c r="Y569">
        <v>1</v>
      </c>
      <c r="Z569">
        <v>0</v>
      </c>
      <c r="AB569">
        <v>1</v>
      </c>
      <c r="AC569">
        <v>0</v>
      </c>
      <c r="AD569">
        <v>0</v>
      </c>
      <c r="AE569">
        <v>0</v>
      </c>
    </row>
    <row r="570" spans="1:31">
      <c r="A570" s="6">
        <v>45116</v>
      </c>
      <c r="B570" t="s">
        <v>36</v>
      </c>
      <c r="C570" t="s">
        <v>37</v>
      </c>
      <c r="D570" t="s">
        <v>38</v>
      </c>
      <c r="E570" t="s">
        <v>39</v>
      </c>
      <c r="F570">
        <v>125</v>
      </c>
      <c r="G570">
        <v>320</v>
      </c>
      <c r="H570">
        <v>251</v>
      </c>
      <c r="I570">
        <v>105</v>
      </c>
      <c r="J570" s="8">
        <v>0.84</v>
      </c>
      <c r="K570">
        <v>54</v>
      </c>
      <c r="L570">
        <v>46</v>
      </c>
      <c r="M570">
        <v>209</v>
      </c>
      <c r="N570" s="10">
        <v>742.59</v>
      </c>
      <c r="O570" s="7">
        <v>0</v>
      </c>
      <c r="P570" s="7">
        <v>28.5</v>
      </c>
      <c r="Q570">
        <v>6</v>
      </c>
      <c r="R570" t="s">
        <v>60</v>
      </c>
      <c r="S570">
        <v>7</v>
      </c>
      <c r="T570">
        <v>190</v>
      </c>
      <c r="U570" s="11">
        <v>-0.78183148246802991</v>
      </c>
      <c r="V570" s="11">
        <v>0.62348980185873337</v>
      </c>
      <c r="W570" s="11">
        <v>-0.10944576864891556</v>
      </c>
      <c r="X570" s="11">
        <v>-0.99399276844695805</v>
      </c>
      <c r="Y570">
        <v>1</v>
      </c>
      <c r="Z570">
        <v>0</v>
      </c>
      <c r="AB570">
        <v>1</v>
      </c>
      <c r="AC570">
        <v>0</v>
      </c>
      <c r="AD570">
        <v>0</v>
      </c>
      <c r="AE570">
        <v>0</v>
      </c>
    </row>
    <row r="571" spans="1:31">
      <c r="A571" s="6">
        <v>45116</v>
      </c>
      <c r="B571" t="s">
        <v>41</v>
      </c>
      <c r="C571" t="s">
        <v>42</v>
      </c>
      <c r="D571" t="s">
        <v>43</v>
      </c>
      <c r="E571" t="s">
        <v>44</v>
      </c>
      <c r="F571">
        <v>85</v>
      </c>
      <c r="G571">
        <v>210</v>
      </c>
      <c r="H571">
        <v>180</v>
      </c>
      <c r="I571">
        <v>82</v>
      </c>
      <c r="J571" s="8">
        <v>0.96470588235294119</v>
      </c>
      <c r="K571">
        <v>41</v>
      </c>
      <c r="L571">
        <v>41</v>
      </c>
      <c r="M571">
        <v>163</v>
      </c>
      <c r="N571" s="10">
        <v>625.6</v>
      </c>
      <c r="O571" s="7">
        <v>0</v>
      </c>
      <c r="P571" s="7">
        <v>28.5</v>
      </c>
      <c r="Q571">
        <v>6</v>
      </c>
      <c r="R571" t="s">
        <v>60</v>
      </c>
      <c r="S571">
        <v>7</v>
      </c>
      <c r="T571">
        <v>190</v>
      </c>
      <c r="U571" s="11">
        <v>-0.78183148246802991</v>
      </c>
      <c r="V571" s="11">
        <v>0.62348980185873337</v>
      </c>
      <c r="W571" s="11">
        <v>-0.10944576864891556</v>
      </c>
      <c r="X571" s="11">
        <v>-0.99399276844695805</v>
      </c>
      <c r="Y571">
        <v>1</v>
      </c>
      <c r="Z571">
        <v>0</v>
      </c>
      <c r="AB571">
        <v>1</v>
      </c>
      <c r="AC571">
        <v>0</v>
      </c>
      <c r="AD571">
        <v>0</v>
      </c>
      <c r="AE571">
        <v>0</v>
      </c>
    </row>
    <row r="572" spans="1:31">
      <c r="A572" s="6">
        <v>45117</v>
      </c>
      <c r="B572" t="s">
        <v>31</v>
      </c>
      <c r="C572" t="s">
        <v>32</v>
      </c>
      <c r="D572" t="s">
        <v>33</v>
      </c>
      <c r="E572" t="s">
        <v>34</v>
      </c>
      <c r="F572">
        <v>140</v>
      </c>
      <c r="G572">
        <v>360</v>
      </c>
      <c r="H572">
        <v>231</v>
      </c>
      <c r="I572">
        <v>97</v>
      </c>
      <c r="J572" s="8">
        <v>0.69285714285714284</v>
      </c>
      <c r="K572">
        <v>42</v>
      </c>
      <c r="L572">
        <v>48</v>
      </c>
      <c r="M572">
        <v>210</v>
      </c>
      <c r="N572" s="10">
        <v>474.73</v>
      </c>
      <c r="O572" s="7">
        <v>10.8</v>
      </c>
      <c r="P572" s="7">
        <v>29</v>
      </c>
      <c r="Q572">
        <v>0</v>
      </c>
      <c r="R572" t="s">
        <v>62</v>
      </c>
      <c r="S572">
        <v>7</v>
      </c>
      <c r="T572">
        <v>191</v>
      </c>
      <c r="U572" s="11">
        <v>0</v>
      </c>
      <c r="V572" s="11">
        <v>1</v>
      </c>
      <c r="W572" s="11">
        <v>-0.12652781683868314</v>
      </c>
      <c r="X572" s="11">
        <v>-0.99196305957733966</v>
      </c>
      <c r="Y572">
        <v>0</v>
      </c>
      <c r="Z572">
        <v>0</v>
      </c>
      <c r="AB572">
        <v>1</v>
      </c>
      <c r="AC572">
        <v>0</v>
      </c>
      <c r="AD572">
        <v>0</v>
      </c>
      <c r="AE572">
        <v>0</v>
      </c>
    </row>
    <row r="573" spans="1:31">
      <c r="A573" s="6">
        <v>45117</v>
      </c>
      <c r="B573" t="s">
        <v>36</v>
      </c>
      <c r="C573" t="s">
        <v>37</v>
      </c>
      <c r="D573" t="s">
        <v>38</v>
      </c>
      <c r="E573" t="s">
        <v>39</v>
      </c>
      <c r="F573">
        <v>125</v>
      </c>
      <c r="G573">
        <v>320</v>
      </c>
      <c r="H573">
        <v>205</v>
      </c>
      <c r="I573">
        <v>84</v>
      </c>
      <c r="J573" s="8">
        <v>0.67200000000000004</v>
      </c>
      <c r="K573">
        <v>24</v>
      </c>
      <c r="L573">
        <v>36</v>
      </c>
      <c r="M573">
        <v>190</v>
      </c>
      <c r="N573" s="10">
        <v>674.54</v>
      </c>
      <c r="O573" s="7">
        <v>10.8</v>
      </c>
      <c r="P573" s="7">
        <v>29</v>
      </c>
      <c r="Q573">
        <v>0</v>
      </c>
      <c r="R573" t="s">
        <v>62</v>
      </c>
      <c r="S573">
        <v>7</v>
      </c>
      <c r="T573">
        <v>191</v>
      </c>
      <c r="U573" s="11">
        <v>0</v>
      </c>
      <c r="V573" s="11">
        <v>1</v>
      </c>
      <c r="W573" s="11">
        <v>-0.12652781683868314</v>
      </c>
      <c r="X573" s="11">
        <v>-0.99196305957733966</v>
      </c>
      <c r="Y573">
        <v>0</v>
      </c>
      <c r="Z573">
        <v>0</v>
      </c>
      <c r="AB573">
        <v>1</v>
      </c>
      <c r="AC573">
        <v>0</v>
      </c>
      <c r="AD573">
        <v>0</v>
      </c>
      <c r="AE573">
        <v>0</v>
      </c>
    </row>
    <row r="574" spans="1:31">
      <c r="A574" s="6">
        <v>45117</v>
      </c>
      <c r="B574" t="s">
        <v>41</v>
      </c>
      <c r="C574" t="s">
        <v>42</v>
      </c>
      <c r="D574" t="s">
        <v>43</v>
      </c>
      <c r="E574" t="s">
        <v>44</v>
      </c>
      <c r="F574">
        <v>85</v>
      </c>
      <c r="G574">
        <v>210</v>
      </c>
      <c r="H574">
        <v>145</v>
      </c>
      <c r="I574">
        <v>64</v>
      </c>
      <c r="J574" s="8">
        <v>0.75294117647058822</v>
      </c>
      <c r="K574">
        <v>35</v>
      </c>
      <c r="L574">
        <v>38</v>
      </c>
      <c r="M574">
        <v>116</v>
      </c>
      <c r="N574" s="10">
        <v>547.99</v>
      </c>
      <c r="O574" s="7">
        <v>10.8</v>
      </c>
      <c r="P574" s="7">
        <v>29</v>
      </c>
      <c r="Q574">
        <v>0</v>
      </c>
      <c r="R574" t="s">
        <v>62</v>
      </c>
      <c r="S574">
        <v>7</v>
      </c>
      <c r="T574">
        <v>191</v>
      </c>
      <c r="U574" s="11">
        <v>0</v>
      </c>
      <c r="V574" s="11">
        <v>1</v>
      </c>
      <c r="W574" s="11">
        <v>-0.12652781683868314</v>
      </c>
      <c r="X574" s="11">
        <v>-0.99196305957733966</v>
      </c>
      <c r="Y574">
        <v>0</v>
      </c>
      <c r="Z574">
        <v>0</v>
      </c>
      <c r="AB574">
        <v>1</v>
      </c>
      <c r="AC574">
        <v>0</v>
      </c>
      <c r="AD574">
        <v>0</v>
      </c>
      <c r="AE574">
        <v>0</v>
      </c>
    </row>
    <row r="575" spans="1:31">
      <c r="A575" s="6">
        <v>45118</v>
      </c>
      <c r="B575" t="s">
        <v>31</v>
      </c>
      <c r="C575" t="s">
        <v>32</v>
      </c>
      <c r="D575" t="s">
        <v>33</v>
      </c>
      <c r="E575" t="s">
        <v>34</v>
      </c>
      <c r="F575">
        <v>140</v>
      </c>
      <c r="G575">
        <v>360</v>
      </c>
      <c r="H575">
        <v>215</v>
      </c>
      <c r="I575">
        <v>91</v>
      </c>
      <c r="J575" s="8">
        <v>0.65</v>
      </c>
      <c r="K575">
        <v>28</v>
      </c>
      <c r="L575">
        <v>29</v>
      </c>
      <c r="M575">
        <v>188</v>
      </c>
      <c r="N575" s="10">
        <v>461.64</v>
      </c>
      <c r="O575" s="7">
        <v>5.2</v>
      </c>
      <c r="P575" s="7">
        <v>28.9</v>
      </c>
      <c r="Q575">
        <v>1</v>
      </c>
      <c r="R575" t="s">
        <v>63</v>
      </c>
      <c r="S575">
        <v>7</v>
      </c>
      <c r="T575">
        <v>192</v>
      </c>
      <c r="U575" s="11">
        <v>0.7818314824680298</v>
      </c>
      <c r="V575" s="11">
        <v>0.62348980185873359</v>
      </c>
      <c r="W575" s="11">
        <v>-0.14357242341181131</v>
      </c>
      <c r="X575" s="11">
        <v>-0.98963981287924119</v>
      </c>
      <c r="Y575">
        <v>0</v>
      </c>
      <c r="Z575">
        <v>0</v>
      </c>
      <c r="AB575">
        <v>1</v>
      </c>
      <c r="AC575">
        <v>0</v>
      </c>
      <c r="AD575">
        <v>0</v>
      </c>
      <c r="AE575">
        <v>0</v>
      </c>
    </row>
    <row r="576" spans="1:31">
      <c r="A576" s="6">
        <v>45118</v>
      </c>
      <c r="B576" t="s">
        <v>36</v>
      </c>
      <c r="C576" t="s">
        <v>37</v>
      </c>
      <c r="D576" t="s">
        <v>38</v>
      </c>
      <c r="E576" t="s">
        <v>39</v>
      </c>
      <c r="F576">
        <v>125</v>
      </c>
      <c r="G576">
        <v>320</v>
      </c>
      <c r="H576">
        <v>212</v>
      </c>
      <c r="I576">
        <v>91</v>
      </c>
      <c r="J576" s="8">
        <v>0.72799999999999998</v>
      </c>
      <c r="K576">
        <v>44</v>
      </c>
      <c r="L576">
        <v>26</v>
      </c>
      <c r="M576">
        <v>173</v>
      </c>
      <c r="N576" s="10">
        <v>705.37</v>
      </c>
      <c r="O576" s="7">
        <v>5.2</v>
      </c>
      <c r="P576" s="7">
        <v>28.9</v>
      </c>
      <c r="Q576">
        <v>1</v>
      </c>
      <c r="R576" t="s">
        <v>63</v>
      </c>
      <c r="S576">
        <v>7</v>
      </c>
      <c r="T576">
        <v>192</v>
      </c>
      <c r="U576" s="11">
        <v>0.7818314824680298</v>
      </c>
      <c r="V576" s="11">
        <v>0.62348980185873359</v>
      </c>
      <c r="W576" s="11">
        <v>-0.14357242341181131</v>
      </c>
      <c r="X576" s="11">
        <v>-0.98963981287924119</v>
      </c>
      <c r="Y576">
        <v>0</v>
      </c>
      <c r="Z576">
        <v>0</v>
      </c>
      <c r="AB576">
        <v>1</v>
      </c>
      <c r="AC576">
        <v>0</v>
      </c>
      <c r="AD576">
        <v>0</v>
      </c>
      <c r="AE576">
        <v>0</v>
      </c>
    </row>
    <row r="577" spans="1:31">
      <c r="A577" s="6">
        <v>45118</v>
      </c>
      <c r="B577" t="s">
        <v>41</v>
      </c>
      <c r="C577" t="s">
        <v>42</v>
      </c>
      <c r="D577" t="s">
        <v>43</v>
      </c>
      <c r="E577" t="s">
        <v>44</v>
      </c>
      <c r="F577">
        <v>85</v>
      </c>
      <c r="G577">
        <v>210</v>
      </c>
      <c r="H577">
        <v>151</v>
      </c>
      <c r="I577">
        <v>66</v>
      </c>
      <c r="J577" s="8">
        <v>0.77647058823529413</v>
      </c>
      <c r="K577">
        <v>24</v>
      </c>
      <c r="L577">
        <v>30</v>
      </c>
      <c r="M577">
        <v>131</v>
      </c>
      <c r="N577" s="10">
        <v>531.72</v>
      </c>
      <c r="O577" s="7">
        <v>5.2</v>
      </c>
      <c r="P577" s="7">
        <v>28.9</v>
      </c>
      <c r="Q577">
        <v>1</v>
      </c>
      <c r="R577" t="s">
        <v>63</v>
      </c>
      <c r="S577">
        <v>7</v>
      </c>
      <c r="T577">
        <v>192</v>
      </c>
      <c r="U577" s="11">
        <v>0.7818314824680298</v>
      </c>
      <c r="V577" s="11">
        <v>0.62348980185873359</v>
      </c>
      <c r="W577" s="11">
        <v>-0.14357242341181131</v>
      </c>
      <c r="X577" s="11">
        <v>-0.98963981287924119</v>
      </c>
      <c r="Y577">
        <v>0</v>
      </c>
      <c r="Z577">
        <v>0</v>
      </c>
      <c r="AB577">
        <v>1</v>
      </c>
      <c r="AC577">
        <v>0</v>
      </c>
      <c r="AD577">
        <v>0</v>
      </c>
      <c r="AE577">
        <v>0</v>
      </c>
    </row>
    <row r="578" spans="1:31">
      <c r="A578" s="6">
        <v>45119</v>
      </c>
      <c r="B578" t="s">
        <v>31</v>
      </c>
      <c r="C578" t="s">
        <v>32</v>
      </c>
      <c r="D578" t="s">
        <v>33</v>
      </c>
      <c r="E578" t="s">
        <v>34</v>
      </c>
      <c r="F578">
        <v>140</v>
      </c>
      <c r="G578">
        <v>360</v>
      </c>
      <c r="H578">
        <v>231</v>
      </c>
      <c r="I578">
        <v>97</v>
      </c>
      <c r="J578" s="8">
        <v>0.69285714285714284</v>
      </c>
      <c r="K578">
        <v>56</v>
      </c>
      <c r="L578">
        <v>59</v>
      </c>
      <c r="M578">
        <v>188</v>
      </c>
      <c r="N578" s="10">
        <v>459.3</v>
      </c>
      <c r="O578" s="7">
        <v>6.1</v>
      </c>
      <c r="P578" s="7">
        <v>29.2</v>
      </c>
      <c r="Q578">
        <v>2</v>
      </c>
      <c r="R578" t="s">
        <v>64</v>
      </c>
      <c r="S578">
        <v>7</v>
      </c>
      <c r="T578">
        <v>193</v>
      </c>
      <c r="U578" s="11">
        <v>0.97492791218182362</v>
      </c>
      <c r="V578" s="11">
        <v>-0.22252093395631434</v>
      </c>
      <c r="W578" s="11">
        <v>-0.16057454459499376</v>
      </c>
      <c r="X578" s="11">
        <v>-0.98702371583873827</v>
      </c>
      <c r="Y578">
        <v>0</v>
      </c>
      <c r="Z578">
        <v>0</v>
      </c>
      <c r="AB578">
        <v>1</v>
      </c>
      <c r="AC578">
        <v>0</v>
      </c>
      <c r="AD578">
        <v>0</v>
      </c>
      <c r="AE578">
        <v>0</v>
      </c>
    </row>
    <row r="579" spans="1:31">
      <c r="A579" s="6">
        <v>45119</v>
      </c>
      <c r="B579" t="s">
        <v>36</v>
      </c>
      <c r="C579" t="s">
        <v>37</v>
      </c>
      <c r="D579" t="s">
        <v>38</v>
      </c>
      <c r="E579" t="s">
        <v>39</v>
      </c>
      <c r="F579">
        <v>125</v>
      </c>
      <c r="G579">
        <v>320</v>
      </c>
      <c r="H579">
        <v>220</v>
      </c>
      <c r="I579">
        <v>94</v>
      </c>
      <c r="J579" s="8">
        <v>0.752</v>
      </c>
      <c r="K579">
        <v>49</v>
      </c>
      <c r="L579">
        <v>46</v>
      </c>
      <c r="M579">
        <v>184</v>
      </c>
      <c r="N579" s="10">
        <v>727.07</v>
      </c>
      <c r="O579" s="7">
        <v>6.1</v>
      </c>
      <c r="P579" s="7">
        <v>29.2</v>
      </c>
      <c r="Q579">
        <v>2</v>
      </c>
      <c r="R579" t="s">
        <v>64</v>
      </c>
      <c r="S579">
        <v>7</v>
      </c>
      <c r="T579">
        <v>193</v>
      </c>
      <c r="U579" s="11">
        <v>0.97492791218182362</v>
      </c>
      <c r="V579" s="11">
        <v>-0.22252093395631434</v>
      </c>
      <c r="W579" s="11">
        <v>-0.16057454459499376</v>
      </c>
      <c r="X579" s="11">
        <v>-0.98702371583873827</v>
      </c>
      <c r="Y579">
        <v>0</v>
      </c>
      <c r="Z579">
        <v>0</v>
      </c>
      <c r="AB579">
        <v>1</v>
      </c>
      <c r="AC579">
        <v>0</v>
      </c>
      <c r="AD579">
        <v>0</v>
      </c>
      <c r="AE579">
        <v>0</v>
      </c>
    </row>
    <row r="580" spans="1:31">
      <c r="A580" s="6">
        <v>45119</v>
      </c>
      <c r="B580" t="s">
        <v>41</v>
      </c>
      <c r="C580" t="s">
        <v>42</v>
      </c>
      <c r="D580" t="s">
        <v>43</v>
      </c>
      <c r="E580" t="s">
        <v>44</v>
      </c>
      <c r="F580">
        <v>85</v>
      </c>
      <c r="G580">
        <v>210</v>
      </c>
      <c r="H580">
        <v>138</v>
      </c>
      <c r="I580">
        <v>65</v>
      </c>
      <c r="J580" s="8">
        <v>0.76470588235294112</v>
      </c>
      <c r="K580">
        <v>21</v>
      </c>
      <c r="L580">
        <v>17</v>
      </c>
      <c r="M580">
        <v>120</v>
      </c>
      <c r="N580" s="10">
        <v>528.99</v>
      </c>
      <c r="O580" s="7">
        <v>6.1</v>
      </c>
      <c r="P580" s="7">
        <v>29.2</v>
      </c>
      <c r="Q580">
        <v>2</v>
      </c>
      <c r="R580" t="s">
        <v>64</v>
      </c>
      <c r="S580">
        <v>7</v>
      </c>
      <c r="T580">
        <v>193</v>
      </c>
      <c r="U580" s="11">
        <v>0.97492791218182362</v>
      </c>
      <c r="V580" s="11">
        <v>-0.22252093395631434</v>
      </c>
      <c r="W580" s="11">
        <v>-0.16057454459499376</v>
      </c>
      <c r="X580" s="11">
        <v>-0.98702371583873827</v>
      </c>
      <c r="Y580">
        <v>0</v>
      </c>
      <c r="Z580">
        <v>0</v>
      </c>
      <c r="AB580">
        <v>1</v>
      </c>
      <c r="AC580">
        <v>0</v>
      </c>
      <c r="AD580">
        <v>0</v>
      </c>
      <c r="AE580">
        <v>0</v>
      </c>
    </row>
    <row r="581" spans="1:31">
      <c r="A581" s="6">
        <v>45120</v>
      </c>
      <c r="B581" t="s">
        <v>31</v>
      </c>
      <c r="C581" t="s">
        <v>32</v>
      </c>
      <c r="D581" t="s">
        <v>33</v>
      </c>
      <c r="E581" t="s">
        <v>34</v>
      </c>
      <c r="F581">
        <v>140</v>
      </c>
      <c r="G581">
        <v>360</v>
      </c>
      <c r="H581">
        <v>213</v>
      </c>
      <c r="I581">
        <v>91</v>
      </c>
      <c r="J581" s="8">
        <v>0.65</v>
      </c>
      <c r="K581">
        <v>51</v>
      </c>
      <c r="L581">
        <v>47</v>
      </c>
      <c r="M581">
        <v>185</v>
      </c>
      <c r="N581" s="10">
        <v>478.74</v>
      </c>
      <c r="O581" s="7">
        <v>12.4</v>
      </c>
      <c r="P581" s="7">
        <v>28.7</v>
      </c>
      <c r="Q581">
        <v>3</v>
      </c>
      <c r="R581" t="s">
        <v>65</v>
      </c>
      <c r="S581">
        <v>7</v>
      </c>
      <c r="T581">
        <v>194</v>
      </c>
      <c r="U581" s="11">
        <v>0.43388373911755823</v>
      </c>
      <c r="V581" s="11">
        <v>-0.90096886790241903</v>
      </c>
      <c r="W581" s="11">
        <v>-0.17752914918703497</v>
      </c>
      <c r="X581" s="11">
        <v>-0.98411554260103395</v>
      </c>
      <c r="Y581">
        <v>0</v>
      </c>
      <c r="Z581">
        <v>0</v>
      </c>
      <c r="AB581">
        <v>1</v>
      </c>
      <c r="AC581">
        <v>0</v>
      </c>
      <c r="AD581">
        <v>0</v>
      </c>
      <c r="AE581">
        <v>0</v>
      </c>
    </row>
    <row r="582" spans="1:31">
      <c r="A582" s="6">
        <v>45120</v>
      </c>
      <c r="B582" t="s">
        <v>36</v>
      </c>
      <c r="C582" t="s">
        <v>37</v>
      </c>
      <c r="D582" t="s">
        <v>38</v>
      </c>
      <c r="E582" t="s">
        <v>39</v>
      </c>
      <c r="F582">
        <v>125</v>
      </c>
      <c r="G582">
        <v>320</v>
      </c>
      <c r="H582">
        <v>229</v>
      </c>
      <c r="I582">
        <v>94</v>
      </c>
      <c r="J582" s="8">
        <v>0.752</v>
      </c>
      <c r="K582">
        <v>25</v>
      </c>
      <c r="L582">
        <v>52</v>
      </c>
      <c r="M582">
        <v>211</v>
      </c>
      <c r="N582" s="10">
        <v>642.09</v>
      </c>
      <c r="O582" s="7">
        <v>12.4</v>
      </c>
      <c r="P582" s="7">
        <v>28.7</v>
      </c>
      <c r="Q582">
        <v>3</v>
      </c>
      <c r="R582" t="s">
        <v>65</v>
      </c>
      <c r="S582">
        <v>7</v>
      </c>
      <c r="T582">
        <v>194</v>
      </c>
      <c r="U582" s="11">
        <v>0.43388373911755823</v>
      </c>
      <c r="V582" s="11">
        <v>-0.90096886790241903</v>
      </c>
      <c r="W582" s="11">
        <v>-0.17752914918703497</v>
      </c>
      <c r="X582" s="11">
        <v>-0.98411554260103395</v>
      </c>
      <c r="Y582">
        <v>0</v>
      </c>
      <c r="Z582">
        <v>0</v>
      </c>
      <c r="AB582">
        <v>1</v>
      </c>
      <c r="AC582">
        <v>0</v>
      </c>
      <c r="AD582">
        <v>0</v>
      </c>
      <c r="AE582">
        <v>0</v>
      </c>
    </row>
    <row r="583" spans="1:31">
      <c r="A583" s="6">
        <v>45120</v>
      </c>
      <c r="B583" t="s">
        <v>41</v>
      </c>
      <c r="C583" t="s">
        <v>42</v>
      </c>
      <c r="D583" t="s">
        <v>43</v>
      </c>
      <c r="E583" t="s">
        <v>44</v>
      </c>
      <c r="F583">
        <v>85</v>
      </c>
      <c r="G583">
        <v>210</v>
      </c>
      <c r="H583">
        <v>139</v>
      </c>
      <c r="I583">
        <v>64</v>
      </c>
      <c r="J583" s="8">
        <v>0.75294117647058822</v>
      </c>
      <c r="K583">
        <v>25</v>
      </c>
      <c r="L583">
        <v>26</v>
      </c>
      <c r="M583">
        <v>114</v>
      </c>
      <c r="N583" s="10">
        <v>624.94000000000005</v>
      </c>
      <c r="O583" s="7">
        <v>12.4</v>
      </c>
      <c r="P583" s="7">
        <v>28.7</v>
      </c>
      <c r="Q583">
        <v>3</v>
      </c>
      <c r="R583" t="s">
        <v>65</v>
      </c>
      <c r="S583">
        <v>7</v>
      </c>
      <c r="T583">
        <v>194</v>
      </c>
      <c r="U583" s="11">
        <v>0.43388373911755823</v>
      </c>
      <c r="V583" s="11">
        <v>-0.90096886790241903</v>
      </c>
      <c r="W583" s="11">
        <v>-0.17752914918703497</v>
      </c>
      <c r="X583" s="11">
        <v>-0.98411554260103395</v>
      </c>
      <c r="Y583">
        <v>0</v>
      </c>
      <c r="Z583">
        <v>0</v>
      </c>
      <c r="AB583">
        <v>1</v>
      </c>
      <c r="AC583">
        <v>0</v>
      </c>
      <c r="AD583">
        <v>0</v>
      </c>
      <c r="AE583">
        <v>0</v>
      </c>
    </row>
    <row r="584" spans="1:31">
      <c r="A584" s="6">
        <v>45121</v>
      </c>
      <c r="B584" t="s">
        <v>31</v>
      </c>
      <c r="C584" t="s">
        <v>32</v>
      </c>
      <c r="D584" t="s">
        <v>33</v>
      </c>
      <c r="E584" t="s">
        <v>34</v>
      </c>
      <c r="F584">
        <v>140</v>
      </c>
      <c r="G584">
        <v>360</v>
      </c>
      <c r="H584">
        <v>225</v>
      </c>
      <c r="I584">
        <v>94</v>
      </c>
      <c r="J584" s="8">
        <v>0.67142857142857137</v>
      </c>
      <c r="K584">
        <v>33</v>
      </c>
      <c r="L584">
        <v>35</v>
      </c>
      <c r="M584">
        <v>192</v>
      </c>
      <c r="N584" s="10">
        <v>501.06</v>
      </c>
      <c r="O584" s="7">
        <v>4.7</v>
      </c>
      <c r="P584" s="7">
        <v>26.2</v>
      </c>
      <c r="Q584">
        <v>4</v>
      </c>
      <c r="R584" t="s">
        <v>66</v>
      </c>
      <c r="S584">
        <v>7</v>
      </c>
      <c r="T584">
        <v>195</v>
      </c>
      <c r="U584" s="11">
        <v>-0.43388373911755801</v>
      </c>
      <c r="V584" s="11">
        <v>-0.90096886790241915</v>
      </c>
      <c r="W584" s="11">
        <v>-0.19443122004766195</v>
      </c>
      <c r="X584" s="11">
        <v>-0.98091615374137742</v>
      </c>
      <c r="Y584">
        <v>0</v>
      </c>
      <c r="Z584">
        <v>0</v>
      </c>
      <c r="AB584">
        <v>1</v>
      </c>
      <c r="AC584">
        <v>0</v>
      </c>
      <c r="AD584">
        <v>0</v>
      </c>
      <c r="AE584">
        <v>0</v>
      </c>
    </row>
    <row r="585" spans="1:31">
      <c r="A585" s="6">
        <v>45121</v>
      </c>
      <c r="B585" t="s">
        <v>36</v>
      </c>
      <c r="C585" t="s">
        <v>37</v>
      </c>
      <c r="D585" t="s">
        <v>38</v>
      </c>
      <c r="E585" t="s">
        <v>39</v>
      </c>
      <c r="F585">
        <v>125</v>
      </c>
      <c r="G585">
        <v>320</v>
      </c>
      <c r="H585">
        <v>212</v>
      </c>
      <c r="I585">
        <v>88</v>
      </c>
      <c r="J585" s="8">
        <v>0.70399999999999996</v>
      </c>
      <c r="K585">
        <v>29</v>
      </c>
      <c r="L585">
        <v>26</v>
      </c>
      <c r="M585">
        <v>185</v>
      </c>
      <c r="N585" s="10">
        <v>676.94</v>
      </c>
      <c r="O585" s="7">
        <v>4.7</v>
      </c>
      <c r="P585" s="7">
        <v>26.2</v>
      </c>
      <c r="Q585">
        <v>4</v>
      </c>
      <c r="R585" t="s">
        <v>66</v>
      </c>
      <c r="S585">
        <v>7</v>
      </c>
      <c r="T585">
        <v>195</v>
      </c>
      <c r="U585" s="11">
        <v>-0.43388373911755801</v>
      </c>
      <c r="V585" s="11">
        <v>-0.90096886790241915</v>
      </c>
      <c r="W585" s="11">
        <v>-0.19443122004766195</v>
      </c>
      <c r="X585" s="11">
        <v>-0.98091615374137742</v>
      </c>
      <c r="Y585">
        <v>0</v>
      </c>
      <c r="Z585">
        <v>0</v>
      </c>
      <c r="AB585">
        <v>1</v>
      </c>
      <c r="AC585">
        <v>0</v>
      </c>
      <c r="AD585">
        <v>0</v>
      </c>
      <c r="AE585">
        <v>0</v>
      </c>
    </row>
    <row r="586" spans="1:31">
      <c r="A586" s="6">
        <v>45121</v>
      </c>
      <c r="B586" t="s">
        <v>41</v>
      </c>
      <c r="C586" t="s">
        <v>42</v>
      </c>
      <c r="D586" t="s">
        <v>43</v>
      </c>
      <c r="E586" t="s">
        <v>44</v>
      </c>
      <c r="F586">
        <v>85</v>
      </c>
      <c r="G586">
        <v>210</v>
      </c>
      <c r="H586">
        <v>143</v>
      </c>
      <c r="I586">
        <v>65</v>
      </c>
      <c r="J586" s="8">
        <v>0.76470588235294112</v>
      </c>
      <c r="K586">
        <v>32</v>
      </c>
      <c r="L586">
        <v>23</v>
      </c>
      <c r="M586">
        <v>125</v>
      </c>
      <c r="N586" s="10">
        <v>552.89</v>
      </c>
      <c r="O586" s="7">
        <v>4.7</v>
      </c>
      <c r="P586" s="7">
        <v>26.2</v>
      </c>
      <c r="Q586">
        <v>4</v>
      </c>
      <c r="R586" t="s">
        <v>66</v>
      </c>
      <c r="S586">
        <v>7</v>
      </c>
      <c r="T586">
        <v>195</v>
      </c>
      <c r="U586" s="11">
        <v>-0.43388373911755801</v>
      </c>
      <c r="V586" s="11">
        <v>-0.90096886790241915</v>
      </c>
      <c r="W586" s="11">
        <v>-0.19443122004766195</v>
      </c>
      <c r="X586" s="11">
        <v>-0.98091615374137742</v>
      </c>
      <c r="Y586">
        <v>0</v>
      </c>
      <c r="Z586">
        <v>0</v>
      </c>
      <c r="AB586">
        <v>1</v>
      </c>
      <c r="AC586">
        <v>0</v>
      </c>
      <c r="AD586">
        <v>0</v>
      </c>
      <c r="AE586">
        <v>0</v>
      </c>
    </row>
    <row r="587" spans="1:31">
      <c r="A587" s="6">
        <v>45122</v>
      </c>
      <c r="B587" t="s">
        <v>31</v>
      </c>
      <c r="C587" t="s">
        <v>32</v>
      </c>
      <c r="D587" t="s">
        <v>33</v>
      </c>
      <c r="E587" t="s">
        <v>34</v>
      </c>
      <c r="F587">
        <v>140</v>
      </c>
      <c r="G587">
        <v>360</v>
      </c>
      <c r="H587">
        <v>276</v>
      </c>
      <c r="I587">
        <v>118</v>
      </c>
      <c r="J587" s="8">
        <v>0.84285714285714286</v>
      </c>
      <c r="K587">
        <v>60</v>
      </c>
      <c r="L587">
        <v>73</v>
      </c>
      <c r="M587">
        <v>238</v>
      </c>
      <c r="N587" s="10">
        <v>501.74</v>
      </c>
      <c r="O587" s="7">
        <v>4.2</v>
      </c>
      <c r="P587" s="7">
        <v>29</v>
      </c>
      <c r="Q587">
        <v>5</v>
      </c>
      <c r="R587" t="s">
        <v>67</v>
      </c>
      <c r="S587">
        <v>7</v>
      </c>
      <c r="T587">
        <v>196</v>
      </c>
      <c r="U587" s="11">
        <v>-0.97492791218182362</v>
      </c>
      <c r="V587" s="11">
        <v>-0.22252093395631459</v>
      </c>
      <c r="W587" s="11">
        <v>-0.21127575558217929</v>
      </c>
      <c r="X587" s="11">
        <v>-0.97742649601040554</v>
      </c>
      <c r="Y587">
        <v>1</v>
      </c>
      <c r="Z587">
        <v>0</v>
      </c>
      <c r="AB587">
        <v>1</v>
      </c>
      <c r="AC587">
        <v>0</v>
      </c>
      <c r="AD587">
        <v>0</v>
      </c>
      <c r="AE587">
        <v>1</v>
      </c>
    </row>
    <row r="588" spans="1:31">
      <c r="A588" s="6">
        <v>45122</v>
      </c>
      <c r="B588" t="s">
        <v>36</v>
      </c>
      <c r="C588" t="s">
        <v>37</v>
      </c>
      <c r="D588" t="s">
        <v>38</v>
      </c>
      <c r="E588" t="s">
        <v>39</v>
      </c>
      <c r="F588">
        <v>125</v>
      </c>
      <c r="G588">
        <v>320</v>
      </c>
      <c r="H588">
        <v>277</v>
      </c>
      <c r="I588">
        <v>116</v>
      </c>
      <c r="J588" s="8">
        <v>0.92800000000000005</v>
      </c>
      <c r="K588">
        <v>58</v>
      </c>
      <c r="L588">
        <v>75</v>
      </c>
      <c r="M588">
        <v>226</v>
      </c>
      <c r="N588" s="10">
        <v>742.21</v>
      </c>
      <c r="O588" s="7">
        <v>4.2</v>
      </c>
      <c r="P588" s="7">
        <v>29</v>
      </c>
      <c r="Q588">
        <v>5</v>
      </c>
      <c r="R588" t="s">
        <v>67</v>
      </c>
      <c r="S588">
        <v>7</v>
      </c>
      <c r="T588">
        <v>196</v>
      </c>
      <c r="U588" s="11">
        <v>-0.97492791218182362</v>
      </c>
      <c r="V588" s="11">
        <v>-0.22252093395631459</v>
      </c>
      <c r="W588" s="11">
        <v>-0.21127575558217929</v>
      </c>
      <c r="X588" s="11">
        <v>-0.97742649601040554</v>
      </c>
      <c r="Y588">
        <v>1</v>
      </c>
      <c r="Z588">
        <v>0</v>
      </c>
      <c r="AB588">
        <v>1</v>
      </c>
      <c r="AC588">
        <v>0</v>
      </c>
      <c r="AD588">
        <v>0</v>
      </c>
      <c r="AE588">
        <v>1</v>
      </c>
    </row>
    <row r="589" spans="1:31">
      <c r="A589" s="6">
        <v>45122</v>
      </c>
      <c r="B589" t="s">
        <v>41</v>
      </c>
      <c r="C589" t="s">
        <v>42</v>
      </c>
      <c r="D589" t="s">
        <v>43</v>
      </c>
      <c r="E589" t="s">
        <v>44</v>
      </c>
      <c r="F589">
        <v>85</v>
      </c>
      <c r="G589">
        <v>210</v>
      </c>
      <c r="H589">
        <v>180</v>
      </c>
      <c r="I589">
        <v>82</v>
      </c>
      <c r="J589" s="8">
        <v>0.96470588235294119</v>
      </c>
      <c r="K589">
        <v>47</v>
      </c>
      <c r="L589">
        <v>29</v>
      </c>
      <c r="M589">
        <v>162</v>
      </c>
      <c r="N589" s="10">
        <v>637.58000000000004</v>
      </c>
      <c r="O589" s="7">
        <v>4.2</v>
      </c>
      <c r="P589" s="7">
        <v>29</v>
      </c>
      <c r="Q589">
        <v>5</v>
      </c>
      <c r="R589" t="s">
        <v>67</v>
      </c>
      <c r="S589">
        <v>7</v>
      </c>
      <c r="T589">
        <v>196</v>
      </c>
      <c r="U589" s="11">
        <v>-0.97492791218182362</v>
      </c>
      <c r="V589" s="11">
        <v>-0.22252093395631459</v>
      </c>
      <c r="W589" s="11">
        <v>-0.21127575558217929</v>
      </c>
      <c r="X589" s="11">
        <v>-0.97742649601040554</v>
      </c>
      <c r="Y589">
        <v>1</v>
      </c>
      <c r="Z589">
        <v>0</v>
      </c>
      <c r="AB589">
        <v>1</v>
      </c>
      <c r="AC589">
        <v>0</v>
      </c>
      <c r="AD589">
        <v>0</v>
      </c>
      <c r="AE589">
        <v>1</v>
      </c>
    </row>
    <row r="590" spans="1:31">
      <c r="A590" s="6">
        <v>45123</v>
      </c>
      <c r="B590" t="s">
        <v>31</v>
      </c>
      <c r="C590" t="s">
        <v>32</v>
      </c>
      <c r="D590" t="s">
        <v>33</v>
      </c>
      <c r="E590" t="s">
        <v>34</v>
      </c>
      <c r="F590">
        <v>140</v>
      </c>
      <c r="G590">
        <v>360</v>
      </c>
      <c r="H590">
        <v>289</v>
      </c>
      <c r="I590">
        <v>123</v>
      </c>
      <c r="J590" s="8">
        <v>0.87857142857142856</v>
      </c>
      <c r="K590">
        <v>61</v>
      </c>
      <c r="L590">
        <v>63</v>
      </c>
      <c r="M590">
        <v>256</v>
      </c>
      <c r="N590" s="10">
        <v>564.35</v>
      </c>
      <c r="O590" s="7">
        <v>0.3</v>
      </c>
      <c r="P590" s="7">
        <v>28.9</v>
      </c>
      <c r="Q590">
        <v>6</v>
      </c>
      <c r="R590" t="s">
        <v>60</v>
      </c>
      <c r="S590">
        <v>7</v>
      </c>
      <c r="T590">
        <v>197</v>
      </c>
      <c r="U590" s="11">
        <v>-0.78183148246802991</v>
      </c>
      <c r="V590" s="11">
        <v>0.62348980185873337</v>
      </c>
      <c r="W590" s="11">
        <v>-0.22805777122151979</v>
      </c>
      <c r="X590" s="11">
        <v>-0.97364760205398382</v>
      </c>
      <c r="Y590">
        <v>1</v>
      </c>
      <c r="Z590">
        <v>0</v>
      </c>
      <c r="AB590">
        <v>1</v>
      </c>
      <c r="AC590">
        <v>0</v>
      </c>
      <c r="AD590">
        <v>0</v>
      </c>
      <c r="AE590">
        <v>1</v>
      </c>
    </row>
    <row r="591" spans="1:31">
      <c r="A591" s="6">
        <v>45123</v>
      </c>
      <c r="B591" t="s">
        <v>36</v>
      </c>
      <c r="C591" t="s">
        <v>37</v>
      </c>
      <c r="D591" t="s">
        <v>38</v>
      </c>
      <c r="E591" t="s">
        <v>39</v>
      </c>
      <c r="F591">
        <v>125</v>
      </c>
      <c r="G591">
        <v>320</v>
      </c>
      <c r="H591">
        <v>268</v>
      </c>
      <c r="I591">
        <v>113</v>
      </c>
      <c r="J591" s="8">
        <v>0.90400000000000003</v>
      </c>
      <c r="K591">
        <v>34</v>
      </c>
      <c r="L591">
        <v>30</v>
      </c>
      <c r="M591">
        <v>227</v>
      </c>
      <c r="N591" s="10">
        <v>739.06</v>
      </c>
      <c r="O591" s="7">
        <v>0.3</v>
      </c>
      <c r="P591" s="7">
        <v>28.9</v>
      </c>
      <c r="Q591">
        <v>6</v>
      </c>
      <c r="R591" t="s">
        <v>60</v>
      </c>
      <c r="S591">
        <v>7</v>
      </c>
      <c r="T591">
        <v>197</v>
      </c>
      <c r="U591" s="11">
        <v>-0.78183148246802991</v>
      </c>
      <c r="V591" s="11">
        <v>0.62348980185873337</v>
      </c>
      <c r="W591" s="11">
        <v>-0.22805777122151979</v>
      </c>
      <c r="X591" s="11">
        <v>-0.97364760205398382</v>
      </c>
      <c r="Y591">
        <v>1</v>
      </c>
      <c r="Z591">
        <v>0</v>
      </c>
      <c r="AB591">
        <v>1</v>
      </c>
      <c r="AC591">
        <v>0</v>
      </c>
      <c r="AD591">
        <v>0</v>
      </c>
      <c r="AE591">
        <v>1</v>
      </c>
    </row>
    <row r="592" spans="1:31">
      <c r="A592" s="6">
        <v>45123</v>
      </c>
      <c r="B592" t="s">
        <v>41</v>
      </c>
      <c r="C592" t="s">
        <v>42</v>
      </c>
      <c r="D592" t="s">
        <v>43</v>
      </c>
      <c r="E592" t="s">
        <v>44</v>
      </c>
      <c r="F592">
        <v>85</v>
      </c>
      <c r="G592">
        <v>210</v>
      </c>
      <c r="H592">
        <v>182</v>
      </c>
      <c r="I592">
        <v>82</v>
      </c>
      <c r="J592" s="8">
        <v>0.96470588235294119</v>
      </c>
      <c r="K592">
        <v>48</v>
      </c>
      <c r="L592">
        <v>34</v>
      </c>
      <c r="M592">
        <v>163</v>
      </c>
      <c r="N592" s="10">
        <v>698.55</v>
      </c>
      <c r="O592" s="7">
        <v>0.3</v>
      </c>
      <c r="P592" s="7">
        <v>28.9</v>
      </c>
      <c r="Q592">
        <v>6</v>
      </c>
      <c r="R592" t="s">
        <v>60</v>
      </c>
      <c r="S592">
        <v>7</v>
      </c>
      <c r="T592">
        <v>197</v>
      </c>
      <c r="U592" s="11">
        <v>-0.78183148246802991</v>
      </c>
      <c r="V592" s="11">
        <v>0.62348980185873337</v>
      </c>
      <c r="W592" s="11">
        <v>-0.22805777122151979</v>
      </c>
      <c r="X592" s="11">
        <v>-0.97364760205398382</v>
      </c>
      <c r="Y592">
        <v>1</v>
      </c>
      <c r="Z592">
        <v>0</v>
      </c>
      <c r="AB592">
        <v>1</v>
      </c>
      <c r="AC592">
        <v>0</v>
      </c>
      <c r="AD592">
        <v>0</v>
      </c>
      <c r="AE592">
        <v>1</v>
      </c>
    </row>
    <row r="593" spans="1:31">
      <c r="A593" s="6">
        <v>45124</v>
      </c>
      <c r="B593" t="s">
        <v>31</v>
      </c>
      <c r="C593" t="s">
        <v>32</v>
      </c>
      <c r="D593" t="s">
        <v>33</v>
      </c>
      <c r="E593" t="s">
        <v>34</v>
      </c>
      <c r="F593">
        <v>140</v>
      </c>
      <c r="G593">
        <v>360</v>
      </c>
      <c r="H593">
        <v>236</v>
      </c>
      <c r="I593">
        <v>103</v>
      </c>
      <c r="J593" s="8">
        <v>0.73571428571428577</v>
      </c>
      <c r="K593">
        <v>33</v>
      </c>
      <c r="L593">
        <v>61</v>
      </c>
      <c r="M593">
        <v>216</v>
      </c>
      <c r="N593" s="10">
        <v>428.84</v>
      </c>
      <c r="O593" s="7">
        <v>4.5999999999999996</v>
      </c>
      <c r="P593" s="7">
        <v>28.8</v>
      </c>
      <c r="Q593">
        <v>0</v>
      </c>
      <c r="R593" t="s">
        <v>62</v>
      </c>
      <c r="S593">
        <v>7</v>
      </c>
      <c r="T593">
        <v>198</v>
      </c>
      <c r="U593" s="11">
        <v>0</v>
      </c>
      <c r="V593" s="11">
        <v>1</v>
      </c>
      <c r="W593" s="11">
        <v>-0.24477230089725957</v>
      </c>
      <c r="X593" s="11">
        <v>-0.96958059010763076</v>
      </c>
      <c r="Y593">
        <v>0</v>
      </c>
      <c r="Z593">
        <v>0</v>
      </c>
      <c r="AB593">
        <v>1</v>
      </c>
      <c r="AC593">
        <v>0</v>
      </c>
      <c r="AD593">
        <v>0</v>
      </c>
      <c r="AE593">
        <v>0</v>
      </c>
    </row>
    <row r="594" spans="1:31">
      <c r="A594" s="6">
        <v>45124</v>
      </c>
      <c r="B594" t="s">
        <v>36</v>
      </c>
      <c r="C594" t="s">
        <v>37</v>
      </c>
      <c r="D594" t="s">
        <v>38</v>
      </c>
      <c r="E594" t="s">
        <v>39</v>
      </c>
      <c r="F594">
        <v>125</v>
      </c>
      <c r="G594">
        <v>320</v>
      </c>
      <c r="H594">
        <v>227</v>
      </c>
      <c r="I594">
        <v>95</v>
      </c>
      <c r="J594" s="8">
        <v>0.76</v>
      </c>
      <c r="K594">
        <v>54</v>
      </c>
      <c r="L594">
        <v>63</v>
      </c>
      <c r="M594">
        <v>210</v>
      </c>
      <c r="N594" s="10">
        <v>718.2</v>
      </c>
      <c r="O594" s="7">
        <v>4.5999999999999996</v>
      </c>
      <c r="P594" s="7">
        <v>28.8</v>
      </c>
      <c r="Q594">
        <v>0</v>
      </c>
      <c r="R594" t="s">
        <v>62</v>
      </c>
      <c r="S594">
        <v>7</v>
      </c>
      <c r="T594">
        <v>198</v>
      </c>
      <c r="U594" s="11">
        <v>0</v>
      </c>
      <c r="V594" s="11">
        <v>1</v>
      </c>
      <c r="W594" s="11">
        <v>-0.24477230089725957</v>
      </c>
      <c r="X594" s="11">
        <v>-0.96958059010763076</v>
      </c>
      <c r="Y594">
        <v>0</v>
      </c>
      <c r="Z594">
        <v>0</v>
      </c>
      <c r="AB594">
        <v>1</v>
      </c>
      <c r="AC594">
        <v>0</v>
      </c>
      <c r="AD594">
        <v>0</v>
      </c>
      <c r="AE594">
        <v>0</v>
      </c>
    </row>
    <row r="595" spans="1:31">
      <c r="A595" s="6">
        <v>45124</v>
      </c>
      <c r="B595" t="s">
        <v>41</v>
      </c>
      <c r="C595" t="s">
        <v>42</v>
      </c>
      <c r="D595" t="s">
        <v>43</v>
      </c>
      <c r="E595" t="s">
        <v>44</v>
      </c>
      <c r="F595">
        <v>85</v>
      </c>
      <c r="G595">
        <v>210</v>
      </c>
      <c r="H595">
        <v>163</v>
      </c>
      <c r="I595">
        <v>74</v>
      </c>
      <c r="J595" s="8">
        <v>0.87058823529411766</v>
      </c>
      <c r="K595">
        <v>30</v>
      </c>
      <c r="L595">
        <v>29</v>
      </c>
      <c r="M595">
        <v>147</v>
      </c>
      <c r="N595" s="10">
        <v>543.83000000000004</v>
      </c>
      <c r="O595" s="7">
        <v>4.5999999999999996</v>
      </c>
      <c r="P595" s="7">
        <v>28.8</v>
      </c>
      <c r="Q595">
        <v>0</v>
      </c>
      <c r="R595" t="s">
        <v>62</v>
      </c>
      <c r="S595">
        <v>7</v>
      </c>
      <c r="T595">
        <v>198</v>
      </c>
      <c r="U595" s="11">
        <v>0</v>
      </c>
      <c r="V595" s="11">
        <v>1</v>
      </c>
      <c r="W595" s="11">
        <v>-0.24477230089725957</v>
      </c>
      <c r="X595" s="11">
        <v>-0.96958059010763076</v>
      </c>
      <c r="Y595">
        <v>0</v>
      </c>
      <c r="Z595">
        <v>0</v>
      </c>
      <c r="AB595">
        <v>1</v>
      </c>
      <c r="AC595">
        <v>0</v>
      </c>
      <c r="AD595">
        <v>0</v>
      </c>
      <c r="AE595">
        <v>0</v>
      </c>
    </row>
    <row r="596" spans="1:31">
      <c r="A596" s="6">
        <v>45125</v>
      </c>
      <c r="B596" t="s">
        <v>31</v>
      </c>
      <c r="C596" t="s">
        <v>32</v>
      </c>
      <c r="D596" t="s">
        <v>33</v>
      </c>
      <c r="E596" t="s">
        <v>34</v>
      </c>
      <c r="F596">
        <v>140</v>
      </c>
      <c r="G596">
        <v>360</v>
      </c>
      <c r="H596">
        <v>224</v>
      </c>
      <c r="I596">
        <v>94</v>
      </c>
      <c r="J596" s="8">
        <v>0.67142857142857137</v>
      </c>
      <c r="K596">
        <v>34</v>
      </c>
      <c r="L596">
        <v>37</v>
      </c>
      <c r="M596">
        <v>180</v>
      </c>
      <c r="N596" s="10">
        <v>426.31</v>
      </c>
      <c r="O596" s="7">
        <v>25.7</v>
      </c>
      <c r="P596" s="7">
        <v>29.7</v>
      </c>
      <c r="Q596">
        <v>1</v>
      </c>
      <c r="R596" t="s">
        <v>63</v>
      </c>
      <c r="S596">
        <v>7</v>
      </c>
      <c r="T596">
        <v>199</v>
      </c>
      <c r="U596" s="11">
        <v>0.7818314824680298</v>
      </c>
      <c r="V596" s="11">
        <v>0.62348980185873359</v>
      </c>
      <c r="W596" s="11">
        <v>-0.26141439851115622</v>
      </c>
      <c r="X596" s="11">
        <v>-0.96522666366561305</v>
      </c>
      <c r="Y596">
        <v>0</v>
      </c>
      <c r="Z596">
        <v>0</v>
      </c>
      <c r="AB596">
        <v>1</v>
      </c>
      <c r="AC596">
        <v>0</v>
      </c>
      <c r="AD596">
        <v>0</v>
      </c>
      <c r="AE596">
        <v>0</v>
      </c>
    </row>
    <row r="597" spans="1:31">
      <c r="A597" s="6">
        <v>45125</v>
      </c>
      <c r="B597" t="s">
        <v>36</v>
      </c>
      <c r="C597" t="s">
        <v>37</v>
      </c>
      <c r="D597" t="s">
        <v>38</v>
      </c>
      <c r="E597" t="s">
        <v>39</v>
      </c>
      <c r="F597">
        <v>125</v>
      </c>
      <c r="G597">
        <v>320</v>
      </c>
      <c r="H597">
        <v>212</v>
      </c>
      <c r="I597">
        <v>91</v>
      </c>
      <c r="J597" s="8">
        <v>0.72799999999999998</v>
      </c>
      <c r="K597">
        <v>23</v>
      </c>
      <c r="L597">
        <v>34</v>
      </c>
      <c r="M597">
        <v>176</v>
      </c>
      <c r="N597" s="10">
        <v>703.29</v>
      </c>
      <c r="O597" s="7">
        <v>25.7</v>
      </c>
      <c r="P597" s="7">
        <v>29.7</v>
      </c>
      <c r="Q597">
        <v>1</v>
      </c>
      <c r="R597" t="s">
        <v>63</v>
      </c>
      <c r="S597">
        <v>7</v>
      </c>
      <c r="T597">
        <v>199</v>
      </c>
      <c r="U597" s="11">
        <v>0.7818314824680298</v>
      </c>
      <c r="V597" s="11">
        <v>0.62348980185873359</v>
      </c>
      <c r="W597" s="11">
        <v>-0.26141439851115622</v>
      </c>
      <c r="X597" s="11">
        <v>-0.96522666366561305</v>
      </c>
      <c r="Y597">
        <v>0</v>
      </c>
      <c r="Z597">
        <v>0</v>
      </c>
      <c r="AB597">
        <v>1</v>
      </c>
      <c r="AC597">
        <v>0</v>
      </c>
      <c r="AD597">
        <v>0</v>
      </c>
      <c r="AE597">
        <v>0</v>
      </c>
    </row>
    <row r="598" spans="1:31">
      <c r="A598" s="6">
        <v>45125</v>
      </c>
      <c r="B598" t="s">
        <v>41</v>
      </c>
      <c r="C598" t="s">
        <v>42</v>
      </c>
      <c r="D598" t="s">
        <v>43</v>
      </c>
      <c r="E598" t="s">
        <v>44</v>
      </c>
      <c r="F598">
        <v>85</v>
      </c>
      <c r="G598">
        <v>210</v>
      </c>
      <c r="H598">
        <v>142</v>
      </c>
      <c r="I598">
        <v>65</v>
      </c>
      <c r="J598" s="8">
        <v>0.76470588235294112</v>
      </c>
      <c r="K598">
        <v>28</v>
      </c>
      <c r="L598">
        <v>33</v>
      </c>
      <c r="M598">
        <v>124</v>
      </c>
      <c r="N598" s="10">
        <v>602.42999999999995</v>
      </c>
      <c r="O598" s="7">
        <v>25.7</v>
      </c>
      <c r="P598" s="7">
        <v>29.7</v>
      </c>
      <c r="Q598">
        <v>1</v>
      </c>
      <c r="R598" t="s">
        <v>63</v>
      </c>
      <c r="S598">
        <v>7</v>
      </c>
      <c r="T598">
        <v>199</v>
      </c>
      <c r="U598" s="11">
        <v>0.7818314824680298</v>
      </c>
      <c r="V598" s="11">
        <v>0.62348980185873359</v>
      </c>
      <c r="W598" s="11">
        <v>-0.26141439851115622</v>
      </c>
      <c r="X598" s="11">
        <v>-0.96522666366561305</v>
      </c>
      <c r="Y598">
        <v>0</v>
      </c>
      <c r="Z598">
        <v>0</v>
      </c>
      <c r="AB598">
        <v>1</v>
      </c>
      <c r="AC598">
        <v>0</v>
      </c>
      <c r="AD598">
        <v>0</v>
      </c>
      <c r="AE598">
        <v>0</v>
      </c>
    </row>
    <row r="599" spans="1:31">
      <c r="A599" s="6">
        <v>45126</v>
      </c>
      <c r="B599" t="s">
        <v>31</v>
      </c>
      <c r="C599" t="s">
        <v>32</v>
      </c>
      <c r="D599" t="s">
        <v>33</v>
      </c>
      <c r="E599" t="s">
        <v>34</v>
      </c>
      <c r="F599">
        <v>140</v>
      </c>
      <c r="G599">
        <v>360</v>
      </c>
      <c r="H599">
        <v>202</v>
      </c>
      <c r="I599">
        <v>86</v>
      </c>
      <c r="J599" s="8">
        <v>0.61428571428571432</v>
      </c>
      <c r="K599">
        <v>25</v>
      </c>
      <c r="L599">
        <v>46</v>
      </c>
      <c r="M599">
        <v>171</v>
      </c>
      <c r="N599" s="10">
        <v>435.56</v>
      </c>
      <c r="O599" s="7">
        <v>0</v>
      </c>
      <c r="P599" s="7">
        <v>27.9</v>
      </c>
      <c r="Q599">
        <v>2</v>
      </c>
      <c r="R599" t="s">
        <v>64</v>
      </c>
      <c r="S599">
        <v>7</v>
      </c>
      <c r="T599">
        <v>200</v>
      </c>
      <c r="U599" s="11">
        <v>0.97492791218182362</v>
      </c>
      <c r="V599" s="11">
        <v>-0.22252093395631434</v>
      </c>
      <c r="W599" s="11">
        <v>-0.27797913939878011</v>
      </c>
      <c r="X599" s="11">
        <v>-0.96058711112481288</v>
      </c>
      <c r="Y599">
        <v>0</v>
      </c>
      <c r="Z599">
        <v>0</v>
      </c>
      <c r="AB599">
        <v>1</v>
      </c>
      <c r="AC599">
        <v>0</v>
      </c>
      <c r="AD599">
        <v>0</v>
      </c>
      <c r="AE599">
        <v>0</v>
      </c>
    </row>
    <row r="600" spans="1:31">
      <c r="A600" s="6">
        <v>45126</v>
      </c>
      <c r="B600" t="s">
        <v>36</v>
      </c>
      <c r="C600" t="s">
        <v>37</v>
      </c>
      <c r="D600" t="s">
        <v>38</v>
      </c>
      <c r="E600" t="s">
        <v>39</v>
      </c>
      <c r="F600">
        <v>125</v>
      </c>
      <c r="G600">
        <v>320</v>
      </c>
      <c r="H600">
        <v>218</v>
      </c>
      <c r="I600">
        <v>90</v>
      </c>
      <c r="J600" s="8">
        <v>0.72</v>
      </c>
      <c r="K600">
        <v>40</v>
      </c>
      <c r="L600">
        <v>36</v>
      </c>
      <c r="M600">
        <v>183</v>
      </c>
      <c r="N600" s="10">
        <v>671.97</v>
      </c>
      <c r="O600" s="7">
        <v>0</v>
      </c>
      <c r="P600" s="7">
        <v>27.9</v>
      </c>
      <c r="Q600">
        <v>2</v>
      </c>
      <c r="R600" t="s">
        <v>64</v>
      </c>
      <c r="S600">
        <v>7</v>
      </c>
      <c r="T600">
        <v>200</v>
      </c>
      <c r="U600" s="11">
        <v>0.97492791218182362</v>
      </c>
      <c r="V600" s="11">
        <v>-0.22252093395631434</v>
      </c>
      <c r="W600" s="11">
        <v>-0.27797913939878011</v>
      </c>
      <c r="X600" s="11">
        <v>-0.96058711112481288</v>
      </c>
      <c r="Y600">
        <v>0</v>
      </c>
      <c r="Z600">
        <v>0</v>
      </c>
      <c r="AB600">
        <v>1</v>
      </c>
      <c r="AC600">
        <v>0</v>
      </c>
      <c r="AD600">
        <v>0</v>
      </c>
      <c r="AE600">
        <v>0</v>
      </c>
    </row>
    <row r="601" spans="1:31">
      <c r="A601" s="6">
        <v>45126</v>
      </c>
      <c r="B601" t="s">
        <v>41</v>
      </c>
      <c r="C601" t="s">
        <v>42</v>
      </c>
      <c r="D601" t="s">
        <v>43</v>
      </c>
      <c r="E601" t="s">
        <v>44</v>
      </c>
      <c r="F601">
        <v>85</v>
      </c>
      <c r="G601">
        <v>210</v>
      </c>
      <c r="H601">
        <v>158</v>
      </c>
      <c r="I601">
        <v>71</v>
      </c>
      <c r="J601" s="8">
        <v>0.83529411764705885</v>
      </c>
      <c r="K601">
        <v>27</v>
      </c>
      <c r="L601">
        <v>31</v>
      </c>
      <c r="M601">
        <v>144</v>
      </c>
      <c r="N601" s="10">
        <v>564.24</v>
      </c>
      <c r="O601" s="7">
        <v>0</v>
      </c>
      <c r="P601" s="7">
        <v>27.9</v>
      </c>
      <c r="Q601">
        <v>2</v>
      </c>
      <c r="R601" t="s">
        <v>64</v>
      </c>
      <c r="S601">
        <v>7</v>
      </c>
      <c r="T601">
        <v>200</v>
      </c>
      <c r="U601" s="11">
        <v>0.97492791218182362</v>
      </c>
      <c r="V601" s="11">
        <v>-0.22252093395631434</v>
      </c>
      <c r="W601" s="11">
        <v>-0.27797913939878011</v>
      </c>
      <c r="X601" s="11">
        <v>-0.96058711112481288</v>
      </c>
      <c r="Y601">
        <v>0</v>
      </c>
      <c r="Z601">
        <v>0</v>
      </c>
      <c r="AB601">
        <v>1</v>
      </c>
      <c r="AC601">
        <v>0</v>
      </c>
      <c r="AD601">
        <v>0</v>
      </c>
      <c r="AE601">
        <v>0</v>
      </c>
    </row>
    <row r="602" spans="1:31">
      <c r="A602" s="6">
        <v>45127</v>
      </c>
      <c r="B602" t="s">
        <v>31</v>
      </c>
      <c r="C602" t="s">
        <v>32</v>
      </c>
      <c r="D602" t="s">
        <v>33</v>
      </c>
      <c r="E602" t="s">
        <v>34</v>
      </c>
      <c r="F602">
        <v>140</v>
      </c>
      <c r="G602">
        <v>360</v>
      </c>
      <c r="H602">
        <v>215</v>
      </c>
      <c r="I602">
        <v>92</v>
      </c>
      <c r="J602" s="8">
        <v>0.65714285714285714</v>
      </c>
      <c r="K602">
        <v>53</v>
      </c>
      <c r="L602">
        <v>33</v>
      </c>
      <c r="M602">
        <v>181</v>
      </c>
      <c r="N602" s="10">
        <v>487.92</v>
      </c>
      <c r="O602" s="7">
        <v>4.3</v>
      </c>
      <c r="P602" s="7">
        <v>28.6</v>
      </c>
      <c r="Q602">
        <v>3</v>
      </c>
      <c r="R602" t="s">
        <v>65</v>
      </c>
      <c r="S602">
        <v>7</v>
      </c>
      <c r="T602">
        <v>201</v>
      </c>
      <c r="U602" s="11">
        <v>0.43388373911755823</v>
      </c>
      <c r="V602" s="11">
        <v>-0.90096886790241903</v>
      </c>
      <c r="W602" s="11">
        <v>-0.29446162178680119</v>
      </c>
      <c r="X602" s="11">
        <v>-0.95566330540347044</v>
      </c>
      <c r="Y602">
        <v>0</v>
      </c>
      <c r="Z602">
        <v>0</v>
      </c>
      <c r="AB602">
        <v>1</v>
      </c>
      <c r="AC602">
        <v>0</v>
      </c>
      <c r="AD602">
        <v>0</v>
      </c>
      <c r="AE602">
        <v>0</v>
      </c>
    </row>
    <row r="603" spans="1:31">
      <c r="A603" s="6">
        <v>45127</v>
      </c>
      <c r="B603" t="s">
        <v>36</v>
      </c>
      <c r="C603" t="s">
        <v>37</v>
      </c>
      <c r="D603" t="s">
        <v>38</v>
      </c>
      <c r="E603" t="s">
        <v>39</v>
      </c>
      <c r="F603">
        <v>125</v>
      </c>
      <c r="G603">
        <v>320</v>
      </c>
      <c r="H603">
        <v>216</v>
      </c>
      <c r="I603">
        <v>91</v>
      </c>
      <c r="J603" s="8">
        <v>0.72799999999999998</v>
      </c>
      <c r="K603">
        <v>33</v>
      </c>
      <c r="L603">
        <v>41</v>
      </c>
      <c r="M603">
        <v>193</v>
      </c>
      <c r="N603" s="10">
        <v>633.46</v>
      </c>
      <c r="O603" s="7">
        <v>4.3</v>
      </c>
      <c r="P603" s="7">
        <v>28.6</v>
      </c>
      <c r="Q603">
        <v>3</v>
      </c>
      <c r="R603" t="s">
        <v>65</v>
      </c>
      <c r="S603">
        <v>7</v>
      </c>
      <c r="T603">
        <v>201</v>
      </c>
      <c r="U603" s="11">
        <v>0.43388373911755823</v>
      </c>
      <c r="V603" s="11">
        <v>-0.90096886790241903</v>
      </c>
      <c r="W603" s="11">
        <v>-0.29446162178680119</v>
      </c>
      <c r="X603" s="11">
        <v>-0.95566330540347044</v>
      </c>
      <c r="Y603">
        <v>0</v>
      </c>
      <c r="Z603">
        <v>0</v>
      </c>
      <c r="AB603">
        <v>1</v>
      </c>
      <c r="AC603">
        <v>0</v>
      </c>
      <c r="AD603">
        <v>0</v>
      </c>
      <c r="AE603">
        <v>0</v>
      </c>
    </row>
    <row r="604" spans="1:31">
      <c r="A604" s="6">
        <v>45127</v>
      </c>
      <c r="B604" t="s">
        <v>41</v>
      </c>
      <c r="C604" t="s">
        <v>42</v>
      </c>
      <c r="D604" t="s">
        <v>43</v>
      </c>
      <c r="E604" t="s">
        <v>44</v>
      </c>
      <c r="F604">
        <v>85</v>
      </c>
      <c r="G604">
        <v>210</v>
      </c>
      <c r="H604">
        <v>152</v>
      </c>
      <c r="I604">
        <v>69</v>
      </c>
      <c r="J604" s="8">
        <v>0.81176470588235294</v>
      </c>
      <c r="K604">
        <v>38</v>
      </c>
      <c r="L604">
        <v>34</v>
      </c>
      <c r="M604">
        <v>128</v>
      </c>
      <c r="N604" s="10">
        <v>619.73</v>
      </c>
      <c r="O604" s="7">
        <v>4.3</v>
      </c>
      <c r="P604" s="7">
        <v>28.6</v>
      </c>
      <c r="Q604">
        <v>3</v>
      </c>
      <c r="R604" t="s">
        <v>65</v>
      </c>
      <c r="S604">
        <v>7</v>
      </c>
      <c r="T604">
        <v>201</v>
      </c>
      <c r="U604" s="11">
        <v>0.43388373911755823</v>
      </c>
      <c r="V604" s="11">
        <v>-0.90096886790241903</v>
      </c>
      <c r="W604" s="11">
        <v>-0.29446162178680119</v>
      </c>
      <c r="X604" s="11">
        <v>-0.95566330540347044</v>
      </c>
      <c r="Y604">
        <v>0</v>
      </c>
      <c r="Z604">
        <v>0</v>
      </c>
      <c r="AB604">
        <v>1</v>
      </c>
      <c r="AC604">
        <v>0</v>
      </c>
      <c r="AD604">
        <v>0</v>
      </c>
      <c r="AE604">
        <v>0</v>
      </c>
    </row>
    <row r="605" spans="1:31">
      <c r="A605" s="6">
        <v>45128</v>
      </c>
      <c r="B605" t="s">
        <v>31</v>
      </c>
      <c r="C605" t="s">
        <v>32</v>
      </c>
      <c r="D605" t="s">
        <v>33</v>
      </c>
      <c r="E605" t="s">
        <v>34</v>
      </c>
      <c r="F605">
        <v>140</v>
      </c>
      <c r="G605">
        <v>360</v>
      </c>
      <c r="H605">
        <v>247</v>
      </c>
      <c r="I605">
        <v>102</v>
      </c>
      <c r="J605" s="8">
        <v>0.72857142857142854</v>
      </c>
      <c r="K605">
        <v>31</v>
      </c>
      <c r="L605">
        <v>19</v>
      </c>
      <c r="M605">
        <v>219</v>
      </c>
      <c r="N605" s="10">
        <v>441.45</v>
      </c>
      <c r="O605" s="7">
        <v>4.3</v>
      </c>
      <c r="P605" s="7">
        <v>27.4</v>
      </c>
      <c r="Q605">
        <v>4</v>
      </c>
      <c r="R605" t="s">
        <v>66</v>
      </c>
      <c r="S605">
        <v>7</v>
      </c>
      <c r="T605">
        <v>202</v>
      </c>
      <c r="U605" s="11">
        <v>-0.43388373911755801</v>
      </c>
      <c r="V605" s="11">
        <v>-0.90096886790241915</v>
      </c>
      <c r="W605" s="11">
        <v>-0.31085696824350362</v>
      </c>
      <c r="X605" s="11">
        <v>-0.95045670353491507</v>
      </c>
      <c r="Y605">
        <v>0</v>
      </c>
      <c r="Z605">
        <v>0</v>
      </c>
      <c r="AB605">
        <v>1</v>
      </c>
      <c r="AC605">
        <v>0</v>
      </c>
      <c r="AD605">
        <v>0</v>
      </c>
      <c r="AE605">
        <v>0</v>
      </c>
    </row>
    <row r="606" spans="1:31">
      <c r="A606" s="6">
        <v>45128</v>
      </c>
      <c r="B606" t="s">
        <v>36</v>
      </c>
      <c r="C606" t="s">
        <v>37</v>
      </c>
      <c r="D606" t="s">
        <v>38</v>
      </c>
      <c r="E606" t="s">
        <v>39</v>
      </c>
      <c r="F606">
        <v>125</v>
      </c>
      <c r="G606">
        <v>320</v>
      </c>
      <c r="H606">
        <v>200</v>
      </c>
      <c r="I606">
        <v>85</v>
      </c>
      <c r="J606" s="8">
        <v>0.68</v>
      </c>
      <c r="K606">
        <v>42</v>
      </c>
      <c r="L606">
        <v>19</v>
      </c>
      <c r="M606">
        <v>175</v>
      </c>
      <c r="N606" s="10">
        <v>608.45000000000005</v>
      </c>
      <c r="O606" s="7">
        <v>4.3</v>
      </c>
      <c r="P606" s="7">
        <v>27.4</v>
      </c>
      <c r="Q606">
        <v>4</v>
      </c>
      <c r="R606" t="s">
        <v>66</v>
      </c>
      <c r="S606">
        <v>7</v>
      </c>
      <c r="T606">
        <v>202</v>
      </c>
      <c r="U606" s="11">
        <v>-0.43388373911755801</v>
      </c>
      <c r="V606" s="11">
        <v>-0.90096886790241915</v>
      </c>
      <c r="W606" s="11">
        <v>-0.31085696824350362</v>
      </c>
      <c r="X606" s="11">
        <v>-0.95045670353491507</v>
      </c>
      <c r="Y606">
        <v>0</v>
      </c>
      <c r="Z606">
        <v>0</v>
      </c>
      <c r="AB606">
        <v>1</v>
      </c>
      <c r="AC606">
        <v>0</v>
      </c>
      <c r="AD606">
        <v>0</v>
      </c>
      <c r="AE606">
        <v>0</v>
      </c>
    </row>
    <row r="607" spans="1:31">
      <c r="A607" s="6">
        <v>45128</v>
      </c>
      <c r="B607" t="s">
        <v>41</v>
      </c>
      <c r="C607" t="s">
        <v>42</v>
      </c>
      <c r="D607" t="s">
        <v>43</v>
      </c>
      <c r="E607" t="s">
        <v>44</v>
      </c>
      <c r="F607">
        <v>85</v>
      </c>
      <c r="G607">
        <v>210</v>
      </c>
      <c r="H607">
        <v>155</v>
      </c>
      <c r="I607">
        <v>69</v>
      </c>
      <c r="J607" s="8">
        <v>0.81176470588235294</v>
      </c>
      <c r="K607">
        <v>30</v>
      </c>
      <c r="L607">
        <v>46</v>
      </c>
      <c r="M607">
        <v>142</v>
      </c>
      <c r="N607" s="10">
        <v>587.57000000000005</v>
      </c>
      <c r="O607" s="7">
        <v>4.3</v>
      </c>
      <c r="P607" s="7">
        <v>27.4</v>
      </c>
      <c r="Q607">
        <v>4</v>
      </c>
      <c r="R607" t="s">
        <v>66</v>
      </c>
      <c r="S607">
        <v>7</v>
      </c>
      <c r="T607">
        <v>202</v>
      </c>
      <c r="U607" s="11">
        <v>-0.43388373911755801</v>
      </c>
      <c r="V607" s="11">
        <v>-0.90096886790241915</v>
      </c>
      <c r="W607" s="11">
        <v>-0.31085696824350362</v>
      </c>
      <c r="X607" s="11">
        <v>-0.95045670353491507</v>
      </c>
      <c r="Y607">
        <v>0</v>
      </c>
      <c r="Z607">
        <v>0</v>
      </c>
      <c r="AB607">
        <v>1</v>
      </c>
      <c r="AC607">
        <v>0</v>
      </c>
      <c r="AD607">
        <v>0</v>
      </c>
      <c r="AE607">
        <v>0</v>
      </c>
    </row>
    <row r="608" spans="1:31">
      <c r="A608" s="6">
        <v>45129</v>
      </c>
      <c r="B608" t="s">
        <v>31</v>
      </c>
      <c r="C608" t="s">
        <v>32</v>
      </c>
      <c r="D608" t="s">
        <v>33</v>
      </c>
      <c r="E608" t="s">
        <v>34</v>
      </c>
      <c r="F608">
        <v>140</v>
      </c>
      <c r="G608">
        <v>360</v>
      </c>
      <c r="H608">
        <v>271</v>
      </c>
      <c r="I608">
        <v>117</v>
      </c>
      <c r="J608" s="8">
        <v>0.83571428571428574</v>
      </c>
      <c r="K608">
        <v>43</v>
      </c>
      <c r="L608">
        <v>39</v>
      </c>
      <c r="M608">
        <v>250</v>
      </c>
      <c r="N608" s="10">
        <v>561.46</v>
      </c>
      <c r="O608" s="7">
        <v>5.3</v>
      </c>
      <c r="P608" s="7">
        <v>28.4</v>
      </c>
      <c r="Q608">
        <v>5</v>
      </c>
      <c r="R608" t="s">
        <v>67</v>
      </c>
      <c r="S608">
        <v>7</v>
      </c>
      <c r="T608">
        <v>203</v>
      </c>
      <c r="U608" s="11">
        <v>-0.97492791218182362</v>
      </c>
      <c r="V608" s="11">
        <v>-0.22252093395631459</v>
      </c>
      <c r="W608" s="11">
        <v>-0.32716032712209508</v>
      </c>
      <c r="X608" s="11">
        <v>-0.94496884623640565</v>
      </c>
      <c r="Y608">
        <v>1</v>
      </c>
      <c r="Z608">
        <v>0</v>
      </c>
      <c r="AB608">
        <v>1</v>
      </c>
      <c r="AC608">
        <v>0</v>
      </c>
      <c r="AD608">
        <v>0</v>
      </c>
      <c r="AE608">
        <v>1</v>
      </c>
    </row>
    <row r="609" spans="1:31">
      <c r="A609" s="6">
        <v>45129</v>
      </c>
      <c r="B609" t="s">
        <v>36</v>
      </c>
      <c r="C609" t="s">
        <v>37</v>
      </c>
      <c r="D609" t="s">
        <v>38</v>
      </c>
      <c r="E609" t="s">
        <v>39</v>
      </c>
      <c r="F609">
        <v>125</v>
      </c>
      <c r="G609">
        <v>320</v>
      </c>
      <c r="H609">
        <v>254</v>
      </c>
      <c r="I609">
        <v>108</v>
      </c>
      <c r="J609" s="8">
        <v>0.86399999999999999</v>
      </c>
      <c r="K609">
        <v>52</v>
      </c>
      <c r="L609">
        <v>50</v>
      </c>
      <c r="M609">
        <v>228</v>
      </c>
      <c r="N609" s="10">
        <v>815.48</v>
      </c>
      <c r="O609" s="7">
        <v>5.3</v>
      </c>
      <c r="P609" s="7">
        <v>28.4</v>
      </c>
      <c r="Q609">
        <v>5</v>
      </c>
      <c r="R609" t="s">
        <v>67</v>
      </c>
      <c r="S609">
        <v>7</v>
      </c>
      <c r="T609">
        <v>203</v>
      </c>
      <c r="U609" s="11">
        <v>-0.97492791218182362</v>
      </c>
      <c r="V609" s="11">
        <v>-0.22252093395631459</v>
      </c>
      <c r="W609" s="11">
        <v>-0.32716032712209508</v>
      </c>
      <c r="X609" s="11">
        <v>-0.94496884623640565</v>
      </c>
      <c r="Y609">
        <v>1</v>
      </c>
      <c r="Z609">
        <v>0</v>
      </c>
      <c r="AB609">
        <v>1</v>
      </c>
      <c r="AC609">
        <v>0</v>
      </c>
      <c r="AD609">
        <v>0</v>
      </c>
      <c r="AE609">
        <v>1</v>
      </c>
    </row>
    <row r="610" spans="1:31">
      <c r="A610" s="6">
        <v>45129</v>
      </c>
      <c r="B610" t="s">
        <v>41</v>
      </c>
      <c r="C610" t="s">
        <v>42</v>
      </c>
      <c r="D610" t="s">
        <v>43</v>
      </c>
      <c r="E610" t="s">
        <v>44</v>
      </c>
      <c r="F610">
        <v>85</v>
      </c>
      <c r="G610">
        <v>210</v>
      </c>
      <c r="H610">
        <v>182</v>
      </c>
      <c r="I610">
        <v>82</v>
      </c>
      <c r="J610" s="8">
        <v>0.96470588235294119</v>
      </c>
      <c r="K610">
        <v>29</v>
      </c>
      <c r="L610">
        <v>28</v>
      </c>
      <c r="M610">
        <v>166</v>
      </c>
      <c r="N610" s="10">
        <v>632.91</v>
      </c>
      <c r="O610" s="7">
        <v>5.3</v>
      </c>
      <c r="P610" s="7">
        <v>28.4</v>
      </c>
      <c r="Q610">
        <v>5</v>
      </c>
      <c r="R610" t="s">
        <v>67</v>
      </c>
      <c r="S610">
        <v>7</v>
      </c>
      <c r="T610">
        <v>203</v>
      </c>
      <c r="U610" s="11">
        <v>-0.97492791218182362</v>
      </c>
      <c r="V610" s="11">
        <v>-0.22252093395631459</v>
      </c>
      <c r="W610" s="11">
        <v>-0.32716032712209508</v>
      </c>
      <c r="X610" s="11">
        <v>-0.94496884623640565</v>
      </c>
      <c r="Y610">
        <v>1</v>
      </c>
      <c r="Z610">
        <v>0</v>
      </c>
      <c r="AB610">
        <v>1</v>
      </c>
      <c r="AC610">
        <v>0</v>
      </c>
      <c r="AD610">
        <v>0</v>
      </c>
      <c r="AE610">
        <v>1</v>
      </c>
    </row>
    <row r="611" spans="1:31">
      <c r="A611" s="6">
        <v>45130</v>
      </c>
      <c r="B611" t="s">
        <v>31</v>
      </c>
      <c r="C611" t="s">
        <v>32</v>
      </c>
      <c r="D611" t="s">
        <v>33</v>
      </c>
      <c r="E611" t="s">
        <v>34</v>
      </c>
      <c r="F611">
        <v>140</v>
      </c>
      <c r="G611">
        <v>360</v>
      </c>
      <c r="H611">
        <v>273</v>
      </c>
      <c r="I611">
        <v>113</v>
      </c>
      <c r="J611" s="8">
        <v>0.80714285714285716</v>
      </c>
      <c r="K611">
        <v>39</v>
      </c>
      <c r="L611">
        <v>64</v>
      </c>
      <c r="M611">
        <v>256</v>
      </c>
      <c r="N611" s="10">
        <v>501.38</v>
      </c>
      <c r="O611" s="7">
        <v>9.1999999999999993</v>
      </c>
      <c r="P611" s="7">
        <v>28.5</v>
      </c>
      <c r="Q611">
        <v>6</v>
      </c>
      <c r="R611" t="s">
        <v>60</v>
      </c>
      <c r="S611">
        <v>7</v>
      </c>
      <c r="T611">
        <v>204</v>
      </c>
      <c r="U611" s="11">
        <v>-0.78183148246802991</v>
      </c>
      <c r="V611" s="11">
        <v>0.62348980185873337</v>
      </c>
      <c r="W611" s="11">
        <v>-0.34336687399638804</v>
      </c>
      <c r="X611" s="11">
        <v>-0.93920135745320799</v>
      </c>
      <c r="Y611">
        <v>1</v>
      </c>
      <c r="Z611">
        <v>0</v>
      </c>
      <c r="AB611">
        <v>1</v>
      </c>
      <c r="AC611">
        <v>0</v>
      </c>
      <c r="AD611">
        <v>0</v>
      </c>
      <c r="AE611">
        <v>1</v>
      </c>
    </row>
    <row r="612" spans="1:31">
      <c r="A612" s="6">
        <v>45130</v>
      </c>
      <c r="B612" t="s">
        <v>36</v>
      </c>
      <c r="C612" t="s">
        <v>37</v>
      </c>
      <c r="D612" t="s">
        <v>38</v>
      </c>
      <c r="E612" t="s">
        <v>39</v>
      </c>
      <c r="F612">
        <v>125</v>
      </c>
      <c r="G612">
        <v>320</v>
      </c>
      <c r="H612">
        <v>278</v>
      </c>
      <c r="I612">
        <v>115</v>
      </c>
      <c r="J612" s="8">
        <v>0.92</v>
      </c>
      <c r="K612">
        <v>73</v>
      </c>
      <c r="L612">
        <v>49</v>
      </c>
      <c r="M612">
        <v>259</v>
      </c>
      <c r="N612" s="10">
        <v>771.36</v>
      </c>
      <c r="O612" s="7">
        <v>9.1999999999999993</v>
      </c>
      <c r="P612" s="7">
        <v>28.5</v>
      </c>
      <c r="Q612">
        <v>6</v>
      </c>
      <c r="R612" t="s">
        <v>60</v>
      </c>
      <c r="S612">
        <v>7</v>
      </c>
      <c r="T612">
        <v>204</v>
      </c>
      <c r="U612" s="11">
        <v>-0.78183148246802991</v>
      </c>
      <c r="V612" s="11">
        <v>0.62348980185873337</v>
      </c>
      <c r="W612" s="11">
        <v>-0.34336687399638804</v>
      </c>
      <c r="X612" s="11">
        <v>-0.93920135745320799</v>
      </c>
      <c r="Y612">
        <v>1</v>
      </c>
      <c r="Z612">
        <v>0</v>
      </c>
      <c r="AB612">
        <v>1</v>
      </c>
      <c r="AC612">
        <v>0</v>
      </c>
      <c r="AD612">
        <v>0</v>
      </c>
      <c r="AE612">
        <v>1</v>
      </c>
    </row>
    <row r="613" spans="1:31">
      <c r="A613" s="6">
        <v>45130</v>
      </c>
      <c r="B613" t="s">
        <v>41</v>
      </c>
      <c r="C613" t="s">
        <v>42</v>
      </c>
      <c r="D613" t="s">
        <v>43</v>
      </c>
      <c r="E613" t="s">
        <v>44</v>
      </c>
      <c r="F613">
        <v>85</v>
      </c>
      <c r="G613">
        <v>210</v>
      </c>
      <c r="H613">
        <v>187</v>
      </c>
      <c r="I613">
        <v>82</v>
      </c>
      <c r="J613" s="8">
        <v>0.96470588235294119</v>
      </c>
      <c r="K613">
        <v>54</v>
      </c>
      <c r="L613">
        <v>26</v>
      </c>
      <c r="M613">
        <v>173</v>
      </c>
      <c r="N613" s="10">
        <v>598.74</v>
      </c>
      <c r="O613" s="7">
        <v>9.1999999999999993</v>
      </c>
      <c r="P613" s="7">
        <v>28.5</v>
      </c>
      <c r="Q613">
        <v>6</v>
      </c>
      <c r="R613" t="s">
        <v>60</v>
      </c>
      <c r="S613">
        <v>7</v>
      </c>
      <c r="T613">
        <v>204</v>
      </c>
      <c r="U613" s="11">
        <v>-0.78183148246802991</v>
      </c>
      <c r="V613" s="11">
        <v>0.62348980185873337</v>
      </c>
      <c r="W613" s="11">
        <v>-0.34336687399638804</v>
      </c>
      <c r="X613" s="11">
        <v>-0.93920135745320799</v>
      </c>
      <c r="Y613">
        <v>1</v>
      </c>
      <c r="Z613">
        <v>0</v>
      </c>
      <c r="AB613">
        <v>1</v>
      </c>
      <c r="AC613">
        <v>0</v>
      </c>
      <c r="AD613">
        <v>0</v>
      </c>
      <c r="AE613">
        <v>1</v>
      </c>
    </row>
    <row r="614" spans="1:31">
      <c r="A614" s="6">
        <v>45131</v>
      </c>
      <c r="B614" t="s">
        <v>31</v>
      </c>
      <c r="C614" t="s">
        <v>32</v>
      </c>
      <c r="D614" t="s">
        <v>33</v>
      </c>
      <c r="E614" t="s">
        <v>34</v>
      </c>
      <c r="F614">
        <v>140</v>
      </c>
      <c r="G614">
        <v>360</v>
      </c>
      <c r="H614">
        <v>226</v>
      </c>
      <c r="I614">
        <v>97</v>
      </c>
      <c r="J614" s="8">
        <v>0.69285714285714284</v>
      </c>
      <c r="K614">
        <v>56</v>
      </c>
      <c r="L614">
        <v>49</v>
      </c>
      <c r="M614">
        <v>206</v>
      </c>
      <c r="N614" s="10">
        <v>499.3</v>
      </c>
      <c r="O614" s="7">
        <v>0.6</v>
      </c>
      <c r="P614" s="7">
        <v>29.3</v>
      </c>
      <c r="Q614">
        <v>0</v>
      </c>
      <c r="R614" t="s">
        <v>62</v>
      </c>
      <c r="S614">
        <v>7</v>
      </c>
      <c r="T614">
        <v>205</v>
      </c>
      <c r="U614" s="11">
        <v>0</v>
      </c>
      <c r="V614" s="11">
        <v>1</v>
      </c>
      <c r="W614" s="11">
        <v>-0.35947181308842319</v>
      </c>
      <c r="X614" s="11">
        <v>-0.93315594387804324</v>
      </c>
      <c r="Y614">
        <v>0</v>
      </c>
      <c r="Z614">
        <v>0</v>
      </c>
      <c r="AB614">
        <v>1</v>
      </c>
      <c r="AC614">
        <v>0</v>
      </c>
      <c r="AD614">
        <v>0</v>
      </c>
      <c r="AE614">
        <v>0</v>
      </c>
    </row>
    <row r="615" spans="1:31">
      <c r="A615" s="6">
        <v>45131</v>
      </c>
      <c r="B615" t="s">
        <v>36</v>
      </c>
      <c r="C615" t="s">
        <v>37</v>
      </c>
      <c r="D615" t="s">
        <v>38</v>
      </c>
      <c r="E615" t="s">
        <v>39</v>
      </c>
      <c r="F615">
        <v>125</v>
      </c>
      <c r="G615">
        <v>320</v>
      </c>
      <c r="H615">
        <v>219</v>
      </c>
      <c r="I615">
        <v>92</v>
      </c>
      <c r="J615" s="8">
        <v>0.73599999999999999</v>
      </c>
      <c r="K615">
        <v>34</v>
      </c>
      <c r="L615">
        <v>40</v>
      </c>
      <c r="M615">
        <v>206</v>
      </c>
      <c r="N615" s="10">
        <v>704.71</v>
      </c>
      <c r="O615" s="7">
        <v>0.6</v>
      </c>
      <c r="P615" s="7">
        <v>29.3</v>
      </c>
      <c r="Q615">
        <v>0</v>
      </c>
      <c r="R615" t="s">
        <v>62</v>
      </c>
      <c r="S615">
        <v>7</v>
      </c>
      <c r="T615">
        <v>205</v>
      </c>
      <c r="U615" s="11">
        <v>0</v>
      </c>
      <c r="V615" s="11">
        <v>1</v>
      </c>
      <c r="W615" s="11">
        <v>-0.35947181308842319</v>
      </c>
      <c r="X615" s="11">
        <v>-0.93315594387804324</v>
      </c>
      <c r="Y615">
        <v>0</v>
      </c>
      <c r="Z615">
        <v>0</v>
      </c>
      <c r="AB615">
        <v>1</v>
      </c>
      <c r="AC615">
        <v>0</v>
      </c>
      <c r="AD615">
        <v>0</v>
      </c>
      <c r="AE615">
        <v>0</v>
      </c>
    </row>
    <row r="616" spans="1:31">
      <c r="A616" s="6">
        <v>45131</v>
      </c>
      <c r="B616" t="s">
        <v>41</v>
      </c>
      <c r="C616" t="s">
        <v>42</v>
      </c>
      <c r="D616" t="s">
        <v>43</v>
      </c>
      <c r="E616" t="s">
        <v>44</v>
      </c>
      <c r="F616">
        <v>85</v>
      </c>
      <c r="G616">
        <v>210</v>
      </c>
      <c r="H616">
        <v>147</v>
      </c>
      <c r="I616">
        <v>70</v>
      </c>
      <c r="J616" s="8">
        <v>0.82352941176470584</v>
      </c>
      <c r="K616">
        <v>42</v>
      </c>
      <c r="L616">
        <v>18</v>
      </c>
      <c r="M616">
        <v>123</v>
      </c>
      <c r="N616" s="10">
        <v>622.27</v>
      </c>
      <c r="O616" s="7">
        <v>0.6</v>
      </c>
      <c r="P616" s="7">
        <v>29.3</v>
      </c>
      <c r="Q616">
        <v>0</v>
      </c>
      <c r="R616" t="s">
        <v>62</v>
      </c>
      <c r="S616">
        <v>7</v>
      </c>
      <c r="T616">
        <v>205</v>
      </c>
      <c r="U616" s="11">
        <v>0</v>
      </c>
      <c r="V616" s="11">
        <v>1</v>
      </c>
      <c r="W616" s="11">
        <v>-0.35947181308842319</v>
      </c>
      <c r="X616" s="11">
        <v>-0.93315594387804324</v>
      </c>
      <c r="Y616">
        <v>0</v>
      </c>
      <c r="Z616">
        <v>0</v>
      </c>
      <c r="AB616">
        <v>1</v>
      </c>
      <c r="AC616">
        <v>0</v>
      </c>
      <c r="AD616">
        <v>0</v>
      </c>
      <c r="AE616">
        <v>0</v>
      </c>
    </row>
    <row r="617" spans="1:31">
      <c r="A617" s="6">
        <v>45132</v>
      </c>
      <c r="B617" t="s">
        <v>31</v>
      </c>
      <c r="C617" t="s">
        <v>32</v>
      </c>
      <c r="D617" t="s">
        <v>33</v>
      </c>
      <c r="E617" t="s">
        <v>34</v>
      </c>
      <c r="F617">
        <v>140</v>
      </c>
      <c r="G617">
        <v>360</v>
      </c>
      <c r="H617">
        <v>239</v>
      </c>
      <c r="I617">
        <v>103</v>
      </c>
      <c r="J617" s="8">
        <v>0.73571428571428577</v>
      </c>
      <c r="K617">
        <v>33</v>
      </c>
      <c r="L617">
        <v>39</v>
      </c>
      <c r="M617">
        <v>212</v>
      </c>
      <c r="N617" s="10">
        <v>456.84</v>
      </c>
      <c r="O617" s="7">
        <v>0</v>
      </c>
      <c r="P617" s="7">
        <v>28</v>
      </c>
      <c r="Q617">
        <v>1</v>
      </c>
      <c r="R617" t="s">
        <v>63</v>
      </c>
      <c r="S617">
        <v>7</v>
      </c>
      <c r="T617">
        <v>206</v>
      </c>
      <c r="U617" s="11">
        <v>0.7818314824680298</v>
      </c>
      <c r="V617" s="11">
        <v>0.62348980185873359</v>
      </c>
      <c r="W617" s="11">
        <v>-0.37547037868762018</v>
      </c>
      <c r="X617" s="11">
        <v>-0.92683439444604943</v>
      </c>
      <c r="Y617">
        <v>0</v>
      </c>
      <c r="Z617">
        <v>0</v>
      </c>
      <c r="AB617">
        <v>1</v>
      </c>
      <c r="AC617">
        <v>0</v>
      </c>
      <c r="AD617">
        <v>0</v>
      </c>
      <c r="AE617">
        <v>0</v>
      </c>
    </row>
    <row r="618" spans="1:31">
      <c r="A618" s="6">
        <v>45132</v>
      </c>
      <c r="B618" t="s">
        <v>36</v>
      </c>
      <c r="C618" t="s">
        <v>37</v>
      </c>
      <c r="D618" t="s">
        <v>38</v>
      </c>
      <c r="E618" t="s">
        <v>39</v>
      </c>
      <c r="F618">
        <v>125</v>
      </c>
      <c r="G618">
        <v>320</v>
      </c>
      <c r="H618">
        <v>218</v>
      </c>
      <c r="I618">
        <v>89</v>
      </c>
      <c r="J618" s="8">
        <v>0.71199999999999997</v>
      </c>
      <c r="K618">
        <v>58</v>
      </c>
      <c r="L618">
        <v>32</v>
      </c>
      <c r="M618">
        <v>182</v>
      </c>
      <c r="N618" s="10">
        <v>722.12</v>
      </c>
      <c r="O618" s="7">
        <v>0</v>
      </c>
      <c r="P618" s="7">
        <v>28</v>
      </c>
      <c r="Q618">
        <v>1</v>
      </c>
      <c r="R618" t="s">
        <v>63</v>
      </c>
      <c r="S618">
        <v>7</v>
      </c>
      <c r="T618">
        <v>206</v>
      </c>
      <c r="U618" s="11">
        <v>0.7818314824680298</v>
      </c>
      <c r="V618" s="11">
        <v>0.62348980185873359</v>
      </c>
      <c r="W618" s="11">
        <v>-0.37547037868762018</v>
      </c>
      <c r="X618" s="11">
        <v>-0.92683439444604943</v>
      </c>
      <c r="Y618">
        <v>0</v>
      </c>
      <c r="Z618">
        <v>0</v>
      </c>
      <c r="AB618">
        <v>1</v>
      </c>
      <c r="AC618">
        <v>0</v>
      </c>
      <c r="AD618">
        <v>0</v>
      </c>
      <c r="AE618">
        <v>0</v>
      </c>
    </row>
    <row r="619" spans="1:31">
      <c r="A619" s="6">
        <v>45132</v>
      </c>
      <c r="B619" t="s">
        <v>41</v>
      </c>
      <c r="C619" t="s">
        <v>42</v>
      </c>
      <c r="D619" t="s">
        <v>43</v>
      </c>
      <c r="E619" t="s">
        <v>44</v>
      </c>
      <c r="F619">
        <v>85</v>
      </c>
      <c r="G619">
        <v>210</v>
      </c>
      <c r="H619">
        <v>164</v>
      </c>
      <c r="I619">
        <v>73</v>
      </c>
      <c r="J619" s="8">
        <v>0.85882352941176465</v>
      </c>
      <c r="K619">
        <v>44</v>
      </c>
      <c r="L619">
        <v>29</v>
      </c>
      <c r="M619">
        <v>132</v>
      </c>
      <c r="N619" s="10">
        <v>583.09</v>
      </c>
      <c r="O619" s="7">
        <v>0</v>
      </c>
      <c r="P619" s="7">
        <v>28</v>
      </c>
      <c r="Q619">
        <v>1</v>
      </c>
      <c r="R619" t="s">
        <v>63</v>
      </c>
      <c r="S619">
        <v>7</v>
      </c>
      <c r="T619">
        <v>206</v>
      </c>
      <c r="U619" s="11">
        <v>0.7818314824680298</v>
      </c>
      <c r="V619" s="11">
        <v>0.62348980185873359</v>
      </c>
      <c r="W619" s="11">
        <v>-0.37547037868762018</v>
      </c>
      <c r="X619" s="11">
        <v>-0.92683439444604943</v>
      </c>
      <c r="Y619">
        <v>0</v>
      </c>
      <c r="Z619">
        <v>0</v>
      </c>
      <c r="AB619">
        <v>1</v>
      </c>
      <c r="AC619">
        <v>0</v>
      </c>
      <c r="AD619">
        <v>0</v>
      </c>
      <c r="AE619">
        <v>0</v>
      </c>
    </row>
    <row r="620" spans="1:31">
      <c r="A620" s="6">
        <v>45133</v>
      </c>
      <c r="B620" t="s">
        <v>31</v>
      </c>
      <c r="C620" t="s">
        <v>32</v>
      </c>
      <c r="D620" t="s">
        <v>33</v>
      </c>
      <c r="E620" t="s">
        <v>34</v>
      </c>
      <c r="F620">
        <v>140</v>
      </c>
      <c r="G620">
        <v>360</v>
      </c>
      <c r="H620">
        <v>217</v>
      </c>
      <c r="I620">
        <v>90</v>
      </c>
      <c r="J620" s="8">
        <v>0.6428571428571429</v>
      </c>
      <c r="K620">
        <v>59</v>
      </c>
      <c r="L620">
        <v>36</v>
      </c>
      <c r="M620">
        <v>178</v>
      </c>
      <c r="N620" s="10">
        <v>425.97</v>
      </c>
      <c r="O620" s="7">
        <v>1.1000000000000001</v>
      </c>
      <c r="P620" s="7">
        <v>28.9</v>
      </c>
      <c r="Q620">
        <v>2</v>
      </c>
      <c r="R620" t="s">
        <v>64</v>
      </c>
      <c r="S620">
        <v>7</v>
      </c>
      <c r="T620">
        <v>207</v>
      </c>
      <c r="U620" s="11">
        <v>0.97492791218182362</v>
      </c>
      <c r="V620" s="11">
        <v>-0.22252093395631434</v>
      </c>
      <c r="W620" s="11">
        <v>-0.39135783656102591</v>
      </c>
      <c r="X620" s="11">
        <v>-0.92023857980540746</v>
      </c>
      <c r="Y620">
        <v>0</v>
      </c>
      <c r="Z620">
        <v>0</v>
      </c>
      <c r="AB620">
        <v>1</v>
      </c>
      <c r="AC620">
        <v>0</v>
      </c>
      <c r="AD620">
        <v>0</v>
      </c>
      <c r="AE620">
        <v>0</v>
      </c>
    </row>
    <row r="621" spans="1:31">
      <c r="A621" s="6">
        <v>45133</v>
      </c>
      <c r="B621" t="s">
        <v>36</v>
      </c>
      <c r="C621" t="s">
        <v>37</v>
      </c>
      <c r="D621" t="s">
        <v>38</v>
      </c>
      <c r="E621" t="s">
        <v>39</v>
      </c>
      <c r="F621">
        <v>125</v>
      </c>
      <c r="G621">
        <v>320</v>
      </c>
      <c r="H621">
        <v>204</v>
      </c>
      <c r="I621">
        <v>85</v>
      </c>
      <c r="J621" s="8">
        <v>0.68</v>
      </c>
      <c r="K621">
        <v>34</v>
      </c>
      <c r="L621">
        <v>19</v>
      </c>
      <c r="M621">
        <v>175</v>
      </c>
      <c r="N621" s="10">
        <v>642.22</v>
      </c>
      <c r="O621" s="7">
        <v>1.1000000000000001</v>
      </c>
      <c r="P621" s="7">
        <v>28.9</v>
      </c>
      <c r="Q621">
        <v>2</v>
      </c>
      <c r="R621" t="s">
        <v>64</v>
      </c>
      <c r="S621">
        <v>7</v>
      </c>
      <c r="T621">
        <v>207</v>
      </c>
      <c r="U621" s="11">
        <v>0.97492791218182362</v>
      </c>
      <c r="V621" s="11">
        <v>-0.22252093395631434</v>
      </c>
      <c r="W621" s="11">
        <v>-0.39135783656102591</v>
      </c>
      <c r="X621" s="11">
        <v>-0.92023857980540746</v>
      </c>
      <c r="Y621">
        <v>0</v>
      </c>
      <c r="Z621">
        <v>0</v>
      </c>
      <c r="AB621">
        <v>1</v>
      </c>
      <c r="AC621">
        <v>0</v>
      </c>
      <c r="AD621">
        <v>0</v>
      </c>
      <c r="AE621">
        <v>0</v>
      </c>
    </row>
    <row r="622" spans="1:31">
      <c r="A622" s="6">
        <v>45133</v>
      </c>
      <c r="B622" t="s">
        <v>41</v>
      </c>
      <c r="C622" t="s">
        <v>42</v>
      </c>
      <c r="D622" t="s">
        <v>43</v>
      </c>
      <c r="E622" t="s">
        <v>44</v>
      </c>
      <c r="F622">
        <v>85</v>
      </c>
      <c r="G622">
        <v>210</v>
      </c>
      <c r="H622">
        <v>158</v>
      </c>
      <c r="I622">
        <v>72</v>
      </c>
      <c r="J622" s="8">
        <v>0.84705882352941175</v>
      </c>
      <c r="K622">
        <v>27</v>
      </c>
      <c r="L622">
        <v>26</v>
      </c>
      <c r="M622">
        <v>134</v>
      </c>
      <c r="N622" s="10">
        <v>604.91</v>
      </c>
      <c r="O622" s="7">
        <v>1.1000000000000001</v>
      </c>
      <c r="P622" s="7">
        <v>28.9</v>
      </c>
      <c r="Q622">
        <v>2</v>
      </c>
      <c r="R622" t="s">
        <v>64</v>
      </c>
      <c r="S622">
        <v>7</v>
      </c>
      <c r="T622">
        <v>207</v>
      </c>
      <c r="U622" s="11">
        <v>0.97492791218182362</v>
      </c>
      <c r="V622" s="11">
        <v>-0.22252093395631434</v>
      </c>
      <c r="W622" s="11">
        <v>-0.39135783656102591</v>
      </c>
      <c r="X622" s="11">
        <v>-0.92023857980540746</v>
      </c>
      <c r="Y622">
        <v>0</v>
      </c>
      <c r="Z622">
        <v>0</v>
      </c>
      <c r="AB622">
        <v>1</v>
      </c>
      <c r="AC622">
        <v>0</v>
      </c>
      <c r="AD622">
        <v>0</v>
      </c>
      <c r="AE622">
        <v>0</v>
      </c>
    </row>
    <row r="623" spans="1:31">
      <c r="A623" s="6">
        <v>45134</v>
      </c>
      <c r="B623" t="s">
        <v>31</v>
      </c>
      <c r="C623" t="s">
        <v>32</v>
      </c>
      <c r="D623" t="s">
        <v>33</v>
      </c>
      <c r="E623" t="s">
        <v>34</v>
      </c>
      <c r="F623">
        <v>140</v>
      </c>
      <c r="G623">
        <v>360</v>
      </c>
      <c r="H623">
        <v>215</v>
      </c>
      <c r="I623">
        <v>91</v>
      </c>
      <c r="J623" s="8">
        <v>0.65</v>
      </c>
      <c r="K623">
        <v>52</v>
      </c>
      <c r="L623">
        <v>56</v>
      </c>
      <c r="M623">
        <v>181</v>
      </c>
      <c r="N623" s="10">
        <v>442.83</v>
      </c>
      <c r="O623" s="7">
        <v>0</v>
      </c>
      <c r="P623" s="7">
        <v>29</v>
      </c>
      <c r="Q623">
        <v>3</v>
      </c>
      <c r="R623" t="s">
        <v>65</v>
      </c>
      <c r="S623">
        <v>7</v>
      </c>
      <c r="T623">
        <v>208</v>
      </c>
      <c r="U623" s="11">
        <v>0.43388373911755823</v>
      </c>
      <c r="V623" s="11">
        <v>-0.90096886790241903</v>
      </c>
      <c r="W623" s="11">
        <v>-0.40712948535425159</v>
      </c>
      <c r="X623" s="11">
        <v>-0.91337045176378584</v>
      </c>
      <c r="Y623">
        <v>0</v>
      </c>
      <c r="Z623">
        <v>0</v>
      </c>
      <c r="AB623">
        <v>1</v>
      </c>
      <c r="AC623">
        <v>0</v>
      </c>
      <c r="AD623">
        <v>0</v>
      </c>
      <c r="AE623">
        <v>0</v>
      </c>
    </row>
    <row r="624" spans="1:31">
      <c r="A624" s="6">
        <v>45134</v>
      </c>
      <c r="B624" t="s">
        <v>36</v>
      </c>
      <c r="C624" t="s">
        <v>37</v>
      </c>
      <c r="D624" t="s">
        <v>38</v>
      </c>
      <c r="E624" t="s">
        <v>39</v>
      </c>
      <c r="F624">
        <v>125</v>
      </c>
      <c r="G624">
        <v>320</v>
      </c>
      <c r="H624">
        <v>224</v>
      </c>
      <c r="I624">
        <v>94</v>
      </c>
      <c r="J624" s="8">
        <v>0.752</v>
      </c>
      <c r="K624">
        <v>32</v>
      </c>
      <c r="L624">
        <v>25</v>
      </c>
      <c r="M624">
        <v>208</v>
      </c>
      <c r="N624" s="10">
        <v>657.38</v>
      </c>
      <c r="O624" s="7">
        <v>0</v>
      </c>
      <c r="P624" s="7">
        <v>29</v>
      </c>
      <c r="Q624">
        <v>3</v>
      </c>
      <c r="R624" t="s">
        <v>65</v>
      </c>
      <c r="S624">
        <v>7</v>
      </c>
      <c r="T624">
        <v>208</v>
      </c>
      <c r="U624" s="11">
        <v>0.43388373911755823</v>
      </c>
      <c r="V624" s="11">
        <v>-0.90096886790241903</v>
      </c>
      <c r="W624" s="11">
        <v>-0.40712948535425159</v>
      </c>
      <c r="X624" s="11">
        <v>-0.91337045176378584</v>
      </c>
      <c r="Y624">
        <v>0</v>
      </c>
      <c r="Z624">
        <v>0</v>
      </c>
      <c r="AB624">
        <v>1</v>
      </c>
      <c r="AC624">
        <v>0</v>
      </c>
      <c r="AD624">
        <v>0</v>
      </c>
      <c r="AE624">
        <v>0</v>
      </c>
    </row>
    <row r="625" spans="1:31">
      <c r="A625" s="6">
        <v>45134</v>
      </c>
      <c r="B625" t="s">
        <v>41</v>
      </c>
      <c r="C625" t="s">
        <v>42</v>
      </c>
      <c r="D625" t="s">
        <v>43</v>
      </c>
      <c r="E625" t="s">
        <v>44</v>
      </c>
      <c r="F625">
        <v>85</v>
      </c>
      <c r="G625">
        <v>210</v>
      </c>
      <c r="H625">
        <v>149</v>
      </c>
      <c r="I625">
        <v>68</v>
      </c>
      <c r="J625" s="8">
        <v>0.8</v>
      </c>
      <c r="K625">
        <v>42</v>
      </c>
      <c r="L625">
        <v>24</v>
      </c>
      <c r="M625">
        <v>139</v>
      </c>
      <c r="N625" s="10">
        <v>601.55999999999995</v>
      </c>
      <c r="O625" s="7">
        <v>0</v>
      </c>
      <c r="P625" s="7">
        <v>29</v>
      </c>
      <c r="Q625">
        <v>3</v>
      </c>
      <c r="R625" t="s">
        <v>65</v>
      </c>
      <c r="S625">
        <v>7</v>
      </c>
      <c r="T625">
        <v>208</v>
      </c>
      <c r="U625" s="11">
        <v>0.43388373911755823</v>
      </c>
      <c r="V625" s="11">
        <v>-0.90096886790241903</v>
      </c>
      <c r="W625" s="11">
        <v>-0.40712948535425159</v>
      </c>
      <c r="X625" s="11">
        <v>-0.91337045176378584</v>
      </c>
      <c r="Y625">
        <v>0</v>
      </c>
      <c r="Z625">
        <v>0</v>
      </c>
      <c r="AB625">
        <v>1</v>
      </c>
      <c r="AC625">
        <v>0</v>
      </c>
      <c r="AD625">
        <v>0</v>
      </c>
      <c r="AE625">
        <v>0</v>
      </c>
    </row>
    <row r="626" spans="1:31">
      <c r="A626" s="6">
        <v>45135</v>
      </c>
      <c r="B626" t="s">
        <v>31</v>
      </c>
      <c r="C626" t="s">
        <v>32</v>
      </c>
      <c r="D626" t="s">
        <v>33</v>
      </c>
      <c r="E626" t="s">
        <v>34</v>
      </c>
      <c r="F626">
        <v>140</v>
      </c>
      <c r="G626">
        <v>360</v>
      </c>
      <c r="H626">
        <v>244</v>
      </c>
      <c r="I626">
        <v>106</v>
      </c>
      <c r="J626" s="8">
        <v>0.75714285714285712</v>
      </c>
      <c r="K626">
        <v>37</v>
      </c>
      <c r="L626">
        <v>26</v>
      </c>
      <c r="M626">
        <v>216</v>
      </c>
      <c r="N626" s="10">
        <v>454.89</v>
      </c>
      <c r="O626" s="7">
        <v>0</v>
      </c>
      <c r="P626" s="7">
        <v>28.7</v>
      </c>
      <c r="Q626">
        <v>4</v>
      </c>
      <c r="R626" t="s">
        <v>66</v>
      </c>
      <c r="S626">
        <v>7</v>
      </c>
      <c r="T626">
        <v>209</v>
      </c>
      <c r="U626" s="11">
        <v>-0.43388373911755801</v>
      </c>
      <c r="V626" s="11">
        <v>-0.90096886790241915</v>
      </c>
      <c r="W626" s="11">
        <v>-0.42278065798267728</v>
      </c>
      <c r="X626" s="11">
        <v>-0.90623204271076974</v>
      </c>
      <c r="Y626">
        <v>0</v>
      </c>
      <c r="Z626">
        <v>0</v>
      </c>
      <c r="AB626">
        <v>1</v>
      </c>
      <c r="AC626">
        <v>0</v>
      </c>
      <c r="AD626">
        <v>0</v>
      </c>
      <c r="AE626">
        <v>0</v>
      </c>
    </row>
    <row r="627" spans="1:31">
      <c r="A627" s="6">
        <v>45135</v>
      </c>
      <c r="B627" t="s">
        <v>36</v>
      </c>
      <c r="C627" t="s">
        <v>37</v>
      </c>
      <c r="D627" t="s">
        <v>38</v>
      </c>
      <c r="E627" t="s">
        <v>39</v>
      </c>
      <c r="F627">
        <v>125</v>
      </c>
      <c r="G627">
        <v>320</v>
      </c>
      <c r="H627">
        <v>236</v>
      </c>
      <c r="I627">
        <v>99</v>
      </c>
      <c r="J627" s="8">
        <v>0.79200000000000004</v>
      </c>
      <c r="K627">
        <v>46</v>
      </c>
      <c r="L627">
        <v>63</v>
      </c>
      <c r="M627">
        <v>197</v>
      </c>
      <c r="N627" s="10">
        <v>650.46</v>
      </c>
      <c r="O627" s="7">
        <v>0</v>
      </c>
      <c r="P627" s="7">
        <v>28.7</v>
      </c>
      <c r="Q627">
        <v>4</v>
      </c>
      <c r="R627" t="s">
        <v>66</v>
      </c>
      <c r="S627">
        <v>7</v>
      </c>
      <c r="T627">
        <v>209</v>
      </c>
      <c r="U627" s="11">
        <v>-0.43388373911755801</v>
      </c>
      <c r="V627" s="11">
        <v>-0.90096886790241915</v>
      </c>
      <c r="W627" s="11">
        <v>-0.42278065798267728</v>
      </c>
      <c r="X627" s="11">
        <v>-0.90623204271076974</v>
      </c>
      <c r="Y627">
        <v>0</v>
      </c>
      <c r="Z627">
        <v>0</v>
      </c>
      <c r="AB627">
        <v>1</v>
      </c>
      <c r="AC627">
        <v>0</v>
      </c>
      <c r="AD627">
        <v>0</v>
      </c>
      <c r="AE627">
        <v>0</v>
      </c>
    </row>
    <row r="628" spans="1:31">
      <c r="A628" s="6">
        <v>45135</v>
      </c>
      <c r="B628" t="s">
        <v>41</v>
      </c>
      <c r="C628" t="s">
        <v>42</v>
      </c>
      <c r="D628" t="s">
        <v>43</v>
      </c>
      <c r="E628" t="s">
        <v>44</v>
      </c>
      <c r="F628">
        <v>85</v>
      </c>
      <c r="G628">
        <v>210</v>
      </c>
      <c r="H628">
        <v>159</v>
      </c>
      <c r="I628">
        <v>70</v>
      </c>
      <c r="J628" s="8">
        <v>0.82352941176470584</v>
      </c>
      <c r="K628">
        <v>36</v>
      </c>
      <c r="L628">
        <v>35</v>
      </c>
      <c r="M628">
        <v>149</v>
      </c>
      <c r="N628" s="10">
        <v>627.02</v>
      </c>
      <c r="O628" s="7">
        <v>0</v>
      </c>
      <c r="P628" s="7">
        <v>28.7</v>
      </c>
      <c r="Q628">
        <v>4</v>
      </c>
      <c r="R628" t="s">
        <v>66</v>
      </c>
      <c r="S628">
        <v>7</v>
      </c>
      <c r="T628">
        <v>209</v>
      </c>
      <c r="U628" s="11">
        <v>-0.43388373911755801</v>
      </c>
      <c r="V628" s="11">
        <v>-0.90096886790241915</v>
      </c>
      <c r="W628" s="11">
        <v>-0.42278065798267728</v>
      </c>
      <c r="X628" s="11">
        <v>-0.90623204271076974</v>
      </c>
      <c r="Y628">
        <v>0</v>
      </c>
      <c r="Z628">
        <v>0</v>
      </c>
      <c r="AB628">
        <v>1</v>
      </c>
      <c r="AC628">
        <v>0</v>
      </c>
      <c r="AD628">
        <v>0</v>
      </c>
      <c r="AE628">
        <v>0</v>
      </c>
    </row>
    <row r="629" spans="1:31">
      <c r="A629" s="6">
        <v>45136</v>
      </c>
      <c r="B629" t="s">
        <v>31</v>
      </c>
      <c r="C629" t="s">
        <v>32</v>
      </c>
      <c r="D629" t="s">
        <v>33</v>
      </c>
      <c r="E629" t="s">
        <v>34</v>
      </c>
      <c r="F629">
        <v>140</v>
      </c>
      <c r="G629">
        <v>360</v>
      </c>
      <c r="H629">
        <v>253</v>
      </c>
      <c r="I629">
        <v>107</v>
      </c>
      <c r="J629" s="8">
        <v>0.76428571428571423</v>
      </c>
      <c r="K629">
        <v>36</v>
      </c>
      <c r="L629">
        <v>28</v>
      </c>
      <c r="M629">
        <v>211</v>
      </c>
      <c r="N629" s="10">
        <v>545.69000000000005</v>
      </c>
      <c r="O629" s="7">
        <v>5.3</v>
      </c>
      <c r="P629" s="7">
        <v>29.7</v>
      </c>
      <c r="Q629">
        <v>5</v>
      </c>
      <c r="R629" t="s">
        <v>67</v>
      </c>
      <c r="S629">
        <v>7</v>
      </c>
      <c r="T629">
        <v>210</v>
      </c>
      <c r="U629" s="11">
        <v>-0.97492791218182362</v>
      </c>
      <c r="V629" s="11">
        <v>-0.22252093395631459</v>
      </c>
      <c r="W629" s="11">
        <v>-0.43830672301251922</v>
      </c>
      <c r="X629" s="11">
        <v>-0.898825465016444</v>
      </c>
      <c r="Y629">
        <v>1</v>
      </c>
      <c r="Z629">
        <v>0</v>
      </c>
      <c r="AB629">
        <v>1</v>
      </c>
      <c r="AC629">
        <v>0</v>
      </c>
      <c r="AD629">
        <v>0</v>
      </c>
      <c r="AE629">
        <v>0</v>
      </c>
    </row>
    <row r="630" spans="1:31">
      <c r="A630" s="6">
        <v>45136</v>
      </c>
      <c r="B630" t="s">
        <v>36</v>
      </c>
      <c r="C630" t="s">
        <v>37</v>
      </c>
      <c r="D630" t="s">
        <v>38</v>
      </c>
      <c r="E630" t="s">
        <v>39</v>
      </c>
      <c r="F630">
        <v>125</v>
      </c>
      <c r="G630">
        <v>320</v>
      </c>
      <c r="H630">
        <v>262</v>
      </c>
      <c r="I630">
        <v>110</v>
      </c>
      <c r="J630" s="8">
        <v>0.88</v>
      </c>
      <c r="K630">
        <v>66</v>
      </c>
      <c r="L630">
        <v>45</v>
      </c>
      <c r="M630">
        <v>226</v>
      </c>
      <c r="N630" s="10">
        <v>756.47</v>
      </c>
      <c r="O630" s="7">
        <v>5.3</v>
      </c>
      <c r="P630" s="7">
        <v>29.7</v>
      </c>
      <c r="Q630">
        <v>5</v>
      </c>
      <c r="R630" t="s">
        <v>67</v>
      </c>
      <c r="S630">
        <v>7</v>
      </c>
      <c r="T630">
        <v>210</v>
      </c>
      <c r="U630" s="11">
        <v>-0.97492791218182362</v>
      </c>
      <c r="V630" s="11">
        <v>-0.22252093395631459</v>
      </c>
      <c r="W630" s="11">
        <v>-0.43830672301251922</v>
      </c>
      <c r="X630" s="11">
        <v>-0.898825465016444</v>
      </c>
      <c r="Y630">
        <v>1</v>
      </c>
      <c r="Z630">
        <v>0</v>
      </c>
      <c r="AB630">
        <v>1</v>
      </c>
      <c r="AC630">
        <v>0</v>
      </c>
      <c r="AD630">
        <v>0</v>
      </c>
      <c r="AE630">
        <v>0</v>
      </c>
    </row>
    <row r="631" spans="1:31">
      <c r="A631" s="6">
        <v>45136</v>
      </c>
      <c r="B631" t="s">
        <v>41</v>
      </c>
      <c r="C631" t="s">
        <v>42</v>
      </c>
      <c r="D631" t="s">
        <v>43</v>
      </c>
      <c r="E631" t="s">
        <v>44</v>
      </c>
      <c r="F631">
        <v>85</v>
      </c>
      <c r="G631">
        <v>210</v>
      </c>
      <c r="H631">
        <v>167</v>
      </c>
      <c r="I631">
        <v>75</v>
      </c>
      <c r="J631" s="8">
        <v>0.88235294117647056</v>
      </c>
      <c r="K631">
        <v>41</v>
      </c>
      <c r="L631">
        <v>14</v>
      </c>
      <c r="M631">
        <v>143</v>
      </c>
      <c r="N631" s="10">
        <v>640.77</v>
      </c>
      <c r="O631" s="7">
        <v>5.3</v>
      </c>
      <c r="P631" s="7">
        <v>29.7</v>
      </c>
      <c r="Q631">
        <v>5</v>
      </c>
      <c r="R631" t="s">
        <v>67</v>
      </c>
      <c r="S631">
        <v>7</v>
      </c>
      <c r="T631">
        <v>210</v>
      </c>
      <c r="U631" s="11">
        <v>-0.97492791218182362</v>
      </c>
      <c r="V631" s="11">
        <v>-0.22252093395631459</v>
      </c>
      <c r="W631" s="11">
        <v>-0.43830672301251922</v>
      </c>
      <c r="X631" s="11">
        <v>-0.898825465016444</v>
      </c>
      <c r="Y631">
        <v>1</v>
      </c>
      <c r="Z631">
        <v>0</v>
      </c>
      <c r="AB631">
        <v>1</v>
      </c>
      <c r="AC631">
        <v>0</v>
      </c>
      <c r="AD631">
        <v>0</v>
      </c>
      <c r="AE631">
        <v>0</v>
      </c>
    </row>
    <row r="632" spans="1:31">
      <c r="A632" s="6">
        <v>45137</v>
      </c>
      <c r="B632" t="s">
        <v>31</v>
      </c>
      <c r="C632" t="s">
        <v>32</v>
      </c>
      <c r="D632" t="s">
        <v>33</v>
      </c>
      <c r="E632" t="s">
        <v>34</v>
      </c>
      <c r="F632">
        <v>140</v>
      </c>
      <c r="G632">
        <v>360</v>
      </c>
      <c r="H632">
        <v>237</v>
      </c>
      <c r="I632">
        <v>101</v>
      </c>
      <c r="J632" s="8">
        <v>0.72142857142857142</v>
      </c>
      <c r="K632">
        <v>54</v>
      </c>
      <c r="L632">
        <v>67</v>
      </c>
      <c r="M632">
        <v>212</v>
      </c>
      <c r="N632" s="10">
        <v>474.85</v>
      </c>
      <c r="O632" s="7">
        <v>0.3</v>
      </c>
      <c r="P632" s="7">
        <v>30.1</v>
      </c>
      <c r="Q632">
        <v>6</v>
      </c>
      <c r="R632" t="s">
        <v>60</v>
      </c>
      <c r="S632">
        <v>7</v>
      </c>
      <c r="T632">
        <v>211</v>
      </c>
      <c r="U632" s="11">
        <v>-0.78183148246802991</v>
      </c>
      <c r="V632" s="11">
        <v>0.62348980185873337</v>
      </c>
      <c r="W632" s="11">
        <v>-0.45370308603134424</v>
      </c>
      <c r="X632" s="11">
        <v>-0.89115291040630884</v>
      </c>
      <c r="Y632">
        <v>1</v>
      </c>
      <c r="Z632">
        <v>0</v>
      </c>
      <c r="AB632">
        <v>1</v>
      </c>
      <c r="AC632">
        <v>0</v>
      </c>
      <c r="AD632">
        <v>0</v>
      </c>
      <c r="AE632">
        <v>0</v>
      </c>
    </row>
    <row r="633" spans="1:31">
      <c r="A633" s="6">
        <v>45137</v>
      </c>
      <c r="B633" t="s">
        <v>36</v>
      </c>
      <c r="C633" t="s">
        <v>37</v>
      </c>
      <c r="D633" t="s">
        <v>38</v>
      </c>
      <c r="E633" t="s">
        <v>39</v>
      </c>
      <c r="F633">
        <v>125</v>
      </c>
      <c r="G633">
        <v>320</v>
      </c>
      <c r="H633">
        <v>259</v>
      </c>
      <c r="I633">
        <v>108</v>
      </c>
      <c r="J633" s="8">
        <v>0.86399999999999999</v>
      </c>
      <c r="K633">
        <v>55</v>
      </c>
      <c r="L633">
        <v>51</v>
      </c>
      <c r="M633">
        <v>237</v>
      </c>
      <c r="N633" s="10">
        <v>818.55</v>
      </c>
      <c r="O633" s="7">
        <v>0.3</v>
      </c>
      <c r="P633" s="7">
        <v>30.1</v>
      </c>
      <c r="Q633">
        <v>6</v>
      </c>
      <c r="R633" t="s">
        <v>60</v>
      </c>
      <c r="S633">
        <v>7</v>
      </c>
      <c r="T633">
        <v>211</v>
      </c>
      <c r="U633" s="11">
        <v>-0.78183148246802991</v>
      </c>
      <c r="V633" s="11">
        <v>0.62348980185873337</v>
      </c>
      <c r="W633" s="11">
        <v>-0.45370308603134424</v>
      </c>
      <c r="X633" s="11">
        <v>-0.89115291040630884</v>
      </c>
      <c r="Y633">
        <v>1</v>
      </c>
      <c r="Z633">
        <v>0</v>
      </c>
      <c r="AB633">
        <v>1</v>
      </c>
      <c r="AC633">
        <v>0</v>
      </c>
      <c r="AD633">
        <v>0</v>
      </c>
      <c r="AE633">
        <v>0</v>
      </c>
    </row>
    <row r="634" spans="1:31">
      <c r="A634" s="6">
        <v>45137</v>
      </c>
      <c r="B634" t="s">
        <v>41</v>
      </c>
      <c r="C634" t="s">
        <v>42</v>
      </c>
      <c r="D634" t="s">
        <v>43</v>
      </c>
      <c r="E634" t="s">
        <v>44</v>
      </c>
      <c r="F634">
        <v>85</v>
      </c>
      <c r="G634">
        <v>210</v>
      </c>
      <c r="H634">
        <v>190</v>
      </c>
      <c r="I634">
        <v>82</v>
      </c>
      <c r="J634" s="8">
        <v>0.96470588235294119</v>
      </c>
      <c r="K634">
        <v>31</v>
      </c>
      <c r="L634">
        <v>27</v>
      </c>
      <c r="M634">
        <v>163</v>
      </c>
      <c r="N634" s="10">
        <v>651.44000000000005</v>
      </c>
      <c r="O634" s="7">
        <v>0.3</v>
      </c>
      <c r="P634" s="7">
        <v>30.1</v>
      </c>
      <c r="Q634">
        <v>6</v>
      </c>
      <c r="R634" t="s">
        <v>60</v>
      </c>
      <c r="S634">
        <v>7</v>
      </c>
      <c r="T634">
        <v>211</v>
      </c>
      <c r="U634" s="11">
        <v>-0.78183148246802991</v>
      </c>
      <c r="V634" s="11">
        <v>0.62348980185873337</v>
      </c>
      <c r="W634" s="11">
        <v>-0.45370308603134424</v>
      </c>
      <c r="X634" s="11">
        <v>-0.89115291040630884</v>
      </c>
      <c r="Y634">
        <v>1</v>
      </c>
      <c r="Z634">
        <v>0</v>
      </c>
      <c r="AB634">
        <v>1</v>
      </c>
      <c r="AC634">
        <v>0</v>
      </c>
      <c r="AD634">
        <v>0</v>
      </c>
      <c r="AE634">
        <v>0</v>
      </c>
    </row>
    <row r="635" spans="1:31">
      <c r="A635" s="6">
        <v>45138</v>
      </c>
      <c r="B635" t="s">
        <v>31</v>
      </c>
      <c r="C635" t="s">
        <v>32</v>
      </c>
      <c r="D635" t="s">
        <v>33</v>
      </c>
      <c r="E635" t="s">
        <v>34</v>
      </c>
      <c r="F635">
        <v>140</v>
      </c>
      <c r="G635">
        <v>360</v>
      </c>
      <c r="H635">
        <v>228</v>
      </c>
      <c r="I635">
        <v>95</v>
      </c>
      <c r="J635" s="8">
        <v>0.6785714285714286</v>
      </c>
      <c r="K635">
        <v>35</v>
      </c>
      <c r="L635">
        <v>24</v>
      </c>
      <c r="M635">
        <v>193</v>
      </c>
      <c r="N635" s="10">
        <v>485.04</v>
      </c>
      <c r="O635" s="7">
        <v>3.4</v>
      </c>
      <c r="P635" s="7">
        <v>29.1</v>
      </c>
      <c r="Q635">
        <v>0</v>
      </c>
      <c r="R635" t="s">
        <v>62</v>
      </c>
      <c r="S635">
        <v>7</v>
      </c>
      <c r="T635">
        <v>212</v>
      </c>
      <c r="U635" s="11">
        <v>0</v>
      </c>
      <c r="V635" s="11">
        <v>1</v>
      </c>
      <c r="W635" s="11">
        <v>-0.46896519100763184</v>
      </c>
      <c r="X635" s="11">
        <v>-0.88321664931271271</v>
      </c>
      <c r="Y635">
        <v>0</v>
      </c>
      <c r="Z635">
        <v>0</v>
      </c>
      <c r="AB635">
        <v>1</v>
      </c>
      <c r="AC635">
        <v>0</v>
      </c>
      <c r="AD635">
        <v>0</v>
      </c>
      <c r="AE635">
        <v>0</v>
      </c>
    </row>
    <row r="636" spans="1:31">
      <c r="A636" s="6">
        <v>45138</v>
      </c>
      <c r="B636" t="s">
        <v>36</v>
      </c>
      <c r="C636" t="s">
        <v>37</v>
      </c>
      <c r="D636" t="s">
        <v>38</v>
      </c>
      <c r="E636" t="s">
        <v>39</v>
      </c>
      <c r="F636">
        <v>125</v>
      </c>
      <c r="G636">
        <v>320</v>
      </c>
      <c r="H636">
        <v>237</v>
      </c>
      <c r="I636">
        <v>95</v>
      </c>
      <c r="J636" s="8">
        <v>0.76</v>
      </c>
      <c r="K636">
        <v>54</v>
      </c>
      <c r="L636">
        <v>51</v>
      </c>
      <c r="M636">
        <v>203</v>
      </c>
      <c r="N636" s="10">
        <v>730.01</v>
      </c>
      <c r="O636" s="7">
        <v>3.4</v>
      </c>
      <c r="P636" s="7">
        <v>29.1</v>
      </c>
      <c r="Q636">
        <v>0</v>
      </c>
      <c r="R636" t="s">
        <v>62</v>
      </c>
      <c r="S636">
        <v>7</v>
      </c>
      <c r="T636">
        <v>212</v>
      </c>
      <c r="U636" s="11">
        <v>0</v>
      </c>
      <c r="V636" s="11">
        <v>1</v>
      </c>
      <c r="W636" s="11">
        <v>-0.46896519100763184</v>
      </c>
      <c r="X636" s="11">
        <v>-0.88321664931271271</v>
      </c>
      <c r="Y636">
        <v>0</v>
      </c>
      <c r="Z636">
        <v>0</v>
      </c>
      <c r="AB636">
        <v>1</v>
      </c>
      <c r="AC636">
        <v>0</v>
      </c>
      <c r="AD636">
        <v>0</v>
      </c>
      <c r="AE636">
        <v>0</v>
      </c>
    </row>
    <row r="637" spans="1:31">
      <c r="A637" s="6">
        <v>45138</v>
      </c>
      <c r="B637" t="s">
        <v>41</v>
      </c>
      <c r="C637" t="s">
        <v>42</v>
      </c>
      <c r="D637" t="s">
        <v>43</v>
      </c>
      <c r="E637" t="s">
        <v>44</v>
      </c>
      <c r="F637">
        <v>85</v>
      </c>
      <c r="G637">
        <v>210</v>
      </c>
      <c r="H637">
        <v>150</v>
      </c>
      <c r="I637">
        <v>66</v>
      </c>
      <c r="J637" s="8">
        <v>0.77647058823529413</v>
      </c>
      <c r="K637">
        <v>25</v>
      </c>
      <c r="L637">
        <v>24</v>
      </c>
      <c r="M637">
        <v>130</v>
      </c>
      <c r="N637" s="10">
        <v>561.55999999999995</v>
      </c>
      <c r="O637" s="7">
        <v>3.4</v>
      </c>
      <c r="P637" s="7">
        <v>29.1</v>
      </c>
      <c r="Q637">
        <v>0</v>
      </c>
      <c r="R637" t="s">
        <v>62</v>
      </c>
      <c r="S637">
        <v>7</v>
      </c>
      <c r="T637">
        <v>212</v>
      </c>
      <c r="U637" s="11">
        <v>0</v>
      </c>
      <c r="V637" s="11">
        <v>1</v>
      </c>
      <c r="W637" s="11">
        <v>-0.46896519100763184</v>
      </c>
      <c r="X637" s="11">
        <v>-0.88321664931271271</v>
      </c>
      <c r="Y637">
        <v>0</v>
      </c>
      <c r="Z637">
        <v>0</v>
      </c>
      <c r="AB637">
        <v>1</v>
      </c>
      <c r="AC637">
        <v>0</v>
      </c>
      <c r="AD637">
        <v>0</v>
      </c>
      <c r="AE637">
        <v>0</v>
      </c>
    </row>
    <row r="638" spans="1:31">
      <c r="A638" s="6">
        <v>45139</v>
      </c>
      <c r="B638" t="s">
        <v>31</v>
      </c>
      <c r="C638" t="s">
        <v>32</v>
      </c>
      <c r="D638" t="s">
        <v>33</v>
      </c>
      <c r="E638" t="s">
        <v>34</v>
      </c>
      <c r="F638">
        <v>140</v>
      </c>
      <c r="G638">
        <v>360</v>
      </c>
      <c r="H638">
        <v>199</v>
      </c>
      <c r="I638">
        <v>86</v>
      </c>
      <c r="J638" s="8">
        <v>0.61428571428571432</v>
      </c>
      <c r="K638">
        <v>25</v>
      </c>
      <c r="L638">
        <v>37</v>
      </c>
      <c r="M638">
        <v>168</v>
      </c>
      <c r="N638" s="10">
        <v>407.34</v>
      </c>
      <c r="O638" s="7">
        <v>1.4</v>
      </c>
      <c r="P638" s="7">
        <v>29.9</v>
      </c>
      <c r="Q638">
        <v>1</v>
      </c>
      <c r="R638" t="s">
        <v>63</v>
      </c>
      <c r="S638">
        <v>8</v>
      </c>
      <c r="T638">
        <v>213</v>
      </c>
      <c r="U638" s="11">
        <v>0.7818314824680298</v>
      </c>
      <c r="V638" s="11">
        <v>0.62348980185873359</v>
      </c>
      <c r="W638" s="11">
        <v>-0.48408852163897587</v>
      </c>
      <c r="X638" s="11">
        <v>-0.87501903020299554</v>
      </c>
      <c r="Y638">
        <v>0</v>
      </c>
      <c r="Z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6">
        <v>45139</v>
      </c>
      <c r="B639" t="s">
        <v>36</v>
      </c>
      <c r="C639" t="s">
        <v>37</v>
      </c>
      <c r="D639" t="s">
        <v>38</v>
      </c>
      <c r="E639" t="s">
        <v>39</v>
      </c>
      <c r="F639">
        <v>125</v>
      </c>
      <c r="G639">
        <v>320</v>
      </c>
      <c r="H639">
        <v>162</v>
      </c>
      <c r="I639">
        <v>65</v>
      </c>
      <c r="J639" s="8">
        <v>0.52</v>
      </c>
      <c r="K639">
        <v>46</v>
      </c>
      <c r="L639">
        <v>30</v>
      </c>
      <c r="M639">
        <v>143</v>
      </c>
      <c r="N639" s="10">
        <v>663.89</v>
      </c>
      <c r="O639" s="7">
        <v>1.4</v>
      </c>
      <c r="P639" s="7">
        <v>29.9</v>
      </c>
      <c r="Q639">
        <v>1</v>
      </c>
      <c r="R639" t="s">
        <v>63</v>
      </c>
      <c r="S639">
        <v>8</v>
      </c>
      <c r="T639">
        <v>213</v>
      </c>
      <c r="U639" s="11">
        <v>0.7818314824680298</v>
      </c>
      <c r="V639" s="11">
        <v>0.62348980185873359</v>
      </c>
      <c r="W639" s="11">
        <v>-0.48408852163897587</v>
      </c>
      <c r="X639" s="11">
        <v>-0.87501903020299554</v>
      </c>
      <c r="Y639">
        <v>0</v>
      </c>
      <c r="Z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6">
        <v>45139</v>
      </c>
      <c r="B640" t="s">
        <v>41</v>
      </c>
      <c r="C640" t="s">
        <v>42</v>
      </c>
      <c r="D640" t="s">
        <v>43</v>
      </c>
      <c r="E640" t="s">
        <v>44</v>
      </c>
      <c r="F640">
        <v>85</v>
      </c>
      <c r="G640">
        <v>210</v>
      </c>
      <c r="H640">
        <v>133</v>
      </c>
      <c r="I640">
        <v>59</v>
      </c>
      <c r="J640" s="8">
        <v>0.69411764705882351</v>
      </c>
      <c r="K640">
        <v>35</v>
      </c>
      <c r="L640">
        <v>33</v>
      </c>
      <c r="M640">
        <v>116</v>
      </c>
      <c r="N640" s="10">
        <v>530.15</v>
      </c>
      <c r="O640" s="7">
        <v>1.4</v>
      </c>
      <c r="P640" s="7">
        <v>29.9</v>
      </c>
      <c r="Q640">
        <v>1</v>
      </c>
      <c r="R640" t="s">
        <v>63</v>
      </c>
      <c r="S640">
        <v>8</v>
      </c>
      <c r="T640">
        <v>213</v>
      </c>
      <c r="U640" s="11">
        <v>0.7818314824680298</v>
      </c>
      <c r="V640" s="11">
        <v>0.62348980185873359</v>
      </c>
      <c r="W640" s="11">
        <v>-0.48408852163897587</v>
      </c>
      <c r="X640" s="11">
        <v>-0.87501903020299554</v>
      </c>
      <c r="Y640">
        <v>0</v>
      </c>
      <c r="Z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6">
        <v>45140</v>
      </c>
      <c r="B641" t="s">
        <v>31</v>
      </c>
      <c r="C641" t="s">
        <v>32</v>
      </c>
      <c r="D641" t="s">
        <v>33</v>
      </c>
      <c r="E641" t="s">
        <v>34</v>
      </c>
      <c r="F641">
        <v>140</v>
      </c>
      <c r="G641">
        <v>360</v>
      </c>
      <c r="H641">
        <v>209</v>
      </c>
      <c r="I641">
        <v>91</v>
      </c>
      <c r="J641" s="8">
        <v>0.65</v>
      </c>
      <c r="K641">
        <v>31</v>
      </c>
      <c r="L641">
        <v>42</v>
      </c>
      <c r="M641">
        <v>189</v>
      </c>
      <c r="N641" s="10">
        <v>444.55</v>
      </c>
      <c r="O641" s="7">
        <v>1</v>
      </c>
      <c r="P641" s="7">
        <v>30</v>
      </c>
      <c r="Q641">
        <v>2</v>
      </c>
      <c r="R641" t="s">
        <v>64</v>
      </c>
      <c r="S641">
        <v>8</v>
      </c>
      <c r="T641">
        <v>214</v>
      </c>
      <c r="U641" s="11">
        <v>0.97492791218182362</v>
      </c>
      <c r="V641" s="11">
        <v>-0.22252093395631434</v>
      </c>
      <c r="W641" s="11">
        <v>-0.49906860268853193</v>
      </c>
      <c r="X641" s="11">
        <v>-0.86656247888453852</v>
      </c>
      <c r="Y641">
        <v>0</v>
      </c>
      <c r="Z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6">
        <v>45140</v>
      </c>
      <c r="B642" t="s">
        <v>36</v>
      </c>
      <c r="C642" t="s">
        <v>37</v>
      </c>
      <c r="D642" t="s">
        <v>38</v>
      </c>
      <c r="E642" t="s">
        <v>39</v>
      </c>
      <c r="F642">
        <v>125</v>
      </c>
      <c r="G642">
        <v>320</v>
      </c>
      <c r="H642">
        <v>180</v>
      </c>
      <c r="I642">
        <v>74</v>
      </c>
      <c r="J642" s="8">
        <v>0.59199999999999997</v>
      </c>
      <c r="K642">
        <v>30</v>
      </c>
      <c r="L642">
        <v>39</v>
      </c>
      <c r="M642">
        <v>163</v>
      </c>
      <c r="N642" s="10">
        <v>575.11</v>
      </c>
      <c r="O642" s="7">
        <v>1</v>
      </c>
      <c r="P642" s="7">
        <v>30</v>
      </c>
      <c r="Q642">
        <v>2</v>
      </c>
      <c r="R642" t="s">
        <v>64</v>
      </c>
      <c r="S642">
        <v>8</v>
      </c>
      <c r="T642">
        <v>214</v>
      </c>
      <c r="U642" s="11">
        <v>0.97492791218182362</v>
      </c>
      <c r="V642" s="11">
        <v>-0.22252093395631434</v>
      </c>
      <c r="W642" s="11">
        <v>-0.49906860268853193</v>
      </c>
      <c r="X642" s="11">
        <v>-0.86656247888453852</v>
      </c>
      <c r="Y642">
        <v>0</v>
      </c>
      <c r="Z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6">
        <v>45140</v>
      </c>
      <c r="B643" t="s">
        <v>41</v>
      </c>
      <c r="C643" t="s">
        <v>42</v>
      </c>
      <c r="D643" t="s">
        <v>43</v>
      </c>
      <c r="E643" t="s">
        <v>44</v>
      </c>
      <c r="F643">
        <v>85</v>
      </c>
      <c r="G643">
        <v>210</v>
      </c>
      <c r="H643">
        <v>124</v>
      </c>
      <c r="I643">
        <v>53</v>
      </c>
      <c r="J643" s="8">
        <v>0.62352941176470589</v>
      </c>
      <c r="K643">
        <v>19</v>
      </c>
      <c r="L643">
        <v>25</v>
      </c>
      <c r="M643">
        <v>106</v>
      </c>
      <c r="N643" s="10">
        <v>563.82000000000005</v>
      </c>
      <c r="O643" s="7">
        <v>1</v>
      </c>
      <c r="P643" s="7">
        <v>30</v>
      </c>
      <c r="Q643">
        <v>2</v>
      </c>
      <c r="R643" t="s">
        <v>64</v>
      </c>
      <c r="S643">
        <v>8</v>
      </c>
      <c r="T643">
        <v>214</v>
      </c>
      <c r="U643" s="11">
        <v>0.97492791218182362</v>
      </c>
      <c r="V643" s="11">
        <v>-0.22252093395631434</v>
      </c>
      <c r="W643" s="11">
        <v>-0.49906860268853193</v>
      </c>
      <c r="X643" s="11">
        <v>-0.86656247888453852</v>
      </c>
      <c r="Y643">
        <v>0</v>
      </c>
      <c r="Z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6">
        <v>45141</v>
      </c>
      <c r="B644" t="s">
        <v>31</v>
      </c>
      <c r="C644" t="s">
        <v>32</v>
      </c>
      <c r="D644" t="s">
        <v>33</v>
      </c>
      <c r="E644" t="s">
        <v>34</v>
      </c>
      <c r="F644">
        <v>140</v>
      </c>
      <c r="G644">
        <v>360</v>
      </c>
      <c r="H644">
        <v>206</v>
      </c>
      <c r="I644">
        <v>87</v>
      </c>
      <c r="J644" s="8">
        <v>0.62142857142857144</v>
      </c>
      <c r="K644">
        <v>47</v>
      </c>
      <c r="L644">
        <v>30</v>
      </c>
      <c r="M644">
        <v>165</v>
      </c>
      <c r="N644" s="10">
        <v>407.01</v>
      </c>
      <c r="O644" s="7">
        <v>0</v>
      </c>
      <c r="P644" s="7">
        <v>28.9</v>
      </c>
      <c r="Q644">
        <v>3</v>
      </c>
      <c r="R644" t="s">
        <v>65</v>
      </c>
      <c r="S644">
        <v>8</v>
      </c>
      <c r="T644">
        <v>215</v>
      </c>
      <c r="U644" s="11">
        <v>0.43388373911755823</v>
      </c>
      <c r="V644" s="11">
        <v>-0.90096886790241903</v>
      </c>
      <c r="W644" s="11">
        <v>-0.51390100130931027</v>
      </c>
      <c r="X644" s="11">
        <v>-0.85784949778693009</v>
      </c>
      <c r="Y644">
        <v>0</v>
      </c>
      <c r="Z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6">
        <v>45141</v>
      </c>
      <c r="B645" t="s">
        <v>36</v>
      </c>
      <c r="C645" t="s">
        <v>37</v>
      </c>
      <c r="D645" t="s">
        <v>38</v>
      </c>
      <c r="E645" t="s">
        <v>39</v>
      </c>
      <c r="F645">
        <v>125</v>
      </c>
      <c r="G645">
        <v>320</v>
      </c>
      <c r="H645">
        <v>173</v>
      </c>
      <c r="I645">
        <v>69</v>
      </c>
      <c r="J645" s="8">
        <v>0.55200000000000005</v>
      </c>
      <c r="K645">
        <v>48</v>
      </c>
      <c r="L645">
        <v>37</v>
      </c>
      <c r="M645">
        <v>145</v>
      </c>
      <c r="N645" s="10">
        <v>583.63</v>
      </c>
      <c r="O645" s="7">
        <v>0</v>
      </c>
      <c r="P645" s="7">
        <v>28.9</v>
      </c>
      <c r="Q645">
        <v>3</v>
      </c>
      <c r="R645" t="s">
        <v>65</v>
      </c>
      <c r="S645">
        <v>8</v>
      </c>
      <c r="T645">
        <v>215</v>
      </c>
      <c r="U645" s="11">
        <v>0.43388373911755823</v>
      </c>
      <c r="V645" s="11">
        <v>-0.90096886790241903</v>
      </c>
      <c r="W645" s="11">
        <v>-0.51390100130931027</v>
      </c>
      <c r="X645" s="11">
        <v>-0.85784949778693009</v>
      </c>
      <c r="Y645">
        <v>0</v>
      </c>
      <c r="Z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6">
        <v>45141</v>
      </c>
      <c r="B646" t="s">
        <v>41</v>
      </c>
      <c r="C646" t="s">
        <v>42</v>
      </c>
      <c r="D646" t="s">
        <v>43</v>
      </c>
      <c r="E646" t="s">
        <v>44</v>
      </c>
      <c r="F646">
        <v>85</v>
      </c>
      <c r="G646">
        <v>210</v>
      </c>
      <c r="H646">
        <v>119</v>
      </c>
      <c r="I646">
        <v>55</v>
      </c>
      <c r="J646" s="8">
        <v>0.6470588235294118</v>
      </c>
      <c r="K646">
        <v>19</v>
      </c>
      <c r="L646">
        <v>21</v>
      </c>
      <c r="M646">
        <v>98</v>
      </c>
      <c r="N646" s="10">
        <v>503.84</v>
      </c>
      <c r="O646" s="7">
        <v>0</v>
      </c>
      <c r="P646" s="7">
        <v>28.9</v>
      </c>
      <c r="Q646">
        <v>3</v>
      </c>
      <c r="R646" t="s">
        <v>65</v>
      </c>
      <c r="S646">
        <v>8</v>
      </c>
      <c r="T646">
        <v>215</v>
      </c>
      <c r="U646" s="11">
        <v>0.43388373911755823</v>
      </c>
      <c r="V646" s="11">
        <v>-0.90096886790241903</v>
      </c>
      <c r="W646" s="11">
        <v>-0.51390100130931027</v>
      </c>
      <c r="X646" s="11">
        <v>-0.85784949778693009</v>
      </c>
      <c r="Y646">
        <v>0</v>
      </c>
      <c r="Z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6">
        <v>45142</v>
      </c>
      <c r="B647" t="s">
        <v>31</v>
      </c>
      <c r="C647" t="s">
        <v>32</v>
      </c>
      <c r="D647" t="s">
        <v>33</v>
      </c>
      <c r="E647" t="s">
        <v>34</v>
      </c>
      <c r="F647">
        <v>140</v>
      </c>
      <c r="G647">
        <v>360</v>
      </c>
      <c r="H647">
        <v>197</v>
      </c>
      <c r="I647">
        <v>89</v>
      </c>
      <c r="J647" s="8">
        <v>0.63571428571428568</v>
      </c>
      <c r="K647">
        <v>43</v>
      </c>
      <c r="L647">
        <v>18</v>
      </c>
      <c r="M647">
        <v>165</v>
      </c>
      <c r="N647" s="10">
        <v>399.11</v>
      </c>
      <c r="O647" s="7">
        <v>1.8</v>
      </c>
      <c r="P647" s="7">
        <v>29.5</v>
      </c>
      <c r="Q647">
        <v>4</v>
      </c>
      <c r="R647" t="s">
        <v>66</v>
      </c>
      <c r="S647">
        <v>8</v>
      </c>
      <c r="T647">
        <v>216</v>
      </c>
      <c r="U647" s="11">
        <v>-0.43388373911755801</v>
      </c>
      <c r="V647" s="11">
        <v>-0.90096886790241915</v>
      </c>
      <c r="W647" s="11">
        <v>-0.52858132835592919</v>
      </c>
      <c r="X647" s="11">
        <v>-0.84888266522145528</v>
      </c>
      <c r="Y647">
        <v>0</v>
      </c>
      <c r="Z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6">
        <v>45142</v>
      </c>
      <c r="B648" t="s">
        <v>36</v>
      </c>
      <c r="C648" t="s">
        <v>37</v>
      </c>
      <c r="D648" t="s">
        <v>38</v>
      </c>
      <c r="E648" t="s">
        <v>39</v>
      </c>
      <c r="F648">
        <v>125</v>
      </c>
      <c r="G648">
        <v>320</v>
      </c>
      <c r="H648">
        <v>173</v>
      </c>
      <c r="I648">
        <v>69</v>
      </c>
      <c r="J648" s="8">
        <v>0.55200000000000005</v>
      </c>
      <c r="K648">
        <v>28</v>
      </c>
      <c r="L648">
        <v>39</v>
      </c>
      <c r="M648">
        <v>154</v>
      </c>
      <c r="N648" s="10">
        <v>617.86</v>
      </c>
      <c r="O648" s="7">
        <v>1.8</v>
      </c>
      <c r="P648" s="7">
        <v>29.5</v>
      </c>
      <c r="Q648">
        <v>4</v>
      </c>
      <c r="R648" t="s">
        <v>66</v>
      </c>
      <c r="S648">
        <v>8</v>
      </c>
      <c r="T648">
        <v>216</v>
      </c>
      <c r="U648" s="11">
        <v>-0.43388373911755801</v>
      </c>
      <c r="V648" s="11">
        <v>-0.90096886790241915</v>
      </c>
      <c r="W648" s="11">
        <v>-0.52858132835592919</v>
      </c>
      <c r="X648" s="11">
        <v>-0.84888266522145528</v>
      </c>
      <c r="Y648">
        <v>0</v>
      </c>
      <c r="Z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6">
        <v>45142</v>
      </c>
      <c r="B649" t="s">
        <v>41</v>
      </c>
      <c r="C649" t="s">
        <v>42</v>
      </c>
      <c r="D649" t="s">
        <v>43</v>
      </c>
      <c r="E649" t="s">
        <v>44</v>
      </c>
      <c r="F649">
        <v>85</v>
      </c>
      <c r="G649">
        <v>210</v>
      </c>
      <c r="H649">
        <v>124</v>
      </c>
      <c r="I649">
        <v>52</v>
      </c>
      <c r="J649" s="8">
        <v>0.61176470588235299</v>
      </c>
      <c r="K649">
        <v>10</v>
      </c>
      <c r="L649">
        <v>24</v>
      </c>
      <c r="M649">
        <v>108</v>
      </c>
      <c r="N649" s="10">
        <v>510.98</v>
      </c>
      <c r="O649" s="7">
        <v>1.8</v>
      </c>
      <c r="P649" s="7">
        <v>29.5</v>
      </c>
      <c r="Q649">
        <v>4</v>
      </c>
      <c r="R649" t="s">
        <v>66</v>
      </c>
      <c r="S649">
        <v>8</v>
      </c>
      <c r="T649">
        <v>216</v>
      </c>
      <c r="U649" s="11">
        <v>-0.43388373911755801</v>
      </c>
      <c r="V649" s="11">
        <v>-0.90096886790241915</v>
      </c>
      <c r="W649" s="11">
        <v>-0.52858132835592919</v>
      </c>
      <c r="X649" s="11">
        <v>-0.84888266522145528</v>
      </c>
      <c r="Y649">
        <v>0</v>
      </c>
      <c r="Z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6">
        <v>45143</v>
      </c>
      <c r="B650" t="s">
        <v>31</v>
      </c>
      <c r="C650" t="s">
        <v>32</v>
      </c>
      <c r="D650" t="s">
        <v>33</v>
      </c>
      <c r="E650" t="s">
        <v>34</v>
      </c>
      <c r="F650">
        <v>140</v>
      </c>
      <c r="G650">
        <v>360</v>
      </c>
      <c r="H650">
        <v>269</v>
      </c>
      <c r="I650">
        <v>113</v>
      </c>
      <c r="J650" s="8">
        <v>0.80714285714285716</v>
      </c>
      <c r="K650">
        <v>54</v>
      </c>
      <c r="L650">
        <v>46</v>
      </c>
      <c r="M650">
        <v>237</v>
      </c>
      <c r="N650" s="10">
        <v>445.24</v>
      </c>
      <c r="O650" s="7">
        <v>1.8</v>
      </c>
      <c r="P650" s="7">
        <v>29.1</v>
      </c>
      <c r="Q650">
        <v>5</v>
      </c>
      <c r="R650" t="s">
        <v>67</v>
      </c>
      <c r="S650">
        <v>8</v>
      </c>
      <c r="T650">
        <v>217</v>
      </c>
      <c r="U650" s="11">
        <v>-0.97492791218182362</v>
      </c>
      <c r="V650" s="11">
        <v>-0.22252093395631459</v>
      </c>
      <c r="W650" s="11">
        <v>-0.54310523968343172</v>
      </c>
      <c r="X650" s="11">
        <v>-0.83966463461813268</v>
      </c>
      <c r="Y650">
        <v>1</v>
      </c>
      <c r="Z650">
        <v>0</v>
      </c>
      <c r="AB650">
        <v>0</v>
      </c>
      <c r="AC650">
        <v>0</v>
      </c>
      <c r="AD650">
        <v>0</v>
      </c>
      <c r="AE650">
        <v>1</v>
      </c>
    </row>
    <row r="651" spans="1:31">
      <c r="A651" s="6">
        <v>45143</v>
      </c>
      <c r="B651" t="s">
        <v>36</v>
      </c>
      <c r="C651" t="s">
        <v>37</v>
      </c>
      <c r="D651" t="s">
        <v>38</v>
      </c>
      <c r="E651" t="s">
        <v>39</v>
      </c>
      <c r="F651">
        <v>125</v>
      </c>
      <c r="G651">
        <v>320</v>
      </c>
      <c r="H651">
        <v>227</v>
      </c>
      <c r="I651">
        <v>95</v>
      </c>
      <c r="J651" s="8">
        <v>0.76</v>
      </c>
      <c r="K651">
        <v>44</v>
      </c>
      <c r="L651">
        <v>41</v>
      </c>
      <c r="M651">
        <v>211</v>
      </c>
      <c r="N651" s="10">
        <v>718.51</v>
      </c>
      <c r="O651" s="7">
        <v>1.8</v>
      </c>
      <c r="P651" s="7">
        <v>29.1</v>
      </c>
      <c r="Q651">
        <v>5</v>
      </c>
      <c r="R651" t="s">
        <v>67</v>
      </c>
      <c r="S651">
        <v>8</v>
      </c>
      <c r="T651">
        <v>217</v>
      </c>
      <c r="U651" s="11">
        <v>-0.97492791218182362</v>
      </c>
      <c r="V651" s="11">
        <v>-0.22252093395631459</v>
      </c>
      <c r="W651" s="11">
        <v>-0.54310523968343172</v>
      </c>
      <c r="X651" s="11">
        <v>-0.83966463461813268</v>
      </c>
      <c r="Y651">
        <v>1</v>
      </c>
      <c r="Z651">
        <v>0</v>
      </c>
      <c r="AB651">
        <v>0</v>
      </c>
      <c r="AC651">
        <v>0</v>
      </c>
      <c r="AD651">
        <v>0</v>
      </c>
      <c r="AE651">
        <v>1</v>
      </c>
    </row>
    <row r="652" spans="1:31">
      <c r="A652" s="6">
        <v>45143</v>
      </c>
      <c r="B652" t="s">
        <v>41</v>
      </c>
      <c r="C652" t="s">
        <v>42</v>
      </c>
      <c r="D652" t="s">
        <v>43</v>
      </c>
      <c r="E652" t="s">
        <v>44</v>
      </c>
      <c r="F652">
        <v>85</v>
      </c>
      <c r="G652">
        <v>210</v>
      </c>
      <c r="H652">
        <v>150</v>
      </c>
      <c r="I652">
        <v>67</v>
      </c>
      <c r="J652" s="8">
        <v>0.78823529411764703</v>
      </c>
      <c r="K652">
        <v>23</v>
      </c>
      <c r="L652">
        <v>36</v>
      </c>
      <c r="M652">
        <v>135</v>
      </c>
      <c r="N652" s="10">
        <v>635.88</v>
      </c>
      <c r="O652" s="7">
        <v>1.8</v>
      </c>
      <c r="P652" s="7">
        <v>29.1</v>
      </c>
      <c r="Q652">
        <v>5</v>
      </c>
      <c r="R652" t="s">
        <v>67</v>
      </c>
      <c r="S652">
        <v>8</v>
      </c>
      <c r="T652">
        <v>217</v>
      </c>
      <c r="U652" s="11">
        <v>-0.97492791218182362</v>
      </c>
      <c r="V652" s="11">
        <v>-0.22252093395631459</v>
      </c>
      <c r="W652" s="11">
        <v>-0.54310523968343172</v>
      </c>
      <c r="X652" s="11">
        <v>-0.83966463461813268</v>
      </c>
      <c r="Y652">
        <v>1</v>
      </c>
      <c r="Z652">
        <v>0</v>
      </c>
      <c r="AB652">
        <v>0</v>
      </c>
      <c r="AC652">
        <v>0</v>
      </c>
      <c r="AD652">
        <v>0</v>
      </c>
      <c r="AE652">
        <v>1</v>
      </c>
    </row>
    <row r="653" spans="1:31">
      <c r="A653" s="6">
        <v>45144</v>
      </c>
      <c r="B653" t="s">
        <v>31</v>
      </c>
      <c r="C653" t="s">
        <v>32</v>
      </c>
      <c r="D653" t="s">
        <v>33</v>
      </c>
      <c r="E653" t="s">
        <v>34</v>
      </c>
      <c r="F653">
        <v>140</v>
      </c>
      <c r="G653">
        <v>360</v>
      </c>
      <c r="H653">
        <v>242</v>
      </c>
      <c r="I653">
        <v>105</v>
      </c>
      <c r="J653" s="8">
        <v>0.75</v>
      </c>
      <c r="K653">
        <v>62</v>
      </c>
      <c r="L653">
        <v>39</v>
      </c>
      <c r="M653">
        <v>205</v>
      </c>
      <c r="N653" s="10">
        <v>481.93</v>
      </c>
      <c r="O653" s="7">
        <v>0</v>
      </c>
      <c r="P653" s="7">
        <v>28.2</v>
      </c>
      <c r="Q653">
        <v>6</v>
      </c>
      <c r="R653" t="s">
        <v>60</v>
      </c>
      <c r="S653">
        <v>8</v>
      </c>
      <c r="T653">
        <v>218</v>
      </c>
      <c r="U653" s="11">
        <v>-0.78183148246802991</v>
      </c>
      <c r="V653" s="11">
        <v>0.62348980185873337</v>
      </c>
      <c r="W653" s="11">
        <v>-0.55746843743278918</v>
      </c>
      <c r="X653" s="11">
        <v>-0.8301981337405212</v>
      </c>
      <c r="Y653">
        <v>1</v>
      </c>
      <c r="Z653">
        <v>0</v>
      </c>
      <c r="AB653">
        <v>0</v>
      </c>
      <c r="AC653">
        <v>0</v>
      </c>
      <c r="AD653">
        <v>0</v>
      </c>
      <c r="AE653">
        <v>1</v>
      </c>
    </row>
    <row r="654" spans="1:31">
      <c r="A654" s="6">
        <v>45144</v>
      </c>
      <c r="B654" t="s">
        <v>36</v>
      </c>
      <c r="C654" t="s">
        <v>37</v>
      </c>
      <c r="D654" t="s">
        <v>38</v>
      </c>
      <c r="E654" t="s">
        <v>39</v>
      </c>
      <c r="F654">
        <v>125</v>
      </c>
      <c r="G654">
        <v>320</v>
      </c>
      <c r="H654">
        <v>236</v>
      </c>
      <c r="I654">
        <v>98</v>
      </c>
      <c r="J654" s="8">
        <v>0.78400000000000003</v>
      </c>
      <c r="K654">
        <v>59</v>
      </c>
      <c r="L654">
        <v>34</v>
      </c>
      <c r="M654">
        <v>195</v>
      </c>
      <c r="N654" s="10">
        <v>668.13</v>
      </c>
      <c r="O654" s="7">
        <v>0</v>
      </c>
      <c r="P654" s="7">
        <v>28.2</v>
      </c>
      <c r="Q654">
        <v>6</v>
      </c>
      <c r="R654" t="s">
        <v>60</v>
      </c>
      <c r="S654">
        <v>8</v>
      </c>
      <c r="T654">
        <v>218</v>
      </c>
      <c r="U654" s="11">
        <v>-0.78183148246802991</v>
      </c>
      <c r="V654" s="11">
        <v>0.62348980185873337</v>
      </c>
      <c r="W654" s="11">
        <v>-0.55746843743278918</v>
      </c>
      <c r="X654" s="11">
        <v>-0.8301981337405212</v>
      </c>
      <c r="Y654">
        <v>1</v>
      </c>
      <c r="Z654">
        <v>0</v>
      </c>
      <c r="AB654">
        <v>0</v>
      </c>
      <c r="AC654">
        <v>0</v>
      </c>
      <c r="AD654">
        <v>0</v>
      </c>
      <c r="AE654">
        <v>1</v>
      </c>
    </row>
    <row r="655" spans="1:31">
      <c r="A655" s="6">
        <v>45144</v>
      </c>
      <c r="B655" t="s">
        <v>41</v>
      </c>
      <c r="C655" t="s">
        <v>42</v>
      </c>
      <c r="D655" t="s">
        <v>43</v>
      </c>
      <c r="E655" t="s">
        <v>44</v>
      </c>
      <c r="F655">
        <v>85</v>
      </c>
      <c r="G655">
        <v>210</v>
      </c>
      <c r="H655">
        <v>174</v>
      </c>
      <c r="I655">
        <v>79</v>
      </c>
      <c r="J655" s="8">
        <v>0.92941176470588238</v>
      </c>
      <c r="K655">
        <v>32</v>
      </c>
      <c r="L655">
        <v>30</v>
      </c>
      <c r="M655">
        <v>156</v>
      </c>
      <c r="N655" s="10">
        <v>584.66999999999996</v>
      </c>
      <c r="O655" s="7">
        <v>0</v>
      </c>
      <c r="P655" s="7">
        <v>28.2</v>
      </c>
      <c r="Q655">
        <v>6</v>
      </c>
      <c r="R655" t="s">
        <v>60</v>
      </c>
      <c r="S655">
        <v>8</v>
      </c>
      <c r="T655">
        <v>218</v>
      </c>
      <c r="U655" s="11">
        <v>-0.78183148246802991</v>
      </c>
      <c r="V655" s="11">
        <v>0.62348980185873337</v>
      </c>
      <c r="W655" s="11">
        <v>-0.55746843743278918</v>
      </c>
      <c r="X655" s="11">
        <v>-0.8301981337405212</v>
      </c>
      <c r="Y655">
        <v>1</v>
      </c>
      <c r="Z655">
        <v>0</v>
      </c>
      <c r="AB655">
        <v>0</v>
      </c>
      <c r="AC655">
        <v>0</v>
      </c>
      <c r="AD655">
        <v>0</v>
      </c>
      <c r="AE655">
        <v>1</v>
      </c>
    </row>
    <row r="656" spans="1:31">
      <c r="A656" s="6">
        <v>45145</v>
      </c>
      <c r="B656" t="s">
        <v>31</v>
      </c>
      <c r="C656" t="s">
        <v>32</v>
      </c>
      <c r="D656" t="s">
        <v>33</v>
      </c>
      <c r="E656" t="s">
        <v>34</v>
      </c>
      <c r="F656">
        <v>140</v>
      </c>
      <c r="G656">
        <v>360</v>
      </c>
      <c r="H656">
        <v>197</v>
      </c>
      <c r="I656">
        <v>81</v>
      </c>
      <c r="J656" s="8">
        <v>0.57857142857142863</v>
      </c>
      <c r="K656">
        <v>33</v>
      </c>
      <c r="L656">
        <v>47</v>
      </c>
      <c r="M656">
        <v>165</v>
      </c>
      <c r="N656" s="10">
        <v>462.02</v>
      </c>
      <c r="O656" s="7">
        <v>0.7</v>
      </c>
      <c r="P656" s="7">
        <v>28.7</v>
      </c>
      <c r="Q656">
        <v>0</v>
      </c>
      <c r="R656" t="s">
        <v>62</v>
      </c>
      <c r="S656">
        <v>8</v>
      </c>
      <c r="T656">
        <v>219</v>
      </c>
      <c r="U656" s="11">
        <v>0</v>
      </c>
      <c r="V656" s="11">
        <v>1</v>
      </c>
      <c r="W656" s="11">
        <v>-0.57166667130270521</v>
      </c>
      <c r="X656" s="11">
        <v>-0.82048596387853268</v>
      </c>
      <c r="Y656">
        <v>0</v>
      </c>
      <c r="Z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6">
        <v>45145</v>
      </c>
      <c r="B657" t="s">
        <v>36</v>
      </c>
      <c r="C657" t="s">
        <v>37</v>
      </c>
      <c r="D657" t="s">
        <v>38</v>
      </c>
      <c r="E657" t="s">
        <v>39</v>
      </c>
      <c r="F657">
        <v>125</v>
      </c>
      <c r="G657">
        <v>320</v>
      </c>
      <c r="H657">
        <v>172</v>
      </c>
      <c r="I657">
        <v>74</v>
      </c>
      <c r="J657" s="8">
        <v>0.59199999999999997</v>
      </c>
      <c r="K657">
        <v>30</v>
      </c>
      <c r="L657">
        <v>35</v>
      </c>
      <c r="M657">
        <v>156</v>
      </c>
      <c r="N657" s="10">
        <v>575.58000000000004</v>
      </c>
      <c r="O657" s="7">
        <v>0.7</v>
      </c>
      <c r="P657" s="7">
        <v>28.7</v>
      </c>
      <c r="Q657">
        <v>0</v>
      </c>
      <c r="R657" t="s">
        <v>62</v>
      </c>
      <c r="S657">
        <v>8</v>
      </c>
      <c r="T657">
        <v>219</v>
      </c>
      <c r="U657" s="11">
        <v>0</v>
      </c>
      <c r="V657" s="11">
        <v>1</v>
      </c>
      <c r="W657" s="11">
        <v>-0.57166667130270521</v>
      </c>
      <c r="X657" s="11">
        <v>-0.82048596387853268</v>
      </c>
      <c r="Y657">
        <v>0</v>
      </c>
      <c r="Z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6">
        <v>45145</v>
      </c>
      <c r="B658" t="s">
        <v>41</v>
      </c>
      <c r="C658" t="s">
        <v>42</v>
      </c>
      <c r="D658" t="s">
        <v>43</v>
      </c>
      <c r="E658" t="s">
        <v>44</v>
      </c>
      <c r="F658">
        <v>85</v>
      </c>
      <c r="G658">
        <v>210</v>
      </c>
      <c r="H658">
        <v>129</v>
      </c>
      <c r="I658">
        <v>58</v>
      </c>
      <c r="J658" s="8">
        <v>0.68235294117647061</v>
      </c>
      <c r="K658">
        <v>31</v>
      </c>
      <c r="L658">
        <v>18</v>
      </c>
      <c r="M658">
        <v>104</v>
      </c>
      <c r="N658" s="10">
        <v>497.46</v>
      </c>
      <c r="O658" s="7">
        <v>0.7</v>
      </c>
      <c r="P658" s="7">
        <v>28.7</v>
      </c>
      <c r="Q658">
        <v>0</v>
      </c>
      <c r="R658" t="s">
        <v>62</v>
      </c>
      <c r="S658">
        <v>8</v>
      </c>
      <c r="T658">
        <v>219</v>
      </c>
      <c r="U658" s="11">
        <v>0</v>
      </c>
      <c r="V658" s="11">
        <v>1</v>
      </c>
      <c r="W658" s="11">
        <v>-0.57166667130270521</v>
      </c>
      <c r="X658" s="11">
        <v>-0.82048596387853268</v>
      </c>
      <c r="Y658">
        <v>0</v>
      </c>
      <c r="Z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6">
        <v>45146</v>
      </c>
      <c r="B659" t="s">
        <v>31</v>
      </c>
      <c r="C659" t="s">
        <v>32</v>
      </c>
      <c r="D659" t="s">
        <v>33</v>
      </c>
      <c r="E659" t="s">
        <v>34</v>
      </c>
      <c r="F659">
        <v>140</v>
      </c>
      <c r="G659">
        <v>360</v>
      </c>
      <c r="H659">
        <v>189</v>
      </c>
      <c r="I659">
        <v>82</v>
      </c>
      <c r="J659" s="8">
        <v>0.58571428571428574</v>
      </c>
      <c r="K659">
        <v>36</v>
      </c>
      <c r="L659">
        <v>32</v>
      </c>
      <c r="M659">
        <v>168</v>
      </c>
      <c r="N659" s="10">
        <v>424.35</v>
      </c>
      <c r="O659" s="7">
        <v>0.2</v>
      </c>
      <c r="P659" s="7">
        <v>28.1</v>
      </c>
      <c r="Q659">
        <v>1</v>
      </c>
      <c r="R659" t="s">
        <v>63</v>
      </c>
      <c r="S659">
        <v>8</v>
      </c>
      <c r="T659">
        <v>220</v>
      </c>
      <c r="U659" s="11">
        <v>0.7818314824680298</v>
      </c>
      <c r="V659" s="11">
        <v>0.62348980185873359</v>
      </c>
      <c r="W659" s="11">
        <v>-0.58569573980735079</v>
      </c>
      <c r="X659" s="11">
        <v>-0.81053099901948233</v>
      </c>
      <c r="Y659">
        <v>0</v>
      </c>
      <c r="Z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6">
        <v>45146</v>
      </c>
      <c r="B660" t="s">
        <v>36</v>
      </c>
      <c r="C660" t="s">
        <v>37</v>
      </c>
      <c r="D660" t="s">
        <v>38</v>
      </c>
      <c r="E660" t="s">
        <v>39</v>
      </c>
      <c r="F660">
        <v>125</v>
      </c>
      <c r="G660">
        <v>320</v>
      </c>
      <c r="H660">
        <v>178</v>
      </c>
      <c r="I660">
        <v>73</v>
      </c>
      <c r="J660" s="8">
        <v>0.58399999999999996</v>
      </c>
      <c r="K660">
        <v>36</v>
      </c>
      <c r="L660">
        <v>33</v>
      </c>
      <c r="M660">
        <v>159</v>
      </c>
      <c r="N660" s="10">
        <v>579.86</v>
      </c>
      <c r="O660" s="7">
        <v>0.2</v>
      </c>
      <c r="P660" s="7">
        <v>28.1</v>
      </c>
      <c r="Q660">
        <v>1</v>
      </c>
      <c r="R660" t="s">
        <v>63</v>
      </c>
      <c r="S660">
        <v>8</v>
      </c>
      <c r="T660">
        <v>220</v>
      </c>
      <c r="U660" s="11">
        <v>0.7818314824680298</v>
      </c>
      <c r="V660" s="11">
        <v>0.62348980185873359</v>
      </c>
      <c r="W660" s="11">
        <v>-0.58569573980735079</v>
      </c>
      <c r="X660" s="11">
        <v>-0.81053099901948233</v>
      </c>
      <c r="Y660">
        <v>0</v>
      </c>
      <c r="Z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s="6">
        <v>45146</v>
      </c>
      <c r="B661" t="s">
        <v>41</v>
      </c>
      <c r="C661" t="s">
        <v>42</v>
      </c>
      <c r="D661" t="s">
        <v>43</v>
      </c>
      <c r="E661" t="s">
        <v>44</v>
      </c>
      <c r="F661">
        <v>85</v>
      </c>
      <c r="G661">
        <v>210</v>
      </c>
      <c r="H661">
        <v>132</v>
      </c>
      <c r="I661">
        <v>58</v>
      </c>
      <c r="J661" s="8">
        <v>0.68235294117647061</v>
      </c>
      <c r="K661">
        <v>32</v>
      </c>
      <c r="L661">
        <v>17</v>
      </c>
      <c r="M661">
        <v>111</v>
      </c>
      <c r="N661" s="10">
        <v>521.98</v>
      </c>
      <c r="O661" s="7">
        <v>0.2</v>
      </c>
      <c r="P661" s="7">
        <v>28.1</v>
      </c>
      <c r="Q661">
        <v>1</v>
      </c>
      <c r="R661" t="s">
        <v>63</v>
      </c>
      <c r="S661">
        <v>8</v>
      </c>
      <c r="T661">
        <v>220</v>
      </c>
      <c r="U661" s="11">
        <v>0.7818314824680298</v>
      </c>
      <c r="V661" s="11">
        <v>0.62348980185873359</v>
      </c>
      <c r="W661" s="11">
        <v>-0.58569573980735079</v>
      </c>
      <c r="X661" s="11">
        <v>-0.81053099901948233</v>
      </c>
      <c r="Y661">
        <v>0</v>
      </c>
      <c r="Z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6">
        <v>45147</v>
      </c>
      <c r="B662" t="s">
        <v>31</v>
      </c>
      <c r="C662" t="s">
        <v>32</v>
      </c>
      <c r="D662" t="s">
        <v>33</v>
      </c>
      <c r="E662" t="s">
        <v>34</v>
      </c>
      <c r="F662">
        <v>140</v>
      </c>
      <c r="G662">
        <v>360</v>
      </c>
      <c r="H662">
        <v>217</v>
      </c>
      <c r="I662">
        <v>95</v>
      </c>
      <c r="J662" s="8">
        <v>0.6785714285714286</v>
      </c>
      <c r="K662">
        <v>45</v>
      </c>
      <c r="L662">
        <v>54</v>
      </c>
      <c r="M662">
        <v>200</v>
      </c>
      <c r="N662" s="10">
        <v>427.52</v>
      </c>
      <c r="O662" s="7">
        <v>2.2000000000000002</v>
      </c>
      <c r="P662" s="7">
        <v>29.1</v>
      </c>
      <c r="Q662">
        <v>2</v>
      </c>
      <c r="R662" t="s">
        <v>64</v>
      </c>
      <c r="S662">
        <v>8</v>
      </c>
      <c r="T662">
        <v>221</v>
      </c>
      <c r="U662" s="11">
        <v>0.97492791218182362</v>
      </c>
      <c r="V662" s="11">
        <v>-0.22252093395631434</v>
      </c>
      <c r="W662" s="11">
        <v>-0.59955149151964893</v>
      </c>
      <c r="X662" s="11">
        <v>-0.80033618499763226</v>
      </c>
      <c r="Y662">
        <v>0</v>
      </c>
      <c r="Z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6">
        <v>45147</v>
      </c>
      <c r="B663" t="s">
        <v>36</v>
      </c>
      <c r="C663" t="s">
        <v>37</v>
      </c>
      <c r="D663" t="s">
        <v>38</v>
      </c>
      <c r="E663" t="s">
        <v>39</v>
      </c>
      <c r="F663">
        <v>125</v>
      </c>
      <c r="G663">
        <v>320</v>
      </c>
      <c r="H663">
        <v>175</v>
      </c>
      <c r="I663">
        <v>73</v>
      </c>
      <c r="J663" s="8">
        <v>0.58399999999999996</v>
      </c>
      <c r="K663">
        <v>43</v>
      </c>
      <c r="L663">
        <v>20</v>
      </c>
      <c r="M663">
        <v>146</v>
      </c>
      <c r="N663" s="10">
        <v>598.87</v>
      </c>
      <c r="O663" s="7">
        <v>2.2000000000000002</v>
      </c>
      <c r="P663" s="7">
        <v>29.1</v>
      </c>
      <c r="Q663">
        <v>2</v>
      </c>
      <c r="R663" t="s">
        <v>64</v>
      </c>
      <c r="S663">
        <v>8</v>
      </c>
      <c r="T663">
        <v>221</v>
      </c>
      <c r="U663" s="11">
        <v>0.97492791218182362</v>
      </c>
      <c r="V663" s="11">
        <v>-0.22252093395631434</v>
      </c>
      <c r="W663" s="11">
        <v>-0.59955149151964893</v>
      </c>
      <c r="X663" s="11">
        <v>-0.80033618499763226</v>
      </c>
      <c r="Y663">
        <v>0</v>
      </c>
      <c r="Z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6">
        <v>45147</v>
      </c>
      <c r="B664" t="s">
        <v>41</v>
      </c>
      <c r="C664" t="s">
        <v>42</v>
      </c>
      <c r="D664" t="s">
        <v>43</v>
      </c>
      <c r="E664" t="s">
        <v>44</v>
      </c>
      <c r="F664">
        <v>85</v>
      </c>
      <c r="G664">
        <v>210</v>
      </c>
      <c r="H664">
        <v>113</v>
      </c>
      <c r="I664">
        <v>50</v>
      </c>
      <c r="J664" s="8">
        <v>0.58823529411764708</v>
      </c>
      <c r="K664">
        <v>23</v>
      </c>
      <c r="L664">
        <v>13</v>
      </c>
      <c r="M664">
        <v>93</v>
      </c>
      <c r="N664" s="10">
        <v>485.33</v>
      </c>
      <c r="O664" s="7">
        <v>2.2000000000000002</v>
      </c>
      <c r="P664" s="7">
        <v>29.1</v>
      </c>
      <c r="Q664">
        <v>2</v>
      </c>
      <c r="R664" t="s">
        <v>64</v>
      </c>
      <c r="S664">
        <v>8</v>
      </c>
      <c r="T664">
        <v>221</v>
      </c>
      <c r="U664" s="11">
        <v>0.97492791218182362</v>
      </c>
      <c r="V664" s="11">
        <v>-0.22252093395631434</v>
      </c>
      <c r="W664" s="11">
        <v>-0.59955149151964893</v>
      </c>
      <c r="X664" s="11">
        <v>-0.80033618499763226</v>
      </c>
      <c r="Y664">
        <v>0</v>
      </c>
      <c r="Z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6">
        <v>45148</v>
      </c>
      <c r="B665" t="s">
        <v>31</v>
      </c>
      <c r="C665" t="s">
        <v>32</v>
      </c>
      <c r="D665" t="s">
        <v>33</v>
      </c>
      <c r="E665" t="s">
        <v>34</v>
      </c>
      <c r="F665">
        <v>140</v>
      </c>
      <c r="G665">
        <v>360</v>
      </c>
      <c r="H665">
        <v>207</v>
      </c>
      <c r="I665">
        <v>89</v>
      </c>
      <c r="J665" s="8">
        <v>0.63571428571428568</v>
      </c>
      <c r="K665">
        <v>35</v>
      </c>
      <c r="L665">
        <v>37</v>
      </c>
      <c r="M665">
        <v>171</v>
      </c>
      <c r="N665" s="10">
        <v>428.69</v>
      </c>
      <c r="O665" s="7">
        <v>0</v>
      </c>
      <c r="P665" s="7">
        <v>28.3</v>
      </c>
      <c r="Q665">
        <v>3</v>
      </c>
      <c r="R665" t="s">
        <v>65</v>
      </c>
      <c r="S665">
        <v>8</v>
      </c>
      <c r="T665">
        <v>222</v>
      </c>
      <c r="U665" s="11">
        <v>0.43388373911755823</v>
      </c>
      <c r="V665" s="11">
        <v>-0.90096886790241903</v>
      </c>
      <c r="W665" s="11">
        <v>-0.6132298262997502</v>
      </c>
      <c r="X665" s="11">
        <v>-0.78990453862247068</v>
      </c>
      <c r="Y665">
        <v>0</v>
      </c>
      <c r="Z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6">
        <v>45148</v>
      </c>
      <c r="B666" t="s">
        <v>36</v>
      </c>
      <c r="C666" t="s">
        <v>37</v>
      </c>
      <c r="D666" t="s">
        <v>38</v>
      </c>
      <c r="E666" t="s">
        <v>39</v>
      </c>
      <c r="F666">
        <v>125</v>
      </c>
      <c r="G666">
        <v>320</v>
      </c>
      <c r="H666">
        <v>189</v>
      </c>
      <c r="I666">
        <v>78</v>
      </c>
      <c r="J666" s="8">
        <v>0.624</v>
      </c>
      <c r="K666">
        <v>51</v>
      </c>
      <c r="L666">
        <v>41</v>
      </c>
      <c r="M666">
        <v>157</v>
      </c>
      <c r="N666" s="10">
        <v>622.85</v>
      </c>
      <c r="O666" s="7">
        <v>0</v>
      </c>
      <c r="P666" s="7">
        <v>28.3</v>
      </c>
      <c r="Q666">
        <v>3</v>
      </c>
      <c r="R666" t="s">
        <v>65</v>
      </c>
      <c r="S666">
        <v>8</v>
      </c>
      <c r="T666">
        <v>222</v>
      </c>
      <c r="U666" s="11">
        <v>0.43388373911755823</v>
      </c>
      <c r="V666" s="11">
        <v>-0.90096886790241903</v>
      </c>
      <c r="W666" s="11">
        <v>-0.6132298262997502</v>
      </c>
      <c r="X666" s="11">
        <v>-0.78990453862247068</v>
      </c>
      <c r="Y666">
        <v>0</v>
      </c>
      <c r="Z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6">
        <v>45148</v>
      </c>
      <c r="B667" t="s">
        <v>41</v>
      </c>
      <c r="C667" t="s">
        <v>42</v>
      </c>
      <c r="D667" t="s">
        <v>43</v>
      </c>
      <c r="E667" t="s">
        <v>44</v>
      </c>
      <c r="F667">
        <v>85</v>
      </c>
      <c r="G667">
        <v>210</v>
      </c>
      <c r="H667">
        <v>119</v>
      </c>
      <c r="I667">
        <v>51</v>
      </c>
      <c r="J667" s="8">
        <v>0.6</v>
      </c>
      <c r="K667">
        <v>33</v>
      </c>
      <c r="L667">
        <v>27</v>
      </c>
      <c r="M667">
        <v>109</v>
      </c>
      <c r="N667" s="10">
        <v>514.09</v>
      </c>
      <c r="O667" s="7">
        <v>0</v>
      </c>
      <c r="P667" s="7">
        <v>28.3</v>
      </c>
      <c r="Q667">
        <v>3</v>
      </c>
      <c r="R667" t="s">
        <v>65</v>
      </c>
      <c r="S667">
        <v>8</v>
      </c>
      <c r="T667">
        <v>222</v>
      </c>
      <c r="U667" s="11">
        <v>0.43388373911755823</v>
      </c>
      <c r="V667" s="11">
        <v>-0.90096886790241903</v>
      </c>
      <c r="W667" s="11">
        <v>-0.6132298262997502</v>
      </c>
      <c r="X667" s="11">
        <v>-0.78990453862247068</v>
      </c>
      <c r="Y667">
        <v>0</v>
      </c>
      <c r="Z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6">
        <v>45149</v>
      </c>
      <c r="B668" t="s">
        <v>31</v>
      </c>
      <c r="C668" t="s">
        <v>32</v>
      </c>
      <c r="D668" t="s">
        <v>33</v>
      </c>
      <c r="E668" t="s">
        <v>34</v>
      </c>
      <c r="F668">
        <v>140</v>
      </c>
      <c r="G668">
        <v>360</v>
      </c>
      <c r="H668">
        <v>200</v>
      </c>
      <c r="I668">
        <v>83</v>
      </c>
      <c r="J668" s="8">
        <v>0.59285714285714286</v>
      </c>
      <c r="K668">
        <v>53</v>
      </c>
      <c r="L668">
        <v>37</v>
      </c>
      <c r="M668">
        <v>180</v>
      </c>
      <c r="N668" s="10">
        <v>468.57</v>
      </c>
      <c r="O668" s="7">
        <v>0</v>
      </c>
      <c r="P668" s="7">
        <v>28.1</v>
      </c>
      <c r="Q668">
        <v>4</v>
      </c>
      <c r="R668" t="s">
        <v>66</v>
      </c>
      <c r="S668">
        <v>8</v>
      </c>
      <c r="T668">
        <v>223</v>
      </c>
      <c r="U668" s="11">
        <v>-0.43388373911755801</v>
      </c>
      <c r="V668" s="11">
        <v>-0.90096886790241915</v>
      </c>
      <c r="W668" s="11">
        <v>-0.62672669650833013</v>
      </c>
      <c r="X668" s="11">
        <v>-0.7792391467859886</v>
      </c>
      <c r="Y668">
        <v>0</v>
      </c>
      <c r="Z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6">
        <v>45149</v>
      </c>
      <c r="B669" t="s">
        <v>36</v>
      </c>
      <c r="C669" t="s">
        <v>37</v>
      </c>
      <c r="D669" t="s">
        <v>38</v>
      </c>
      <c r="E669" t="s">
        <v>39</v>
      </c>
      <c r="F669">
        <v>125</v>
      </c>
      <c r="G669">
        <v>320</v>
      </c>
      <c r="H669">
        <v>168</v>
      </c>
      <c r="I669">
        <v>70</v>
      </c>
      <c r="J669" s="8">
        <v>0.56000000000000005</v>
      </c>
      <c r="K669">
        <v>37</v>
      </c>
      <c r="L669">
        <v>35</v>
      </c>
      <c r="M669">
        <v>157</v>
      </c>
      <c r="N669" s="10">
        <v>576.29</v>
      </c>
      <c r="O669" s="7">
        <v>0</v>
      </c>
      <c r="P669" s="7">
        <v>28.1</v>
      </c>
      <c r="Q669">
        <v>4</v>
      </c>
      <c r="R669" t="s">
        <v>66</v>
      </c>
      <c r="S669">
        <v>8</v>
      </c>
      <c r="T669">
        <v>223</v>
      </c>
      <c r="U669" s="11">
        <v>-0.43388373911755801</v>
      </c>
      <c r="V669" s="11">
        <v>-0.90096886790241915</v>
      </c>
      <c r="W669" s="11">
        <v>-0.62672669650833013</v>
      </c>
      <c r="X669" s="11">
        <v>-0.7792391467859886</v>
      </c>
      <c r="Y669">
        <v>0</v>
      </c>
      <c r="Z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6">
        <v>45149</v>
      </c>
      <c r="B670" t="s">
        <v>41</v>
      </c>
      <c r="C670" t="s">
        <v>42</v>
      </c>
      <c r="D670" t="s">
        <v>43</v>
      </c>
      <c r="E670" t="s">
        <v>44</v>
      </c>
      <c r="F670">
        <v>85</v>
      </c>
      <c r="G670">
        <v>210</v>
      </c>
      <c r="H670">
        <v>129</v>
      </c>
      <c r="I670">
        <v>55</v>
      </c>
      <c r="J670" s="8">
        <v>0.6470588235294118</v>
      </c>
      <c r="K670">
        <v>22</v>
      </c>
      <c r="L670">
        <v>16</v>
      </c>
      <c r="M670">
        <v>113</v>
      </c>
      <c r="N670" s="10">
        <v>505.43</v>
      </c>
      <c r="O670" s="7">
        <v>0</v>
      </c>
      <c r="P670" s="7">
        <v>28.1</v>
      </c>
      <c r="Q670">
        <v>4</v>
      </c>
      <c r="R670" t="s">
        <v>66</v>
      </c>
      <c r="S670">
        <v>8</v>
      </c>
      <c r="T670">
        <v>223</v>
      </c>
      <c r="U670" s="11">
        <v>-0.43388373911755801</v>
      </c>
      <c r="V670" s="11">
        <v>-0.90096886790241915</v>
      </c>
      <c r="W670" s="11">
        <v>-0.62672669650833013</v>
      </c>
      <c r="X670" s="11">
        <v>-0.7792391467859886</v>
      </c>
      <c r="Y670">
        <v>0</v>
      </c>
      <c r="Z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6">
        <v>45150</v>
      </c>
      <c r="B671" t="s">
        <v>31</v>
      </c>
      <c r="C671" t="s">
        <v>32</v>
      </c>
      <c r="D671" t="s">
        <v>33</v>
      </c>
      <c r="E671" t="s">
        <v>34</v>
      </c>
      <c r="F671">
        <v>140</v>
      </c>
      <c r="G671">
        <v>360</v>
      </c>
      <c r="H671">
        <v>253</v>
      </c>
      <c r="I671">
        <v>105</v>
      </c>
      <c r="J671" s="8">
        <v>0.75</v>
      </c>
      <c r="K671">
        <v>41</v>
      </c>
      <c r="L671">
        <v>45</v>
      </c>
      <c r="M671">
        <v>214</v>
      </c>
      <c r="N671" s="10">
        <v>456.58</v>
      </c>
      <c r="O671" s="7">
        <v>1</v>
      </c>
      <c r="P671" s="7">
        <v>29.4</v>
      </c>
      <c r="Q671">
        <v>5</v>
      </c>
      <c r="R671" t="s">
        <v>67</v>
      </c>
      <c r="S671">
        <v>8</v>
      </c>
      <c r="T671">
        <v>224</v>
      </c>
      <c r="U671" s="11">
        <v>-0.97492791218182362</v>
      </c>
      <c r="V671" s="11">
        <v>-0.22252093395631459</v>
      </c>
      <c r="W671" s="11">
        <v>-0.64003810820435025</v>
      </c>
      <c r="X671" s="11">
        <v>-0.76834316554922022</v>
      </c>
      <c r="Y671">
        <v>1</v>
      </c>
      <c r="Z671">
        <v>0</v>
      </c>
      <c r="AB671">
        <v>0</v>
      </c>
      <c r="AC671">
        <v>0</v>
      </c>
      <c r="AD671">
        <v>0</v>
      </c>
      <c r="AE671">
        <v>1</v>
      </c>
    </row>
    <row r="672" spans="1:31">
      <c r="A672" s="6">
        <v>45150</v>
      </c>
      <c r="B672" t="s">
        <v>36</v>
      </c>
      <c r="C672" t="s">
        <v>37</v>
      </c>
      <c r="D672" t="s">
        <v>38</v>
      </c>
      <c r="E672" t="s">
        <v>39</v>
      </c>
      <c r="F672">
        <v>125</v>
      </c>
      <c r="G672">
        <v>320</v>
      </c>
      <c r="H672">
        <v>201</v>
      </c>
      <c r="I672">
        <v>85</v>
      </c>
      <c r="J672" s="8">
        <v>0.68</v>
      </c>
      <c r="K672">
        <v>55</v>
      </c>
      <c r="L672">
        <v>19</v>
      </c>
      <c r="M672">
        <v>174</v>
      </c>
      <c r="N672" s="10">
        <v>750.34</v>
      </c>
      <c r="O672" s="7">
        <v>1</v>
      </c>
      <c r="P672" s="7">
        <v>29.4</v>
      </c>
      <c r="Q672">
        <v>5</v>
      </c>
      <c r="R672" t="s">
        <v>67</v>
      </c>
      <c r="S672">
        <v>8</v>
      </c>
      <c r="T672">
        <v>224</v>
      </c>
      <c r="U672" s="11">
        <v>-0.97492791218182362</v>
      </c>
      <c r="V672" s="11">
        <v>-0.22252093395631459</v>
      </c>
      <c r="W672" s="11">
        <v>-0.64003810820435025</v>
      </c>
      <c r="X672" s="11">
        <v>-0.76834316554922022</v>
      </c>
      <c r="Y672">
        <v>1</v>
      </c>
      <c r="Z672">
        <v>0</v>
      </c>
      <c r="AB672">
        <v>0</v>
      </c>
      <c r="AC672">
        <v>0</v>
      </c>
      <c r="AD672">
        <v>0</v>
      </c>
      <c r="AE672">
        <v>1</v>
      </c>
    </row>
    <row r="673" spans="1:31">
      <c r="A673" s="6">
        <v>45150</v>
      </c>
      <c r="B673" t="s">
        <v>41</v>
      </c>
      <c r="C673" t="s">
        <v>42</v>
      </c>
      <c r="D673" t="s">
        <v>43</v>
      </c>
      <c r="E673" t="s">
        <v>44</v>
      </c>
      <c r="F673">
        <v>85</v>
      </c>
      <c r="G673">
        <v>210</v>
      </c>
      <c r="H673">
        <v>173</v>
      </c>
      <c r="I673">
        <v>75</v>
      </c>
      <c r="J673" s="8">
        <v>0.88235294117647056</v>
      </c>
      <c r="K673">
        <v>26</v>
      </c>
      <c r="L673">
        <v>47</v>
      </c>
      <c r="M673">
        <v>140</v>
      </c>
      <c r="N673" s="10">
        <v>622.15</v>
      </c>
      <c r="O673" s="7">
        <v>1</v>
      </c>
      <c r="P673" s="7">
        <v>29.4</v>
      </c>
      <c r="Q673">
        <v>5</v>
      </c>
      <c r="R673" t="s">
        <v>67</v>
      </c>
      <c r="S673">
        <v>8</v>
      </c>
      <c r="T673">
        <v>224</v>
      </c>
      <c r="U673" s="11">
        <v>-0.97492791218182362</v>
      </c>
      <c r="V673" s="11">
        <v>-0.22252093395631459</v>
      </c>
      <c r="W673" s="11">
        <v>-0.64003810820435025</v>
      </c>
      <c r="X673" s="11">
        <v>-0.76834316554922022</v>
      </c>
      <c r="Y673">
        <v>1</v>
      </c>
      <c r="Z673">
        <v>0</v>
      </c>
      <c r="AB673">
        <v>0</v>
      </c>
      <c r="AC673">
        <v>0</v>
      </c>
      <c r="AD673">
        <v>0</v>
      </c>
      <c r="AE673">
        <v>1</v>
      </c>
    </row>
    <row r="674" spans="1:31">
      <c r="A674" s="6">
        <v>45151</v>
      </c>
      <c r="B674" t="s">
        <v>31</v>
      </c>
      <c r="C674" t="s">
        <v>32</v>
      </c>
      <c r="D674" t="s">
        <v>33</v>
      </c>
      <c r="E674" t="s">
        <v>34</v>
      </c>
      <c r="F674">
        <v>140</v>
      </c>
      <c r="G674">
        <v>360</v>
      </c>
      <c r="H674">
        <v>268</v>
      </c>
      <c r="I674">
        <v>110</v>
      </c>
      <c r="J674" s="8">
        <v>0.7857142857142857</v>
      </c>
      <c r="K674">
        <v>41</v>
      </c>
      <c r="L674">
        <v>67</v>
      </c>
      <c r="M674">
        <v>216</v>
      </c>
      <c r="N674" s="10">
        <v>488.61</v>
      </c>
      <c r="O674" s="7">
        <v>0</v>
      </c>
      <c r="P674" s="7">
        <v>28.9</v>
      </c>
      <c r="Q674">
        <v>6</v>
      </c>
      <c r="R674" t="s">
        <v>60</v>
      </c>
      <c r="S674">
        <v>8</v>
      </c>
      <c r="T674">
        <v>225</v>
      </c>
      <c r="U674" s="11">
        <v>-0.78183148246802991</v>
      </c>
      <c r="V674" s="11">
        <v>0.62348980185873337</v>
      </c>
      <c r="W674" s="11">
        <v>-0.65316012232692999</v>
      </c>
      <c r="X674" s="11">
        <v>-0.75721981920831272</v>
      </c>
      <c r="Y674">
        <v>1</v>
      </c>
      <c r="Z674">
        <v>0</v>
      </c>
      <c r="AB674">
        <v>0</v>
      </c>
      <c r="AC674">
        <v>0</v>
      </c>
      <c r="AD674">
        <v>0</v>
      </c>
      <c r="AE674">
        <v>1</v>
      </c>
    </row>
    <row r="675" spans="1:31">
      <c r="A675" s="6">
        <v>45151</v>
      </c>
      <c r="B675" t="s">
        <v>36</v>
      </c>
      <c r="C675" t="s">
        <v>37</v>
      </c>
      <c r="D675" t="s">
        <v>38</v>
      </c>
      <c r="E675" t="s">
        <v>39</v>
      </c>
      <c r="F675">
        <v>125</v>
      </c>
      <c r="G675">
        <v>320</v>
      </c>
      <c r="H675">
        <v>217</v>
      </c>
      <c r="I675">
        <v>89</v>
      </c>
      <c r="J675" s="8">
        <v>0.71199999999999997</v>
      </c>
      <c r="K675">
        <v>58</v>
      </c>
      <c r="L675">
        <v>60</v>
      </c>
      <c r="M675">
        <v>201</v>
      </c>
      <c r="N675" s="10">
        <v>646.66</v>
      </c>
      <c r="O675" s="7">
        <v>0</v>
      </c>
      <c r="P675" s="7">
        <v>28.9</v>
      </c>
      <c r="Q675">
        <v>6</v>
      </c>
      <c r="R675" t="s">
        <v>60</v>
      </c>
      <c r="S675">
        <v>8</v>
      </c>
      <c r="T675">
        <v>225</v>
      </c>
      <c r="U675" s="11">
        <v>-0.78183148246802991</v>
      </c>
      <c r="V675" s="11">
        <v>0.62348980185873337</v>
      </c>
      <c r="W675" s="11">
        <v>-0.65316012232692999</v>
      </c>
      <c r="X675" s="11">
        <v>-0.75721981920831272</v>
      </c>
      <c r="Y675">
        <v>1</v>
      </c>
      <c r="Z675">
        <v>0</v>
      </c>
      <c r="AB675">
        <v>0</v>
      </c>
      <c r="AC675">
        <v>0</v>
      </c>
      <c r="AD675">
        <v>0</v>
      </c>
      <c r="AE675">
        <v>1</v>
      </c>
    </row>
    <row r="676" spans="1:31">
      <c r="A676" s="6">
        <v>45151</v>
      </c>
      <c r="B676" t="s">
        <v>41</v>
      </c>
      <c r="C676" t="s">
        <v>42</v>
      </c>
      <c r="D676" t="s">
        <v>43</v>
      </c>
      <c r="E676" t="s">
        <v>44</v>
      </c>
      <c r="F676">
        <v>85</v>
      </c>
      <c r="G676">
        <v>210</v>
      </c>
      <c r="H676">
        <v>162</v>
      </c>
      <c r="I676">
        <v>72</v>
      </c>
      <c r="J676" s="8">
        <v>0.84705882352941175</v>
      </c>
      <c r="K676">
        <v>34</v>
      </c>
      <c r="L676">
        <v>20</v>
      </c>
      <c r="M676">
        <v>132</v>
      </c>
      <c r="N676" s="10">
        <v>586.12</v>
      </c>
      <c r="O676" s="7">
        <v>0</v>
      </c>
      <c r="P676" s="7">
        <v>28.9</v>
      </c>
      <c r="Q676">
        <v>6</v>
      </c>
      <c r="R676" t="s">
        <v>60</v>
      </c>
      <c r="S676">
        <v>8</v>
      </c>
      <c r="T676">
        <v>225</v>
      </c>
      <c r="U676" s="11">
        <v>-0.78183148246802991</v>
      </c>
      <c r="V676" s="11">
        <v>0.62348980185873337</v>
      </c>
      <c r="W676" s="11">
        <v>-0.65316012232692999</v>
      </c>
      <c r="X676" s="11">
        <v>-0.75721981920831272</v>
      </c>
      <c r="Y676">
        <v>1</v>
      </c>
      <c r="Z676">
        <v>0</v>
      </c>
      <c r="AB676">
        <v>0</v>
      </c>
      <c r="AC676">
        <v>0</v>
      </c>
      <c r="AD676">
        <v>0</v>
      </c>
      <c r="AE676">
        <v>1</v>
      </c>
    </row>
    <row r="677" spans="1:31">
      <c r="A677" s="6">
        <v>45152</v>
      </c>
      <c r="B677" t="s">
        <v>31</v>
      </c>
      <c r="C677" t="s">
        <v>32</v>
      </c>
      <c r="D677" t="s">
        <v>33</v>
      </c>
      <c r="E677" t="s">
        <v>34</v>
      </c>
      <c r="F677">
        <v>140</v>
      </c>
      <c r="G677">
        <v>360</v>
      </c>
      <c r="H677">
        <v>197</v>
      </c>
      <c r="I677">
        <v>84</v>
      </c>
      <c r="J677" s="8">
        <v>0.6</v>
      </c>
      <c r="K677">
        <v>36</v>
      </c>
      <c r="L677">
        <v>29</v>
      </c>
      <c r="M677">
        <v>182</v>
      </c>
      <c r="N677" s="10">
        <v>451.64</v>
      </c>
      <c r="O677" s="7">
        <v>2.5</v>
      </c>
      <c r="P677" s="7">
        <v>29.8</v>
      </c>
      <c r="Q677">
        <v>0</v>
      </c>
      <c r="R677" t="s">
        <v>62</v>
      </c>
      <c r="S677">
        <v>8</v>
      </c>
      <c r="T677">
        <v>226</v>
      </c>
      <c r="U677" s="11">
        <v>0</v>
      </c>
      <c r="V677" s="11">
        <v>1</v>
      </c>
      <c r="W677" s="11">
        <v>-0.66608885586097699</v>
      </c>
      <c r="X677" s="11">
        <v>-0.74587239934040628</v>
      </c>
      <c r="Y677">
        <v>0</v>
      </c>
      <c r="Z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6">
        <v>45152</v>
      </c>
      <c r="B678" t="s">
        <v>36</v>
      </c>
      <c r="C678" t="s">
        <v>37</v>
      </c>
      <c r="D678" t="s">
        <v>38</v>
      </c>
      <c r="E678" t="s">
        <v>39</v>
      </c>
      <c r="F678">
        <v>125</v>
      </c>
      <c r="G678">
        <v>320</v>
      </c>
      <c r="H678">
        <v>158</v>
      </c>
      <c r="I678">
        <v>67</v>
      </c>
      <c r="J678" s="8">
        <v>0.53600000000000003</v>
      </c>
      <c r="K678">
        <v>29</v>
      </c>
      <c r="L678">
        <v>29</v>
      </c>
      <c r="M678">
        <v>132</v>
      </c>
      <c r="N678" s="10">
        <v>585.04</v>
      </c>
      <c r="O678" s="7">
        <v>2.5</v>
      </c>
      <c r="P678" s="7">
        <v>29.8</v>
      </c>
      <c r="Q678">
        <v>0</v>
      </c>
      <c r="R678" t="s">
        <v>62</v>
      </c>
      <c r="S678">
        <v>8</v>
      </c>
      <c r="T678">
        <v>226</v>
      </c>
      <c r="U678" s="11">
        <v>0</v>
      </c>
      <c r="V678" s="11">
        <v>1</v>
      </c>
      <c r="W678" s="11">
        <v>-0.66608885586097699</v>
      </c>
      <c r="X678" s="11">
        <v>-0.74587239934040628</v>
      </c>
      <c r="Y678">
        <v>0</v>
      </c>
      <c r="Z678">
        <v>0</v>
      </c>
      <c r="AB678">
        <v>0</v>
      </c>
      <c r="AC678">
        <v>0</v>
      </c>
      <c r="AD678">
        <v>0</v>
      </c>
      <c r="AE678">
        <v>0</v>
      </c>
    </row>
    <row r="679" spans="1:31">
      <c r="A679" s="6">
        <v>45152</v>
      </c>
      <c r="B679" t="s">
        <v>41</v>
      </c>
      <c r="C679" t="s">
        <v>42</v>
      </c>
      <c r="D679" t="s">
        <v>43</v>
      </c>
      <c r="E679" t="s">
        <v>44</v>
      </c>
      <c r="F679">
        <v>85</v>
      </c>
      <c r="G679">
        <v>210</v>
      </c>
      <c r="H679">
        <v>109</v>
      </c>
      <c r="I679">
        <v>50</v>
      </c>
      <c r="J679" s="8">
        <v>0.58823529411764708</v>
      </c>
      <c r="K679">
        <v>17</v>
      </c>
      <c r="L679">
        <v>13</v>
      </c>
      <c r="M679">
        <v>88</v>
      </c>
      <c r="N679" s="10">
        <v>479.44</v>
      </c>
      <c r="O679" s="7">
        <v>2.5</v>
      </c>
      <c r="P679" s="7">
        <v>29.8</v>
      </c>
      <c r="Q679">
        <v>0</v>
      </c>
      <c r="R679" t="s">
        <v>62</v>
      </c>
      <c r="S679">
        <v>8</v>
      </c>
      <c r="T679">
        <v>226</v>
      </c>
      <c r="U679" s="11">
        <v>0</v>
      </c>
      <c r="V679" s="11">
        <v>1</v>
      </c>
      <c r="W679" s="11">
        <v>-0.66608885586097699</v>
      </c>
      <c r="X679" s="11">
        <v>-0.74587239934040628</v>
      </c>
      <c r="Y679">
        <v>0</v>
      </c>
      <c r="Z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6">
        <v>45153</v>
      </c>
      <c r="B680" t="s">
        <v>31</v>
      </c>
      <c r="C680" t="s">
        <v>32</v>
      </c>
      <c r="D680" t="s">
        <v>33</v>
      </c>
      <c r="E680" t="s">
        <v>34</v>
      </c>
      <c r="F680">
        <v>140</v>
      </c>
      <c r="G680">
        <v>360</v>
      </c>
      <c r="H680">
        <v>214</v>
      </c>
      <c r="I680">
        <v>87</v>
      </c>
      <c r="J680" s="8">
        <v>0.62142857142857144</v>
      </c>
      <c r="K680">
        <v>30</v>
      </c>
      <c r="L680">
        <v>61</v>
      </c>
      <c r="M680">
        <v>186</v>
      </c>
      <c r="N680" s="10">
        <v>389.9</v>
      </c>
      <c r="O680" s="7">
        <v>0</v>
      </c>
      <c r="P680" s="7">
        <v>29.2</v>
      </c>
      <c r="Q680">
        <v>1</v>
      </c>
      <c r="R680" t="s">
        <v>63</v>
      </c>
      <c r="S680">
        <v>8</v>
      </c>
      <c r="T680">
        <v>227</v>
      </c>
      <c r="U680" s="11">
        <v>0.7818314824680298</v>
      </c>
      <c r="V680" s="11">
        <v>0.62348980185873359</v>
      </c>
      <c r="W680" s="11">
        <v>-0.67882048298623554</v>
      </c>
      <c r="X680" s="11">
        <v>-0.73430426382960201</v>
      </c>
      <c r="Y680">
        <v>0</v>
      </c>
      <c r="Z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6">
        <v>45153</v>
      </c>
      <c r="B681" t="s">
        <v>36</v>
      </c>
      <c r="C681" t="s">
        <v>37</v>
      </c>
      <c r="D681" t="s">
        <v>38</v>
      </c>
      <c r="E681" t="s">
        <v>39</v>
      </c>
      <c r="F681">
        <v>125</v>
      </c>
      <c r="G681">
        <v>320</v>
      </c>
      <c r="H681">
        <v>188</v>
      </c>
      <c r="I681">
        <v>80</v>
      </c>
      <c r="J681" s="8">
        <v>0.64</v>
      </c>
      <c r="K681">
        <v>46</v>
      </c>
      <c r="L681">
        <v>43</v>
      </c>
      <c r="M681">
        <v>170</v>
      </c>
      <c r="N681" s="10">
        <v>634.84</v>
      </c>
      <c r="O681" s="7">
        <v>0</v>
      </c>
      <c r="P681" s="7">
        <v>29.2</v>
      </c>
      <c r="Q681">
        <v>1</v>
      </c>
      <c r="R681" t="s">
        <v>63</v>
      </c>
      <c r="S681">
        <v>8</v>
      </c>
      <c r="T681">
        <v>227</v>
      </c>
      <c r="U681" s="11">
        <v>0.7818314824680298</v>
      </c>
      <c r="V681" s="11">
        <v>0.62348980185873359</v>
      </c>
      <c r="W681" s="11">
        <v>-0.67882048298623554</v>
      </c>
      <c r="X681" s="11">
        <v>-0.73430426382960201</v>
      </c>
      <c r="Y681">
        <v>0</v>
      </c>
      <c r="Z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6">
        <v>45153</v>
      </c>
      <c r="B682" t="s">
        <v>41</v>
      </c>
      <c r="C682" t="s">
        <v>42</v>
      </c>
      <c r="D682" t="s">
        <v>43</v>
      </c>
      <c r="E682" t="s">
        <v>44</v>
      </c>
      <c r="F682">
        <v>85</v>
      </c>
      <c r="G682">
        <v>210</v>
      </c>
      <c r="H682">
        <v>128</v>
      </c>
      <c r="I682">
        <v>58</v>
      </c>
      <c r="J682" s="8">
        <v>0.68235294117647061</v>
      </c>
      <c r="K682">
        <v>36</v>
      </c>
      <c r="L682">
        <v>17</v>
      </c>
      <c r="M682">
        <v>114</v>
      </c>
      <c r="N682" s="10">
        <v>478.7</v>
      </c>
      <c r="O682" s="7">
        <v>0</v>
      </c>
      <c r="P682" s="7">
        <v>29.2</v>
      </c>
      <c r="Q682">
        <v>1</v>
      </c>
      <c r="R682" t="s">
        <v>63</v>
      </c>
      <c r="S682">
        <v>8</v>
      </c>
      <c r="T682">
        <v>227</v>
      </c>
      <c r="U682" s="11">
        <v>0.7818314824680298</v>
      </c>
      <c r="V682" s="11">
        <v>0.62348980185873359</v>
      </c>
      <c r="W682" s="11">
        <v>-0.67882048298623554</v>
      </c>
      <c r="X682" s="11">
        <v>-0.73430426382960201</v>
      </c>
      <c r="Y682">
        <v>0</v>
      </c>
      <c r="Z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6">
        <v>45154</v>
      </c>
      <c r="B683" t="s">
        <v>31</v>
      </c>
      <c r="C683" t="s">
        <v>32</v>
      </c>
      <c r="D683" t="s">
        <v>33</v>
      </c>
      <c r="E683" t="s">
        <v>34</v>
      </c>
      <c r="F683">
        <v>140</v>
      </c>
      <c r="G683">
        <v>360</v>
      </c>
      <c r="H683">
        <v>189</v>
      </c>
      <c r="I683">
        <v>79</v>
      </c>
      <c r="J683" s="8">
        <v>0.56428571428571428</v>
      </c>
      <c r="K683">
        <v>39</v>
      </c>
      <c r="L683">
        <v>31</v>
      </c>
      <c r="M683">
        <v>170</v>
      </c>
      <c r="N683" s="10">
        <v>460.29</v>
      </c>
      <c r="O683" s="7">
        <v>0</v>
      </c>
      <c r="P683" s="7">
        <v>28.5</v>
      </c>
      <c r="Q683">
        <v>2</v>
      </c>
      <c r="R683" t="s">
        <v>64</v>
      </c>
      <c r="S683">
        <v>8</v>
      </c>
      <c r="T683">
        <v>228</v>
      </c>
      <c r="U683" s="11">
        <v>0.97492791218182362</v>
      </c>
      <c r="V683" s="11">
        <v>-0.22252093395631434</v>
      </c>
      <c r="W683" s="11">
        <v>-0.69135123620940708</v>
      </c>
      <c r="X683" s="11">
        <v>-0.72251883587331101</v>
      </c>
      <c r="Y683">
        <v>0</v>
      </c>
      <c r="Z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6">
        <v>45154</v>
      </c>
      <c r="B684" t="s">
        <v>36</v>
      </c>
      <c r="C684" t="s">
        <v>37</v>
      </c>
      <c r="D684" t="s">
        <v>38</v>
      </c>
      <c r="E684" t="s">
        <v>39</v>
      </c>
      <c r="F684">
        <v>125</v>
      </c>
      <c r="G684">
        <v>320</v>
      </c>
      <c r="H684">
        <v>156</v>
      </c>
      <c r="I684">
        <v>64</v>
      </c>
      <c r="J684" s="8">
        <v>0.51200000000000001</v>
      </c>
      <c r="K684">
        <v>42</v>
      </c>
      <c r="L684">
        <v>25</v>
      </c>
      <c r="M684">
        <v>147</v>
      </c>
      <c r="N684" s="10">
        <v>620.75</v>
      </c>
      <c r="O684" s="7">
        <v>0</v>
      </c>
      <c r="P684" s="7">
        <v>28.5</v>
      </c>
      <c r="Q684">
        <v>2</v>
      </c>
      <c r="R684" t="s">
        <v>64</v>
      </c>
      <c r="S684">
        <v>8</v>
      </c>
      <c r="T684">
        <v>228</v>
      </c>
      <c r="U684" s="11">
        <v>0.97492791218182362</v>
      </c>
      <c r="V684" s="11">
        <v>-0.22252093395631434</v>
      </c>
      <c r="W684" s="11">
        <v>-0.69135123620940708</v>
      </c>
      <c r="X684" s="11">
        <v>-0.72251883587331101</v>
      </c>
      <c r="Y684">
        <v>0</v>
      </c>
      <c r="Z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6">
        <v>45154</v>
      </c>
      <c r="B685" t="s">
        <v>41</v>
      </c>
      <c r="C685" t="s">
        <v>42</v>
      </c>
      <c r="D685" t="s">
        <v>43</v>
      </c>
      <c r="E685" t="s">
        <v>44</v>
      </c>
      <c r="F685">
        <v>85</v>
      </c>
      <c r="G685">
        <v>210</v>
      </c>
      <c r="H685">
        <v>113</v>
      </c>
      <c r="I685">
        <v>53</v>
      </c>
      <c r="J685" s="8">
        <v>0.62352941176470589</v>
      </c>
      <c r="K685">
        <v>18</v>
      </c>
      <c r="L685">
        <v>12</v>
      </c>
      <c r="M685">
        <v>92</v>
      </c>
      <c r="N685" s="10">
        <v>510.7</v>
      </c>
      <c r="O685" s="7">
        <v>0</v>
      </c>
      <c r="P685" s="7">
        <v>28.5</v>
      </c>
      <c r="Q685">
        <v>2</v>
      </c>
      <c r="R685" t="s">
        <v>64</v>
      </c>
      <c r="S685">
        <v>8</v>
      </c>
      <c r="T685">
        <v>228</v>
      </c>
      <c r="U685" s="11">
        <v>0.97492791218182362</v>
      </c>
      <c r="V685" s="11">
        <v>-0.22252093395631434</v>
      </c>
      <c r="W685" s="11">
        <v>-0.69135123620940708</v>
      </c>
      <c r="X685" s="11">
        <v>-0.72251883587331101</v>
      </c>
      <c r="Y685">
        <v>0</v>
      </c>
      <c r="Z685">
        <v>0</v>
      </c>
      <c r="AB685">
        <v>0</v>
      </c>
      <c r="AC685">
        <v>0</v>
      </c>
      <c r="AD685">
        <v>0</v>
      </c>
      <c r="AE685">
        <v>0</v>
      </c>
    </row>
    <row r="686" spans="1:31">
      <c r="A686" s="6">
        <v>45155</v>
      </c>
      <c r="B686" t="s">
        <v>31</v>
      </c>
      <c r="C686" t="s">
        <v>32</v>
      </c>
      <c r="D686" t="s">
        <v>33</v>
      </c>
      <c r="E686" t="s">
        <v>34</v>
      </c>
      <c r="F686">
        <v>140</v>
      </c>
      <c r="G686">
        <v>360</v>
      </c>
      <c r="H686">
        <v>192</v>
      </c>
      <c r="I686">
        <v>84</v>
      </c>
      <c r="J686" s="8">
        <v>0.6</v>
      </c>
      <c r="K686">
        <v>27</v>
      </c>
      <c r="L686">
        <v>17</v>
      </c>
      <c r="M686">
        <v>163</v>
      </c>
      <c r="N686" s="10">
        <v>421.7</v>
      </c>
      <c r="O686" s="7">
        <v>0</v>
      </c>
      <c r="P686" s="7">
        <v>29.5</v>
      </c>
      <c r="Q686">
        <v>3</v>
      </c>
      <c r="R686" t="s">
        <v>65</v>
      </c>
      <c r="S686">
        <v>8</v>
      </c>
      <c r="T686">
        <v>229</v>
      </c>
      <c r="U686" s="11">
        <v>0.43388373911755823</v>
      </c>
      <c r="V686" s="11">
        <v>-0.90096886790241903</v>
      </c>
      <c r="W686" s="11">
        <v>-0.70367740747901275</v>
      </c>
      <c r="X686" s="11">
        <v>-0.71051960296927452</v>
      </c>
      <c r="Y686">
        <v>0</v>
      </c>
      <c r="Z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6">
        <v>45155</v>
      </c>
      <c r="B687" t="s">
        <v>36</v>
      </c>
      <c r="C687" t="s">
        <v>37</v>
      </c>
      <c r="D687" t="s">
        <v>38</v>
      </c>
      <c r="E687" t="s">
        <v>39</v>
      </c>
      <c r="F687">
        <v>125</v>
      </c>
      <c r="G687">
        <v>320</v>
      </c>
      <c r="H687">
        <v>172</v>
      </c>
      <c r="I687">
        <v>72</v>
      </c>
      <c r="J687" s="8">
        <v>0.57599999999999996</v>
      </c>
      <c r="K687">
        <v>38</v>
      </c>
      <c r="L687">
        <v>20</v>
      </c>
      <c r="M687">
        <v>140</v>
      </c>
      <c r="N687" s="10">
        <v>639.78</v>
      </c>
      <c r="O687" s="7">
        <v>0</v>
      </c>
      <c r="P687" s="7">
        <v>29.5</v>
      </c>
      <c r="Q687">
        <v>3</v>
      </c>
      <c r="R687" t="s">
        <v>65</v>
      </c>
      <c r="S687">
        <v>8</v>
      </c>
      <c r="T687">
        <v>229</v>
      </c>
      <c r="U687" s="11">
        <v>0.43388373911755823</v>
      </c>
      <c r="V687" s="11">
        <v>-0.90096886790241903</v>
      </c>
      <c r="W687" s="11">
        <v>-0.70367740747901275</v>
      </c>
      <c r="X687" s="11">
        <v>-0.71051960296927452</v>
      </c>
      <c r="Y687">
        <v>0</v>
      </c>
      <c r="Z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6">
        <v>45155</v>
      </c>
      <c r="B688" t="s">
        <v>41</v>
      </c>
      <c r="C688" t="s">
        <v>42</v>
      </c>
      <c r="D688" t="s">
        <v>43</v>
      </c>
      <c r="E688" t="s">
        <v>44</v>
      </c>
      <c r="F688">
        <v>85</v>
      </c>
      <c r="G688">
        <v>210</v>
      </c>
      <c r="H688">
        <v>117</v>
      </c>
      <c r="I688">
        <v>53</v>
      </c>
      <c r="J688" s="8">
        <v>0.62352941176470589</v>
      </c>
      <c r="K688">
        <v>27</v>
      </c>
      <c r="L688">
        <v>25</v>
      </c>
      <c r="M688">
        <v>101</v>
      </c>
      <c r="N688" s="10">
        <v>482.42</v>
      </c>
      <c r="O688" s="7">
        <v>0</v>
      </c>
      <c r="P688" s="7">
        <v>29.5</v>
      </c>
      <c r="Q688">
        <v>3</v>
      </c>
      <c r="R688" t="s">
        <v>65</v>
      </c>
      <c r="S688">
        <v>8</v>
      </c>
      <c r="T688">
        <v>229</v>
      </c>
      <c r="U688" s="11">
        <v>0.43388373911755823</v>
      </c>
      <c r="V688" s="11">
        <v>-0.90096886790241903</v>
      </c>
      <c r="W688" s="11">
        <v>-0.70367740747901275</v>
      </c>
      <c r="X688" s="11">
        <v>-0.71051960296927452</v>
      </c>
      <c r="Y688">
        <v>0</v>
      </c>
      <c r="Z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6">
        <v>45156</v>
      </c>
      <c r="B689" t="s">
        <v>31</v>
      </c>
      <c r="C689" t="s">
        <v>32</v>
      </c>
      <c r="D689" t="s">
        <v>33</v>
      </c>
      <c r="E689" t="s">
        <v>34</v>
      </c>
      <c r="F689">
        <v>140</v>
      </c>
      <c r="G689">
        <v>360</v>
      </c>
      <c r="H689">
        <v>196</v>
      </c>
      <c r="I689">
        <v>83</v>
      </c>
      <c r="J689" s="8">
        <v>0.59285714285714286</v>
      </c>
      <c r="K689">
        <v>44</v>
      </c>
      <c r="L689">
        <v>41</v>
      </c>
      <c r="M689">
        <v>173</v>
      </c>
      <c r="N689" s="10">
        <v>438.02</v>
      </c>
      <c r="O689" s="7">
        <v>0</v>
      </c>
      <c r="P689" s="7">
        <v>27.7</v>
      </c>
      <c r="Q689">
        <v>4</v>
      </c>
      <c r="R689" t="s">
        <v>66</v>
      </c>
      <c r="S689">
        <v>8</v>
      </c>
      <c r="T689">
        <v>230</v>
      </c>
      <c r="U689" s="11">
        <v>-0.43388373911755801</v>
      </c>
      <c r="V689" s="11">
        <v>-0.90096886790241915</v>
      </c>
      <c r="W689" s="11">
        <v>-0.7157953492826642</v>
      </c>
      <c r="X689" s="11">
        <v>-0.6983101158835584</v>
      </c>
      <c r="Y689">
        <v>0</v>
      </c>
      <c r="Z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6">
        <v>45156</v>
      </c>
      <c r="B690" t="s">
        <v>36</v>
      </c>
      <c r="C690" t="s">
        <v>37</v>
      </c>
      <c r="D690" t="s">
        <v>38</v>
      </c>
      <c r="E690" t="s">
        <v>39</v>
      </c>
      <c r="F690">
        <v>125</v>
      </c>
      <c r="G690">
        <v>320</v>
      </c>
      <c r="H690">
        <v>154</v>
      </c>
      <c r="I690">
        <v>64</v>
      </c>
      <c r="J690" s="8">
        <v>0.51200000000000001</v>
      </c>
      <c r="K690">
        <v>44</v>
      </c>
      <c r="L690">
        <v>27</v>
      </c>
      <c r="M690">
        <v>123</v>
      </c>
      <c r="N690" s="10">
        <v>648.37</v>
      </c>
      <c r="O690" s="7">
        <v>0</v>
      </c>
      <c r="P690" s="7">
        <v>27.7</v>
      </c>
      <c r="Q690">
        <v>4</v>
      </c>
      <c r="R690" t="s">
        <v>66</v>
      </c>
      <c r="S690">
        <v>8</v>
      </c>
      <c r="T690">
        <v>230</v>
      </c>
      <c r="U690" s="11">
        <v>-0.43388373911755801</v>
      </c>
      <c r="V690" s="11">
        <v>-0.90096886790241915</v>
      </c>
      <c r="W690" s="11">
        <v>-0.7157953492826642</v>
      </c>
      <c r="X690" s="11">
        <v>-0.6983101158835584</v>
      </c>
      <c r="Y690">
        <v>0</v>
      </c>
      <c r="Z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6">
        <v>45156</v>
      </c>
      <c r="B691" t="s">
        <v>41</v>
      </c>
      <c r="C691" t="s">
        <v>42</v>
      </c>
      <c r="D691" t="s">
        <v>43</v>
      </c>
      <c r="E691" t="s">
        <v>44</v>
      </c>
      <c r="F691">
        <v>85</v>
      </c>
      <c r="G691">
        <v>210</v>
      </c>
      <c r="H691">
        <v>124</v>
      </c>
      <c r="I691">
        <v>53</v>
      </c>
      <c r="J691" s="8">
        <v>0.62352941176470589</v>
      </c>
      <c r="K691">
        <v>34</v>
      </c>
      <c r="L691">
        <v>32</v>
      </c>
      <c r="M691">
        <v>112</v>
      </c>
      <c r="N691" s="10">
        <v>478.96</v>
      </c>
      <c r="O691" s="7">
        <v>0</v>
      </c>
      <c r="P691" s="7">
        <v>27.7</v>
      </c>
      <c r="Q691">
        <v>4</v>
      </c>
      <c r="R691" t="s">
        <v>66</v>
      </c>
      <c r="S691">
        <v>8</v>
      </c>
      <c r="T691">
        <v>230</v>
      </c>
      <c r="U691" s="11">
        <v>-0.43388373911755801</v>
      </c>
      <c r="V691" s="11">
        <v>-0.90096886790241915</v>
      </c>
      <c r="W691" s="11">
        <v>-0.7157953492826642</v>
      </c>
      <c r="X691" s="11">
        <v>-0.6983101158835584</v>
      </c>
      <c r="Y691">
        <v>0</v>
      </c>
      <c r="Z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6">
        <v>45157</v>
      </c>
      <c r="B692" t="s">
        <v>31</v>
      </c>
      <c r="C692" t="s">
        <v>32</v>
      </c>
      <c r="D692" t="s">
        <v>33</v>
      </c>
      <c r="E692" t="s">
        <v>34</v>
      </c>
      <c r="F692">
        <v>140</v>
      </c>
      <c r="G692">
        <v>360</v>
      </c>
      <c r="H692">
        <v>222</v>
      </c>
      <c r="I692">
        <v>95</v>
      </c>
      <c r="J692" s="8">
        <v>0.6785714285714286</v>
      </c>
      <c r="K692">
        <v>31</v>
      </c>
      <c r="L692">
        <v>51</v>
      </c>
      <c r="M692">
        <v>192</v>
      </c>
      <c r="N692" s="10">
        <v>501.97</v>
      </c>
      <c r="O692" s="7">
        <v>5.2</v>
      </c>
      <c r="P692" s="7">
        <v>29.5</v>
      </c>
      <c r="Q692">
        <v>5</v>
      </c>
      <c r="R692" t="s">
        <v>67</v>
      </c>
      <c r="S692">
        <v>8</v>
      </c>
      <c r="T692">
        <v>231</v>
      </c>
      <c r="U692" s="11">
        <v>-0.97492791218182362</v>
      </c>
      <c r="V692" s="11">
        <v>-0.22252093395631459</v>
      </c>
      <c r="W692" s="11">
        <v>-0.72770147572642363</v>
      </c>
      <c r="X692" s="11">
        <v>-0.68589398759982234</v>
      </c>
      <c r="Y692">
        <v>1</v>
      </c>
      <c r="Z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6">
        <v>45157</v>
      </c>
      <c r="B693" t="s">
        <v>36</v>
      </c>
      <c r="C693" t="s">
        <v>37</v>
      </c>
      <c r="D693" t="s">
        <v>38</v>
      </c>
      <c r="E693" t="s">
        <v>39</v>
      </c>
      <c r="F693">
        <v>125</v>
      </c>
      <c r="G693">
        <v>320</v>
      </c>
      <c r="H693">
        <v>198</v>
      </c>
      <c r="I693">
        <v>81</v>
      </c>
      <c r="J693" s="8">
        <v>0.64800000000000002</v>
      </c>
      <c r="K693">
        <v>21</v>
      </c>
      <c r="L693">
        <v>40</v>
      </c>
      <c r="M693">
        <v>185</v>
      </c>
      <c r="N693" s="10">
        <v>644.13</v>
      </c>
      <c r="O693" s="7">
        <v>5.2</v>
      </c>
      <c r="P693" s="7">
        <v>29.5</v>
      </c>
      <c r="Q693">
        <v>5</v>
      </c>
      <c r="R693" t="s">
        <v>67</v>
      </c>
      <c r="S693">
        <v>8</v>
      </c>
      <c r="T693">
        <v>231</v>
      </c>
      <c r="U693" s="11">
        <v>-0.97492791218182362</v>
      </c>
      <c r="V693" s="11">
        <v>-0.22252093395631459</v>
      </c>
      <c r="W693" s="11">
        <v>-0.72770147572642363</v>
      </c>
      <c r="X693" s="11">
        <v>-0.68589398759982234</v>
      </c>
      <c r="Y693">
        <v>1</v>
      </c>
      <c r="Z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6">
        <v>45157</v>
      </c>
      <c r="B694" t="s">
        <v>41</v>
      </c>
      <c r="C694" t="s">
        <v>42</v>
      </c>
      <c r="D694" t="s">
        <v>43</v>
      </c>
      <c r="E694" t="s">
        <v>44</v>
      </c>
      <c r="F694">
        <v>85</v>
      </c>
      <c r="G694">
        <v>210</v>
      </c>
      <c r="H694">
        <v>144</v>
      </c>
      <c r="I694">
        <v>64</v>
      </c>
      <c r="J694" s="8">
        <v>0.75294117647058822</v>
      </c>
      <c r="K694">
        <v>33</v>
      </c>
      <c r="L694">
        <v>17</v>
      </c>
      <c r="M694">
        <v>127</v>
      </c>
      <c r="N694" s="10">
        <v>573.67999999999995</v>
      </c>
      <c r="O694" s="7">
        <v>5.2</v>
      </c>
      <c r="P694" s="7">
        <v>29.5</v>
      </c>
      <c r="Q694">
        <v>5</v>
      </c>
      <c r="R694" t="s">
        <v>67</v>
      </c>
      <c r="S694">
        <v>8</v>
      </c>
      <c r="T694">
        <v>231</v>
      </c>
      <c r="U694" s="11">
        <v>-0.97492791218182362</v>
      </c>
      <c r="V694" s="11">
        <v>-0.22252093395631459</v>
      </c>
      <c r="W694" s="11">
        <v>-0.72770147572642363</v>
      </c>
      <c r="X694" s="11">
        <v>-0.68589398759982234</v>
      </c>
      <c r="Y694">
        <v>1</v>
      </c>
      <c r="Z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6">
        <v>45158</v>
      </c>
      <c r="B695" t="s">
        <v>31</v>
      </c>
      <c r="C695" t="s">
        <v>32</v>
      </c>
      <c r="D695" t="s">
        <v>33</v>
      </c>
      <c r="E695" t="s">
        <v>34</v>
      </c>
      <c r="F695">
        <v>140</v>
      </c>
      <c r="G695">
        <v>360</v>
      </c>
      <c r="H695">
        <v>212</v>
      </c>
      <c r="I695">
        <v>90</v>
      </c>
      <c r="J695" s="8">
        <v>0.6428571428571429</v>
      </c>
      <c r="K695">
        <v>33</v>
      </c>
      <c r="L695">
        <v>26</v>
      </c>
      <c r="M695">
        <v>174</v>
      </c>
      <c r="N695" s="10">
        <v>464.34</v>
      </c>
      <c r="O695" s="7">
        <v>2.5</v>
      </c>
      <c r="P695" s="7">
        <v>29.5</v>
      </c>
      <c r="Q695">
        <v>6</v>
      </c>
      <c r="R695" t="s">
        <v>60</v>
      </c>
      <c r="S695">
        <v>8</v>
      </c>
      <c r="T695">
        <v>232</v>
      </c>
      <c r="U695" s="11">
        <v>-0.78183148246802991</v>
      </c>
      <c r="V695" s="11">
        <v>0.62348980185873337</v>
      </c>
      <c r="W695" s="11">
        <v>-0.73939226359592414</v>
      </c>
      <c r="X695" s="11">
        <v>-0.673274892250183</v>
      </c>
      <c r="Y695">
        <v>1</v>
      </c>
      <c r="Z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6">
        <v>45158</v>
      </c>
      <c r="B696" t="s">
        <v>36</v>
      </c>
      <c r="C696" t="s">
        <v>37</v>
      </c>
      <c r="D696" t="s">
        <v>38</v>
      </c>
      <c r="E696" t="s">
        <v>39</v>
      </c>
      <c r="F696">
        <v>125</v>
      </c>
      <c r="G696">
        <v>320</v>
      </c>
      <c r="H696">
        <v>190</v>
      </c>
      <c r="I696">
        <v>81</v>
      </c>
      <c r="J696" s="8">
        <v>0.64800000000000002</v>
      </c>
      <c r="K696">
        <v>41</v>
      </c>
      <c r="L696">
        <v>35</v>
      </c>
      <c r="M696">
        <v>157</v>
      </c>
      <c r="N696" s="10">
        <v>683.09</v>
      </c>
      <c r="O696" s="7">
        <v>2.5</v>
      </c>
      <c r="P696" s="7">
        <v>29.5</v>
      </c>
      <c r="Q696">
        <v>6</v>
      </c>
      <c r="R696" t="s">
        <v>60</v>
      </c>
      <c r="S696">
        <v>8</v>
      </c>
      <c r="T696">
        <v>232</v>
      </c>
      <c r="U696" s="11">
        <v>-0.78183148246802991</v>
      </c>
      <c r="V696" s="11">
        <v>0.62348980185873337</v>
      </c>
      <c r="W696" s="11">
        <v>-0.73939226359592414</v>
      </c>
      <c r="X696" s="11">
        <v>-0.673274892250183</v>
      </c>
      <c r="Y696">
        <v>1</v>
      </c>
      <c r="Z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6">
        <v>45158</v>
      </c>
      <c r="B697" t="s">
        <v>41</v>
      </c>
      <c r="C697" t="s">
        <v>42</v>
      </c>
      <c r="D697" t="s">
        <v>43</v>
      </c>
      <c r="E697" t="s">
        <v>44</v>
      </c>
      <c r="F697">
        <v>85</v>
      </c>
      <c r="G697">
        <v>210</v>
      </c>
      <c r="H697">
        <v>136</v>
      </c>
      <c r="I697">
        <v>60</v>
      </c>
      <c r="J697" s="8">
        <v>0.70588235294117652</v>
      </c>
      <c r="K697">
        <v>16</v>
      </c>
      <c r="L697">
        <v>35</v>
      </c>
      <c r="M697">
        <v>111</v>
      </c>
      <c r="N697" s="10">
        <v>550.16</v>
      </c>
      <c r="O697" s="7">
        <v>2.5</v>
      </c>
      <c r="P697" s="7">
        <v>29.5</v>
      </c>
      <c r="Q697">
        <v>6</v>
      </c>
      <c r="R697" t="s">
        <v>60</v>
      </c>
      <c r="S697">
        <v>8</v>
      </c>
      <c r="T697">
        <v>232</v>
      </c>
      <c r="U697" s="11">
        <v>-0.78183148246802991</v>
      </c>
      <c r="V697" s="11">
        <v>0.62348980185873337</v>
      </c>
      <c r="W697" s="11">
        <v>-0.73939226359592414</v>
      </c>
      <c r="X697" s="11">
        <v>-0.673274892250183</v>
      </c>
      <c r="Y697">
        <v>1</v>
      </c>
      <c r="Z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6">
        <v>45159</v>
      </c>
      <c r="B698" t="s">
        <v>31</v>
      </c>
      <c r="C698" t="s">
        <v>32</v>
      </c>
      <c r="D698" t="s">
        <v>33</v>
      </c>
      <c r="E698" t="s">
        <v>34</v>
      </c>
      <c r="F698">
        <v>140</v>
      </c>
      <c r="G698">
        <v>360</v>
      </c>
      <c r="H698">
        <v>182</v>
      </c>
      <c r="I698">
        <v>78</v>
      </c>
      <c r="J698" s="8">
        <v>0.55714285714285716</v>
      </c>
      <c r="K698">
        <v>40</v>
      </c>
      <c r="L698">
        <v>37</v>
      </c>
      <c r="M698">
        <v>150</v>
      </c>
      <c r="N698" s="10">
        <v>399.86</v>
      </c>
      <c r="O698" s="7">
        <v>0</v>
      </c>
      <c r="P698" s="7">
        <v>27.8</v>
      </c>
      <c r="Q698">
        <v>0</v>
      </c>
      <c r="R698" t="s">
        <v>62</v>
      </c>
      <c r="S698">
        <v>8</v>
      </c>
      <c r="T698">
        <v>233</v>
      </c>
      <c r="U698" s="11">
        <v>0</v>
      </c>
      <c r="V698" s="11">
        <v>1</v>
      </c>
      <c r="W698" s="11">
        <v>-0.75086425339894891</v>
      </c>
      <c r="X698" s="11">
        <v>-0.66045656402797537</v>
      </c>
      <c r="Y698">
        <v>0</v>
      </c>
      <c r="Z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6">
        <v>45159</v>
      </c>
      <c r="B699" t="s">
        <v>36</v>
      </c>
      <c r="C699" t="s">
        <v>37</v>
      </c>
      <c r="D699" t="s">
        <v>38</v>
      </c>
      <c r="E699" t="s">
        <v>39</v>
      </c>
      <c r="F699">
        <v>125</v>
      </c>
      <c r="G699">
        <v>320</v>
      </c>
      <c r="H699">
        <v>160</v>
      </c>
      <c r="I699">
        <v>67</v>
      </c>
      <c r="J699" s="8">
        <v>0.53600000000000003</v>
      </c>
      <c r="K699">
        <v>34</v>
      </c>
      <c r="L699">
        <v>18</v>
      </c>
      <c r="M699">
        <v>136</v>
      </c>
      <c r="N699" s="10">
        <v>578.88</v>
      </c>
      <c r="O699" s="7">
        <v>0</v>
      </c>
      <c r="P699" s="7">
        <v>27.8</v>
      </c>
      <c r="Q699">
        <v>0</v>
      </c>
      <c r="R699" t="s">
        <v>62</v>
      </c>
      <c r="S699">
        <v>8</v>
      </c>
      <c r="T699">
        <v>233</v>
      </c>
      <c r="U699" s="11">
        <v>0</v>
      </c>
      <c r="V699" s="11">
        <v>1</v>
      </c>
      <c r="W699" s="11">
        <v>-0.75086425339894891</v>
      </c>
      <c r="X699" s="11">
        <v>-0.66045656402797537</v>
      </c>
      <c r="Y699">
        <v>0</v>
      </c>
      <c r="Z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6">
        <v>45159</v>
      </c>
      <c r="B700" t="s">
        <v>41</v>
      </c>
      <c r="C700" t="s">
        <v>42</v>
      </c>
      <c r="D700" t="s">
        <v>43</v>
      </c>
      <c r="E700" t="s">
        <v>44</v>
      </c>
      <c r="F700">
        <v>85</v>
      </c>
      <c r="G700">
        <v>210</v>
      </c>
      <c r="H700">
        <v>111</v>
      </c>
      <c r="I700">
        <v>51</v>
      </c>
      <c r="J700" s="8">
        <v>0.6</v>
      </c>
      <c r="K700">
        <v>29</v>
      </c>
      <c r="L700">
        <v>34</v>
      </c>
      <c r="M700">
        <v>102</v>
      </c>
      <c r="N700" s="10">
        <v>555.82000000000005</v>
      </c>
      <c r="O700" s="7">
        <v>0</v>
      </c>
      <c r="P700" s="7">
        <v>27.8</v>
      </c>
      <c r="Q700">
        <v>0</v>
      </c>
      <c r="R700" t="s">
        <v>62</v>
      </c>
      <c r="S700">
        <v>8</v>
      </c>
      <c r="T700">
        <v>233</v>
      </c>
      <c r="U700" s="11">
        <v>0</v>
      </c>
      <c r="V700" s="11">
        <v>1</v>
      </c>
      <c r="W700" s="11">
        <v>-0.75086425339894891</v>
      </c>
      <c r="X700" s="11">
        <v>-0.66045656402797537</v>
      </c>
      <c r="Y700">
        <v>0</v>
      </c>
      <c r="Z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6">
        <v>45160</v>
      </c>
      <c r="B701" t="s">
        <v>31</v>
      </c>
      <c r="C701" t="s">
        <v>32</v>
      </c>
      <c r="D701" t="s">
        <v>33</v>
      </c>
      <c r="E701" t="s">
        <v>34</v>
      </c>
      <c r="F701">
        <v>140</v>
      </c>
      <c r="G701">
        <v>360</v>
      </c>
      <c r="H701">
        <v>198</v>
      </c>
      <c r="I701">
        <v>81</v>
      </c>
      <c r="J701" s="8">
        <v>0.57857142857142863</v>
      </c>
      <c r="K701">
        <v>44</v>
      </c>
      <c r="L701">
        <v>36</v>
      </c>
      <c r="M701">
        <v>173</v>
      </c>
      <c r="N701" s="10">
        <v>454.84</v>
      </c>
      <c r="O701" s="7">
        <v>3.5</v>
      </c>
      <c r="P701" s="7">
        <v>27.7</v>
      </c>
      <c r="Q701">
        <v>1</v>
      </c>
      <c r="R701" t="s">
        <v>63</v>
      </c>
      <c r="S701">
        <v>8</v>
      </c>
      <c r="T701">
        <v>234</v>
      </c>
      <c r="U701" s="11">
        <v>0.7818314824680298</v>
      </c>
      <c r="V701" s="11">
        <v>0.62348980185873359</v>
      </c>
      <c r="W701" s="11">
        <v>-0.7621140503891487</v>
      </c>
      <c r="X701" s="11">
        <v>-0.64744279608274746</v>
      </c>
      <c r="Y701">
        <v>0</v>
      </c>
      <c r="Z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6">
        <v>45160</v>
      </c>
      <c r="B702" t="s">
        <v>36</v>
      </c>
      <c r="C702" t="s">
        <v>37</v>
      </c>
      <c r="D702" t="s">
        <v>38</v>
      </c>
      <c r="E702" t="s">
        <v>39</v>
      </c>
      <c r="F702">
        <v>125</v>
      </c>
      <c r="G702">
        <v>320</v>
      </c>
      <c r="H702">
        <v>147</v>
      </c>
      <c r="I702">
        <v>63</v>
      </c>
      <c r="J702" s="8">
        <v>0.504</v>
      </c>
      <c r="K702">
        <v>27</v>
      </c>
      <c r="L702">
        <v>34</v>
      </c>
      <c r="M702">
        <v>119</v>
      </c>
      <c r="N702" s="10">
        <v>595.70000000000005</v>
      </c>
      <c r="O702" s="7">
        <v>3.5</v>
      </c>
      <c r="P702" s="7">
        <v>27.7</v>
      </c>
      <c r="Q702">
        <v>1</v>
      </c>
      <c r="R702" t="s">
        <v>63</v>
      </c>
      <c r="S702">
        <v>8</v>
      </c>
      <c r="T702">
        <v>234</v>
      </c>
      <c r="U702" s="11">
        <v>0.7818314824680298</v>
      </c>
      <c r="V702" s="11">
        <v>0.62348980185873359</v>
      </c>
      <c r="W702" s="11">
        <v>-0.7621140503891487</v>
      </c>
      <c r="X702" s="11">
        <v>-0.64744279608274746</v>
      </c>
      <c r="Y702">
        <v>0</v>
      </c>
      <c r="Z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6">
        <v>45160</v>
      </c>
      <c r="B703" t="s">
        <v>41</v>
      </c>
      <c r="C703" t="s">
        <v>42</v>
      </c>
      <c r="D703" t="s">
        <v>43</v>
      </c>
      <c r="E703" t="s">
        <v>44</v>
      </c>
      <c r="F703">
        <v>85</v>
      </c>
      <c r="G703">
        <v>210</v>
      </c>
      <c r="H703">
        <v>127</v>
      </c>
      <c r="I703">
        <v>54</v>
      </c>
      <c r="J703" s="8">
        <v>0.63529411764705879</v>
      </c>
      <c r="K703">
        <v>38</v>
      </c>
      <c r="L703">
        <v>17</v>
      </c>
      <c r="M703">
        <v>115</v>
      </c>
      <c r="N703" s="10">
        <v>549.99</v>
      </c>
      <c r="O703" s="7">
        <v>3.5</v>
      </c>
      <c r="P703" s="7">
        <v>27.7</v>
      </c>
      <c r="Q703">
        <v>1</v>
      </c>
      <c r="R703" t="s">
        <v>63</v>
      </c>
      <c r="S703">
        <v>8</v>
      </c>
      <c r="T703">
        <v>234</v>
      </c>
      <c r="U703" s="11">
        <v>0.7818314824680298</v>
      </c>
      <c r="V703" s="11">
        <v>0.62348980185873359</v>
      </c>
      <c r="W703" s="11">
        <v>-0.7621140503891487</v>
      </c>
      <c r="X703" s="11">
        <v>-0.64744279608274746</v>
      </c>
      <c r="Y703">
        <v>0</v>
      </c>
      <c r="Z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6">
        <v>45161</v>
      </c>
      <c r="B704" t="s">
        <v>31</v>
      </c>
      <c r="C704" t="s">
        <v>32</v>
      </c>
      <c r="D704" t="s">
        <v>33</v>
      </c>
      <c r="E704" t="s">
        <v>34</v>
      </c>
      <c r="F704">
        <v>140</v>
      </c>
      <c r="G704">
        <v>360</v>
      </c>
      <c r="H704">
        <v>212</v>
      </c>
      <c r="I704">
        <v>89</v>
      </c>
      <c r="J704" s="8">
        <v>0.63571428571428568</v>
      </c>
      <c r="K704">
        <v>59</v>
      </c>
      <c r="L704">
        <v>59</v>
      </c>
      <c r="M704">
        <v>183</v>
      </c>
      <c r="N704" s="10">
        <v>411.87</v>
      </c>
      <c r="O704" s="7">
        <v>0</v>
      </c>
      <c r="P704" s="7">
        <v>30</v>
      </c>
      <c r="Q704">
        <v>2</v>
      </c>
      <c r="R704" t="s">
        <v>64</v>
      </c>
      <c r="S704">
        <v>8</v>
      </c>
      <c r="T704">
        <v>235</v>
      </c>
      <c r="U704" s="11">
        <v>0.97492791218182362</v>
      </c>
      <c r="V704" s="11">
        <v>-0.22252093395631434</v>
      </c>
      <c r="W704" s="11">
        <v>-0.77313832557060258</v>
      </c>
      <c r="X704" s="11">
        <v>-0.63423743939780541</v>
      </c>
      <c r="Y704">
        <v>0</v>
      </c>
      <c r="Z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6">
        <v>45161</v>
      </c>
      <c r="B705" t="s">
        <v>36</v>
      </c>
      <c r="C705" t="s">
        <v>37</v>
      </c>
      <c r="D705" t="s">
        <v>38</v>
      </c>
      <c r="E705" t="s">
        <v>39</v>
      </c>
      <c r="F705">
        <v>125</v>
      </c>
      <c r="G705">
        <v>320</v>
      </c>
      <c r="H705">
        <v>162</v>
      </c>
      <c r="I705">
        <v>66</v>
      </c>
      <c r="J705" s="8">
        <v>0.52800000000000002</v>
      </c>
      <c r="K705">
        <v>30</v>
      </c>
      <c r="L705">
        <v>16</v>
      </c>
      <c r="M705">
        <v>151</v>
      </c>
      <c r="N705" s="10">
        <v>563.09</v>
      </c>
      <c r="O705" s="7">
        <v>0</v>
      </c>
      <c r="P705" s="7">
        <v>30</v>
      </c>
      <c r="Q705">
        <v>2</v>
      </c>
      <c r="R705" t="s">
        <v>64</v>
      </c>
      <c r="S705">
        <v>8</v>
      </c>
      <c r="T705">
        <v>235</v>
      </c>
      <c r="U705" s="11">
        <v>0.97492791218182362</v>
      </c>
      <c r="V705" s="11">
        <v>-0.22252093395631434</v>
      </c>
      <c r="W705" s="11">
        <v>-0.77313832557060258</v>
      </c>
      <c r="X705" s="11">
        <v>-0.63423743939780541</v>
      </c>
      <c r="Y705">
        <v>0</v>
      </c>
      <c r="Z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6">
        <v>45161</v>
      </c>
      <c r="B706" t="s">
        <v>41</v>
      </c>
      <c r="C706" t="s">
        <v>42</v>
      </c>
      <c r="D706" t="s">
        <v>43</v>
      </c>
      <c r="E706" t="s">
        <v>44</v>
      </c>
      <c r="F706">
        <v>85</v>
      </c>
      <c r="G706">
        <v>210</v>
      </c>
      <c r="H706">
        <v>118</v>
      </c>
      <c r="I706">
        <v>53</v>
      </c>
      <c r="J706" s="8">
        <v>0.62352941176470589</v>
      </c>
      <c r="K706">
        <v>18</v>
      </c>
      <c r="L706">
        <v>28</v>
      </c>
      <c r="M706">
        <v>103</v>
      </c>
      <c r="N706" s="10">
        <v>478.9</v>
      </c>
      <c r="O706" s="7">
        <v>0</v>
      </c>
      <c r="P706" s="7">
        <v>30</v>
      </c>
      <c r="Q706">
        <v>2</v>
      </c>
      <c r="R706" t="s">
        <v>64</v>
      </c>
      <c r="S706">
        <v>8</v>
      </c>
      <c r="T706">
        <v>235</v>
      </c>
      <c r="U706" s="11">
        <v>0.97492791218182362</v>
      </c>
      <c r="V706" s="11">
        <v>-0.22252093395631434</v>
      </c>
      <c r="W706" s="11">
        <v>-0.77313832557060258</v>
      </c>
      <c r="X706" s="11">
        <v>-0.63423743939780541</v>
      </c>
      <c r="Y706">
        <v>0</v>
      </c>
      <c r="Z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6">
        <v>45162</v>
      </c>
      <c r="B707" t="s">
        <v>31</v>
      </c>
      <c r="C707" t="s">
        <v>32</v>
      </c>
      <c r="D707" t="s">
        <v>33</v>
      </c>
      <c r="E707" t="s">
        <v>34</v>
      </c>
      <c r="F707">
        <v>140</v>
      </c>
      <c r="G707">
        <v>360</v>
      </c>
      <c r="H707">
        <v>182</v>
      </c>
      <c r="I707">
        <v>77</v>
      </c>
      <c r="J707" s="8">
        <v>0.55000000000000004</v>
      </c>
      <c r="K707">
        <v>32</v>
      </c>
      <c r="L707">
        <v>42</v>
      </c>
      <c r="M707">
        <v>162</v>
      </c>
      <c r="N707" s="10">
        <v>420.14</v>
      </c>
      <c r="O707" s="7">
        <v>5.2</v>
      </c>
      <c r="P707" s="7">
        <v>29.5</v>
      </c>
      <c r="Q707">
        <v>3</v>
      </c>
      <c r="R707" t="s">
        <v>65</v>
      </c>
      <c r="S707">
        <v>8</v>
      </c>
      <c r="T707">
        <v>236</v>
      </c>
      <c r="U707" s="11">
        <v>0.43388373911755823</v>
      </c>
      <c r="V707" s="11">
        <v>-0.90096886790241903</v>
      </c>
      <c r="W707" s="11">
        <v>-0.78393381668292006</v>
      </c>
      <c r="X707" s="11">
        <v>-0.62084440165064703</v>
      </c>
      <c r="Y707">
        <v>0</v>
      </c>
      <c r="Z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6">
        <v>45162</v>
      </c>
      <c r="B708" t="s">
        <v>36</v>
      </c>
      <c r="C708" t="s">
        <v>37</v>
      </c>
      <c r="D708" t="s">
        <v>38</v>
      </c>
      <c r="E708" t="s">
        <v>39</v>
      </c>
      <c r="F708">
        <v>125</v>
      </c>
      <c r="G708">
        <v>320</v>
      </c>
      <c r="H708">
        <v>163</v>
      </c>
      <c r="I708">
        <v>69</v>
      </c>
      <c r="J708" s="8">
        <v>0.55200000000000005</v>
      </c>
      <c r="K708">
        <v>37</v>
      </c>
      <c r="L708">
        <v>14</v>
      </c>
      <c r="M708">
        <v>147</v>
      </c>
      <c r="N708" s="10">
        <v>562.89</v>
      </c>
      <c r="O708" s="7">
        <v>5.2</v>
      </c>
      <c r="P708" s="7">
        <v>29.5</v>
      </c>
      <c r="Q708">
        <v>3</v>
      </c>
      <c r="R708" t="s">
        <v>65</v>
      </c>
      <c r="S708">
        <v>8</v>
      </c>
      <c r="T708">
        <v>236</v>
      </c>
      <c r="U708" s="11">
        <v>0.43388373911755823</v>
      </c>
      <c r="V708" s="11">
        <v>-0.90096886790241903</v>
      </c>
      <c r="W708" s="11">
        <v>-0.78393381668292006</v>
      </c>
      <c r="X708" s="11">
        <v>-0.62084440165064703</v>
      </c>
      <c r="Y708">
        <v>0</v>
      </c>
      <c r="Z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6">
        <v>45162</v>
      </c>
      <c r="B709" t="s">
        <v>41</v>
      </c>
      <c r="C709" t="s">
        <v>42</v>
      </c>
      <c r="D709" t="s">
        <v>43</v>
      </c>
      <c r="E709" t="s">
        <v>44</v>
      </c>
      <c r="F709">
        <v>85</v>
      </c>
      <c r="G709">
        <v>210</v>
      </c>
      <c r="H709">
        <v>111</v>
      </c>
      <c r="I709">
        <v>51</v>
      </c>
      <c r="J709" s="8">
        <v>0.6</v>
      </c>
      <c r="K709">
        <v>20</v>
      </c>
      <c r="L709">
        <v>11</v>
      </c>
      <c r="M709">
        <v>95</v>
      </c>
      <c r="N709" s="10">
        <v>547.14</v>
      </c>
      <c r="O709" s="7">
        <v>5.2</v>
      </c>
      <c r="P709" s="7">
        <v>29.5</v>
      </c>
      <c r="Q709">
        <v>3</v>
      </c>
      <c r="R709" t="s">
        <v>65</v>
      </c>
      <c r="S709">
        <v>8</v>
      </c>
      <c r="T709">
        <v>236</v>
      </c>
      <c r="U709" s="11">
        <v>0.43388373911755823</v>
      </c>
      <c r="V709" s="11">
        <v>-0.90096886790241903</v>
      </c>
      <c r="W709" s="11">
        <v>-0.78393381668292006</v>
      </c>
      <c r="X709" s="11">
        <v>-0.62084440165064703</v>
      </c>
      <c r="Y709">
        <v>0</v>
      </c>
      <c r="Z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6">
        <v>45163</v>
      </c>
      <c r="B710" t="s">
        <v>31</v>
      </c>
      <c r="C710" t="s">
        <v>32</v>
      </c>
      <c r="D710" t="s">
        <v>33</v>
      </c>
      <c r="E710" t="s">
        <v>34</v>
      </c>
      <c r="F710">
        <v>140</v>
      </c>
      <c r="G710">
        <v>360</v>
      </c>
      <c r="H710">
        <v>176</v>
      </c>
      <c r="I710">
        <v>78</v>
      </c>
      <c r="J710" s="8">
        <v>0.55714285714285716</v>
      </c>
      <c r="K710">
        <v>38</v>
      </c>
      <c r="L710">
        <v>42</v>
      </c>
      <c r="M710">
        <v>152</v>
      </c>
      <c r="N710" s="10">
        <v>397.81</v>
      </c>
      <c r="O710" s="7">
        <v>2.1</v>
      </c>
      <c r="P710" s="7">
        <v>28.4</v>
      </c>
      <c r="Q710">
        <v>4</v>
      </c>
      <c r="R710" t="s">
        <v>66</v>
      </c>
      <c r="S710">
        <v>8</v>
      </c>
      <c r="T710">
        <v>237</v>
      </c>
      <c r="U710" s="11">
        <v>-0.43388373911755801</v>
      </c>
      <c r="V710" s="11">
        <v>-0.90096886790241915</v>
      </c>
      <c r="W710" s="11">
        <v>-0.79449732916659921</v>
      </c>
      <c r="X710" s="11">
        <v>-0.60726764605661354</v>
      </c>
      <c r="Y710">
        <v>0</v>
      </c>
      <c r="Z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6">
        <v>45163</v>
      </c>
      <c r="B711" t="s">
        <v>36</v>
      </c>
      <c r="C711" t="s">
        <v>37</v>
      </c>
      <c r="D711" t="s">
        <v>38</v>
      </c>
      <c r="E711" t="s">
        <v>39</v>
      </c>
      <c r="F711">
        <v>125</v>
      </c>
      <c r="G711">
        <v>320</v>
      </c>
      <c r="H711">
        <v>171</v>
      </c>
      <c r="I711">
        <v>70</v>
      </c>
      <c r="J711" s="8">
        <v>0.56000000000000005</v>
      </c>
      <c r="K711">
        <v>37</v>
      </c>
      <c r="L711">
        <v>45</v>
      </c>
      <c r="M711">
        <v>147</v>
      </c>
      <c r="N711" s="10">
        <v>625.36</v>
      </c>
      <c r="O711" s="7">
        <v>2.1</v>
      </c>
      <c r="P711" s="7">
        <v>28.4</v>
      </c>
      <c r="Q711">
        <v>4</v>
      </c>
      <c r="R711" t="s">
        <v>66</v>
      </c>
      <c r="S711">
        <v>8</v>
      </c>
      <c r="T711">
        <v>237</v>
      </c>
      <c r="U711" s="11">
        <v>-0.43388373911755801</v>
      </c>
      <c r="V711" s="11">
        <v>-0.90096886790241915</v>
      </c>
      <c r="W711" s="11">
        <v>-0.79449732916659921</v>
      </c>
      <c r="X711" s="11">
        <v>-0.60726764605661354</v>
      </c>
      <c r="Y711">
        <v>0</v>
      </c>
      <c r="Z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6">
        <v>45163</v>
      </c>
      <c r="B712" t="s">
        <v>41</v>
      </c>
      <c r="C712" t="s">
        <v>42</v>
      </c>
      <c r="D712" t="s">
        <v>43</v>
      </c>
      <c r="E712" t="s">
        <v>44</v>
      </c>
      <c r="F712">
        <v>85</v>
      </c>
      <c r="G712">
        <v>210</v>
      </c>
      <c r="H712">
        <v>107</v>
      </c>
      <c r="I712">
        <v>50</v>
      </c>
      <c r="J712" s="8">
        <v>0.58823529411764708</v>
      </c>
      <c r="K712">
        <v>21</v>
      </c>
      <c r="L712">
        <v>16</v>
      </c>
      <c r="M712">
        <v>100</v>
      </c>
      <c r="N712" s="10">
        <v>491.27</v>
      </c>
      <c r="O712" s="7">
        <v>2.1</v>
      </c>
      <c r="P712" s="7">
        <v>28.4</v>
      </c>
      <c r="Q712">
        <v>4</v>
      </c>
      <c r="R712" t="s">
        <v>66</v>
      </c>
      <c r="S712">
        <v>8</v>
      </c>
      <c r="T712">
        <v>237</v>
      </c>
      <c r="U712" s="11">
        <v>-0.43388373911755801</v>
      </c>
      <c r="V712" s="11">
        <v>-0.90096886790241915</v>
      </c>
      <c r="W712" s="11">
        <v>-0.79449732916659921</v>
      </c>
      <c r="X712" s="11">
        <v>-0.60726764605661354</v>
      </c>
      <c r="Y712">
        <v>0</v>
      </c>
      <c r="Z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6">
        <v>45164</v>
      </c>
      <c r="B713" t="s">
        <v>31</v>
      </c>
      <c r="C713" t="s">
        <v>32</v>
      </c>
      <c r="D713" t="s">
        <v>33</v>
      </c>
      <c r="E713" t="s">
        <v>34</v>
      </c>
      <c r="F713">
        <v>140</v>
      </c>
      <c r="G713">
        <v>360</v>
      </c>
      <c r="H713">
        <v>202</v>
      </c>
      <c r="I713">
        <v>86</v>
      </c>
      <c r="J713" s="8">
        <v>0.61428571428571432</v>
      </c>
      <c r="K713">
        <v>30</v>
      </c>
      <c r="L713">
        <v>45</v>
      </c>
      <c r="M713">
        <v>185</v>
      </c>
      <c r="N713" s="10">
        <v>436.85</v>
      </c>
      <c r="O713" s="7">
        <v>0</v>
      </c>
      <c r="P713" s="7">
        <v>28.4</v>
      </c>
      <c r="Q713">
        <v>5</v>
      </c>
      <c r="R713" t="s">
        <v>67</v>
      </c>
      <c r="S713">
        <v>8</v>
      </c>
      <c r="T713">
        <v>238</v>
      </c>
      <c r="U713" s="11">
        <v>-0.97492791218182362</v>
      </c>
      <c r="V713" s="11">
        <v>-0.22252093395631459</v>
      </c>
      <c r="W713" s="11">
        <v>-0.80482573710834515</v>
      </c>
      <c r="X713" s="11">
        <v>-0.59351119019611498</v>
      </c>
      <c r="Y713">
        <v>1</v>
      </c>
      <c r="Z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6">
        <v>45164</v>
      </c>
      <c r="B714" t="s">
        <v>36</v>
      </c>
      <c r="C714" t="s">
        <v>37</v>
      </c>
      <c r="D714" t="s">
        <v>38</v>
      </c>
      <c r="E714" t="s">
        <v>39</v>
      </c>
      <c r="F714">
        <v>125</v>
      </c>
      <c r="G714">
        <v>320</v>
      </c>
      <c r="H714">
        <v>193</v>
      </c>
      <c r="I714">
        <v>80</v>
      </c>
      <c r="J714" s="8">
        <v>0.64</v>
      </c>
      <c r="K714">
        <v>19</v>
      </c>
      <c r="L714">
        <v>50</v>
      </c>
      <c r="M714">
        <v>158</v>
      </c>
      <c r="N714" s="10">
        <v>729.74</v>
      </c>
      <c r="O714" s="7">
        <v>0</v>
      </c>
      <c r="P714" s="7">
        <v>28.4</v>
      </c>
      <c r="Q714">
        <v>5</v>
      </c>
      <c r="R714" t="s">
        <v>67</v>
      </c>
      <c r="S714">
        <v>8</v>
      </c>
      <c r="T714">
        <v>238</v>
      </c>
      <c r="U714" s="11">
        <v>-0.97492791218182362</v>
      </c>
      <c r="V714" s="11">
        <v>-0.22252093395631459</v>
      </c>
      <c r="W714" s="11">
        <v>-0.80482573710834515</v>
      </c>
      <c r="X714" s="11">
        <v>-0.59351119019611498</v>
      </c>
      <c r="Y714">
        <v>1</v>
      </c>
      <c r="Z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6">
        <v>45164</v>
      </c>
      <c r="B715" t="s">
        <v>41</v>
      </c>
      <c r="C715" t="s">
        <v>42</v>
      </c>
      <c r="D715" t="s">
        <v>43</v>
      </c>
      <c r="E715" t="s">
        <v>44</v>
      </c>
      <c r="F715">
        <v>85</v>
      </c>
      <c r="G715">
        <v>210</v>
      </c>
      <c r="H715">
        <v>131</v>
      </c>
      <c r="I715">
        <v>58</v>
      </c>
      <c r="J715" s="8">
        <v>0.68235294117647061</v>
      </c>
      <c r="K715">
        <v>24</v>
      </c>
      <c r="L715">
        <v>34</v>
      </c>
      <c r="M715">
        <v>121</v>
      </c>
      <c r="N715" s="10">
        <v>594.80999999999995</v>
      </c>
      <c r="O715" s="7">
        <v>0</v>
      </c>
      <c r="P715" s="7">
        <v>28.4</v>
      </c>
      <c r="Q715">
        <v>5</v>
      </c>
      <c r="R715" t="s">
        <v>67</v>
      </c>
      <c r="S715">
        <v>8</v>
      </c>
      <c r="T715">
        <v>238</v>
      </c>
      <c r="U715" s="11">
        <v>-0.97492791218182362</v>
      </c>
      <c r="V715" s="11">
        <v>-0.22252093395631459</v>
      </c>
      <c r="W715" s="11">
        <v>-0.80482573710834515</v>
      </c>
      <c r="X715" s="11">
        <v>-0.59351119019611498</v>
      </c>
      <c r="Y715">
        <v>1</v>
      </c>
      <c r="Z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6">
        <v>45165</v>
      </c>
      <c r="B716" t="s">
        <v>31</v>
      </c>
      <c r="C716" t="s">
        <v>32</v>
      </c>
      <c r="D716" t="s">
        <v>33</v>
      </c>
      <c r="E716" t="s">
        <v>34</v>
      </c>
      <c r="F716">
        <v>140</v>
      </c>
      <c r="G716">
        <v>360</v>
      </c>
      <c r="H716">
        <v>220</v>
      </c>
      <c r="I716">
        <v>92</v>
      </c>
      <c r="J716" s="8">
        <v>0.65714285714285714</v>
      </c>
      <c r="K716">
        <v>53</v>
      </c>
      <c r="L716">
        <v>40</v>
      </c>
      <c r="M716">
        <v>180</v>
      </c>
      <c r="N716" s="10">
        <v>516.29</v>
      </c>
      <c r="O716" s="7">
        <v>3.6</v>
      </c>
      <c r="P716" s="7">
        <v>29.6</v>
      </c>
      <c r="Q716">
        <v>6</v>
      </c>
      <c r="R716" t="s">
        <v>60</v>
      </c>
      <c r="S716">
        <v>8</v>
      </c>
      <c r="T716">
        <v>239</v>
      </c>
      <c r="U716" s="11">
        <v>-0.78183148246802991</v>
      </c>
      <c r="V716" s="11">
        <v>0.62348980185873337</v>
      </c>
      <c r="W716" s="11">
        <v>-0.81491598416607913</v>
      </c>
      <c r="X716" s="11">
        <v>-0.57957910482576125</v>
      </c>
      <c r="Y716">
        <v>1</v>
      </c>
      <c r="Z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6">
        <v>45165</v>
      </c>
      <c r="B717" t="s">
        <v>36</v>
      </c>
      <c r="C717" t="s">
        <v>37</v>
      </c>
      <c r="D717" t="s">
        <v>38</v>
      </c>
      <c r="E717" t="s">
        <v>39</v>
      </c>
      <c r="F717">
        <v>125</v>
      </c>
      <c r="G717">
        <v>320</v>
      </c>
      <c r="H717">
        <v>170</v>
      </c>
      <c r="I717">
        <v>74</v>
      </c>
      <c r="J717" s="8">
        <v>0.59199999999999997</v>
      </c>
      <c r="K717">
        <v>24</v>
      </c>
      <c r="L717">
        <v>30</v>
      </c>
      <c r="M717">
        <v>138</v>
      </c>
      <c r="N717" s="10">
        <v>685.19</v>
      </c>
      <c r="O717" s="7">
        <v>3.6</v>
      </c>
      <c r="P717" s="7">
        <v>29.6</v>
      </c>
      <c r="Q717">
        <v>6</v>
      </c>
      <c r="R717" t="s">
        <v>60</v>
      </c>
      <c r="S717">
        <v>8</v>
      </c>
      <c r="T717">
        <v>239</v>
      </c>
      <c r="U717" s="11">
        <v>-0.78183148246802991</v>
      </c>
      <c r="V717" s="11">
        <v>0.62348980185873337</v>
      </c>
      <c r="W717" s="11">
        <v>-0.81491598416607913</v>
      </c>
      <c r="X717" s="11">
        <v>-0.57957910482576125</v>
      </c>
      <c r="Y717">
        <v>1</v>
      </c>
      <c r="Z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6">
        <v>45165</v>
      </c>
      <c r="B718" t="s">
        <v>41</v>
      </c>
      <c r="C718" t="s">
        <v>42</v>
      </c>
      <c r="D718" t="s">
        <v>43</v>
      </c>
      <c r="E718" t="s">
        <v>44</v>
      </c>
      <c r="F718">
        <v>85</v>
      </c>
      <c r="G718">
        <v>210</v>
      </c>
      <c r="H718">
        <v>130</v>
      </c>
      <c r="I718">
        <v>58</v>
      </c>
      <c r="J718" s="8">
        <v>0.68235294117647061</v>
      </c>
      <c r="K718">
        <v>24</v>
      </c>
      <c r="L718">
        <v>18</v>
      </c>
      <c r="M718">
        <v>110</v>
      </c>
      <c r="N718" s="10">
        <v>613.1</v>
      </c>
      <c r="O718" s="7">
        <v>3.6</v>
      </c>
      <c r="P718" s="7">
        <v>29.6</v>
      </c>
      <c r="Q718">
        <v>6</v>
      </c>
      <c r="R718" t="s">
        <v>60</v>
      </c>
      <c r="S718">
        <v>8</v>
      </c>
      <c r="T718">
        <v>239</v>
      </c>
      <c r="U718" s="11">
        <v>-0.78183148246802991</v>
      </c>
      <c r="V718" s="11">
        <v>0.62348980185873337</v>
      </c>
      <c r="W718" s="11">
        <v>-0.81491598416607913</v>
      </c>
      <c r="X718" s="11">
        <v>-0.57957910482576125</v>
      </c>
      <c r="Y718">
        <v>1</v>
      </c>
      <c r="Z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6">
        <v>45166</v>
      </c>
      <c r="B719" t="s">
        <v>31</v>
      </c>
      <c r="C719" t="s">
        <v>32</v>
      </c>
      <c r="D719" t="s">
        <v>33</v>
      </c>
      <c r="E719" t="s">
        <v>34</v>
      </c>
      <c r="F719">
        <v>140</v>
      </c>
      <c r="G719">
        <v>360</v>
      </c>
      <c r="H719">
        <v>196</v>
      </c>
      <c r="I719">
        <v>81</v>
      </c>
      <c r="J719" s="8">
        <v>0.57857142857142863</v>
      </c>
      <c r="K719">
        <v>40</v>
      </c>
      <c r="L719">
        <v>43</v>
      </c>
      <c r="M719">
        <v>165</v>
      </c>
      <c r="N719" s="10">
        <v>400.06</v>
      </c>
      <c r="O719" s="7">
        <v>0</v>
      </c>
      <c r="P719" s="7">
        <v>29.4</v>
      </c>
      <c r="Q719">
        <v>0</v>
      </c>
      <c r="R719" t="s">
        <v>62</v>
      </c>
      <c r="S719">
        <v>8</v>
      </c>
      <c r="T719">
        <v>240</v>
      </c>
      <c r="U719" s="11">
        <v>0</v>
      </c>
      <c r="V719" s="11">
        <v>1</v>
      </c>
      <c r="W719" s="11">
        <v>-0.82476508447336139</v>
      </c>
      <c r="X719" s="11">
        <v>-0.56547551267375762</v>
      </c>
      <c r="Y719">
        <v>0</v>
      </c>
      <c r="Z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6">
        <v>45166</v>
      </c>
      <c r="B720" t="s">
        <v>36</v>
      </c>
      <c r="C720" t="s">
        <v>37</v>
      </c>
      <c r="D720" t="s">
        <v>38</v>
      </c>
      <c r="E720" t="s">
        <v>39</v>
      </c>
      <c r="F720">
        <v>125</v>
      </c>
      <c r="G720">
        <v>320</v>
      </c>
      <c r="H720">
        <v>156</v>
      </c>
      <c r="I720">
        <v>64</v>
      </c>
      <c r="J720" s="8">
        <v>0.51200000000000001</v>
      </c>
      <c r="K720">
        <v>17</v>
      </c>
      <c r="L720">
        <v>19</v>
      </c>
      <c r="M720">
        <v>131</v>
      </c>
      <c r="N720" s="10">
        <v>656.01</v>
      </c>
      <c r="O720" s="7">
        <v>0</v>
      </c>
      <c r="P720" s="7">
        <v>29.4</v>
      </c>
      <c r="Q720">
        <v>0</v>
      </c>
      <c r="R720" t="s">
        <v>62</v>
      </c>
      <c r="S720">
        <v>8</v>
      </c>
      <c r="T720">
        <v>240</v>
      </c>
      <c r="U720" s="11">
        <v>0</v>
      </c>
      <c r="V720" s="11">
        <v>1</v>
      </c>
      <c r="W720" s="11">
        <v>-0.82476508447336139</v>
      </c>
      <c r="X720" s="11">
        <v>-0.56547551267375762</v>
      </c>
      <c r="Y720">
        <v>0</v>
      </c>
      <c r="Z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6">
        <v>45166</v>
      </c>
      <c r="B721" t="s">
        <v>41</v>
      </c>
      <c r="C721" t="s">
        <v>42</v>
      </c>
      <c r="D721" t="s">
        <v>43</v>
      </c>
      <c r="E721" t="s">
        <v>44</v>
      </c>
      <c r="F721">
        <v>85</v>
      </c>
      <c r="G721">
        <v>210</v>
      </c>
      <c r="H721">
        <v>118</v>
      </c>
      <c r="I721">
        <v>51</v>
      </c>
      <c r="J721" s="8">
        <v>0.6</v>
      </c>
      <c r="K721">
        <v>15</v>
      </c>
      <c r="L721">
        <v>19</v>
      </c>
      <c r="M721">
        <v>100</v>
      </c>
      <c r="N721" s="10">
        <v>525.97</v>
      </c>
      <c r="O721" s="7">
        <v>0</v>
      </c>
      <c r="P721" s="7">
        <v>29.4</v>
      </c>
      <c r="Q721">
        <v>0</v>
      </c>
      <c r="R721" t="s">
        <v>62</v>
      </c>
      <c r="S721">
        <v>8</v>
      </c>
      <c r="T721">
        <v>240</v>
      </c>
      <c r="U721" s="11">
        <v>0</v>
      </c>
      <c r="V721" s="11">
        <v>1</v>
      </c>
      <c r="W721" s="11">
        <v>-0.82476508447336139</v>
      </c>
      <c r="X721" s="11">
        <v>-0.56547551267375762</v>
      </c>
      <c r="Y721">
        <v>0</v>
      </c>
      <c r="Z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6">
        <v>45167</v>
      </c>
      <c r="B722" t="s">
        <v>31</v>
      </c>
      <c r="C722" t="s">
        <v>32</v>
      </c>
      <c r="D722" t="s">
        <v>33</v>
      </c>
      <c r="E722" t="s">
        <v>34</v>
      </c>
      <c r="F722">
        <v>140</v>
      </c>
      <c r="G722">
        <v>360</v>
      </c>
      <c r="H722">
        <v>181</v>
      </c>
      <c r="I722">
        <v>78</v>
      </c>
      <c r="J722" s="8">
        <v>0.55714285714285716</v>
      </c>
      <c r="K722">
        <v>32</v>
      </c>
      <c r="L722">
        <v>25</v>
      </c>
      <c r="M722">
        <v>157</v>
      </c>
      <c r="N722" s="10">
        <v>453.91</v>
      </c>
      <c r="O722" s="7">
        <v>0</v>
      </c>
      <c r="P722" s="7">
        <v>28.3</v>
      </c>
      <c r="Q722">
        <v>1</v>
      </c>
      <c r="R722" t="s">
        <v>63</v>
      </c>
      <c r="S722">
        <v>8</v>
      </c>
      <c r="T722">
        <v>241</v>
      </c>
      <c r="U722" s="11">
        <v>0.7818314824680298</v>
      </c>
      <c r="V722" s="11">
        <v>0.62348980185873359</v>
      </c>
      <c r="W722" s="11">
        <v>-0.8343701235229537</v>
      </c>
      <c r="X722" s="11">
        <v>-0.55120458721992771</v>
      </c>
      <c r="Y722">
        <v>0</v>
      </c>
      <c r="Z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6">
        <v>45167</v>
      </c>
      <c r="B723" t="s">
        <v>36</v>
      </c>
      <c r="C723" t="s">
        <v>37</v>
      </c>
      <c r="D723" t="s">
        <v>38</v>
      </c>
      <c r="E723" t="s">
        <v>39</v>
      </c>
      <c r="F723">
        <v>125</v>
      </c>
      <c r="G723">
        <v>320</v>
      </c>
      <c r="H723">
        <v>157</v>
      </c>
      <c r="I723">
        <v>62</v>
      </c>
      <c r="J723" s="8">
        <v>0.496</v>
      </c>
      <c r="K723">
        <v>34</v>
      </c>
      <c r="L723">
        <v>36</v>
      </c>
      <c r="M723">
        <v>139</v>
      </c>
      <c r="N723" s="10">
        <v>582.22</v>
      </c>
      <c r="O723" s="7">
        <v>0</v>
      </c>
      <c r="P723" s="7">
        <v>28.3</v>
      </c>
      <c r="Q723">
        <v>1</v>
      </c>
      <c r="R723" t="s">
        <v>63</v>
      </c>
      <c r="S723">
        <v>8</v>
      </c>
      <c r="T723">
        <v>241</v>
      </c>
      <c r="U723" s="11">
        <v>0.7818314824680298</v>
      </c>
      <c r="V723" s="11">
        <v>0.62348980185873359</v>
      </c>
      <c r="W723" s="11">
        <v>-0.8343701235229537</v>
      </c>
      <c r="X723" s="11">
        <v>-0.55120458721992771</v>
      </c>
      <c r="Y723">
        <v>0</v>
      </c>
      <c r="Z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6">
        <v>45167</v>
      </c>
      <c r="B724" t="s">
        <v>41</v>
      </c>
      <c r="C724" t="s">
        <v>42</v>
      </c>
      <c r="D724" t="s">
        <v>43</v>
      </c>
      <c r="E724" t="s">
        <v>44</v>
      </c>
      <c r="F724">
        <v>85</v>
      </c>
      <c r="G724">
        <v>210</v>
      </c>
      <c r="H724">
        <v>121</v>
      </c>
      <c r="I724">
        <v>55</v>
      </c>
      <c r="J724" s="8">
        <v>0.6470588235294118</v>
      </c>
      <c r="K724">
        <v>22</v>
      </c>
      <c r="L724">
        <v>18</v>
      </c>
      <c r="M724">
        <v>109</v>
      </c>
      <c r="N724" s="10">
        <v>482.87</v>
      </c>
      <c r="O724" s="7">
        <v>0</v>
      </c>
      <c r="P724" s="7">
        <v>28.3</v>
      </c>
      <c r="Q724">
        <v>1</v>
      </c>
      <c r="R724" t="s">
        <v>63</v>
      </c>
      <c r="S724">
        <v>8</v>
      </c>
      <c r="T724">
        <v>241</v>
      </c>
      <c r="U724" s="11">
        <v>0.7818314824680298</v>
      </c>
      <c r="V724" s="11">
        <v>0.62348980185873359</v>
      </c>
      <c r="W724" s="11">
        <v>-0.8343701235229537</v>
      </c>
      <c r="X724" s="11">
        <v>-0.55120458721992771</v>
      </c>
      <c r="Y724">
        <v>0</v>
      </c>
      <c r="Z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6">
        <v>45168</v>
      </c>
      <c r="B725" t="s">
        <v>31</v>
      </c>
      <c r="C725" t="s">
        <v>32</v>
      </c>
      <c r="D725" t="s">
        <v>33</v>
      </c>
      <c r="E725" t="s">
        <v>34</v>
      </c>
      <c r="F725">
        <v>140</v>
      </c>
      <c r="G725">
        <v>360</v>
      </c>
      <c r="H725">
        <v>170</v>
      </c>
      <c r="I725">
        <v>72</v>
      </c>
      <c r="J725" s="8">
        <v>0.51428571428571423</v>
      </c>
      <c r="K725">
        <v>27</v>
      </c>
      <c r="L725">
        <v>41</v>
      </c>
      <c r="M725">
        <v>152</v>
      </c>
      <c r="N725" s="10">
        <v>443.19</v>
      </c>
      <c r="O725" s="7">
        <v>0.4</v>
      </c>
      <c r="P725" s="7">
        <v>28.3</v>
      </c>
      <c r="Q725">
        <v>2</v>
      </c>
      <c r="R725" t="s">
        <v>64</v>
      </c>
      <c r="S725">
        <v>8</v>
      </c>
      <c r="T725">
        <v>242</v>
      </c>
      <c r="U725" s="11">
        <v>0.97492791218182362</v>
      </c>
      <c r="V725" s="11">
        <v>-0.22252093395631434</v>
      </c>
      <c r="W725" s="11">
        <v>-0.84372825902927118</v>
      </c>
      <c r="X725" s="11">
        <v>-0.53677055146071029</v>
      </c>
      <c r="Y725">
        <v>0</v>
      </c>
      <c r="Z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6">
        <v>45168</v>
      </c>
      <c r="B726" t="s">
        <v>36</v>
      </c>
      <c r="C726" t="s">
        <v>37</v>
      </c>
      <c r="D726" t="s">
        <v>38</v>
      </c>
      <c r="E726" t="s">
        <v>39</v>
      </c>
      <c r="F726">
        <v>125</v>
      </c>
      <c r="G726">
        <v>320</v>
      </c>
      <c r="H726">
        <v>169</v>
      </c>
      <c r="I726">
        <v>69</v>
      </c>
      <c r="J726" s="8">
        <v>0.55200000000000005</v>
      </c>
      <c r="K726">
        <v>24</v>
      </c>
      <c r="L726">
        <v>31</v>
      </c>
      <c r="M726">
        <v>138</v>
      </c>
      <c r="N726" s="10">
        <v>668.24</v>
      </c>
      <c r="O726" s="7">
        <v>0.4</v>
      </c>
      <c r="P726" s="7">
        <v>28.3</v>
      </c>
      <c r="Q726">
        <v>2</v>
      </c>
      <c r="R726" t="s">
        <v>64</v>
      </c>
      <c r="S726">
        <v>8</v>
      </c>
      <c r="T726">
        <v>242</v>
      </c>
      <c r="U726" s="11">
        <v>0.97492791218182362</v>
      </c>
      <c r="V726" s="11">
        <v>-0.22252093395631434</v>
      </c>
      <c r="W726" s="11">
        <v>-0.84372825902927118</v>
      </c>
      <c r="X726" s="11">
        <v>-0.53677055146071029</v>
      </c>
      <c r="Y726">
        <v>0</v>
      </c>
      <c r="Z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6">
        <v>45168</v>
      </c>
      <c r="B727" t="s">
        <v>41</v>
      </c>
      <c r="C727" t="s">
        <v>42</v>
      </c>
      <c r="D727" t="s">
        <v>43</v>
      </c>
      <c r="E727" t="s">
        <v>44</v>
      </c>
      <c r="F727">
        <v>85</v>
      </c>
      <c r="G727">
        <v>210</v>
      </c>
      <c r="H727">
        <v>118</v>
      </c>
      <c r="I727">
        <v>54</v>
      </c>
      <c r="J727" s="8">
        <v>0.63529411764705879</v>
      </c>
      <c r="K727">
        <v>25</v>
      </c>
      <c r="L727">
        <v>20</v>
      </c>
      <c r="M727">
        <v>111</v>
      </c>
      <c r="N727" s="10">
        <v>579.01</v>
      </c>
      <c r="O727" s="7">
        <v>0.4</v>
      </c>
      <c r="P727" s="7">
        <v>28.3</v>
      </c>
      <c r="Q727">
        <v>2</v>
      </c>
      <c r="R727" t="s">
        <v>64</v>
      </c>
      <c r="S727">
        <v>8</v>
      </c>
      <c r="T727">
        <v>242</v>
      </c>
      <c r="U727" s="11">
        <v>0.97492791218182362</v>
      </c>
      <c r="V727" s="11">
        <v>-0.22252093395631434</v>
      </c>
      <c r="W727" s="11">
        <v>-0.84372825902927118</v>
      </c>
      <c r="X727" s="11">
        <v>-0.53677055146071029</v>
      </c>
      <c r="Y727">
        <v>0</v>
      </c>
      <c r="Z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6">
        <v>45169</v>
      </c>
      <c r="B728" t="s">
        <v>31</v>
      </c>
      <c r="C728" t="s">
        <v>32</v>
      </c>
      <c r="D728" t="s">
        <v>33</v>
      </c>
      <c r="E728" t="s">
        <v>34</v>
      </c>
      <c r="F728">
        <v>140</v>
      </c>
      <c r="G728">
        <v>360</v>
      </c>
      <c r="H728">
        <v>183</v>
      </c>
      <c r="I728">
        <v>74</v>
      </c>
      <c r="J728" s="8">
        <v>0.52857142857142858</v>
      </c>
      <c r="K728">
        <v>23</v>
      </c>
      <c r="L728">
        <v>43</v>
      </c>
      <c r="M728">
        <v>149</v>
      </c>
      <c r="N728" s="10">
        <v>462.85</v>
      </c>
      <c r="O728" s="7">
        <v>1.1000000000000001</v>
      </c>
      <c r="P728" s="7">
        <v>29.4</v>
      </c>
      <c r="Q728">
        <v>3</v>
      </c>
      <c r="R728" t="s">
        <v>65</v>
      </c>
      <c r="S728">
        <v>8</v>
      </c>
      <c r="T728">
        <v>243</v>
      </c>
      <c r="U728" s="11">
        <v>0.43388373911755823</v>
      </c>
      <c r="V728" s="11">
        <v>-0.90096886790241903</v>
      </c>
      <c r="W728" s="11">
        <v>-0.85283672176945946</v>
      </c>
      <c r="X728" s="11">
        <v>-0.52217767665950798</v>
      </c>
      <c r="Y728">
        <v>0</v>
      </c>
      <c r="Z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6">
        <v>45169</v>
      </c>
      <c r="B729" t="s">
        <v>36</v>
      </c>
      <c r="C729" t="s">
        <v>37</v>
      </c>
      <c r="D729" t="s">
        <v>38</v>
      </c>
      <c r="E729" t="s">
        <v>39</v>
      </c>
      <c r="F729">
        <v>125</v>
      </c>
      <c r="G729">
        <v>320</v>
      </c>
      <c r="H729">
        <v>160</v>
      </c>
      <c r="I729">
        <v>66</v>
      </c>
      <c r="J729" s="8">
        <v>0.52800000000000002</v>
      </c>
      <c r="K729">
        <v>30</v>
      </c>
      <c r="L729">
        <v>15</v>
      </c>
      <c r="M729">
        <v>143</v>
      </c>
      <c r="N729" s="10">
        <v>600.07000000000005</v>
      </c>
      <c r="O729" s="7">
        <v>1.1000000000000001</v>
      </c>
      <c r="P729" s="7">
        <v>29.4</v>
      </c>
      <c r="Q729">
        <v>3</v>
      </c>
      <c r="R729" t="s">
        <v>65</v>
      </c>
      <c r="S729">
        <v>8</v>
      </c>
      <c r="T729">
        <v>243</v>
      </c>
      <c r="U729" s="11">
        <v>0.43388373911755823</v>
      </c>
      <c r="V729" s="11">
        <v>-0.90096886790241903</v>
      </c>
      <c r="W729" s="11">
        <v>-0.85283672176945946</v>
      </c>
      <c r="X729" s="11">
        <v>-0.52217767665950798</v>
      </c>
      <c r="Y729">
        <v>0</v>
      </c>
      <c r="Z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6">
        <v>45169</v>
      </c>
      <c r="B730" t="s">
        <v>41</v>
      </c>
      <c r="C730" t="s">
        <v>42</v>
      </c>
      <c r="D730" t="s">
        <v>43</v>
      </c>
      <c r="E730" t="s">
        <v>44</v>
      </c>
      <c r="F730">
        <v>85</v>
      </c>
      <c r="G730">
        <v>210</v>
      </c>
      <c r="H730">
        <v>101</v>
      </c>
      <c r="I730">
        <v>45</v>
      </c>
      <c r="J730" s="8">
        <v>0.52941176470588236</v>
      </c>
      <c r="K730">
        <v>22</v>
      </c>
      <c r="L730">
        <v>23</v>
      </c>
      <c r="M730">
        <v>86</v>
      </c>
      <c r="N730" s="10">
        <v>480.35</v>
      </c>
      <c r="O730" s="7">
        <v>1.1000000000000001</v>
      </c>
      <c r="P730" s="7">
        <v>29.4</v>
      </c>
      <c r="Q730">
        <v>3</v>
      </c>
      <c r="R730" t="s">
        <v>65</v>
      </c>
      <c r="S730">
        <v>8</v>
      </c>
      <c r="T730">
        <v>243</v>
      </c>
      <c r="U730" s="11">
        <v>0.43388373911755823</v>
      </c>
      <c r="V730" s="11">
        <v>-0.90096886790241903</v>
      </c>
      <c r="W730" s="11">
        <v>-0.85283672176945946</v>
      </c>
      <c r="X730" s="11">
        <v>-0.52217767665950798</v>
      </c>
      <c r="Y730">
        <v>0</v>
      </c>
      <c r="Z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6">
        <v>45170</v>
      </c>
      <c r="B731" t="s">
        <v>31</v>
      </c>
      <c r="C731" t="s">
        <v>32</v>
      </c>
      <c r="D731" t="s">
        <v>33</v>
      </c>
      <c r="E731" t="s">
        <v>34</v>
      </c>
      <c r="F731">
        <v>140</v>
      </c>
      <c r="G731">
        <v>360</v>
      </c>
      <c r="H731">
        <v>180</v>
      </c>
      <c r="I731">
        <v>76</v>
      </c>
      <c r="J731" s="8">
        <v>0.54285714285714282</v>
      </c>
      <c r="K731">
        <v>30</v>
      </c>
      <c r="L731">
        <v>29</v>
      </c>
      <c r="M731">
        <v>148</v>
      </c>
      <c r="N731" s="10">
        <v>396.42</v>
      </c>
      <c r="O731" s="7">
        <v>2.4</v>
      </c>
      <c r="P731" s="7">
        <v>29.8</v>
      </c>
      <c r="Q731">
        <v>4</v>
      </c>
      <c r="R731" t="s">
        <v>66</v>
      </c>
      <c r="S731">
        <v>9</v>
      </c>
      <c r="T731">
        <v>244</v>
      </c>
      <c r="U731" s="11">
        <v>-0.43388373911755801</v>
      </c>
      <c r="V731" s="11">
        <v>-0.90096886790241915</v>
      </c>
      <c r="W731" s="11">
        <v>-0.86169281640285211</v>
      </c>
      <c r="X731" s="11">
        <v>-0.50743028108275179</v>
      </c>
      <c r="Y731">
        <v>0</v>
      </c>
      <c r="Z731">
        <v>0</v>
      </c>
      <c r="AB731">
        <v>0</v>
      </c>
      <c r="AC731">
        <v>0</v>
      </c>
      <c r="AD731">
        <v>0</v>
      </c>
      <c r="AE731">
        <v>0</v>
      </c>
    </row>
    <row r="732" spans="1:31">
      <c r="A732" s="6">
        <v>45170</v>
      </c>
      <c r="B732" t="s">
        <v>36</v>
      </c>
      <c r="C732" t="s">
        <v>37</v>
      </c>
      <c r="D732" t="s">
        <v>38</v>
      </c>
      <c r="E732" t="s">
        <v>39</v>
      </c>
      <c r="F732">
        <v>125</v>
      </c>
      <c r="G732">
        <v>320</v>
      </c>
      <c r="H732">
        <v>187</v>
      </c>
      <c r="I732">
        <v>76</v>
      </c>
      <c r="J732" s="8">
        <v>0.60799999999999998</v>
      </c>
      <c r="K732">
        <v>38</v>
      </c>
      <c r="L732">
        <v>30</v>
      </c>
      <c r="M732">
        <v>153</v>
      </c>
      <c r="N732" s="10">
        <v>600.6</v>
      </c>
      <c r="O732" s="7">
        <v>2.4</v>
      </c>
      <c r="P732" s="7">
        <v>29.8</v>
      </c>
      <c r="Q732">
        <v>4</v>
      </c>
      <c r="R732" t="s">
        <v>66</v>
      </c>
      <c r="S732">
        <v>9</v>
      </c>
      <c r="T732">
        <v>244</v>
      </c>
      <c r="U732" s="11">
        <v>-0.43388373911755801</v>
      </c>
      <c r="V732" s="11">
        <v>-0.90096886790241915</v>
      </c>
      <c r="W732" s="11">
        <v>-0.86169281640285211</v>
      </c>
      <c r="X732" s="11">
        <v>-0.50743028108275179</v>
      </c>
      <c r="Y732">
        <v>0</v>
      </c>
      <c r="Z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6">
        <v>45170</v>
      </c>
      <c r="B733" t="s">
        <v>41</v>
      </c>
      <c r="C733" t="s">
        <v>42</v>
      </c>
      <c r="D733" t="s">
        <v>43</v>
      </c>
      <c r="E733" t="s">
        <v>44</v>
      </c>
      <c r="F733">
        <v>85</v>
      </c>
      <c r="G733">
        <v>210</v>
      </c>
      <c r="H733">
        <v>116</v>
      </c>
      <c r="I733">
        <v>48</v>
      </c>
      <c r="J733" s="8">
        <v>0.56470588235294117</v>
      </c>
      <c r="K733">
        <v>19</v>
      </c>
      <c r="L733">
        <v>26</v>
      </c>
      <c r="M733">
        <v>97</v>
      </c>
      <c r="N733" s="10">
        <v>507.53</v>
      </c>
      <c r="O733" s="7">
        <v>2.4</v>
      </c>
      <c r="P733" s="7">
        <v>29.8</v>
      </c>
      <c r="Q733">
        <v>4</v>
      </c>
      <c r="R733" t="s">
        <v>66</v>
      </c>
      <c r="S733">
        <v>9</v>
      </c>
      <c r="T733">
        <v>244</v>
      </c>
      <c r="U733" s="11">
        <v>-0.43388373911755801</v>
      </c>
      <c r="V733" s="11">
        <v>-0.90096886790241915</v>
      </c>
      <c r="W733" s="11">
        <v>-0.86169281640285211</v>
      </c>
      <c r="X733" s="11">
        <v>-0.50743028108275179</v>
      </c>
      <c r="Y733">
        <v>0</v>
      </c>
      <c r="Z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6">
        <v>45171</v>
      </c>
      <c r="B734" t="s">
        <v>31</v>
      </c>
      <c r="C734" t="s">
        <v>32</v>
      </c>
      <c r="D734" t="s">
        <v>33</v>
      </c>
      <c r="E734" t="s">
        <v>34</v>
      </c>
      <c r="F734">
        <v>140</v>
      </c>
      <c r="G734">
        <v>360</v>
      </c>
      <c r="H734">
        <v>185</v>
      </c>
      <c r="I734">
        <v>78</v>
      </c>
      <c r="J734" s="8">
        <v>0.55714285714285716</v>
      </c>
      <c r="K734">
        <v>26</v>
      </c>
      <c r="L734">
        <v>38</v>
      </c>
      <c r="M734">
        <v>171</v>
      </c>
      <c r="N734" s="10">
        <v>450.83</v>
      </c>
      <c r="O734" s="7">
        <v>3.8</v>
      </c>
      <c r="P734" s="7">
        <v>31.6</v>
      </c>
      <c r="Q734">
        <v>5</v>
      </c>
      <c r="R734" t="s">
        <v>67</v>
      </c>
      <c r="S734">
        <v>9</v>
      </c>
      <c r="T734">
        <v>245</v>
      </c>
      <c r="U734" s="11">
        <v>-0.97492791218182362</v>
      </c>
      <c r="V734" s="11">
        <v>-0.22252093395631459</v>
      </c>
      <c r="W734" s="11">
        <v>-0.87029392226856739</v>
      </c>
      <c r="X734" s="11">
        <v>-0.49253272872205434</v>
      </c>
      <c r="Y734">
        <v>1</v>
      </c>
      <c r="Z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6">
        <v>45171</v>
      </c>
      <c r="B735" t="s">
        <v>36</v>
      </c>
      <c r="C735" t="s">
        <v>37</v>
      </c>
      <c r="D735" t="s">
        <v>38</v>
      </c>
      <c r="E735" t="s">
        <v>39</v>
      </c>
      <c r="F735">
        <v>125</v>
      </c>
      <c r="G735">
        <v>320</v>
      </c>
      <c r="H735">
        <v>201</v>
      </c>
      <c r="I735">
        <v>85</v>
      </c>
      <c r="J735" s="8">
        <v>0.68</v>
      </c>
      <c r="K735">
        <v>55</v>
      </c>
      <c r="L735">
        <v>23</v>
      </c>
      <c r="M735">
        <v>171</v>
      </c>
      <c r="N735" s="10">
        <v>740.4</v>
      </c>
      <c r="O735" s="7">
        <v>3.8</v>
      </c>
      <c r="P735" s="7">
        <v>31.6</v>
      </c>
      <c r="Q735">
        <v>5</v>
      </c>
      <c r="R735" t="s">
        <v>67</v>
      </c>
      <c r="S735">
        <v>9</v>
      </c>
      <c r="T735">
        <v>245</v>
      </c>
      <c r="U735" s="11">
        <v>-0.97492791218182362</v>
      </c>
      <c r="V735" s="11">
        <v>-0.22252093395631459</v>
      </c>
      <c r="W735" s="11">
        <v>-0.87029392226856739</v>
      </c>
      <c r="X735" s="11">
        <v>-0.49253272872205434</v>
      </c>
      <c r="Y735">
        <v>1</v>
      </c>
      <c r="Z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6">
        <v>45171</v>
      </c>
      <c r="B736" t="s">
        <v>41</v>
      </c>
      <c r="C736" t="s">
        <v>42</v>
      </c>
      <c r="D736" t="s">
        <v>43</v>
      </c>
      <c r="E736" t="s">
        <v>44</v>
      </c>
      <c r="F736">
        <v>85</v>
      </c>
      <c r="G736">
        <v>210</v>
      </c>
      <c r="H736">
        <v>132</v>
      </c>
      <c r="I736">
        <v>63</v>
      </c>
      <c r="J736" s="8">
        <v>0.74117647058823533</v>
      </c>
      <c r="K736">
        <v>25</v>
      </c>
      <c r="L736">
        <v>34</v>
      </c>
      <c r="M736">
        <v>113</v>
      </c>
      <c r="N736" s="10">
        <v>588.07000000000005</v>
      </c>
      <c r="O736" s="7">
        <v>3.8</v>
      </c>
      <c r="P736" s="7">
        <v>31.6</v>
      </c>
      <c r="Q736">
        <v>5</v>
      </c>
      <c r="R736" t="s">
        <v>67</v>
      </c>
      <c r="S736">
        <v>9</v>
      </c>
      <c r="T736">
        <v>245</v>
      </c>
      <c r="U736" s="11">
        <v>-0.97492791218182362</v>
      </c>
      <c r="V736" s="11">
        <v>-0.22252093395631459</v>
      </c>
      <c r="W736" s="11">
        <v>-0.87029392226856739</v>
      </c>
      <c r="X736" s="11">
        <v>-0.49253272872205434</v>
      </c>
      <c r="Y736">
        <v>1</v>
      </c>
      <c r="Z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6">
        <v>45172</v>
      </c>
      <c r="B737" t="s">
        <v>31</v>
      </c>
      <c r="C737" t="s">
        <v>32</v>
      </c>
      <c r="D737" t="s">
        <v>33</v>
      </c>
      <c r="E737" t="s">
        <v>34</v>
      </c>
      <c r="F737">
        <v>140</v>
      </c>
      <c r="G737">
        <v>360</v>
      </c>
      <c r="H737">
        <v>209</v>
      </c>
      <c r="I737">
        <v>90</v>
      </c>
      <c r="J737" s="8">
        <v>0.6428571428571429</v>
      </c>
      <c r="K737">
        <v>28</v>
      </c>
      <c r="L737">
        <v>50</v>
      </c>
      <c r="M737">
        <v>182</v>
      </c>
      <c r="N737" s="10">
        <v>518.77</v>
      </c>
      <c r="O737" s="7">
        <v>0.8</v>
      </c>
      <c r="P737" s="7">
        <v>29.8</v>
      </c>
      <c r="Q737">
        <v>6</v>
      </c>
      <c r="R737" t="s">
        <v>60</v>
      </c>
      <c r="S737">
        <v>9</v>
      </c>
      <c r="T737">
        <v>246</v>
      </c>
      <c r="U737" s="11">
        <v>-0.78183148246802991</v>
      </c>
      <c r="V737" s="11">
        <v>0.62348980185873337</v>
      </c>
      <c r="W737" s="11">
        <v>-0.87863749416100012</v>
      </c>
      <c r="X737" s="11">
        <v>-0.47748942800283911</v>
      </c>
      <c r="Y737">
        <v>1</v>
      </c>
      <c r="Z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6">
        <v>45172</v>
      </c>
      <c r="B738" t="s">
        <v>36</v>
      </c>
      <c r="C738" t="s">
        <v>37</v>
      </c>
      <c r="D738" t="s">
        <v>38</v>
      </c>
      <c r="E738" t="s">
        <v>39</v>
      </c>
      <c r="F738">
        <v>125</v>
      </c>
      <c r="G738">
        <v>320</v>
      </c>
      <c r="H738">
        <v>175</v>
      </c>
      <c r="I738">
        <v>73</v>
      </c>
      <c r="J738" s="8">
        <v>0.58399999999999996</v>
      </c>
      <c r="K738">
        <v>30</v>
      </c>
      <c r="L738">
        <v>41</v>
      </c>
      <c r="M738">
        <v>156</v>
      </c>
      <c r="N738" s="10">
        <v>632.21</v>
      </c>
      <c r="O738" s="7">
        <v>0.8</v>
      </c>
      <c r="P738" s="7">
        <v>29.8</v>
      </c>
      <c r="Q738">
        <v>6</v>
      </c>
      <c r="R738" t="s">
        <v>60</v>
      </c>
      <c r="S738">
        <v>9</v>
      </c>
      <c r="T738">
        <v>246</v>
      </c>
      <c r="U738" s="11">
        <v>-0.78183148246802991</v>
      </c>
      <c r="V738" s="11">
        <v>0.62348980185873337</v>
      </c>
      <c r="W738" s="11">
        <v>-0.87863749416100012</v>
      </c>
      <c r="X738" s="11">
        <v>-0.47748942800283911</v>
      </c>
      <c r="Y738">
        <v>1</v>
      </c>
      <c r="Z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6">
        <v>45172</v>
      </c>
      <c r="B739" t="s">
        <v>41</v>
      </c>
      <c r="C739" t="s">
        <v>42</v>
      </c>
      <c r="D739" t="s">
        <v>43</v>
      </c>
      <c r="E739" t="s">
        <v>44</v>
      </c>
      <c r="F739">
        <v>85</v>
      </c>
      <c r="G739">
        <v>210</v>
      </c>
      <c r="H739">
        <v>153</v>
      </c>
      <c r="I739">
        <v>68</v>
      </c>
      <c r="J739" s="8">
        <v>0.8</v>
      </c>
      <c r="K739">
        <v>41</v>
      </c>
      <c r="L739">
        <v>25</v>
      </c>
      <c r="M739">
        <v>133</v>
      </c>
      <c r="N739" s="10">
        <v>636.4</v>
      </c>
      <c r="O739" s="7">
        <v>0.8</v>
      </c>
      <c r="P739" s="7">
        <v>29.8</v>
      </c>
      <c r="Q739">
        <v>6</v>
      </c>
      <c r="R739" t="s">
        <v>60</v>
      </c>
      <c r="S739">
        <v>9</v>
      </c>
      <c r="T739">
        <v>246</v>
      </c>
      <c r="U739" s="11">
        <v>-0.78183148246802991</v>
      </c>
      <c r="V739" s="11">
        <v>0.62348980185873337</v>
      </c>
      <c r="W739" s="11">
        <v>-0.87863749416100012</v>
      </c>
      <c r="X739" s="11">
        <v>-0.47748942800283911</v>
      </c>
      <c r="Y739">
        <v>1</v>
      </c>
      <c r="Z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6">
        <v>45173</v>
      </c>
      <c r="B740" t="s">
        <v>31</v>
      </c>
      <c r="C740" t="s">
        <v>32</v>
      </c>
      <c r="D740" t="s">
        <v>33</v>
      </c>
      <c r="E740" t="s">
        <v>34</v>
      </c>
      <c r="F740">
        <v>140</v>
      </c>
      <c r="G740">
        <v>360</v>
      </c>
      <c r="H740">
        <v>181</v>
      </c>
      <c r="I740">
        <v>76</v>
      </c>
      <c r="J740" s="8">
        <v>0.54285714285714282</v>
      </c>
      <c r="K740">
        <v>25</v>
      </c>
      <c r="L740">
        <v>31</v>
      </c>
      <c r="M740">
        <v>150</v>
      </c>
      <c r="N740" s="10">
        <v>426.36</v>
      </c>
      <c r="O740" s="7">
        <v>0</v>
      </c>
      <c r="P740" s="7">
        <v>30</v>
      </c>
      <c r="Q740">
        <v>0</v>
      </c>
      <c r="R740" t="s">
        <v>62</v>
      </c>
      <c r="S740">
        <v>9</v>
      </c>
      <c r="T740">
        <v>247</v>
      </c>
      <c r="U740" s="11">
        <v>0</v>
      </c>
      <c r="V740" s="11">
        <v>1</v>
      </c>
      <c r="W740" s="11">
        <v>-0.88672106308299303</v>
      </c>
      <c r="X740" s="11">
        <v>-0.46230483047981086</v>
      </c>
      <c r="Y740">
        <v>0</v>
      </c>
      <c r="Z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6">
        <v>45173</v>
      </c>
      <c r="B741" t="s">
        <v>36</v>
      </c>
      <c r="C741" t="s">
        <v>37</v>
      </c>
      <c r="D741" t="s">
        <v>38</v>
      </c>
      <c r="E741" t="s">
        <v>39</v>
      </c>
      <c r="F741">
        <v>125</v>
      </c>
      <c r="G741">
        <v>320</v>
      </c>
      <c r="H741">
        <v>162</v>
      </c>
      <c r="I741">
        <v>65</v>
      </c>
      <c r="J741" s="8">
        <v>0.52</v>
      </c>
      <c r="K741">
        <v>26</v>
      </c>
      <c r="L741">
        <v>42</v>
      </c>
      <c r="M741">
        <v>143</v>
      </c>
      <c r="N741" s="10">
        <v>627.37</v>
      </c>
      <c r="O741" s="7">
        <v>0</v>
      </c>
      <c r="P741" s="7">
        <v>30</v>
      </c>
      <c r="Q741">
        <v>0</v>
      </c>
      <c r="R741" t="s">
        <v>62</v>
      </c>
      <c r="S741">
        <v>9</v>
      </c>
      <c r="T741">
        <v>247</v>
      </c>
      <c r="U741" s="11">
        <v>0</v>
      </c>
      <c r="V741" s="11">
        <v>1</v>
      </c>
      <c r="W741" s="11">
        <v>-0.88672106308299303</v>
      </c>
      <c r="X741" s="11">
        <v>-0.46230483047981086</v>
      </c>
      <c r="Y741">
        <v>0</v>
      </c>
      <c r="Z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6">
        <v>45173</v>
      </c>
      <c r="B742" t="s">
        <v>41</v>
      </c>
      <c r="C742" t="s">
        <v>42</v>
      </c>
      <c r="D742" t="s">
        <v>43</v>
      </c>
      <c r="E742" t="s">
        <v>44</v>
      </c>
      <c r="F742">
        <v>85</v>
      </c>
      <c r="G742">
        <v>210</v>
      </c>
      <c r="H742">
        <v>118</v>
      </c>
      <c r="I742">
        <v>52</v>
      </c>
      <c r="J742" s="8">
        <v>0.61176470588235299</v>
      </c>
      <c r="K742">
        <v>27</v>
      </c>
      <c r="L742">
        <v>15</v>
      </c>
      <c r="M742">
        <v>99</v>
      </c>
      <c r="N742" s="10">
        <v>534.69000000000005</v>
      </c>
      <c r="O742" s="7">
        <v>0</v>
      </c>
      <c r="P742" s="7">
        <v>30</v>
      </c>
      <c r="Q742">
        <v>0</v>
      </c>
      <c r="R742" t="s">
        <v>62</v>
      </c>
      <c r="S742">
        <v>9</v>
      </c>
      <c r="T742">
        <v>247</v>
      </c>
      <c r="U742" s="11">
        <v>0</v>
      </c>
      <c r="V742" s="11">
        <v>1</v>
      </c>
      <c r="W742" s="11">
        <v>-0.88672106308299303</v>
      </c>
      <c r="X742" s="11">
        <v>-0.46230483047981086</v>
      </c>
      <c r="Y742">
        <v>0</v>
      </c>
      <c r="Z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6">
        <v>45174</v>
      </c>
      <c r="B743" t="s">
        <v>31</v>
      </c>
      <c r="C743" t="s">
        <v>32</v>
      </c>
      <c r="D743" t="s">
        <v>33</v>
      </c>
      <c r="E743" t="s">
        <v>34</v>
      </c>
      <c r="F743">
        <v>140</v>
      </c>
      <c r="G743">
        <v>360</v>
      </c>
      <c r="H743">
        <v>184</v>
      </c>
      <c r="I743">
        <v>77</v>
      </c>
      <c r="J743" s="8">
        <v>0.55000000000000004</v>
      </c>
      <c r="K743">
        <v>38</v>
      </c>
      <c r="L743">
        <v>45</v>
      </c>
      <c r="M743">
        <v>161</v>
      </c>
      <c r="N743" s="10">
        <v>422.34</v>
      </c>
      <c r="O743" s="7">
        <v>3.4</v>
      </c>
      <c r="P743" s="7">
        <v>27.8</v>
      </c>
      <c r="Q743">
        <v>1</v>
      </c>
      <c r="R743" t="s">
        <v>63</v>
      </c>
      <c r="S743">
        <v>9</v>
      </c>
      <c r="T743">
        <v>248</v>
      </c>
      <c r="U743" s="11">
        <v>0.7818314824680298</v>
      </c>
      <c r="V743" s="11">
        <v>0.62348980185873359</v>
      </c>
      <c r="W743" s="11">
        <v>-0.89454223697644963</v>
      </c>
      <c r="X743" s="11">
        <v>-0.44698342951967412</v>
      </c>
      <c r="Y743">
        <v>0</v>
      </c>
      <c r="Z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6">
        <v>45174</v>
      </c>
      <c r="B744" t="s">
        <v>36</v>
      </c>
      <c r="C744" t="s">
        <v>37</v>
      </c>
      <c r="D744" t="s">
        <v>38</v>
      </c>
      <c r="E744" t="s">
        <v>39</v>
      </c>
      <c r="F744">
        <v>125</v>
      </c>
      <c r="G744">
        <v>320</v>
      </c>
      <c r="H744">
        <v>142</v>
      </c>
      <c r="I744">
        <v>61</v>
      </c>
      <c r="J744" s="8">
        <v>0.48799999999999999</v>
      </c>
      <c r="K744">
        <v>26</v>
      </c>
      <c r="L744">
        <v>38</v>
      </c>
      <c r="M744">
        <v>124</v>
      </c>
      <c r="N744" s="10">
        <v>578.86</v>
      </c>
      <c r="O744" s="7">
        <v>3.4</v>
      </c>
      <c r="P744" s="7">
        <v>27.8</v>
      </c>
      <c r="Q744">
        <v>1</v>
      </c>
      <c r="R744" t="s">
        <v>63</v>
      </c>
      <c r="S744">
        <v>9</v>
      </c>
      <c r="T744">
        <v>248</v>
      </c>
      <c r="U744" s="11">
        <v>0.7818314824680298</v>
      </c>
      <c r="V744" s="11">
        <v>0.62348980185873359</v>
      </c>
      <c r="W744" s="11">
        <v>-0.89454223697644963</v>
      </c>
      <c r="X744" s="11">
        <v>-0.44698342951967412</v>
      </c>
      <c r="Y744">
        <v>0</v>
      </c>
      <c r="Z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6">
        <v>45174</v>
      </c>
      <c r="B745" t="s">
        <v>41</v>
      </c>
      <c r="C745" t="s">
        <v>42</v>
      </c>
      <c r="D745" t="s">
        <v>43</v>
      </c>
      <c r="E745" t="s">
        <v>44</v>
      </c>
      <c r="F745">
        <v>85</v>
      </c>
      <c r="G745">
        <v>210</v>
      </c>
      <c r="H745">
        <v>122</v>
      </c>
      <c r="I745">
        <v>52</v>
      </c>
      <c r="J745" s="8">
        <v>0.61176470588235299</v>
      </c>
      <c r="K745">
        <v>25</v>
      </c>
      <c r="L745">
        <v>28</v>
      </c>
      <c r="M745">
        <v>106</v>
      </c>
      <c r="N745" s="10">
        <v>499.11</v>
      </c>
      <c r="O745" s="7">
        <v>3.4</v>
      </c>
      <c r="P745" s="7">
        <v>27.8</v>
      </c>
      <c r="Q745">
        <v>1</v>
      </c>
      <c r="R745" t="s">
        <v>63</v>
      </c>
      <c r="S745">
        <v>9</v>
      </c>
      <c r="T745">
        <v>248</v>
      </c>
      <c r="U745" s="11">
        <v>0.7818314824680298</v>
      </c>
      <c r="V745" s="11">
        <v>0.62348980185873359</v>
      </c>
      <c r="W745" s="11">
        <v>-0.89454223697644963</v>
      </c>
      <c r="X745" s="11">
        <v>-0.44698342951967412</v>
      </c>
      <c r="Y745">
        <v>0</v>
      </c>
      <c r="Z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6">
        <v>45175</v>
      </c>
      <c r="B746" t="s">
        <v>31</v>
      </c>
      <c r="C746" t="s">
        <v>32</v>
      </c>
      <c r="D746" t="s">
        <v>33</v>
      </c>
      <c r="E746" t="s">
        <v>34</v>
      </c>
      <c r="F746">
        <v>140</v>
      </c>
      <c r="G746">
        <v>360</v>
      </c>
      <c r="H746">
        <v>159</v>
      </c>
      <c r="I746">
        <v>67</v>
      </c>
      <c r="J746" s="8">
        <v>0.47857142857142859</v>
      </c>
      <c r="K746">
        <v>37</v>
      </c>
      <c r="L746">
        <v>24</v>
      </c>
      <c r="M746">
        <v>139</v>
      </c>
      <c r="N746" s="10">
        <v>426.21</v>
      </c>
      <c r="O746" s="7">
        <v>0</v>
      </c>
      <c r="P746" s="7">
        <v>28.3</v>
      </c>
      <c r="Q746">
        <v>2</v>
      </c>
      <c r="R746" t="s">
        <v>64</v>
      </c>
      <c r="S746">
        <v>9</v>
      </c>
      <c r="T746">
        <v>249</v>
      </c>
      <c r="U746" s="11">
        <v>0.97492791218182362</v>
      </c>
      <c r="V746" s="11">
        <v>-0.22252093395631434</v>
      </c>
      <c r="W746" s="11">
        <v>-0.90209870143018367</v>
      </c>
      <c r="X746" s="11">
        <v>-0.43152975897147144</v>
      </c>
      <c r="Y746">
        <v>0</v>
      </c>
      <c r="Z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6">
        <v>45175</v>
      </c>
      <c r="B747" t="s">
        <v>36</v>
      </c>
      <c r="C747" t="s">
        <v>37</v>
      </c>
      <c r="D747" t="s">
        <v>38</v>
      </c>
      <c r="E747" t="s">
        <v>39</v>
      </c>
      <c r="F747">
        <v>125</v>
      </c>
      <c r="G747">
        <v>320</v>
      </c>
      <c r="H747">
        <v>163</v>
      </c>
      <c r="I747">
        <v>65</v>
      </c>
      <c r="J747" s="8">
        <v>0.52</v>
      </c>
      <c r="K747">
        <v>41</v>
      </c>
      <c r="L747">
        <v>22</v>
      </c>
      <c r="M747">
        <v>151</v>
      </c>
      <c r="N747" s="10">
        <v>583.62</v>
      </c>
      <c r="O747" s="7">
        <v>0</v>
      </c>
      <c r="P747" s="7">
        <v>28.3</v>
      </c>
      <c r="Q747">
        <v>2</v>
      </c>
      <c r="R747" t="s">
        <v>64</v>
      </c>
      <c r="S747">
        <v>9</v>
      </c>
      <c r="T747">
        <v>249</v>
      </c>
      <c r="U747" s="11">
        <v>0.97492791218182362</v>
      </c>
      <c r="V747" s="11">
        <v>-0.22252093395631434</v>
      </c>
      <c r="W747" s="11">
        <v>-0.90209870143018367</v>
      </c>
      <c r="X747" s="11">
        <v>-0.43152975897147144</v>
      </c>
      <c r="Y747">
        <v>0</v>
      </c>
      <c r="Z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6">
        <v>45175</v>
      </c>
      <c r="B748" t="s">
        <v>41</v>
      </c>
      <c r="C748" t="s">
        <v>42</v>
      </c>
      <c r="D748" t="s">
        <v>43</v>
      </c>
      <c r="E748" t="s">
        <v>44</v>
      </c>
      <c r="F748">
        <v>85</v>
      </c>
      <c r="G748">
        <v>210</v>
      </c>
      <c r="H748">
        <v>109</v>
      </c>
      <c r="I748">
        <v>49</v>
      </c>
      <c r="J748" s="8">
        <v>0.57647058823529407</v>
      </c>
      <c r="K748">
        <v>33</v>
      </c>
      <c r="L748">
        <v>32</v>
      </c>
      <c r="M748">
        <v>88</v>
      </c>
      <c r="N748" s="10">
        <v>576.38</v>
      </c>
      <c r="O748" s="7">
        <v>0</v>
      </c>
      <c r="P748" s="7">
        <v>28.3</v>
      </c>
      <c r="Q748">
        <v>2</v>
      </c>
      <c r="R748" t="s">
        <v>64</v>
      </c>
      <c r="S748">
        <v>9</v>
      </c>
      <c r="T748">
        <v>249</v>
      </c>
      <c r="U748" s="11">
        <v>0.97492791218182362</v>
      </c>
      <c r="V748" s="11">
        <v>-0.22252093395631434</v>
      </c>
      <c r="W748" s="11">
        <v>-0.90209870143018367</v>
      </c>
      <c r="X748" s="11">
        <v>-0.43152975897147144</v>
      </c>
      <c r="Y748">
        <v>0</v>
      </c>
      <c r="Z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6">
        <v>45176</v>
      </c>
      <c r="B749" t="s">
        <v>31</v>
      </c>
      <c r="C749" t="s">
        <v>32</v>
      </c>
      <c r="D749" t="s">
        <v>33</v>
      </c>
      <c r="E749" t="s">
        <v>34</v>
      </c>
      <c r="F749">
        <v>140</v>
      </c>
      <c r="G749">
        <v>360</v>
      </c>
      <c r="H749">
        <v>208</v>
      </c>
      <c r="I749">
        <v>88</v>
      </c>
      <c r="J749" s="8">
        <v>0.62857142857142856</v>
      </c>
      <c r="K749">
        <v>48</v>
      </c>
      <c r="L749">
        <v>38</v>
      </c>
      <c r="M749">
        <v>195</v>
      </c>
      <c r="N749" s="10">
        <v>440.62</v>
      </c>
      <c r="O749" s="7">
        <v>0</v>
      </c>
      <c r="P749" s="7">
        <v>28.8</v>
      </c>
      <c r="Q749">
        <v>3</v>
      </c>
      <c r="R749" t="s">
        <v>65</v>
      </c>
      <c r="S749">
        <v>9</v>
      </c>
      <c r="T749">
        <v>250</v>
      </c>
      <c r="U749" s="11">
        <v>0.43388373911755823</v>
      </c>
      <c r="V749" s="11">
        <v>-0.90096886790241903</v>
      </c>
      <c r="W749" s="11">
        <v>-0.9093882203647925</v>
      </c>
      <c r="X749" s="11">
        <v>-0.41594839182494209</v>
      </c>
      <c r="Y749">
        <v>0</v>
      </c>
      <c r="Z749">
        <v>1</v>
      </c>
      <c r="AA749" t="s">
        <v>72</v>
      </c>
      <c r="AB749">
        <v>0</v>
      </c>
      <c r="AC749">
        <v>0</v>
      </c>
      <c r="AD749">
        <v>0</v>
      </c>
      <c r="AE749">
        <v>0</v>
      </c>
    </row>
    <row r="750" spans="1:31">
      <c r="A750" s="6">
        <v>45176</v>
      </c>
      <c r="B750" t="s">
        <v>36</v>
      </c>
      <c r="C750" t="s">
        <v>37</v>
      </c>
      <c r="D750" t="s">
        <v>38</v>
      </c>
      <c r="E750" t="s">
        <v>39</v>
      </c>
      <c r="F750">
        <v>125</v>
      </c>
      <c r="G750">
        <v>320</v>
      </c>
      <c r="H750">
        <v>180</v>
      </c>
      <c r="I750">
        <v>76</v>
      </c>
      <c r="J750" s="8">
        <v>0.60799999999999998</v>
      </c>
      <c r="K750">
        <v>31</v>
      </c>
      <c r="L750">
        <v>28</v>
      </c>
      <c r="M750">
        <v>166</v>
      </c>
      <c r="N750" s="10">
        <v>613.92999999999995</v>
      </c>
      <c r="O750" s="7">
        <v>0</v>
      </c>
      <c r="P750" s="7">
        <v>28.8</v>
      </c>
      <c r="Q750">
        <v>3</v>
      </c>
      <c r="R750" t="s">
        <v>65</v>
      </c>
      <c r="S750">
        <v>9</v>
      </c>
      <c r="T750">
        <v>250</v>
      </c>
      <c r="U750" s="11">
        <v>0.43388373911755823</v>
      </c>
      <c r="V750" s="11">
        <v>-0.90096886790241903</v>
      </c>
      <c r="W750" s="11">
        <v>-0.9093882203647925</v>
      </c>
      <c r="X750" s="11">
        <v>-0.41594839182494209</v>
      </c>
      <c r="Y750">
        <v>0</v>
      </c>
      <c r="Z750">
        <v>1</v>
      </c>
      <c r="AA750" t="s">
        <v>72</v>
      </c>
      <c r="AB750">
        <v>0</v>
      </c>
      <c r="AC750">
        <v>0</v>
      </c>
      <c r="AD750">
        <v>0</v>
      </c>
      <c r="AE750">
        <v>0</v>
      </c>
    </row>
    <row r="751" spans="1:31">
      <c r="A751" s="6">
        <v>45176</v>
      </c>
      <c r="B751" t="s">
        <v>41</v>
      </c>
      <c r="C751" t="s">
        <v>42</v>
      </c>
      <c r="D751" t="s">
        <v>43</v>
      </c>
      <c r="E751" t="s">
        <v>44</v>
      </c>
      <c r="F751">
        <v>85</v>
      </c>
      <c r="G751">
        <v>210</v>
      </c>
      <c r="H751">
        <v>120</v>
      </c>
      <c r="I751">
        <v>54</v>
      </c>
      <c r="J751" s="8">
        <v>0.63529411764705879</v>
      </c>
      <c r="K751">
        <v>31</v>
      </c>
      <c r="L751">
        <v>33</v>
      </c>
      <c r="M751">
        <v>106</v>
      </c>
      <c r="N751" s="10">
        <v>502.61</v>
      </c>
      <c r="O751" s="7">
        <v>0</v>
      </c>
      <c r="P751" s="7">
        <v>28.8</v>
      </c>
      <c r="Q751">
        <v>3</v>
      </c>
      <c r="R751" t="s">
        <v>65</v>
      </c>
      <c r="S751">
        <v>9</v>
      </c>
      <c r="T751">
        <v>250</v>
      </c>
      <c r="U751" s="11">
        <v>0.43388373911755823</v>
      </c>
      <c r="V751" s="11">
        <v>-0.90096886790241903</v>
      </c>
      <c r="W751" s="11">
        <v>-0.9093882203647925</v>
      </c>
      <c r="X751" s="11">
        <v>-0.41594839182494209</v>
      </c>
      <c r="Y751">
        <v>0</v>
      </c>
      <c r="Z751">
        <v>1</v>
      </c>
      <c r="AA751" t="s">
        <v>72</v>
      </c>
      <c r="AB751">
        <v>0</v>
      </c>
      <c r="AC751">
        <v>0</v>
      </c>
      <c r="AD751">
        <v>0</v>
      </c>
      <c r="AE751">
        <v>0</v>
      </c>
    </row>
    <row r="752" spans="1:31">
      <c r="A752" s="6">
        <v>45177</v>
      </c>
      <c r="B752" t="s">
        <v>31</v>
      </c>
      <c r="C752" t="s">
        <v>32</v>
      </c>
      <c r="D752" t="s">
        <v>33</v>
      </c>
      <c r="E752" t="s">
        <v>34</v>
      </c>
      <c r="F752">
        <v>140</v>
      </c>
      <c r="G752">
        <v>360</v>
      </c>
      <c r="H752">
        <v>175</v>
      </c>
      <c r="I752">
        <v>75</v>
      </c>
      <c r="J752" s="8">
        <v>0.5357142857142857</v>
      </c>
      <c r="K752">
        <v>20</v>
      </c>
      <c r="L752">
        <v>25</v>
      </c>
      <c r="M752">
        <v>158</v>
      </c>
      <c r="N752" s="10">
        <v>393.76</v>
      </c>
      <c r="O752" s="7">
        <v>0</v>
      </c>
      <c r="P752" s="7">
        <v>29.4</v>
      </c>
      <c r="Q752">
        <v>4</v>
      </c>
      <c r="R752" t="s">
        <v>66</v>
      </c>
      <c r="S752">
        <v>9</v>
      </c>
      <c r="T752">
        <v>251</v>
      </c>
      <c r="U752" s="11">
        <v>-0.43388373911755801</v>
      </c>
      <c r="V752" s="11">
        <v>-0.90096886790241915</v>
      </c>
      <c r="W752" s="11">
        <v>-0.9164086366943458</v>
      </c>
      <c r="X752" s="11">
        <v>-0.40024393885730558</v>
      </c>
      <c r="Y752">
        <v>0</v>
      </c>
      <c r="Z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6">
        <v>45177</v>
      </c>
      <c r="B753" t="s">
        <v>36</v>
      </c>
      <c r="C753" t="s">
        <v>37</v>
      </c>
      <c r="D753" t="s">
        <v>38</v>
      </c>
      <c r="E753" t="s">
        <v>39</v>
      </c>
      <c r="F753">
        <v>125</v>
      </c>
      <c r="G753">
        <v>320</v>
      </c>
      <c r="H753">
        <v>154</v>
      </c>
      <c r="I753">
        <v>64</v>
      </c>
      <c r="J753" s="8">
        <v>0.51200000000000001</v>
      </c>
      <c r="K753">
        <v>31</v>
      </c>
      <c r="L753">
        <v>38</v>
      </c>
      <c r="M753">
        <v>134</v>
      </c>
      <c r="N753" s="10">
        <v>590.75</v>
      </c>
      <c r="O753" s="7">
        <v>0</v>
      </c>
      <c r="P753" s="7">
        <v>29.4</v>
      </c>
      <c r="Q753">
        <v>4</v>
      </c>
      <c r="R753" t="s">
        <v>66</v>
      </c>
      <c r="S753">
        <v>9</v>
      </c>
      <c r="T753">
        <v>251</v>
      </c>
      <c r="U753" s="11">
        <v>-0.43388373911755801</v>
      </c>
      <c r="V753" s="11">
        <v>-0.90096886790241915</v>
      </c>
      <c r="W753" s="11">
        <v>-0.9164086366943458</v>
      </c>
      <c r="X753" s="11">
        <v>-0.40024393885730558</v>
      </c>
      <c r="Y753">
        <v>0</v>
      </c>
      <c r="Z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6">
        <v>45177</v>
      </c>
      <c r="B754" t="s">
        <v>41</v>
      </c>
      <c r="C754" t="s">
        <v>42</v>
      </c>
      <c r="D754" t="s">
        <v>43</v>
      </c>
      <c r="E754" t="s">
        <v>44</v>
      </c>
      <c r="F754">
        <v>85</v>
      </c>
      <c r="G754">
        <v>210</v>
      </c>
      <c r="H754">
        <v>95</v>
      </c>
      <c r="I754">
        <v>45</v>
      </c>
      <c r="J754" s="8">
        <v>0.52941176470588236</v>
      </c>
      <c r="K754">
        <v>16</v>
      </c>
      <c r="L754">
        <v>28</v>
      </c>
      <c r="M754">
        <v>82</v>
      </c>
      <c r="N754" s="10">
        <v>576.57000000000005</v>
      </c>
      <c r="O754" s="7">
        <v>0</v>
      </c>
      <c r="P754" s="7">
        <v>29.4</v>
      </c>
      <c r="Q754">
        <v>4</v>
      </c>
      <c r="R754" t="s">
        <v>66</v>
      </c>
      <c r="S754">
        <v>9</v>
      </c>
      <c r="T754">
        <v>251</v>
      </c>
      <c r="U754" s="11">
        <v>-0.43388373911755801</v>
      </c>
      <c r="V754" s="11">
        <v>-0.90096886790241915</v>
      </c>
      <c r="W754" s="11">
        <v>-0.9164086366943458</v>
      </c>
      <c r="X754" s="11">
        <v>-0.40024393885730558</v>
      </c>
      <c r="Y754">
        <v>0</v>
      </c>
      <c r="Z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6">
        <v>45178</v>
      </c>
      <c r="B755" t="s">
        <v>31</v>
      </c>
      <c r="C755" t="s">
        <v>32</v>
      </c>
      <c r="D755" t="s">
        <v>33</v>
      </c>
      <c r="E755" t="s">
        <v>34</v>
      </c>
      <c r="F755">
        <v>140</v>
      </c>
      <c r="G755">
        <v>360</v>
      </c>
      <c r="H755">
        <v>207</v>
      </c>
      <c r="I755">
        <v>89</v>
      </c>
      <c r="J755" s="8">
        <v>0.63571428571428568</v>
      </c>
      <c r="K755">
        <v>42</v>
      </c>
      <c r="L755">
        <v>35</v>
      </c>
      <c r="M755">
        <v>179</v>
      </c>
      <c r="N755" s="10">
        <v>506.32</v>
      </c>
      <c r="O755" s="7">
        <v>1.8</v>
      </c>
      <c r="P755" s="7">
        <v>28.5</v>
      </c>
      <c r="Q755">
        <v>5</v>
      </c>
      <c r="R755" t="s">
        <v>67</v>
      </c>
      <c r="S755">
        <v>9</v>
      </c>
      <c r="T755">
        <v>252</v>
      </c>
      <c r="U755" s="11">
        <v>-0.97492791218182362</v>
      </c>
      <c r="V755" s="11">
        <v>-0.22252093395631459</v>
      </c>
      <c r="W755" s="11">
        <v>-0.92315787296470386</v>
      </c>
      <c r="X755" s="11">
        <v>-0.38442104726885545</v>
      </c>
      <c r="Y755">
        <v>1</v>
      </c>
      <c r="Z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6">
        <v>45178</v>
      </c>
      <c r="B756" t="s">
        <v>36</v>
      </c>
      <c r="C756" t="s">
        <v>37</v>
      </c>
      <c r="D756" t="s">
        <v>38</v>
      </c>
      <c r="E756" t="s">
        <v>39</v>
      </c>
      <c r="F756">
        <v>125</v>
      </c>
      <c r="G756">
        <v>320</v>
      </c>
      <c r="H756">
        <v>175</v>
      </c>
      <c r="I756">
        <v>73</v>
      </c>
      <c r="J756" s="8">
        <v>0.58399999999999996</v>
      </c>
      <c r="K756">
        <v>24</v>
      </c>
      <c r="L756">
        <v>41</v>
      </c>
      <c r="M756">
        <v>146</v>
      </c>
      <c r="N756" s="10">
        <v>739.28</v>
      </c>
      <c r="O756" s="7">
        <v>1.8</v>
      </c>
      <c r="P756" s="7">
        <v>28.5</v>
      </c>
      <c r="Q756">
        <v>5</v>
      </c>
      <c r="R756" t="s">
        <v>67</v>
      </c>
      <c r="S756">
        <v>9</v>
      </c>
      <c r="T756">
        <v>252</v>
      </c>
      <c r="U756" s="11">
        <v>-0.97492791218182362</v>
      </c>
      <c r="V756" s="11">
        <v>-0.22252093395631459</v>
      </c>
      <c r="W756" s="11">
        <v>-0.92315787296470386</v>
      </c>
      <c r="X756" s="11">
        <v>-0.38442104726885545</v>
      </c>
      <c r="Y756">
        <v>1</v>
      </c>
      <c r="Z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6">
        <v>45178</v>
      </c>
      <c r="B757" t="s">
        <v>41</v>
      </c>
      <c r="C757" t="s">
        <v>42</v>
      </c>
      <c r="D757" t="s">
        <v>43</v>
      </c>
      <c r="E757" t="s">
        <v>44</v>
      </c>
      <c r="F757">
        <v>85</v>
      </c>
      <c r="G757">
        <v>210</v>
      </c>
      <c r="H757">
        <v>145</v>
      </c>
      <c r="I757">
        <v>65</v>
      </c>
      <c r="J757" s="8">
        <v>0.76470588235294112</v>
      </c>
      <c r="K757">
        <v>27</v>
      </c>
      <c r="L757">
        <v>28</v>
      </c>
      <c r="M757">
        <v>128</v>
      </c>
      <c r="N757" s="10">
        <v>583.75</v>
      </c>
      <c r="O757" s="7">
        <v>1.8</v>
      </c>
      <c r="P757" s="7">
        <v>28.5</v>
      </c>
      <c r="Q757">
        <v>5</v>
      </c>
      <c r="R757" t="s">
        <v>67</v>
      </c>
      <c r="S757">
        <v>9</v>
      </c>
      <c r="T757">
        <v>252</v>
      </c>
      <c r="U757" s="11">
        <v>-0.97492791218182362</v>
      </c>
      <c r="V757" s="11">
        <v>-0.22252093395631459</v>
      </c>
      <c r="W757" s="11">
        <v>-0.92315787296470386</v>
      </c>
      <c r="X757" s="11">
        <v>-0.38442104726885545</v>
      </c>
      <c r="Y757">
        <v>1</v>
      </c>
      <c r="Z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6">
        <v>45179</v>
      </c>
      <c r="B758" t="s">
        <v>31</v>
      </c>
      <c r="C758" t="s">
        <v>32</v>
      </c>
      <c r="D758" t="s">
        <v>33</v>
      </c>
      <c r="E758" t="s">
        <v>34</v>
      </c>
      <c r="F758">
        <v>140</v>
      </c>
      <c r="G758">
        <v>360</v>
      </c>
      <c r="H758">
        <v>194</v>
      </c>
      <c r="I758">
        <v>83</v>
      </c>
      <c r="J758" s="8">
        <v>0.59285714285714286</v>
      </c>
      <c r="K758">
        <v>50</v>
      </c>
      <c r="L758">
        <v>20</v>
      </c>
      <c r="M758">
        <v>174</v>
      </c>
      <c r="N758" s="10">
        <v>465.7</v>
      </c>
      <c r="O758" s="7">
        <v>0</v>
      </c>
      <c r="P758" s="7">
        <v>29.1</v>
      </c>
      <c r="Q758">
        <v>6</v>
      </c>
      <c r="R758" t="s">
        <v>60</v>
      </c>
      <c r="S758">
        <v>9</v>
      </c>
      <c r="T758">
        <v>253</v>
      </c>
      <c r="U758" s="11">
        <v>-0.78183148246802991</v>
      </c>
      <c r="V758" s="11">
        <v>0.62348980185873337</v>
      </c>
      <c r="W758" s="11">
        <v>-0.92963393196826949</v>
      </c>
      <c r="X758" s="11">
        <v>-0.36848439930777932</v>
      </c>
      <c r="Y758">
        <v>1</v>
      </c>
      <c r="Z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6">
        <v>45179</v>
      </c>
      <c r="B759" t="s">
        <v>36</v>
      </c>
      <c r="C759" t="s">
        <v>37</v>
      </c>
      <c r="D759" t="s">
        <v>38</v>
      </c>
      <c r="E759" t="s">
        <v>39</v>
      </c>
      <c r="F759">
        <v>125</v>
      </c>
      <c r="G759">
        <v>320</v>
      </c>
      <c r="H759">
        <v>161</v>
      </c>
      <c r="I759">
        <v>69</v>
      </c>
      <c r="J759" s="8">
        <v>0.55200000000000005</v>
      </c>
      <c r="K759">
        <v>47</v>
      </c>
      <c r="L759">
        <v>21</v>
      </c>
      <c r="M759">
        <v>134</v>
      </c>
      <c r="N759" s="10">
        <v>684.74</v>
      </c>
      <c r="O759" s="7">
        <v>0</v>
      </c>
      <c r="P759" s="7">
        <v>29.1</v>
      </c>
      <c r="Q759">
        <v>6</v>
      </c>
      <c r="R759" t="s">
        <v>60</v>
      </c>
      <c r="S759">
        <v>9</v>
      </c>
      <c r="T759">
        <v>253</v>
      </c>
      <c r="U759" s="11">
        <v>-0.78183148246802991</v>
      </c>
      <c r="V759" s="11">
        <v>0.62348980185873337</v>
      </c>
      <c r="W759" s="11">
        <v>-0.92963393196826949</v>
      </c>
      <c r="X759" s="11">
        <v>-0.36848439930777932</v>
      </c>
      <c r="Y759">
        <v>1</v>
      </c>
      <c r="Z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6">
        <v>45179</v>
      </c>
      <c r="B760" t="s">
        <v>41</v>
      </c>
      <c r="C760" t="s">
        <v>42</v>
      </c>
      <c r="D760" t="s">
        <v>43</v>
      </c>
      <c r="E760" t="s">
        <v>44</v>
      </c>
      <c r="F760">
        <v>85</v>
      </c>
      <c r="G760">
        <v>210</v>
      </c>
      <c r="H760">
        <v>135</v>
      </c>
      <c r="I760">
        <v>59</v>
      </c>
      <c r="J760" s="8">
        <v>0.69411764705882351</v>
      </c>
      <c r="K760">
        <v>33</v>
      </c>
      <c r="L760">
        <v>28</v>
      </c>
      <c r="M760">
        <v>110</v>
      </c>
      <c r="N760" s="10">
        <v>567.45000000000005</v>
      </c>
      <c r="O760" s="7">
        <v>0</v>
      </c>
      <c r="P760" s="7">
        <v>29.1</v>
      </c>
      <c r="Q760">
        <v>6</v>
      </c>
      <c r="R760" t="s">
        <v>60</v>
      </c>
      <c r="S760">
        <v>9</v>
      </c>
      <c r="T760">
        <v>253</v>
      </c>
      <c r="U760" s="11">
        <v>-0.78183148246802991</v>
      </c>
      <c r="V760" s="11">
        <v>0.62348980185873337</v>
      </c>
      <c r="W760" s="11">
        <v>-0.92963393196826949</v>
      </c>
      <c r="X760" s="11">
        <v>-0.36848439930777932</v>
      </c>
      <c r="Y760">
        <v>1</v>
      </c>
      <c r="Z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6">
        <v>45180</v>
      </c>
      <c r="B761" t="s">
        <v>31</v>
      </c>
      <c r="C761" t="s">
        <v>32</v>
      </c>
      <c r="D761" t="s">
        <v>33</v>
      </c>
      <c r="E761" t="s">
        <v>34</v>
      </c>
      <c r="F761">
        <v>140</v>
      </c>
      <c r="G761">
        <v>360</v>
      </c>
      <c r="H761">
        <v>157</v>
      </c>
      <c r="I761">
        <v>67</v>
      </c>
      <c r="J761" s="8">
        <v>0.47857142857142859</v>
      </c>
      <c r="K761">
        <v>20</v>
      </c>
      <c r="L761">
        <v>40</v>
      </c>
      <c r="M761">
        <v>145</v>
      </c>
      <c r="N761" s="10">
        <v>441.56</v>
      </c>
      <c r="O761" s="7">
        <v>2.1</v>
      </c>
      <c r="P761" s="7">
        <v>28.5</v>
      </c>
      <c r="Q761">
        <v>0</v>
      </c>
      <c r="R761" t="s">
        <v>62</v>
      </c>
      <c r="S761">
        <v>9</v>
      </c>
      <c r="T761">
        <v>254</v>
      </c>
      <c r="U761" s="11">
        <v>0</v>
      </c>
      <c r="V761" s="11">
        <v>1</v>
      </c>
      <c r="W761" s="11">
        <v>-0.93583489733499414</v>
      </c>
      <c r="X761" s="11">
        <v>-0.35243871088460327</v>
      </c>
      <c r="Y761">
        <v>0</v>
      </c>
      <c r="Z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6">
        <v>45180</v>
      </c>
      <c r="B762" t="s">
        <v>36</v>
      </c>
      <c r="C762" t="s">
        <v>37</v>
      </c>
      <c r="D762" t="s">
        <v>38</v>
      </c>
      <c r="E762" t="s">
        <v>39</v>
      </c>
      <c r="F762">
        <v>125</v>
      </c>
      <c r="G762">
        <v>320</v>
      </c>
      <c r="H762">
        <v>160</v>
      </c>
      <c r="I762">
        <v>64</v>
      </c>
      <c r="J762" s="8">
        <v>0.51200000000000001</v>
      </c>
      <c r="K762">
        <v>35</v>
      </c>
      <c r="L762">
        <v>26</v>
      </c>
      <c r="M762">
        <v>138</v>
      </c>
      <c r="N762" s="10">
        <v>599.76</v>
      </c>
      <c r="O762" s="7">
        <v>2.1</v>
      </c>
      <c r="P762" s="7">
        <v>28.5</v>
      </c>
      <c r="Q762">
        <v>0</v>
      </c>
      <c r="R762" t="s">
        <v>62</v>
      </c>
      <c r="S762">
        <v>9</v>
      </c>
      <c r="T762">
        <v>254</v>
      </c>
      <c r="U762" s="11">
        <v>0</v>
      </c>
      <c r="V762" s="11">
        <v>1</v>
      </c>
      <c r="W762" s="11">
        <v>-0.93583489733499414</v>
      </c>
      <c r="X762" s="11">
        <v>-0.35243871088460327</v>
      </c>
      <c r="Y762">
        <v>0</v>
      </c>
      <c r="Z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6">
        <v>45180</v>
      </c>
      <c r="B763" t="s">
        <v>41</v>
      </c>
      <c r="C763" t="s">
        <v>42</v>
      </c>
      <c r="D763" t="s">
        <v>43</v>
      </c>
      <c r="E763" t="s">
        <v>44</v>
      </c>
      <c r="F763">
        <v>85</v>
      </c>
      <c r="G763">
        <v>210</v>
      </c>
      <c r="H763">
        <v>112</v>
      </c>
      <c r="I763">
        <v>48</v>
      </c>
      <c r="J763" s="8">
        <v>0.56470588235294117</v>
      </c>
      <c r="K763">
        <v>9</v>
      </c>
      <c r="L763">
        <v>21</v>
      </c>
      <c r="M763">
        <v>95</v>
      </c>
      <c r="N763" s="10">
        <v>558.96</v>
      </c>
      <c r="O763" s="7">
        <v>2.1</v>
      </c>
      <c r="P763" s="7">
        <v>28.5</v>
      </c>
      <c r="Q763">
        <v>0</v>
      </c>
      <c r="R763" t="s">
        <v>62</v>
      </c>
      <c r="S763">
        <v>9</v>
      </c>
      <c r="T763">
        <v>254</v>
      </c>
      <c r="U763" s="11">
        <v>0</v>
      </c>
      <c r="V763" s="11">
        <v>1</v>
      </c>
      <c r="W763" s="11">
        <v>-0.93583489733499414</v>
      </c>
      <c r="X763" s="11">
        <v>-0.35243871088460327</v>
      </c>
      <c r="Y763">
        <v>0</v>
      </c>
      <c r="Z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6">
        <v>45181</v>
      </c>
      <c r="B764" t="s">
        <v>31</v>
      </c>
      <c r="C764" t="s">
        <v>32</v>
      </c>
      <c r="D764" t="s">
        <v>33</v>
      </c>
      <c r="E764" t="s">
        <v>34</v>
      </c>
      <c r="F764">
        <v>140</v>
      </c>
      <c r="G764">
        <v>360</v>
      </c>
      <c r="H764">
        <v>186</v>
      </c>
      <c r="I764">
        <v>79</v>
      </c>
      <c r="J764" s="8">
        <v>0.56428571428571428</v>
      </c>
      <c r="K764">
        <v>45</v>
      </c>
      <c r="L764">
        <v>20</v>
      </c>
      <c r="M764">
        <v>166</v>
      </c>
      <c r="N764" s="10">
        <v>467.96</v>
      </c>
      <c r="O764" s="7">
        <v>1.7</v>
      </c>
      <c r="P764" s="7">
        <v>29.3</v>
      </c>
      <c r="Q764">
        <v>1</v>
      </c>
      <c r="R764" t="s">
        <v>63</v>
      </c>
      <c r="S764">
        <v>9</v>
      </c>
      <c r="T764">
        <v>255</v>
      </c>
      <c r="U764" s="11">
        <v>0.7818314824680298</v>
      </c>
      <c r="V764" s="11">
        <v>0.62348980185873359</v>
      </c>
      <c r="W764" s="11">
        <v>-0.94175893409946165</v>
      </c>
      <c r="X764" s="11">
        <v>-0.33628873017668287</v>
      </c>
      <c r="Y764">
        <v>0</v>
      </c>
      <c r="Z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6">
        <v>45181</v>
      </c>
      <c r="B765" t="s">
        <v>36</v>
      </c>
      <c r="C765" t="s">
        <v>37</v>
      </c>
      <c r="D765" t="s">
        <v>38</v>
      </c>
      <c r="E765" t="s">
        <v>39</v>
      </c>
      <c r="F765">
        <v>125</v>
      </c>
      <c r="G765">
        <v>320</v>
      </c>
      <c r="H765">
        <v>164</v>
      </c>
      <c r="I765">
        <v>66</v>
      </c>
      <c r="J765" s="8">
        <v>0.52800000000000002</v>
      </c>
      <c r="K765">
        <v>44</v>
      </c>
      <c r="L765">
        <v>16</v>
      </c>
      <c r="M765">
        <v>151</v>
      </c>
      <c r="N765" s="10">
        <v>594.45000000000005</v>
      </c>
      <c r="O765" s="7">
        <v>1.7</v>
      </c>
      <c r="P765" s="7">
        <v>29.3</v>
      </c>
      <c r="Q765">
        <v>1</v>
      </c>
      <c r="R765" t="s">
        <v>63</v>
      </c>
      <c r="S765">
        <v>9</v>
      </c>
      <c r="T765">
        <v>255</v>
      </c>
      <c r="U765" s="11">
        <v>0.7818314824680298</v>
      </c>
      <c r="V765" s="11">
        <v>0.62348980185873359</v>
      </c>
      <c r="W765" s="11">
        <v>-0.94175893409946165</v>
      </c>
      <c r="X765" s="11">
        <v>-0.33628873017668287</v>
      </c>
      <c r="Y765">
        <v>0</v>
      </c>
      <c r="Z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6">
        <v>45181</v>
      </c>
      <c r="B766" t="s">
        <v>41</v>
      </c>
      <c r="C766" t="s">
        <v>42</v>
      </c>
      <c r="D766" t="s">
        <v>43</v>
      </c>
      <c r="E766" t="s">
        <v>44</v>
      </c>
      <c r="F766">
        <v>85</v>
      </c>
      <c r="G766">
        <v>210</v>
      </c>
      <c r="H766">
        <v>112</v>
      </c>
      <c r="I766">
        <v>46</v>
      </c>
      <c r="J766" s="8">
        <v>0.54117647058823526</v>
      </c>
      <c r="K766">
        <v>23</v>
      </c>
      <c r="L766">
        <v>22</v>
      </c>
      <c r="M766">
        <v>105</v>
      </c>
      <c r="N766" s="10">
        <v>559.42999999999995</v>
      </c>
      <c r="O766" s="7">
        <v>1.7</v>
      </c>
      <c r="P766" s="7">
        <v>29.3</v>
      </c>
      <c r="Q766">
        <v>1</v>
      </c>
      <c r="R766" t="s">
        <v>63</v>
      </c>
      <c r="S766">
        <v>9</v>
      </c>
      <c r="T766">
        <v>255</v>
      </c>
      <c r="U766" s="11">
        <v>0.7818314824680298</v>
      </c>
      <c r="V766" s="11">
        <v>0.62348980185873359</v>
      </c>
      <c r="W766" s="11">
        <v>-0.94175893409946165</v>
      </c>
      <c r="X766" s="11">
        <v>-0.33628873017668287</v>
      </c>
      <c r="Y766">
        <v>0</v>
      </c>
      <c r="Z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6">
        <v>45182</v>
      </c>
      <c r="B767" t="s">
        <v>31</v>
      </c>
      <c r="C767" t="s">
        <v>32</v>
      </c>
      <c r="D767" t="s">
        <v>33</v>
      </c>
      <c r="E767" t="s">
        <v>34</v>
      </c>
      <c r="F767">
        <v>140</v>
      </c>
      <c r="G767">
        <v>360</v>
      </c>
      <c r="H767">
        <v>203</v>
      </c>
      <c r="I767">
        <v>87</v>
      </c>
      <c r="J767" s="8">
        <v>0.62142857142857144</v>
      </c>
      <c r="K767">
        <v>37</v>
      </c>
      <c r="L767">
        <v>43</v>
      </c>
      <c r="M767">
        <v>190</v>
      </c>
      <c r="N767" s="10">
        <v>428.85</v>
      </c>
      <c r="O767" s="7">
        <v>0</v>
      </c>
      <c r="P767" s="7">
        <v>28.7</v>
      </c>
      <c r="Q767">
        <v>2</v>
      </c>
      <c r="R767" t="s">
        <v>64</v>
      </c>
      <c r="S767">
        <v>9</v>
      </c>
      <c r="T767">
        <v>256</v>
      </c>
      <c r="U767" s="11">
        <v>0.97492791218182362</v>
      </c>
      <c r="V767" s="11">
        <v>-0.22252093395631434</v>
      </c>
      <c r="W767" s="11">
        <v>-0.94740428924388453</v>
      </c>
      <c r="X767" s="11">
        <v>-0.32003923622313857</v>
      </c>
      <c r="Y767">
        <v>0</v>
      </c>
      <c r="Z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6">
        <v>45182</v>
      </c>
      <c r="B768" t="s">
        <v>36</v>
      </c>
      <c r="C768" t="s">
        <v>37</v>
      </c>
      <c r="D768" t="s">
        <v>38</v>
      </c>
      <c r="E768" t="s">
        <v>39</v>
      </c>
      <c r="F768">
        <v>125</v>
      </c>
      <c r="G768">
        <v>320</v>
      </c>
      <c r="H768">
        <v>152</v>
      </c>
      <c r="I768">
        <v>64</v>
      </c>
      <c r="J768" s="8">
        <v>0.51200000000000001</v>
      </c>
      <c r="K768">
        <v>18</v>
      </c>
      <c r="L768">
        <v>26</v>
      </c>
      <c r="M768">
        <v>138</v>
      </c>
      <c r="N768" s="10">
        <v>581.51</v>
      </c>
      <c r="O768" s="7">
        <v>0</v>
      </c>
      <c r="P768" s="7">
        <v>28.7</v>
      </c>
      <c r="Q768">
        <v>2</v>
      </c>
      <c r="R768" t="s">
        <v>64</v>
      </c>
      <c r="S768">
        <v>9</v>
      </c>
      <c r="T768">
        <v>256</v>
      </c>
      <c r="U768" s="11">
        <v>0.97492791218182362</v>
      </c>
      <c r="V768" s="11">
        <v>-0.22252093395631434</v>
      </c>
      <c r="W768" s="11">
        <v>-0.94740428924388453</v>
      </c>
      <c r="X768" s="11">
        <v>-0.32003923622313857</v>
      </c>
      <c r="Y768">
        <v>0</v>
      </c>
      <c r="Z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6">
        <v>45182</v>
      </c>
      <c r="B769" t="s">
        <v>41</v>
      </c>
      <c r="C769" t="s">
        <v>42</v>
      </c>
      <c r="D769" t="s">
        <v>43</v>
      </c>
      <c r="E769" t="s">
        <v>44</v>
      </c>
      <c r="F769">
        <v>85</v>
      </c>
      <c r="G769">
        <v>210</v>
      </c>
      <c r="H769">
        <v>104</v>
      </c>
      <c r="I769">
        <v>49</v>
      </c>
      <c r="J769" s="8">
        <v>0.57647058823529407</v>
      </c>
      <c r="K769">
        <v>25</v>
      </c>
      <c r="L769">
        <v>10</v>
      </c>
      <c r="M769">
        <v>92</v>
      </c>
      <c r="N769" s="10">
        <v>534.85</v>
      </c>
      <c r="O769" s="7">
        <v>0</v>
      </c>
      <c r="P769" s="7">
        <v>28.7</v>
      </c>
      <c r="Q769">
        <v>2</v>
      </c>
      <c r="R769" t="s">
        <v>64</v>
      </c>
      <c r="S769">
        <v>9</v>
      </c>
      <c r="T769">
        <v>256</v>
      </c>
      <c r="U769" s="11">
        <v>0.97492791218182362</v>
      </c>
      <c r="V769" s="11">
        <v>-0.22252093395631434</v>
      </c>
      <c r="W769" s="11">
        <v>-0.94740428924388453</v>
      </c>
      <c r="X769" s="11">
        <v>-0.32003923622313857</v>
      </c>
      <c r="Y769">
        <v>0</v>
      </c>
      <c r="Z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6">
        <v>45183</v>
      </c>
      <c r="B770" t="s">
        <v>31</v>
      </c>
      <c r="C770" t="s">
        <v>32</v>
      </c>
      <c r="D770" t="s">
        <v>33</v>
      </c>
      <c r="E770" t="s">
        <v>34</v>
      </c>
      <c r="F770">
        <v>140</v>
      </c>
      <c r="G770">
        <v>360</v>
      </c>
      <c r="H770">
        <v>164</v>
      </c>
      <c r="I770">
        <v>71</v>
      </c>
      <c r="J770" s="8">
        <v>0.50714285714285712</v>
      </c>
      <c r="K770">
        <v>37</v>
      </c>
      <c r="L770">
        <v>42</v>
      </c>
      <c r="M770">
        <v>150</v>
      </c>
      <c r="N770" s="10">
        <v>387.78</v>
      </c>
      <c r="O770" s="7">
        <v>4.7</v>
      </c>
      <c r="P770" s="7">
        <v>29.9</v>
      </c>
      <c r="Q770">
        <v>3</v>
      </c>
      <c r="R770" t="s">
        <v>65</v>
      </c>
      <c r="S770">
        <v>9</v>
      </c>
      <c r="T770">
        <v>257</v>
      </c>
      <c r="U770" s="11">
        <v>0.43388373911755823</v>
      </c>
      <c r="V770" s="11">
        <v>-0.90096886790241903</v>
      </c>
      <c r="W770" s="11">
        <v>-0.95276929221685114</v>
      </c>
      <c r="X770" s="11">
        <v>-0.30369503751065885</v>
      </c>
      <c r="Y770">
        <v>0</v>
      </c>
      <c r="Z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6">
        <v>45183</v>
      </c>
      <c r="B771" t="s">
        <v>36</v>
      </c>
      <c r="C771" t="s">
        <v>37</v>
      </c>
      <c r="D771" t="s">
        <v>38</v>
      </c>
      <c r="E771" t="s">
        <v>39</v>
      </c>
      <c r="F771">
        <v>125</v>
      </c>
      <c r="G771">
        <v>320</v>
      </c>
      <c r="H771">
        <v>136</v>
      </c>
      <c r="I771">
        <v>55</v>
      </c>
      <c r="J771" s="8">
        <v>0.44</v>
      </c>
      <c r="K771">
        <v>36</v>
      </c>
      <c r="L771">
        <v>21</v>
      </c>
      <c r="M771">
        <v>113</v>
      </c>
      <c r="N771" s="10">
        <v>599.74</v>
      </c>
      <c r="O771" s="7">
        <v>4.7</v>
      </c>
      <c r="P771" s="7">
        <v>29.9</v>
      </c>
      <c r="Q771">
        <v>3</v>
      </c>
      <c r="R771" t="s">
        <v>65</v>
      </c>
      <c r="S771">
        <v>9</v>
      </c>
      <c r="T771">
        <v>257</v>
      </c>
      <c r="U771" s="11">
        <v>0.43388373911755823</v>
      </c>
      <c r="V771" s="11">
        <v>-0.90096886790241903</v>
      </c>
      <c r="W771" s="11">
        <v>-0.95276929221685114</v>
      </c>
      <c r="X771" s="11">
        <v>-0.30369503751065885</v>
      </c>
      <c r="Y771">
        <v>0</v>
      </c>
      <c r="Z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6">
        <v>45183</v>
      </c>
      <c r="B772" t="s">
        <v>41</v>
      </c>
      <c r="C772" t="s">
        <v>42</v>
      </c>
      <c r="D772" t="s">
        <v>43</v>
      </c>
      <c r="E772" t="s">
        <v>44</v>
      </c>
      <c r="F772">
        <v>85</v>
      </c>
      <c r="G772">
        <v>210</v>
      </c>
      <c r="H772">
        <v>111</v>
      </c>
      <c r="I772">
        <v>49</v>
      </c>
      <c r="J772" s="8">
        <v>0.57647058823529407</v>
      </c>
      <c r="K772">
        <v>12</v>
      </c>
      <c r="L772">
        <v>26</v>
      </c>
      <c r="M772">
        <v>92</v>
      </c>
      <c r="N772" s="10">
        <v>576.35</v>
      </c>
      <c r="O772" s="7">
        <v>4.7</v>
      </c>
      <c r="P772" s="7">
        <v>29.9</v>
      </c>
      <c r="Q772">
        <v>3</v>
      </c>
      <c r="R772" t="s">
        <v>65</v>
      </c>
      <c r="S772">
        <v>9</v>
      </c>
      <c r="T772">
        <v>257</v>
      </c>
      <c r="U772" s="11">
        <v>0.43388373911755823</v>
      </c>
      <c r="V772" s="11">
        <v>-0.90096886790241903</v>
      </c>
      <c r="W772" s="11">
        <v>-0.95276929221685114</v>
      </c>
      <c r="X772" s="11">
        <v>-0.30369503751065885</v>
      </c>
      <c r="Y772">
        <v>0</v>
      </c>
      <c r="Z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6">
        <v>45184</v>
      </c>
      <c r="B773" t="s">
        <v>31</v>
      </c>
      <c r="C773" t="s">
        <v>32</v>
      </c>
      <c r="D773" t="s">
        <v>33</v>
      </c>
      <c r="E773" t="s">
        <v>34</v>
      </c>
      <c r="F773">
        <v>140</v>
      </c>
      <c r="G773">
        <v>360</v>
      </c>
      <c r="H773">
        <v>178</v>
      </c>
      <c r="I773">
        <v>77</v>
      </c>
      <c r="J773" s="8">
        <v>0.55000000000000004</v>
      </c>
      <c r="K773">
        <v>25</v>
      </c>
      <c r="L773">
        <v>35</v>
      </c>
      <c r="M773">
        <v>146</v>
      </c>
      <c r="N773" s="10">
        <v>428.61</v>
      </c>
      <c r="O773" s="7">
        <v>0</v>
      </c>
      <c r="P773" s="7">
        <v>28.7</v>
      </c>
      <c r="Q773">
        <v>4</v>
      </c>
      <c r="R773" t="s">
        <v>66</v>
      </c>
      <c r="S773">
        <v>9</v>
      </c>
      <c r="T773">
        <v>258</v>
      </c>
      <c r="U773" s="11">
        <v>-0.43388373911755801</v>
      </c>
      <c r="V773" s="11">
        <v>-0.90096886790241915</v>
      </c>
      <c r="W773" s="11">
        <v>-0.95785235542766689</v>
      </c>
      <c r="X773" s="11">
        <v>-0.28726097055059635</v>
      </c>
      <c r="Y773">
        <v>0</v>
      </c>
      <c r="Z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6">
        <v>45184</v>
      </c>
      <c r="B774" t="s">
        <v>36</v>
      </c>
      <c r="C774" t="s">
        <v>37</v>
      </c>
      <c r="D774" t="s">
        <v>38</v>
      </c>
      <c r="E774" t="s">
        <v>39</v>
      </c>
      <c r="F774">
        <v>125</v>
      </c>
      <c r="G774">
        <v>320</v>
      </c>
      <c r="H774">
        <v>144</v>
      </c>
      <c r="I774">
        <v>59</v>
      </c>
      <c r="J774" s="8">
        <v>0.47199999999999998</v>
      </c>
      <c r="K774">
        <v>36</v>
      </c>
      <c r="L774">
        <v>26</v>
      </c>
      <c r="M774">
        <v>120</v>
      </c>
      <c r="N774" s="10">
        <v>563.41999999999996</v>
      </c>
      <c r="O774" s="7">
        <v>0</v>
      </c>
      <c r="P774" s="7">
        <v>28.7</v>
      </c>
      <c r="Q774">
        <v>4</v>
      </c>
      <c r="R774" t="s">
        <v>66</v>
      </c>
      <c r="S774">
        <v>9</v>
      </c>
      <c r="T774">
        <v>258</v>
      </c>
      <c r="U774" s="11">
        <v>-0.43388373911755801</v>
      </c>
      <c r="V774" s="11">
        <v>-0.90096886790241915</v>
      </c>
      <c r="W774" s="11">
        <v>-0.95785235542766689</v>
      </c>
      <c r="X774" s="11">
        <v>-0.28726097055059635</v>
      </c>
      <c r="Y774">
        <v>0</v>
      </c>
      <c r="Z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6">
        <v>45184</v>
      </c>
      <c r="B775" t="s">
        <v>41</v>
      </c>
      <c r="C775" t="s">
        <v>42</v>
      </c>
      <c r="D775" t="s">
        <v>43</v>
      </c>
      <c r="E775" t="s">
        <v>44</v>
      </c>
      <c r="F775">
        <v>85</v>
      </c>
      <c r="G775">
        <v>210</v>
      </c>
      <c r="H775">
        <v>111</v>
      </c>
      <c r="I775">
        <v>51</v>
      </c>
      <c r="J775" s="8">
        <v>0.6</v>
      </c>
      <c r="K775">
        <v>23</v>
      </c>
      <c r="L775">
        <v>28</v>
      </c>
      <c r="M775">
        <v>97</v>
      </c>
      <c r="N775" s="10">
        <v>483.78</v>
      </c>
      <c r="O775" s="7">
        <v>0</v>
      </c>
      <c r="P775" s="7">
        <v>28.7</v>
      </c>
      <c r="Q775">
        <v>4</v>
      </c>
      <c r="R775" t="s">
        <v>66</v>
      </c>
      <c r="S775">
        <v>9</v>
      </c>
      <c r="T775">
        <v>258</v>
      </c>
      <c r="U775" s="11">
        <v>-0.43388373911755801</v>
      </c>
      <c r="V775" s="11">
        <v>-0.90096886790241915</v>
      </c>
      <c r="W775" s="11">
        <v>-0.95785235542766689</v>
      </c>
      <c r="X775" s="11">
        <v>-0.28726097055059635</v>
      </c>
      <c r="Y775">
        <v>0</v>
      </c>
      <c r="Z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6">
        <v>45185</v>
      </c>
      <c r="B776" t="s">
        <v>31</v>
      </c>
      <c r="C776" t="s">
        <v>32</v>
      </c>
      <c r="D776" t="s">
        <v>33</v>
      </c>
      <c r="E776" t="s">
        <v>34</v>
      </c>
      <c r="F776">
        <v>140</v>
      </c>
      <c r="G776">
        <v>360</v>
      </c>
      <c r="H776">
        <v>195</v>
      </c>
      <c r="I776">
        <v>82</v>
      </c>
      <c r="J776" s="8">
        <v>0.58571428571428574</v>
      </c>
      <c r="K776">
        <v>49</v>
      </c>
      <c r="L776">
        <v>40</v>
      </c>
      <c r="M776">
        <v>169</v>
      </c>
      <c r="N776" s="10">
        <v>462.02</v>
      </c>
      <c r="O776" s="7">
        <v>0</v>
      </c>
      <c r="P776" s="7">
        <v>30</v>
      </c>
      <c r="Q776">
        <v>5</v>
      </c>
      <c r="R776" t="s">
        <v>67</v>
      </c>
      <c r="S776">
        <v>9</v>
      </c>
      <c r="T776">
        <v>259</v>
      </c>
      <c r="U776" s="11">
        <v>-0.97492791218182362</v>
      </c>
      <c r="V776" s="11">
        <v>-0.22252093395631459</v>
      </c>
      <c r="W776" s="11">
        <v>-0.96265197471614872</v>
      </c>
      <c r="X776" s="11">
        <v>-0.2707418984477642</v>
      </c>
      <c r="Y776">
        <v>1</v>
      </c>
      <c r="Z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6">
        <v>45185</v>
      </c>
      <c r="B777" t="s">
        <v>36</v>
      </c>
      <c r="C777" t="s">
        <v>37</v>
      </c>
      <c r="D777" t="s">
        <v>38</v>
      </c>
      <c r="E777" t="s">
        <v>39</v>
      </c>
      <c r="F777">
        <v>125</v>
      </c>
      <c r="G777">
        <v>320</v>
      </c>
      <c r="H777">
        <v>190</v>
      </c>
      <c r="I777">
        <v>77</v>
      </c>
      <c r="J777" s="8">
        <v>0.61599999999999999</v>
      </c>
      <c r="K777">
        <v>47</v>
      </c>
      <c r="L777">
        <v>25</v>
      </c>
      <c r="M777">
        <v>177</v>
      </c>
      <c r="N777" s="10">
        <v>666.15</v>
      </c>
      <c r="O777" s="7">
        <v>0</v>
      </c>
      <c r="P777" s="7">
        <v>30</v>
      </c>
      <c r="Q777">
        <v>5</v>
      </c>
      <c r="R777" t="s">
        <v>67</v>
      </c>
      <c r="S777">
        <v>9</v>
      </c>
      <c r="T777">
        <v>259</v>
      </c>
      <c r="U777" s="11">
        <v>-0.97492791218182362</v>
      </c>
      <c r="V777" s="11">
        <v>-0.22252093395631459</v>
      </c>
      <c r="W777" s="11">
        <v>-0.96265197471614872</v>
      </c>
      <c r="X777" s="11">
        <v>-0.2707418984477642</v>
      </c>
      <c r="Y777">
        <v>1</v>
      </c>
      <c r="Z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6">
        <v>45185</v>
      </c>
      <c r="B778" t="s">
        <v>41</v>
      </c>
      <c r="C778" t="s">
        <v>42</v>
      </c>
      <c r="D778" t="s">
        <v>43</v>
      </c>
      <c r="E778" t="s">
        <v>44</v>
      </c>
      <c r="F778">
        <v>85</v>
      </c>
      <c r="G778">
        <v>210</v>
      </c>
      <c r="H778">
        <v>131</v>
      </c>
      <c r="I778">
        <v>57</v>
      </c>
      <c r="J778" s="8">
        <v>0.6705882352941176</v>
      </c>
      <c r="K778">
        <v>25</v>
      </c>
      <c r="L778">
        <v>29</v>
      </c>
      <c r="M778">
        <v>105</v>
      </c>
      <c r="N778" s="10">
        <v>614.20000000000005</v>
      </c>
      <c r="O778" s="7">
        <v>0</v>
      </c>
      <c r="P778" s="7">
        <v>30</v>
      </c>
      <c r="Q778">
        <v>5</v>
      </c>
      <c r="R778" t="s">
        <v>67</v>
      </c>
      <c r="S778">
        <v>9</v>
      </c>
      <c r="T778">
        <v>259</v>
      </c>
      <c r="U778" s="11">
        <v>-0.97492791218182362</v>
      </c>
      <c r="V778" s="11">
        <v>-0.22252093395631459</v>
      </c>
      <c r="W778" s="11">
        <v>-0.96265197471614872</v>
      </c>
      <c r="X778" s="11">
        <v>-0.2707418984477642</v>
      </c>
      <c r="Y778">
        <v>1</v>
      </c>
      <c r="Z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6">
        <v>45186</v>
      </c>
      <c r="B779" t="s">
        <v>31</v>
      </c>
      <c r="C779" t="s">
        <v>32</v>
      </c>
      <c r="D779" t="s">
        <v>33</v>
      </c>
      <c r="E779" t="s">
        <v>34</v>
      </c>
      <c r="F779">
        <v>140</v>
      </c>
      <c r="G779">
        <v>360</v>
      </c>
      <c r="H779">
        <v>217</v>
      </c>
      <c r="I779">
        <v>92</v>
      </c>
      <c r="J779" s="8">
        <v>0.65714285714285714</v>
      </c>
      <c r="K779">
        <v>57</v>
      </c>
      <c r="L779">
        <v>39</v>
      </c>
      <c r="M779">
        <v>189</v>
      </c>
      <c r="N779" s="10">
        <v>505.2</v>
      </c>
      <c r="O779" s="7">
        <v>0.7</v>
      </c>
      <c r="P779" s="7">
        <v>28.9</v>
      </c>
      <c r="Q779">
        <v>6</v>
      </c>
      <c r="R779" t="s">
        <v>60</v>
      </c>
      <c r="S779">
        <v>9</v>
      </c>
      <c r="T779">
        <v>260</v>
      </c>
      <c r="U779" s="11">
        <v>-0.78183148246802991</v>
      </c>
      <c r="V779" s="11">
        <v>0.62348980185873337</v>
      </c>
      <c r="W779" s="11">
        <v>-0.96716672979773122</v>
      </c>
      <c r="X779" s="11">
        <v>-0.25414270946136219</v>
      </c>
      <c r="Y779">
        <v>1</v>
      </c>
      <c r="Z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6">
        <v>45186</v>
      </c>
      <c r="B780" t="s">
        <v>36</v>
      </c>
      <c r="C780" t="s">
        <v>37</v>
      </c>
      <c r="D780" t="s">
        <v>38</v>
      </c>
      <c r="E780" t="s">
        <v>39</v>
      </c>
      <c r="F780">
        <v>125</v>
      </c>
      <c r="G780">
        <v>320</v>
      </c>
      <c r="H780">
        <v>193</v>
      </c>
      <c r="I780">
        <v>80</v>
      </c>
      <c r="J780" s="8">
        <v>0.64</v>
      </c>
      <c r="K780">
        <v>36</v>
      </c>
      <c r="L780">
        <v>18</v>
      </c>
      <c r="M780">
        <v>173</v>
      </c>
      <c r="N780" s="10">
        <v>669.49</v>
      </c>
      <c r="O780" s="7">
        <v>0.7</v>
      </c>
      <c r="P780" s="7">
        <v>28.9</v>
      </c>
      <c r="Q780">
        <v>6</v>
      </c>
      <c r="R780" t="s">
        <v>60</v>
      </c>
      <c r="S780">
        <v>9</v>
      </c>
      <c r="T780">
        <v>260</v>
      </c>
      <c r="U780" s="11">
        <v>-0.78183148246802991</v>
      </c>
      <c r="V780" s="11">
        <v>0.62348980185873337</v>
      </c>
      <c r="W780" s="11">
        <v>-0.96716672979773122</v>
      </c>
      <c r="X780" s="11">
        <v>-0.25414270946136219</v>
      </c>
      <c r="Y780">
        <v>1</v>
      </c>
      <c r="Z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6">
        <v>45186</v>
      </c>
      <c r="B781" t="s">
        <v>41</v>
      </c>
      <c r="C781" t="s">
        <v>42</v>
      </c>
      <c r="D781" t="s">
        <v>43</v>
      </c>
      <c r="E781" t="s">
        <v>44</v>
      </c>
      <c r="F781">
        <v>85</v>
      </c>
      <c r="G781">
        <v>210</v>
      </c>
      <c r="H781">
        <v>128</v>
      </c>
      <c r="I781">
        <v>58</v>
      </c>
      <c r="J781" s="8">
        <v>0.68235294117647061</v>
      </c>
      <c r="K781">
        <v>24</v>
      </c>
      <c r="L781">
        <v>32</v>
      </c>
      <c r="M781">
        <v>103</v>
      </c>
      <c r="N781" s="10">
        <v>626.48</v>
      </c>
      <c r="O781" s="7">
        <v>0.7</v>
      </c>
      <c r="P781" s="7">
        <v>28.9</v>
      </c>
      <c r="Q781">
        <v>6</v>
      </c>
      <c r="R781" t="s">
        <v>60</v>
      </c>
      <c r="S781">
        <v>9</v>
      </c>
      <c r="T781">
        <v>260</v>
      </c>
      <c r="U781" s="11">
        <v>-0.78183148246802991</v>
      </c>
      <c r="V781" s="11">
        <v>0.62348980185873337</v>
      </c>
      <c r="W781" s="11">
        <v>-0.96716672979773122</v>
      </c>
      <c r="X781" s="11">
        <v>-0.25414270946136219</v>
      </c>
      <c r="Y781">
        <v>1</v>
      </c>
      <c r="Z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6">
        <v>45187</v>
      </c>
      <c r="B782" t="s">
        <v>31</v>
      </c>
      <c r="C782" t="s">
        <v>32</v>
      </c>
      <c r="D782" t="s">
        <v>33</v>
      </c>
      <c r="E782" t="s">
        <v>34</v>
      </c>
      <c r="F782">
        <v>140</v>
      </c>
      <c r="G782">
        <v>360</v>
      </c>
      <c r="H782">
        <v>161</v>
      </c>
      <c r="I782">
        <v>70</v>
      </c>
      <c r="J782" s="8">
        <v>0.5</v>
      </c>
      <c r="K782">
        <v>43</v>
      </c>
      <c r="L782">
        <v>21</v>
      </c>
      <c r="M782">
        <v>136</v>
      </c>
      <c r="N782" s="10">
        <v>439.24</v>
      </c>
      <c r="O782" s="7">
        <v>2.7</v>
      </c>
      <c r="P782" s="7">
        <v>29</v>
      </c>
      <c r="Q782">
        <v>0</v>
      </c>
      <c r="R782" t="s">
        <v>62</v>
      </c>
      <c r="S782">
        <v>9</v>
      </c>
      <c r="T782">
        <v>261</v>
      </c>
      <c r="U782" s="11">
        <v>0</v>
      </c>
      <c r="V782" s="11">
        <v>1</v>
      </c>
      <c r="W782" s="11">
        <v>-0.97139528468375003</v>
      </c>
      <c r="X782" s="11">
        <v>-0.23746831555846842</v>
      </c>
      <c r="Y782">
        <v>0</v>
      </c>
      <c r="Z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6">
        <v>45187</v>
      </c>
      <c r="B783" t="s">
        <v>36</v>
      </c>
      <c r="C783" t="s">
        <v>37</v>
      </c>
      <c r="D783" t="s">
        <v>38</v>
      </c>
      <c r="E783" t="s">
        <v>39</v>
      </c>
      <c r="F783">
        <v>125</v>
      </c>
      <c r="G783">
        <v>320</v>
      </c>
      <c r="H783">
        <v>169</v>
      </c>
      <c r="I783">
        <v>69</v>
      </c>
      <c r="J783" s="8">
        <v>0.55200000000000005</v>
      </c>
      <c r="K783">
        <v>41</v>
      </c>
      <c r="L783">
        <v>41</v>
      </c>
      <c r="M783">
        <v>147</v>
      </c>
      <c r="N783" s="10">
        <v>603.44000000000005</v>
      </c>
      <c r="O783" s="7">
        <v>2.7</v>
      </c>
      <c r="P783" s="7">
        <v>29</v>
      </c>
      <c r="Q783">
        <v>0</v>
      </c>
      <c r="R783" t="s">
        <v>62</v>
      </c>
      <c r="S783">
        <v>9</v>
      </c>
      <c r="T783">
        <v>261</v>
      </c>
      <c r="U783" s="11">
        <v>0</v>
      </c>
      <c r="V783" s="11">
        <v>1</v>
      </c>
      <c r="W783" s="11">
        <v>-0.97139528468375003</v>
      </c>
      <c r="X783" s="11">
        <v>-0.23746831555846842</v>
      </c>
      <c r="Y783">
        <v>0</v>
      </c>
      <c r="Z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6">
        <v>45187</v>
      </c>
      <c r="B784" t="s">
        <v>41</v>
      </c>
      <c r="C784" t="s">
        <v>42</v>
      </c>
      <c r="D784" t="s">
        <v>43</v>
      </c>
      <c r="E784" t="s">
        <v>44</v>
      </c>
      <c r="F784">
        <v>85</v>
      </c>
      <c r="G784">
        <v>210</v>
      </c>
      <c r="H784">
        <v>110</v>
      </c>
      <c r="I784">
        <v>50</v>
      </c>
      <c r="J784" s="8">
        <v>0.58823529411764708</v>
      </c>
      <c r="K784">
        <v>21</v>
      </c>
      <c r="L784">
        <v>15</v>
      </c>
      <c r="M784">
        <v>90</v>
      </c>
      <c r="N784" s="10">
        <v>524.9</v>
      </c>
      <c r="O784" s="7">
        <v>2.7</v>
      </c>
      <c r="P784" s="7">
        <v>29</v>
      </c>
      <c r="Q784">
        <v>0</v>
      </c>
      <c r="R784" t="s">
        <v>62</v>
      </c>
      <c r="S784">
        <v>9</v>
      </c>
      <c r="T784">
        <v>261</v>
      </c>
      <c r="U784" s="11">
        <v>0</v>
      </c>
      <c r="V784" s="11">
        <v>1</v>
      </c>
      <c r="W784" s="11">
        <v>-0.97139528468375003</v>
      </c>
      <c r="X784" s="11">
        <v>-0.23746831555846842</v>
      </c>
      <c r="Y784">
        <v>0</v>
      </c>
      <c r="Z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6">
        <v>45188</v>
      </c>
      <c r="B785" t="s">
        <v>31</v>
      </c>
      <c r="C785" t="s">
        <v>32</v>
      </c>
      <c r="D785" t="s">
        <v>33</v>
      </c>
      <c r="E785" t="s">
        <v>34</v>
      </c>
      <c r="F785">
        <v>140</v>
      </c>
      <c r="G785">
        <v>360</v>
      </c>
      <c r="H785">
        <v>147</v>
      </c>
      <c r="I785">
        <v>66</v>
      </c>
      <c r="J785" s="8">
        <v>0.47142857142857142</v>
      </c>
      <c r="K785">
        <v>23</v>
      </c>
      <c r="L785">
        <v>18</v>
      </c>
      <c r="M785">
        <v>127</v>
      </c>
      <c r="N785" s="10">
        <v>425.03</v>
      </c>
      <c r="O785" s="7">
        <v>1.1000000000000001</v>
      </c>
      <c r="P785" s="7">
        <v>29.7</v>
      </c>
      <c r="Q785">
        <v>1</v>
      </c>
      <c r="R785" t="s">
        <v>63</v>
      </c>
      <c r="S785">
        <v>9</v>
      </c>
      <c r="T785">
        <v>262</v>
      </c>
      <c r="U785" s="11">
        <v>0.7818314824680298</v>
      </c>
      <c r="V785" s="11">
        <v>0.62348980185873359</v>
      </c>
      <c r="W785" s="11">
        <v>-0.97533638807678369</v>
      </c>
      <c r="X785" s="11">
        <v>-0.2207236509605022</v>
      </c>
      <c r="Y785">
        <v>0</v>
      </c>
      <c r="Z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6">
        <v>45188</v>
      </c>
      <c r="B786" t="s">
        <v>36</v>
      </c>
      <c r="C786" t="s">
        <v>37</v>
      </c>
      <c r="D786" t="s">
        <v>38</v>
      </c>
      <c r="E786" t="s">
        <v>39</v>
      </c>
      <c r="F786">
        <v>125</v>
      </c>
      <c r="G786">
        <v>320</v>
      </c>
      <c r="H786">
        <v>162</v>
      </c>
      <c r="I786">
        <v>66</v>
      </c>
      <c r="J786" s="8">
        <v>0.52800000000000002</v>
      </c>
      <c r="K786">
        <v>29</v>
      </c>
      <c r="L786">
        <v>32</v>
      </c>
      <c r="M786">
        <v>130</v>
      </c>
      <c r="N786" s="10">
        <v>625.75</v>
      </c>
      <c r="O786" s="7">
        <v>1.1000000000000001</v>
      </c>
      <c r="P786" s="7">
        <v>29.7</v>
      </c>
      <c r="Q786">
        <v>1</v>
      </c>
      <c r="R786" t="s">
        <v>63</v>
      </c>
      <c r="S786">
        <v>9</v>
      </c>
      <c r="T786">
        <v>262</v>
      </c>
      <c r="U786" s="11">
        <v>0.7818314824680298</v>
      </c>
      <c r="V786" s="11">
        <v>0.62348980185873359</v>
      </c>
      <c r="W786" s="11">
        <v>-0.97533638807678369</v>
      </c>
      <c r="X786" s="11">
        <v>-0.2207236509605022</v>
      </c>
      <c r="Y786">
        <v>0</v>
      </c>
      <c r="Z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6">
        <v>45188</v>
      </c>
      <c r="B787" t="s">
        <v>41</v>
      </c>
      <c r="C787" t="s">
        <v>42</v>
      </c>
      <c r="D787" t="s">
        <v>43</v>
      </c>
      <c r="E787" t="s">
        <v>44</v>
      </c>
      <c r="F787">
        <v>85</v>
      </c>
      <c r="G787">
        <v>210</v>
      </c>
      <c r="H787">
        <v>119</v>
      </c>
      <c r="I787">
        <v>49</v>
      </c>
      <c r="J787" s="8">
        <v>0.57647058823529407</v>
      </c>
      <c r="K787">
        <v>25</v>
      </c>
      <c r="L787">
        <v>12</v>
      </c>
      <c r="M787">
        <v>97</v>
      </c>
      <c r="N787" s="10">
        <v>523.71</v>
      </c>
      <c r="O787" s="7">
        <v>1.1000000000000001</v>
      </c>
      <c r="P787" s="7">
        <v>29.7</v>
      </c>
      <c r="Q787">
        <v>1</v>
      </c>
      <c r="R787" t="s">
        <v>63</v>
      </c>
      <c r="S787">
        <v>9</v>
      </c>
      <c r="T787">
        <v>262</v>
      </c>
      <c r="U787" s="11">
        <v>0.7818314824680298</v>
      </c>
      <c r="V787" s="11">
        <v>0.62348980185873359</v>
      </c>
      <c r="W787" s="11">
        <v>-0.97533638807678369</v>
      </c>
      <c r="X787" s="11">
        <v>-0.2207236509605022</v>
      </c>
      <c r="Y787">
        <v>0</v>
      </c>
      <c r="Z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6">
        <v>45189</v>
      </c>
      <c r="B788" t="s">
        <v>31</v>
      </c>
      <c r="C788" t="s">
        <v>32</v>
      </c>
      <c r="D788" t="s">
        <v>33</v>
      </c>
      <c r="E788" t="s">
        <v>34</v>
      </c>
      <c r="F788">
        <v>140</v>
      </c>
      <c r="G788">
        <v>360</v>
      </c>
      <c r="H788">
        <v>181</v>
      </c>
      <c r="I788">
        <v>76</v>
      </c>
      <c r="J788" s="8">
        <v>0.54285714285714282</v>
      </c>
      <c r="K788">
        <v>35</v>
      </c>
      <c r="L788">
        <v>44</v>
      </c>
      <c r="M788">
        <v>154</v>
      </c>
      <c r="N788" s="10">
        <v>446.48</v>
      </c>
      <c r="O788" s="7">
        <v>0.3</v>
      </c>
      <c r="P788" s="7">
        <v>30.6</v>
      </c>
      <c r="Q788">
        <v>2</v>
      </c>
      <c r="R788" t="s">
        <v>64</v>
      </c>
      <c r="S788">
        <v>9</v>
      </c>
      <c r="T788">
        <v>263</v>
      </c>
      <c r="U788" s="11">
        <v>0.97492791218182362</v>
      </c>
      <c r="V788" s="11">
        <v>-0.22252093395631434</v>
      </c>
      <c r="W788" s="11">
        <v>-0.97898887374093191</v>
      </c>
      <c r="X788" s="11">
        <v>-0.20391367068311472</v>
      </c>
      <c r="Y788">
        <v>0</v>
      </c>
      <c r="Z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6">
        <v>45189</v>
      </c>
      <c r="B789" t="s">
        <v>36</v>
      </c>
      <c r="C789" t="s">
        <v>37</v>
      </c>
      <c r="D789" t="s">
        <v>38</v>
      </c>
      <c r="E789" t="s">
        <v>39</v>
      </c>
      <c r="F789">
        <v>125</v>
      </c>
      <c r="G789">
        <v>320</v>
      </c>
      <c r="H789">
        <v>131</v>
      </c>
      <c r="I789">
        <v>55</v>
      </c>
      <c r="J789" s="8">
        <v>0.44</v>
      </c>
      <c r="K789">
        <v>19</v>
      </c>
      <c r="L789">
        <v>23</v>
      </c>
      <c r="M789">
        <v>119</v>
      </c>
      <c r="N789" s="10">
        <v>578.44000000000005</v>
      </c>
      <c r="O789" s="7">
        <v>0.3</v>
      </c>
      <c r="P789" s="7">
        <v>30.6</v>
      </c>
      <c r="Q789">
        <v>2</v>
      </c>
      <c r="R789" t="s">
        <v>64</v>
      </c>
      <c r="S789">
        <v>9</v>
      </c>
      <c r="T789">
        <v>263</v>
      </c>
      <c r="U789" s="11">
        <v>0.97492791218182362</v>
      </c>
      <c r="V789" s="11">
        <v>-0.22252093395631434</v>
      </c>
      <c r="W789" s="11">
        <v>-0.97898887374093191</v>
      </c>
      <c r="X789" s="11">
        <v>-0.20391367068311472</v>
      </c>
      <c r="Y789">
        <v>0</v>
      </c>
      <c r="Z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6">
        <v>45189</v>
      </c>
      <c r="B790" t="s">
        <v>41</v>
      </c>
      <c r="C790" t="s">
        <v>42</v>
      </c>
      <c r="D790" t="s">
        <v>43</v>
      </c>
      <c r="E790" t="s">
        <v>44</v>
      </c>
      <c r="F790">
        <v>85</v>
      </c>
      <c r="G790">
        <v>210</v>
      </c>
      <c r="H790">
        <v>116</v>
      </c>
      <c r="I790">
        <v>51</v>
      </c>
      <c r="J790" s="8">
        <v>0.6</v>
      </c>
      <c r="K790">
        <v>26</v>
      </c>
      <c r="L790">
        <v>26</v>
      </c>
      <c r="M790">
        <v>97</v>
      </c>
      <c r="N790" s="10">
        <v>495.54</v>
      </c>
      <c r="O790" s="7">
        <v>0.3</v>
      </c>
      <c r="P790" s="7">
        <v>30.6</v>
      </c>
      <c r="Q790">
        <v>2</v>
      </c>
      <c r="R790" t="s">
        <v>64</v>
      </c>
      <c r="S790">
        <v>9</v>
      </c>
      <c r="T790">
        <v>263</v>
      </c>
      <c r="U790" s="11">
        <v>0.97492791218182362</v>
      </c>
      <c r="V790" s="11">
        <v>-0.22252093395631434</v>
      </c>
      <c r="W790" s="11">
        <v>-0.97898887374093191</v>
      </c>
      <c r="X790" s="11">
        <v>-0.20391367068311472</v>
      </c>
      <c r="Y790">
        <v>0</v>
      </c>
      <c r="Z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6">
        <v>45190</v>
      </c>
      <c r="B791" t="s">
        <v>31</v>
      </c>
      <c r="C791" t="s">
        <v>32</v>
      </c>
      <c r="D791" t="s">
        <v>33</v>
      </c>
      <c r="E791" t="s">
        <v>34</v>
      </c>
      <c r="F791">
        <v>140</v>
      </c>
      <c r="G791">
        <v>360</v>
      </c>
      <c r="H791">
        <v>190</v>
      </c>
      <c r="I791">
        <v>78</v>
      </c>
      <c r="J791" s="8">
        <v>0.55714285714285716</v>
      </c>
      <c r="K791">
        <v>24</v>
      </c>
      <c r="L791">
        <v>28</v>
      </c>
      <c r="M791">
        <v>172</v>
      </c>
      <c r="N791" s="10">
        <v>439.21</v>
      </c>
      <c r="O791" s="7">
        <v>0</v>
      </c>
      <c r="P791" s="7">
        <v>29</v>
      </c>
      <c r="Q791">
        <v>3</v>
      </c>
      <c r="R791" t="s">
        <v>65</v>
      </c>
      <c r="S791">
        <v>9</v>
      </c>
      <c r="T791">
        <v>264</v>
      </c>
      <c r="U791" s="11">
        <v>0.43388373911755823</v>
      </c>
      <c r="V791" s="11">
        <v>-0.90096886790241903</v>
      </c>
      <c r="W791" s="11">
        <v>-0.98235166084692371</v>
      </c>
      <c r="X791" s="11">
        <v>-0.18704334906991657</v>
      </c>
      <c r="Y791">
        <v>0</v>
      </c>
      <c r="Z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6">
        <v>45190</v>
      </c>
      <c r="B792" t="s">
        <v>36</v>
      </c>
      <c r="C792" t="s">
        <v>37</v>
      </c>
      <c r="D792" t="s">
        <v>38</v>
      </c>
      <c r="E792" t="s">
        <v>39</v>
      </c>
      <c r="F792">
        <v>125</v>
      </c>
      <c r="G792">
        <v>320</v>
      </c>
      <c r="H792">
        <v>148</v>
      </c>
      <c r="I792">
        <v>59</v>
      </c>
      <c r="J792" s="8">
        <v>0.47199999999999998</v>
      </c>
      <c r="K792">
        <v>39</v>
      </c>
      <c r="L792">
        <v>14</v>
      </c>
      <c r="M792">
        <v>133</v>
      </c>
      <c r="N792" s="10">
        <v>576.01</v>
      </c>
      <c r="O792" s="7">
        <v>0</v>
      </c>
      <c r="P792" s="7">
        <v>29</v>
      </c>
      <c r="Q792">
        <v>3</v>
      </c>
      <c r="R792" t="s">
        <v>65</v>
      </c>
      <c r="S792">
        <v>9</v>
      </c>
      <c r="T792">
        <v>264</v>
      </c>
      <c r="U792" s="11">
        <v>0.43388373911755823</v>
      </c>
      <c r="V792" s="11">
        <v>-0.90096886790241903</v>
      </c>
      <c r="W792" s="11">
        <v>-0.98235166084692371</v>
      </c>
      <c r="X792" s="11">
        <v>-0.18704334906991657</v>
      </c>
      <c r="Y792">
        <v>0</v>
      </c>
      <c r="Z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6">
        <v>45190</v>
      </c>
      <c r="B793" t="s">
        <v>41</v>
      </c>
      <c r="C793" t="s">
        <v>42</v>
      </c>
      <c r="D793" t="s">
        <v>43</v>
      </c>
      <c r="E793" t="s">
        <v>44</v>
      </c>
      <c r="F793">
        <v>85</v>
      </c>
      <c r="G793">
        <v>210</v>
      </c>
      <c r="H793">
        <v>118</v>
      </c>
      <c r="I793">
        <v>51</v>
      </c>
      <c r="J793" s="8">
        <v>0.6</v>
      </c>
      <c r="K793">
        <v>24</v>
      </c>
      <c r="L793">
        <v>28</v>
      </c>
      <c r="M793">
        <v>99</v>
      </c>
      <c r="N793" s="10">
        <v>525.59</v>
      </c>
      <c r="O793" s="7">
        <v>0</v>
      </c>
      <c r="P793" s="7">
        <v>29</v>
      </c>
      <c r="Q793">
        <v>3</v>
      </c>
      <c r="R793" t="s">
        <v>65</v>
      </c>
      <c r="S793">
        <v>9</v>
      </c>
      <c r="T793">
        <v>264</v>
      </c>
      <c r="U793" s="11">
        <v>0.43388373911755823</v>
      </c>
      <c r="V793" s="11">
        <v>-0.90096886790241903</v>
      </c>
      <c r="W793" s="11">
        <v>-0.98235166084692371</v>
      </c>
      <c r="X793" s="11">
        <v>-0.18704334906991657</v>
      </c>
      <c r="Y793">
        <v>0</v>
      </c>
      <c r="Z793">
        <v>0</v>
      </c>
      <c r="AB793">
        <v>0</v>
      </c>
      <c r="AC793">
        <v>0</v>
      </c>
      <c r="AD793">
        <v>0</v>
      </c>
      <c r="AE793">
        <v>0</v>
      </c>
    </row>
    <row r="794" spans="1:31">
      <c r="A794" s="6">
        <v>45191</v>
      </c>
      <c r="B794" t="s">
        <v>31</v>
      </c>
      <c r="C794" t="s">
        <v>32</v>
      </c>
      <c r="D794" t="s">
        <v>33</v>
      </c>
      <c r="E794" t="s">
        <v>34</v>
      </c>
      <c r="F794">
        <v>140</v>
      </c>
      <c r="G794">
        <v>360</v>
      </c>
      <c r="H794">
        <v>163</v>
      </c>
      <c r="I794">
        <v>72</v>
      </c>
      <c r="J794" s="8">
        <v>0.51428571428571423</v>
      </c>
      <c r="K794">
        <v>40</v>
      </c>
      <c r="L794">
        <v>17</v>
      </c>
      <c r="M794">
        <v>143</v>
      </c>
      <c r="N794" s="10">
        <v>403.51</v>
      </c>
      <c r="O794" s="7">
        <v>1.3</v>
      </c>
      <c r="P794" s="7">
        <v>29.3</v>
      </c>
      <c r="Q794">
        <v>4</v>
      </c>
      <c r="R794" t="s">
        <v>66</v>
      </c>
      <c r="S794">
        <v>9</v>
      </c>
      <c r="T794">
        <v>265</v>
      </c>
      <c r="U794" s="11">
        <v>-0.43388373911755801</v>
      </c>
      <c r="V794" s="11">
        <v>-0.90096886790241915</v>
      </c>
      <c r="W794" s="11">
        <v>-0.98542375429195239</v>
      </c>
      <c r="X794" s="11">
        <v>-0.17011767832049052</v>
      </c>
      <c r="Y794">
        <v>0</v>
      </c>
      <c r="Z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6">
        <v>45191</v>
      </c>
      <c r="B795" t="s">
        <v>36</v>
      </c>
      <c r="C795" t="s">
        <v>37</v>
      </c>
      <c r="D795" t="s">
        <v>38</v>
      </c>
      <c r="E795" t="s">
        <v>39</v>
      </c>
      <c r="F795">
        <v>125</v>
      </c>
      <c r="G795">
        <v>320</v>
      </c>
      <c r="H795">
        <v>168</v>
      </c>
      <c r="I795">
        <v>68</v>
      </c>
      <c r="J795" s="8">
        <v>0.54400000000000004</v>
      </c>
      <c r="K795">
        <v>36</v>
      </c>
      <c r="L795">
        <v>22</v>
      </c>
      <c r="M795">
        <v>156</v>
      </c>
      <c r="N795" s="10">
        <v>573.59</v>
      </c>
      <c r="O795" s="7">
        <v>1.3</v>
      </c>
      <c r="P795" s="7">
        <v>29.3</v>
      </c>
      <c r="Q795">
        <v>4</v>
      </c>
      <c r="R795" t="s">
        <v>66</v>
      </c>
      <c r="S795">
        <v>9</v>
      </c>
      <c r="T795">
        <v>265</v>
      </c>
      <c r="U795" s="11">
        <v>-0.43388373911755801</v>
      </c>
      <c r="V795" s="11">
        <v>-0.90096886790241915</v>
      </c>
      <c r="W795" s="11">
        <v>-0.98542375429195239</v>
      </c>
      <c r="X795" s="11">
        <v>-0.17011767832049052</v>
      </c>
      <c r="Y795">
        <v>0</v>
      </c>
      <c r="Z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6">
        <v>45191</v>
      </c>
      <c r="B796" t="s">
        <v>41</v>
      </c>
      <c r="C796" t="s">
        <v>42</v>
      </c>
      <c r="D796" t="s">
        <v>43</v>
      </c>
      <c r="E796" t="s">
        <v>44</v>
      </c>
      <c r="F796">
        <v>85</v>
      </c>
      <c r="G796">
        <v>210</v>
      </c>
      <c r="H796">
        <v>104</v>
      </c>
      <c r="I796">
        <v>47</v>
      </c>
      <c r="J796" s="8">
        <v>0.55294117647058827</v>
      </c>
      <c r="K796">
        <v>20</v>
      </c>
      <c r="L796">
        <v>19</v>
      </c>
      <c r="M796">
        <v>95</v>
      </c>
      <c r="N796" s="10">
        <v>521.38</v>
      </c>
      <c r="O796" s="7">
        <v>1.3</v>
      </c>
      <c r="P796" s="7">
        <v>29.3</v>
      </c>
      <c r="Q796">
        <v>4</v>
      </c>
      <c r="R796" t="s">
        <v>66</v>
      </c>
      <c r="S796">
        <v>9</v>
      </c>
      <c r="T796">
        <v>265</v>
      </c>
      <c r="U796" s="11">
        <v>-0.43388373911755801</v>
      </c>
      <c r="V796" s="11">
        <v>-0.90096886790241915</v>
      </c>
      <c r="W796" s="11">
        <v>-0.98542375429195239</v>
      </c>
      <c r="X796" s="11">
        <v>-0.17011767832049052</v>
      </c>
      <c r="Y796">
        <v>0</v>
      </c>
      <c r="Z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6">
        <v>45192</v>
      </c>
      <c r="B797" t="s">
        <v>31</v>
      </c>
      <c r="C797" t="s">
        <v>32</v>
      </c>
      <c r="D797" t="s">
        <v>33</v>
      </c>
      <c r="E797" t="s">
        <v>34</v>
      </c>
      <c r="F797">
        <v>140</v>
      </c>
      <c r="G797">
        <v>360</v>
      </c>
      <c r="H797">
        <v>198</v>
      </c>
      <c r="I797">
        <v>80</v>
      </c>
      <c r="J797" s="8">
        <v>0.5714285714285714</v>
      </c>
      <c r="K797">
        <v>48</v>
      </c>
      <c r="L797">
        <v>42</v>
      </c>
      <c r="M797">
        <v>184</v>
      </c>
      <c r="N797" s="10">
        <v>480.05</v>
      </c>
      <c r="O797" s="7">
        <v>4</v>
      </c>
      <c r="P797" s="7">
        <v>29.4</v>
      </c>
      <c r="Q797">
        <v>5</v>
      </c>
      <c r="R797" t="s">
        <v>67</v>
      </c>
      <c r="S797">
        <v>9</v>
      </c>
      <c r="T797">
        <v>266</v>
      </c>
      <c r="U797" s="11">
        <v>-0.97492791218182362</v>
      </c>
      <c r="V797" s="11">
        <v>-0.22252093395631459</v>
      </c>
      <c r="W797" s="11">
        <v>-0.98820424499414217</v>
      </c>
      <c r="X797" s="11">
        <v>-0.15314166701312007</v>
      </c>
      <c r="Y797">
        <v>1</v>
      </c>
      <c r="Z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6">
        <v>45192</v>
      </c>
      <c r="B798" t="s">
        <v>36</v>
      </c>
      <c r="C798" t="s">
        <v>37</v>
      </c>
      <c r="D798" t="s">
        <v>38</v>
      </c>
      <c r="E798" t="s">
        <v>39</v>
      </c>
      <c r="F798">
        <v>125</v>
      </c>
      <c r="G798">
        <v>320</v>
      </c>
      <c r="H798">
        <v>180</v>
      </c>
      <c r="I798">
        <v>77</v>
      </c>
      <c r="J798" s="8">
        <v>0.61599999999999999</v>
      </c>
      <c r="K798">
        <v>34</v>
      </c>
      <c r="L798">
        <v>39</v>
      </c>
      <c r="M798">
        <v>162</v>
      </c>
      <c r="N798" s="10">
        <v>676.77</v>
      </c>
      <c r="O798" s="7">
        <v>4</v>
      </c>
      <c r="P798" s="7">
        <v>29.4</v>
      </c>
      <c r="Q798">
        <v>5</v>
      </c>
      <c r="R798" t="s">
        <v>67</v>
      </c>
      <c r="S798">
        <v>9</v>
      </c>
      <c r="T798">
        <v>266</v>
      </c>
      <c r="U798" s="11">
        <v>-0.97492791218182362</v>
      </c>
      <c r="V798" s="11">
        <v>-0.22252093395631459</v>
      </c>
      <c r="W798" s="11">
        <v>-0.98820424499414217</v>
      </c>
      <c r="X798" s="11">
        <v>-0.15314166701312007</v>
      </c>
      <c r="Y798">
        <v>1</v>
      </c>
      <c r="Z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6">
        <v>45192</v>
      </c>
      <c r="B799" t="s">
        <v>41</v>
      </c>
      <c r="C799" t="s">
        <v>42</v>
      </c>
      <c r="D799" t="s">
        <v>43</v>
      </c>
      <c r="E799" t="s">
        <v>44</v>
      </c>
      <c r="F799">
        <v>85</v>
      </c>
      <c r="G799">
        <v>210</v>
      </c>
      <c r="H799">
        <v>144</v>
      </c>
      <c r="I799">
        <v>63</v>
      </c>
      <c r="J799" s="8">
        <v>0.74117647058823533</v>
      </c>
      <c r="K799">
        <v>33</v>
      </c>
      <c r="L799">
        <v>35</v>
      </c>
      <c r="M799">
        <v>129</v>
      </c>
      <c r="N799" s="10">
        <v>624.91</v>
      </c>
      <c r="O799" s="7">
        <v>4</v>
      </c>
      <c r="P799" s="7">
        <v>29.4</v>
      </c>
      <c r="Q799">
        <v>5</v>
      </c>
      <c r="R799" t="s">
        <v>67</v>
      </c>
      <c r="S799">
        <v>9</v>
      </c>
      <c r="T799">
        <v>266</v>
      </c>
      <c r="U799" s="11">
        <v>-0.97492791218182362</v>
      </c>
      <c r="V799" s="11">
        <v>-0.22252093395631459</v>
      </c>
      <c r="W799" s="11">
        <v>-0.98820424499414217</v>
      </c>
      <c r="X799" s="11">
        <v>-0.15314166701312007</v>
      </c>
      <c r="Y799">
        <v>1</v>
      </c>
      <c r="Z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6">
        <v>45193</v>
      </c>
      <c r="B800" t="s">
        <v>31</v>
      </c>
      <c r="C800" t="s">
        <v>32</v>
      </c>
      <c r="D800" t="s">
        <v>33</v>
      </c>
      <c r="E800" t="s">
        <v>34</v>
      </c>
      <c r="F800">
        <v>140</v>
      </c>
      <c r="G800">
        <v>360</v>
      </c>
      <c r="H800">
        <v>211</v>
      </c>
      <c r="I800">
        <v>92</v>
      </c>
      <c r="J800" s="8">
        <v>0.65714285714285714</v>
      </c>
      <c r="K800">
        <v>46</v>
      </c>
      <c r="L800">
        <v>45</v>
      </c>
      <c r="M800">
        <v>175</v>
      </c>
      <c r="N800" s="10">
        <v>498.32</v>
      </c>
      <c r="O800" s="7">
        <v>1</v>
      </c>
      <c r="P800" s="7">
        <v>28.5</v>
      </c>
      <c r="Q800">
        <v>6</v>
      </c>
      <c r="R800" t="s">
        <v>60</v>
      </c>
      <c r="S800">
        <v>9</v>
      </c>
      <c r="T800">
        <v>267</v>
      </c>
      <c r="U800" s="11">
        <v>-0.78183148246802991</v>
      </c>
      <c r="V800" s="11">
        <v>0.62348980185873337</v>
      </c>
      <c r="W800" s="11">
        <v>-0.9906923101615609</v>
      </c>
      <c r="X800" s="11">
        <v>-0.13612033862266704</v>
      </c>
      <c r="Y800">
        <v>1</v>
      </c>
      <c r="Z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6">
        <v>45193</v>
      </c>
      <c r="B801" t="s">
        <v>36</v>
      </c>
      <c r="C801" t="s">
        <v>37</v>
      </c>
      <c r="D801" t="s">
        <v>38</v>
      </c>
      <c r="E801" t="s">
        <v>39</v>
      </c>
      <c r="F801">
        <v>125</v>
      </c>
      <c r="G801">
        <v>320</v>
      </c>
      <c r="H801">
        <v>191</v>
      </c>
      <c r="I801">
        <v>79</v>
      </c>
      <c r="J801" s="8">
        <v>0.63200000000000001</v>
      </c>
      <c r="K801">
        <v>31</v>
      </c>
      <c r="L801">
        <v>42</v>
      </c>
      <c r="M801">
        <v>179</v>
      </c>
      <c r="N801" s="10">
        <v>744.96</v>
      </c>
      <c r="O801" s="7">
        <v>1</v>
      </c>
      <c r="P801" s="7">
        <v>28.5</v>
      </c>
      <c r="Q801">
        <v>6</v>
      </c>
      <c r="R801" t="s">
        <v>60</v>
      </c>
      <c r="S801">
        <v>9</v>
      </c>
      <c r="T801">
        <v>267</v>
      </c>
      <c r="U801" s="11">
        <v>-0.78183148246802991</v>
      </c>
      <c r="V801" s="11">
        <v>0.62348980185873337</v>
      </c>
      <c r="W801" s="11">
        <v>-0.9906923101615609</v>
      </c>
      <c r="X801" s="11">
        <v>-0.13612033862266704</v>
      </c>
      <c r="Y801">
        <v>1</v>
      </c>
      <c r="Z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6">
        <v>45193</v>
      </c>
      <c r="B802" t="s">
        <v>41</v>
      </c>
      <c r="C802" t="s">
        <v>42</v>
      </c>
      <c r="D802" t="s">
        <v>43</v>
      </c>
      <c r="E802" t="s">
        <v>44</v>
      </c>
      <c r="F802">
        <v>85</v>
      </c>
      <c r="G802">
        <v>210</v>
      </c>
      <c r="H802">
        <v>126</v>
      </c>
      <c r="I802">
        <v>56</v>
      </c>
      <c r="J802" s="8">
        <v>0.6588235294117647</v>
      </c>
      <c r="K802">
        <v>27</v>
      </c>
      <c r="L802">
        <v>23</v>
      </c>
      <c r="M802">
        <v>106</v>
      </c>
      <c r="N802" s="10">
        <v>625.41</v>
      </c>
      <c r="O802" s="7">
        <v>1</v>
      </c>
      <c r="P802" s="7">
        <v>28.5</v>
      </c>
      <c r="Q802">
        <v>6</v>
      </c>
      <c r="R802" t="s">
        <v>60</v>
      </c>
      <c r="S802">
        <v>9</v>
      </c>
      <c r="T802">
        <v>267</v>
      </c>
      <c r="U802" s="11">
        <v>-0.78183148246802991</v>
      </c>
      <c r="V802" s="11">
        <v>0.62348980185873337</v>
      </c>
      <c r="W802" s="11">
        <v>-0.9906923101615609</v>
      </c>
      <c r="X802" s="11">
        <v>-0.13612033862266704</v>
      </c>
      <c r="Y802">
        <v>1</v>
      </c>
      <c r="Z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6">
        <v>45194</v>
      </c>
      <c r="B803" t="s">
        <v>31</v>
      </c>
      <c r="C803" t="s">
        <v>32</v>
      </c>
      <c r="D803" t="s">
        <v>33</v>
      </c>
      <c r="E803" t="s">
        <v>34</v>
      </c>
      <c r="F803">
        <v>140</v>
      </c>
      <c r="G803">
        <v>360</v>
      </c>
      <c r="H803">
        <v>189</v>
      </c>
      <c r="I803">
        <v>81</v>
      </c>
      <c r="J803" s="8">
        <v>0.57857142857142863</v>
      </c>
      <c r="K803">
        <v>47</v>
      </c>
      <c r="L803">
        <v>35</v>
      </c>
      <c r="M803">
        <v>174</v>
      </c>
      <c r="N803" s="10">
        <v>410.64</v>
      </c>
      <c r="O803" s="7">
        <v>0.8</v>
      </c>
      <c r="P803" s="7">
        <v>30.6</v>
      </c>
      <c r="Q803">
        <v>0</v>
      </c>
      <c r="R803" t="s">
        <v>62</v>
      </c>
      <c r="S803">
        <v>9</v>
      </c>
      <c r="T803">
        <v>268</v>
      </c>
      <c r="U803" s="11">
        <v>0</v>
      </c>
      <c r="V803" s="11">
        <v>1</v>
      </c>
      <c r="W803" s="11">
        <v>-0.9928872135356962</v>
      </c>
      <c r="X803" s="11">
        <v>-0.11905873003404988</v>
      </c>
      <c r="Y803">
        <v>0</v>
      </c>
      <c r="Z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6">
        <v>45194</v>
      </c>
      <c r="B804" t="s">
        <v>36</v>
      </c>
      <c r="C804" t="s">
        <v>37</v>
      </c>
      <c r="D804" t="s">
        <v>38</v>
      </c>
      <c r="E804" t="s">
        <v>39</v>
      </c>
      <c r="F804">
        <v>125</v>
      </c>
      <c r="G804">
        <v>320</v>
      </c>
      <c r="H804">
        <v>143</v>
      </c>
      <c r="I804">
        <v>59</v>
      </c>
      <c r="J804" s="8">
        <v>0.47199999999999998</v>
      </c>
      <c r="K804">
        <v>26</v>
      </c>
      <c r="L804">
        <v>32</v>
      </c>
      <c r="M804">
        <v>119</v>
      </c>
      <c r="N804" s="10">
        <v>616.88</v>
      </c>
      <c r="O804" s="7">
        <v>0.8</v>
      </c>
      <c r="P804" s="7">
        <v>30.6</v>
      </c>
      <c r="Q804">
        <v>0</v>
      </c>
      <c r="R804" t="s">
        <v>62</v>
      </c>
      <c r="S804">
        <v>9</v>
      </c>
      <c r="T804">
        <v>268</v>
      </c>
      <c r="U804" s="11">
        <v>0</v>
      </c>
      <c r="V804" s="11">
        <v>1</v>
      </c>
      <c r="W804" s="11">
        <v>-0.9928872135356962</v>
      </c>
      <c r="X804" s="11">
        <v>-0.11905873003404988</v>
      </c>
      <c r="Y804">
        <v>0</v>
      </c>
      <c r="Z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6">
        <v>45194</v>
      </c>
      <c r="B805" t="s">
        <v>41</v>
      </c>
      <c r="C805" t="s">
        <v>42</v>
      </c>
      <c r="D805" t="s">
        <v>43</v>
      </c>
      <c r="E805" t="s">
        <v>44</v>
      </c>
      <c r="F805">
        <v>85</v>
      </c>
      <c r="G805">
        <v>210</v>
      </c>
      <c r="H805">
        <v>123</v>
      </c>
      <c r="I805">
        <v>54</v>
      </c>
      <c r="J805" s="8">
        <v>0.63529411764705879</v>
      </c>
      <c r="K805">
        <v>27</v>
      </c>
      <c r="L805">
        <v>32</v>
      </c>
      <c r="M805">
        <v>115</v>
      </c>
      <c r="N805" s="10">
        <v>509.69</v>
      </c>
      <c r="O805" s="7">
        <v>0.8</v>
      </c>
      <c r="P805" s="7">
        <v>30.6</v>
      </c>
      <c r="Q805">
        <v>0</v>
      </c>
      <c r="R805" t="s">
        <v>62</v>
      </c>
      <c r="S805">
        <v>9</v>
      </c>
      <c r="T805">
        <v>268</v>
      </c>
      <c r="U805" s="11">
        <v>0</v>
      </c>
      <c r="V805" s="11">
        <v>1</v>
      </c>
      <c r="W805" s="11">
        <v>-0.9928872135356962</v>
      </c>
      <c r="X805" s="11">
        <v>-0.11905873003404988</v>
      </c>
      <c r="Y805">
        <v>0</v>
      </c>
      <c r="Z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6">
        <v>45195</v>
      </c>
      <c r="B806" t="s">
        <v>31</v>
      </c>
      <c r="C806" t="s">
        <v>32</v>
      </c>
      <c r="D806" t="s">
        <v>33</v>
      </c>
      <c r="E806" t="s">
        <v>34</v>
      </c>
      <c r="F806">
        <v>140</v>
      </c>
      <c r="G806">
        <v>360</v>
      </c>
      <c r="H806">
        <v>184</v>
      </c>
      <c r="I806">
        <v>79</v>
      </c>
      <c r="J806" s="8">
        <v>0.56428571428571428</v>
      </c>
      <c r="K806">
        <v>49</v>
      </c>
      <c r="L806">
        <v>43</v>
      </c>
      <c r="M806">
        <v>170</v>
      </c>
      <c r="N806" s="10">
        <v>468.65</v>
      </c>
      <c r="O806" s="7">
        <v>0.1</v>
      </c>
      <c r="P806" s="7">
        <v>29.4</v>
      </c>
      <c r="Q806">
        <v>1</v>
      </c>
      <c r="R806" t="s">
        <v>63</v>
      </c>
      <c r="S806">
        <v>9</v>
      </c>
      <c r="T806">
        <v>269</v>
      </c>
      <c r="U806" s="11">
        <v>0.7818314824680298</v>
      </c>
      <c r="V806" s="11">
        <v>0.62348980185873359</v>
      </c>
      <c r="W806" s="11">
        <v>-0.99478830560932696</v>
      </c>
      <c r="X806" s="11">
        <v>-0.10196189005174576</v>
      </c>
      <c r="Y806">
        <v>0</v>
      </c>
      <c r="Z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6">
        <v>45195</v>
      </c>
      <c r="B807" t="s">
        <v>36</v>
      </c>
      <c r="C807" t="s">
        <v>37</v>
      </c>
      <c r="D807" t="s">
        <v>38</v>
      </c>
      <c r="E807" t="s">
        <v>39</v>
      </c>
      <c r="F807">
        <v>125</v>
      </c>
      <c r="G807">
        <v>320</v>
      </c>
      <c r="H807">
        <v>159</v>
      </c>
      <c r="I807">
        <v>66</v>
      </c>
      <c r="J807" s="8">
        <v>0.52800000000000002</v>
      </c>
      <c r="K807">
        <v>43</v>
      </c>
      <c r="L807">
        <v>25</v>
      </c>
      <c r="M807">
        <v>127</v>
      </c>
      <c r="N807" s="10">
        <v>660.92</v>
      </c>
      <c r="O807" s="7">
        <v>0.1</v>
      </c>
      <c r="P807" s="7">
        <v>29.4</v>
      </c>
      <c r="Q807">
        <v>1</v>
      </c>
      <c r="R807" t="s">
        <v>63</v>
      </c>
      <c r="S807">
        <v>9</v>
      </c>
      <c r="T807">
        <v>269</v>
      </c>
      <c r="U807" s="11">
        <v>0.7818314824680298</v>
      </c>
      <c r="V807" s="11">
        <v>0.62348980185873359</v>
      </c>
      <c r="W807" s="11">
        <v>-0.99478830560932696</v>
      </c>
      <c r="X807" s="11">
        <v>-0.10196189005174576</v>
      </c>
      <c r="Y807">
        <v>0</v>
      </c>
      <c r="Z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6">
        <v>45195</v>
      </c>
      <c r="B808" t="s">
        <v>41</v>
      </c>
      <c r="C808" t="s">
        <v>42</v>
      </c>
      <c r="D808" t="s">
        <v>43</v>
      </c>
      <c r="E808" t="s">
        <v>44</v>
      </c>
      <c r="F808">
        <v>85</v>
      </c>
      <c r="G808">
        <v>210</v>
      </c>
      <c r="H808">
        <v>110</v>
      </c>
      <c r="I808">
        <v>50</v>
      </c>
      <c r="J808" s="8">
        <v>0.58823529411764708</v>
      </c>
      <c r="K808">
        <v>26</v>
      </c>
      <c r="L808">
        <v>31</v>
      </c>
      <c r="M808">
        <v>93</v>
      </c>
      <c r="N808" s="10">
        <v>563.34</v>
      </c>
      <c r="O808" s="7">
        <v>0.1</v>
      </c>
      <c r="P808" s="7">
        <v>29.4</v>
      </c>
      <c r="Q808">
        <v>1</v>
      </c>
      <c r="R808" t="s">
        <v>63</v>
      </c>
      <c r="S808">
        <v>9</v>
      </c>
      <c r="T808">
        <v>269</v>
      </c>
      <c r="U808" s="11">
        <v>0.7818314824680298</v>
      </c>
      <c r="V808" s="11">
        <v>0.62348980185873359</v>
      </c>
      <c r="W808" s="11">
        <v>-0.99478830560932696</v>
      </c>
      <c r="X808" s="11">
        <v>-0.10196189005174576</v>
      </c>
      <c r="Y808">
        <v>0</v>
      </c>
      <c r="Z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6">
        <v>45196</v>
      </c>
      <c r="B809" t="s">
        <v>31</v>
      </c>
      <c r="C809" t="s">
        <v>32</v>
      </c>
      <c r="D809" t="s">
        <v>33</v>
      </c>
      <c r="E809" t="s">
        <v>34</v>
      </c>
      <c r="F809">
        <v>140</v>
      </c>
      <c r="G809">
        <v>360</v>
      </c>
      <c r="H809">
        <v>160</v>
      </c>
      <c r="I809">
        <v>69</v>
      </c>
      <c r="J809" s="8">
        <v>0.49285714285714288</v>
      </c>
      <c r="K809">
        <v>34</v>
      </c>
      <c r="L809">
        <v>36</v>
      </c>
      <c r="M809">
        <v>134</v>
      </c>
      <c r="N809" s="10">
        <v>466.17</v>
      </c>
      <c r="O809" s="7">
        <v>1.2</v>
      </c>
      <c r="P809" s="7">
        <v>30.1</v>
      </c>
      <c r="Q809">
        <v>2</v>
      </c>
      <c r="R809" t="s">
        <v>64</v>
      </c>
      <c r="S809">
        <v>9</v>
      </c>
      <c r="T809">
        <v>270</v>
      </c>
      <c r="U809" s="11">
        <v>0.97492791218182362</v>
      </c>
      <c r="V809" s="11">
        <v>-0.22252093395631434</v>
      </c>
      <c r="W809" s="11">
        <v>-0.99639502381872314</v>
      </c>
      <c r="X809" s="11">
        <v>-8.4834877905765382E-2</v>
      </c>
      <c r="Y809">
        <v>0</v>
      </c>
      <c r="Z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6">
        <v>45196</v>
      </c>
      <c r="B810" t="s">
        <v>36</v>
      </c>
      <c r="C810" t="s">
        <v>37</v>
      </c>
      <c r="D810" t="s">
        <v>38</v>
      </c>
      <c r="E810" t="s">
        <v>39</v>
      </c>
      <c r="F810">
        <v>125</v>
      </c>
      <c r="G810">
        <v>320</v>
      </c>
      <c r="H810">
        <v>133</v>
      </c>
      <c r="I810">
        <v>56</v>
      </c>
      <c r="J810" s="8">
        <v>0.44800000000000001</v>
      </c>
      <c r="K810">
        <v>19</v>
      </c>
      <c r="L810">
        <v>27</v>
      </c>
      <c r="M810">
        <v>112</v>
      </c>
      <c r="N810" s="10">
        <v>630.13</v>
      </c>
      <c r="O810" s="7">
        <v>1.2</v>
      </c>
      <c r="P810" s="7">
        <v>30.1</v>
      </c>
      <c r="Q810">
        <v>2</v>
      </c>
      <c r="R810" t="s">
        <v>64</v>
      </c>
      <c r="S810">
        <v>9</v>
      </c>
      <c r="T810">
        <v>270</v>
      </c>
      <c r="U810" s="11">
        <v>0.97492791218182362</v>
      </c>
      <c r="V810" s="11">
        <v>-0.22252093395631434</v>
      </c>
      <c r="W810" s="11">
        <v>-0.99639502381872314</v>
      </c>
      <c r="X810" s="11">
        <v>-8.4834877905765382E-2</v>
      </c>
      <c r="Y810">
        <v>0</v>
      </c>
      <c r="Z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6">
        <v>45196</v>
      </c>
      <c r="B811" t="s">
        <v>41</v>
      </c>
      <c r="C811" t="s">
        <v>42</v>
      </c>
      <c r="D811" t="s">
        <v>43</v>
      </c>
      <c r="E811" t="s">
        <v>44</v>
      </c>
      <c r="F811">
        <v>85</v>
      </c>
      <c r="G811">
        <v>210</v>
      </c>
      <c r="H811">
        <v>103</v>
      </c>
      <c r="I811">
        <v>46</v>
      </c>
      <c r="J811" s="8">
        <v>0.54117647058823526</v>
      </c>
      <c r="K811">
        <v>18</v>
      </c>
      <c r="L811">
        <v>28</v>
      </c>
      <c r="M811">
        <v>83</v>
      </c>
      <c r="N811" s="10">
        <v>493.92</v>
      </c>
      <c r="O811" s="7">
        <v>1.2</v>
      </c>
      <c r="P811" s="7">
        <v>30.1</v>
      </c>
      <c r="Q811">
        <v>2</v>
      </c>
      <c r="R811" t="s">
        <v>64</v>
      </c>
      <c r="S811">
        <v>9</v>
      </c>
      <c r="T811">
        <v>270</v>
      </c>
      <c r="U811" s="11">
        <v>0.97492791218182362</v>
      </c>
      <c r="V811" s="11">
        <v>-0.22252093395631434</v>
      </c>
      <c r="W811" s="11">
        <v>-0.99639502381872314</v>
      </c>
      <c r="X811" s="11">
        <v>-8.4834877905765382E-2</v>
      </c>
      <c r="Y811">
        <v>0</v>
      </c>
      <c r="Z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6">
        <v>45197</v>
      </c>
      <c r="B812" t="s">
        <v>31</v>
      </c>
      <c r="C812" t="s">
        <v>32</v>
      </c>
      <c r="D812" t="s">
        <v>33</v>
      </c>
      <c r="E812" t="s">
        <v>34</v>
      </c>
      <c r="F812">
        <v>140</v>
      </c>
      <c r="G812">
        <v>360</v>
      </c>
      <c r="H812">
        <v>177</v>
      </c>
      <c r="I812">
        <v>74</v>
      </c>
      <c r="J812" s="8">
        <v>0.52857142857142858</v>
      </c>
      <c r="K812">
        <v>35</v>
      </c>
      <c r="L812">
        <v>46</v>
      </c>
      <c r="M812">
        <v>155</v>
      </c>
      <c r="N812" s="10">
        <v>430.37</v>
      </c>
      <c r="O812" s="7">
        <v>0.9</v>
      </c>
      <c r="P812" s="7">
        <v>28.6</v>
      </c>
      <c r="Q812">
        <v>3</v>
      </c>
      <c r="R812" t="s">
        <v>65</v>
      </c>
      <c r="S812">
        <v>9</v>
      </c>
      <c r="T812">
        <v>271</v>
      </c>
      <c r="U812" s="11">
        <v>0.43388373911755823</v>
      </c>
      <c r="V812" s="11">
        <v>-0.90096886790241903</v>
      </c>
      <c r="W812" s="11">
        <v>-0.99770689271011681</v>
      </c>
      <c r="X812" s="11">
        <v>-6.7682761754551624E-2</v>
      </c>
      <c r="Y812">
        <v>0</v>
      </c>
      <c r="Z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6">
        <v>45197</v>
      </c>
      <c r="B813" t="s">
        <v>36</v>
      </c>
      <c r="C813" t="s">
        <v>37</v>
      </c>
      <c r="D813" t="s">
        <v>38</v>
      </c>
      <c r="E813" t="s">
        <v>39</v>
      </c>
      <c r="F813">
        <v>125</v>
      </c>
      <c r="G813">
        <v>320</v>
      </c>
      <c r="H813">
        <v>148</v>
      </c>
      <c r="I813">
        <v>60</v>
      </c>
      <c r="J813" s="8">
        <v>0.48</v>
      </c>
      <c r="K813">
        <v>30</v>
      </c>
      <c r="L813">
        <v>37</v>
      </c>
      <c r="M813">
        <v>120</v>
      </c>
      <c r="N813" s="10">
        <v>596.32000000000005</v>
      </c>
      <c r="O813" s="7">
        <v>0.9</v>
      </c>
      <c r="P813" s="7">
        <v>28.6</v>
      </c>
      <c r="Q813">
        <v>3</v>
      </c>
      <c r="R813" t="s">
        <v>65</v>
      </c>
      <c r="S813">
        <v>9</v>
      </c>
      <c r="T813">
        <v>271</v>
      </c>
      <c r="U813" s="11">
        <v>0.43388373911755823</v>
      </c>
      <c r="V813" s="11">
        <v>-0.90096886790241903</v>
      </c>
      <c r="W813" s="11">
        <v>-0.99770689271011681</v>
      </c>
      <c r="X813" s="11">
        <v>-6.7682761754551624E-2</v>
      </c>
      <c r="Y813">
        <v>0</v>
      </c>
      <c r="Z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6">
        <v>45197</v>
      </c>
      <c r="B814" t="s">
        <v>41</v>
      </c>
      <c r="C814" t="s">
        <v>42</v>
      </c>
      <c r="D814" t="s">
        <v>43</v>
      </c>
      <c r="E814" t="s">
        <v>44</v>
      </c>
      <c r="F814">
        <v>85</v>
      </c>
      <c r="G814">
        <v>210</v>
      </c>
      <c r="H814">
        <v>114</v>
      </c>
      <c r="I814">
        <v>50</v>
      </c>
      <c r="J814" s="8">
        <v>0.58823529411764708</v>
      </c>
      <c r="K814">
        <v>32</v>
      </c>
      <c r="L814">
        <v>34</v>
      </c>
      <c r="M814">
        <v>101</v>
      </c>
      <c r="N814" s="10">
        <v>528.91999999999996</v>
      </c>
      <c r="O814" s="7">
        <v>0.9</v>
      </c>
      <c r="P814" s="7">
        <v>28.6</v>
      </c>
      <c r="Q814">
        <v>3</v>
      </c>
      <c r="R814" t="s">
        <v>65</v>
      </c>
      <c r="S814">
        <v>9</v>
      </c>
      <c r="T814">
        <v>271</v>
      </c>
      <c r="U814" s="11">
        <v>0.43388373911755823</v>
      </c>
      <c r="V814" s="11">
        <v>-0.90096886790241903</v>
      </c>
      <c r="W814" s="11">
        <v>-0.99770689271011681</v>
      </c>
      <c r="X814" s="11">
        <v>-6.7682761754551624E-2</v>
      </c>
      <c r="Y814">
        <v>0</v>
      </c>
      <c r="Z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6">
        <v>45198</v>
      </c>
      <c r="B815" t="s">
        <v>31</v>
      </c>
      <c r="C815" t="s">
        <v>32</v>
      </c>
      <c r="D815" t="s">
        <v>33</v>
      </c>
      <c r="E815" t="s">
        <v>34</v>
      </c>
      <c r="F815">
        <v>140</v>
      </c>
      <c r="G815">
        <v>360</v>
      </c>
      <c r="H815">
        <v>201</v>
      </c>
      <c r="I815">
        <v>85</v>
      </c>
      <c r="J815" s="8">
        <v>0.6071428571428571</v>
      </c>
      <c r="K815">
        <v>55</v>
      </c>
      <c r="L815">
        <v>46</v>
      </c>
      <c r="M815">
        <v>168</v>
      </c>
      <c r="N815" s="10">
        <v>465.71</v>
      </c>
      <c r="O815" s="7">
        <v>5.4</v>
      </c>
      <c r="P815" s="7">
        <v>29.4</v>
      </c>
      <c r="Q815">
        <v>4</v>
      </c>
      <c r="R815" t="s">
        <v>66</v>
      </c>
      <c r="S815">
        <v>9</v>
      </c>
      <c r="T815">
        <v>272</v>
      </c>
      <c r="U815" s="11">
        <v>-0.43388373911755801</v>
      </c>
      <c r="V815" s="11">
        <v>-0.90096886790241915</v>
      </c>
      <c r="W815" s="11">
        <v>-0.99872352408039722</v>
      </c>
      <c r="X815" s="11">
        <v>-5.0510617185222886E-2</v>
      </c>
      <c r="Y815">
        <v>0</v>
      </c>
      <c r="Z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6">
        <v>45198</v>
      </c>
      <c r="B816" t="s">
        <v>36</v>
      </c>
      <c r="C816" t="s">
        <v>37</v>
      </c>
      <c r="D816" t="s">
        <v>38</v>
      </c>
      <c r="E816" t="s">
        <v>39</v>
      </c>
      <c r="F816">
        <v>125</v>
      </c>
      <c r="G816">
        <v>320</v>
      </c>
      <c r="H816">
        <v>164</v>
      </c>
      <c r="I816">
        <v>67</v>
      </c>
      <c r="J816" s="8">
        <v>0.53600000000000003</v>
      </c>
      <c r="K816">
        <v>26</v>
      </c>
      <c r="L816">
        <v>21</v>
      </c>
      <c r="M816">
        <v>148</v>
      </c>
      <c r="N816" s="10">
        <v>655.51</v>
      </c>
      <c r="O816" s="7">
        <v>5.4</v>
      </c>
      <c r="P816" s="7">
        <v>29.4</v>
      </c>
      <c r="Q816">
        <v>4</v>
      </c>
      <c r="R816" t="s">
        <v>66</v>
      </c>
      <c r="S816">
        <v>9</v>
      </c>
      <c r="T816">
        <v>272</v>
      </c>
      <c r="U816" s="11">
        <v>-0.43388373911755801</v>
      </c>
      <c r="V816" s="11">
        <v>-0.90096886790241915</v>
      </c>
      <c r="W816" s="11">
        <v>-0.99872352408039722</v>
      </c>
      <c r="X816" s="11">
        <v>-5.0510617185222886E-2</v>
      </c>
      <c r="Y816">
        <v>0</v>
      </c>
      <c r="Z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6">
        <v>45198</v>
      </c>
      <c r="B817" t="s">
        <v>41</v>
      </c>
      <c r="C817" t="s">
        <v>42</v>
      </c>
      <c r="D817" t="s">
        <v>43</v>
      </c>
      <c r="E817" t="s">
        <v>44</v>
      </c>
      <c r="F817">
        <v>85</v>
      </c>
      <c r="G817">
        <v>210</v>
      </c>
      <c r="H817">
        <v>107</v>
      </c>
      <c r="I817">
        <v>50</v>
      </c>
      <c r="J817" s="8">
        <v>0.58823529411764708</v>
      </c>
      <c r="K817">
        <v>27</v>
      </c>
      <c r="L817">
        <v>15</v>
      </c>
      <c r="M817">
        <v>88</v>
      </c>
      <c r="N817" s="10">
        <v>579.28</v>
      </c>
      <c r="O817" s="7">
        <v>5.4</v>
      </c>
      <c r="P817" s="7">
        <v>29.4</v>
      </c>
      <c r="Q817">
        <v>4</v>
      </c>
      <c r="R817" t="s">
        <v>66</v>
      </c>
      <c r="S817">
        <v>9</v>
      </c>
      <c r="T817">
        <v>272</v>
      </c>
      <c r="U817" s="11">
        <v>-0.43388373911755801</v>
      </c>
      <c r="V817" s="11">
        <v>-0.90096886790241915</v>
      </c>
      <c r="W817" s="11">
        <v>-0.99872352408039722</v>
      </c>
      <c r="X817" s="11">
        <v>-5.0510617185222886E-2</v>
      </c>
      <c r="Y817">
        <v>0</v>
      </c>
      <c r="Z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6">
        <v>45199</v>
      </c>
      <c r="B818" t="s">
        <v>31</v>
      </c>
      <c r="C818" t="s">
        <v>32</v>
      </c>
      <c r="D818" t="s">
        <v>33</v>
      </c>
      <c r="E818" t="s">
        <v>34</v>
      </c>
      <c r="F818">
        <v>140</v>
      </c>
      <c r="G818">
        <v>360</v>
      </c>
      <c r="H818">
        <v>203</v>
      </c>
      <c r="I818">
        <v>87</v>
      </c>
      <c r="J818" s="8">
        <v>0.62142857142857144</v>
      </c>
      <c r="K818">
        <v>45</v>
      </c>
      <c r="L818">
        <v>46</v>
      </c>
      <c r="M818">
        <v>163</v>
      </c>
      <c r="N818" s="10">
        <v>450.5</v>
      </c>
      <c r="O818" s="7">
        <v>2.5</v>
      </c>
      <c r="P818" s="7">
        <v>28.7</v>
      </c>
      <c r="Q818">
        <v>5</v>
      </c>
      <c r="R818" t="s">
        <v>67</v>
      </c>
      <c r="S818">
        <v>9</v>
      </c>
      <c r="T818">
        <v>273</v>
      </c>
      <c r="U818" s="11">
        <v>-0.97492791218182362</v>
      </c>
      <c r="V818" s="11">
        <v>-0.22252093395631459</v>
      </c>
      <c r="W818" s="11">
        <v>-0.99944461709198584</v>
      </c>
      <c r="X818" s="11">
        <v>-3.3323525711631344E-2</v>
      </c>
      <c r="Y818">
        <v>1</v>
      </c>
      <c r="Z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6">
        <v>45199</v>
      </c>
      <c r="B819" t="s">
        <v>36</v>
      </c>
      <c r="C819" t="s">
        <v>37</v>
      </c>
      <c r="D819" t="s">
        <v>38</v>
      </c>
      <c r="E819" t="s">
        <v>39</v>
      </c>
      <c r="F819">
        <v>125</v>
      </c>
      <c r="G819">
        <v>320</v>
      </c>
      <c r="H819">
        <v>175</v>
      </c>
      <c r="I819">
        <v>72</v>
      </c>
      <c r="J819" s="8">
        <v>0.57599999999999996</v>
      </c>
      <c r="K819">
        <v>32</v>
      </c>
      <c r="L819">
        <v>43</v>
      </c>
      <c r="M819">
        <v>151</v>
      </c>
      <c r="N819" s="10">
        <v>711.88</v>
      </c>
      <c r="O819" s="7">
        <v>2.5</v>
      </c>
      <c r="P819" s="7">
        <v>28.7</v>
      </c>
      <c r="Q819">
        <v>5</v>
      </c>
      <c r="R819" t="s">
        <v>67</v>
      </c>
      <c r="S819">
        <v>9</v>
      </c>
      <c r="T819">
        <v>273</v>
      </c>
      <c r="U819" s="11">
        <v>-0.97492791218182362</v>
      </c>
      <c r="V819" s="11">
        <v>-0.22252093395631459</v>
      </c>
      <c r="W819" s="11">
        <v>-0.99944461709198584</v>
      </c>
      <c r="X819" s="11">
        <v>-3.3323525711631344E-2</v>
      </c>
      <c r="Y819">
        <v>1</v>
      </c>
      <c r="Z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6">
        <v>45199</v>
      </c>
      <c r="B820" t="s">
        <v>41</v>
      </c>
      <c r="C820" t="s">
        <v>42</v>
      </c>
      <c r="D820" t="s">
        <v>43</v>
      </c>
      <c r="E820" t="s">
        <v>44</v>
      </c>
      <c r="F820">
        <v>85</v>
      </c>
      <c r="G820">
        <v>210</v>
      </c>
      <c r="H820">
        <v>135</v>
      </c>
      <c r="I820">
        <v>61</v>
      </c>
      <c r="J820" s="8">
        <v>0.71764705882352942</v>
      </c>
      <c r="K820">
        <v>27</v>
      </c>
      <c r="L820">
        <v>22</v>
      </c>
      <c r="M820">
        <v>120</v>
      </c>
      <c r="N820" s="10">
        <v>639.6</v>
      </c>
      <c r="O820" s="7">
        <v>2.5</v>
      </c>
      <c r="P820" s="7">
        <v>28.7</v>
      </c>
      <c r="Q820">
        <v>5</v>
      </c>
      <c r="R820" t="s">
        <v>67</v>
      </c>
      <c r="S820">
        <v>9</v>
      </c>
      <c r="T820">
        <v>273</v>
      </c>
      <c r="U820" s="11">
        <v>-0.97492791218182362</v>
      </c>
      <c r="V820" s="11">
        <v>-0.22252093395631459</v>
      </c>
      <c r="W820" s="11">
        <v>-0.99944461709198584</v>
      </c>
      <c r="X820" s="11">
        <v>-3.3323525711631344E-2</v>
      </c>
      <c r="Y820">
        <v>1</v>
      </c>
      <c r="Z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6">
        <v>45200</v>
      </c>
      <c r="B821" t="s">
        <v>31</v>
      </c>
      <c r="C821" t="s">
        <v>32</v>
      </c>
      <c r="D821" t="s">
        <v>33</v>
      </c>
      <c r="E821" t="s">
        <v>34</v>
      </c>
      <c r="F821">
        <v>140</v>
      </c>
      <c r="G821">
        <v>360</v>
      </c>
      <c r="H821">
        <v>201</v>
      </c>
      <c r="I821">
        <v>86</v>
      </c>
      <c r="J821" s="8">
        <v>0.61428571428571432</v>
      </c>
      <c r="K821">
        <v>47</v>
      </c>
      <c r="L821">
        <v>22</v>
      </c>
      <c r="M821">
        <v>173</v>
      </c>
      <c r="N821" s="10">
        <v>467.55</v>
      </c>
      <c r="O821" s="7">
        <v>0</v>
      </c>
      <c r="P821" s="7">
        <v>29.4</v>
      </c>
      <c r="Q821">
        <v>6</v>
      </c>
      <c r="R821" t="s">
        <v>60</v>
      </c>
      <c r="S821">
        <v>10</v>
      </c>
      <c r="T821">
        <v>274</v>
      </c>
      <c r="U821" s="11">
        <v>-0.78183148246802991</v>
      </c>
      <c r="V821" s="11">
        <v>0.62348980185873337</v>
      </c>
      <c r="W821" s="11">
        <v>-0.99986995836185921</v>
      </c>
      <c r="X821" s="11">
        <v>-1.6126573270657762E-2</v>
      </c>
      <c r="Y821">
        <v>1</v>
      </c>
      <c r="Z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6">
        <v>45200</v>
      </c>
      <c r="B822" t="s">
        <v>36</v>
      </c>
      <c r="C822" t="s">
        <v>37</v>
      </c>
      <c r="D822" t="s">
        <v>38</v>
      </c>
      <c r="E822" t="s">
        <v>39</v>
      </c>
      <c r="F822">
        <v>125</v>
      </c>
      <c r="G822">
        <v>320</v>
      </c>
      <c r="H822">
        <v>197</v>
      </c>
      <c r="I822">
        <v>81</v>
      </c>
      <c r="J822" s="8">
        <v>0.64800000000000002</v>
      </c>
      <c r="K822">
        <v>42</v>
      </c>
      <c r="L822">
        <v>53</v>
      </c>
      <c r="M822">
        <v>173</v>
      </c>
      <c r="N822" s="10">
        <v>748.14</v>
      </c>
      <c r="O822" s="7">
        <v>0</v>
      </c>
      <c r="P822" s="7">
        <v>29.4</v>
      </c>
      <c r="Q822">
        <v>6</v>
      </c>
      <c r="R822" t="s">
        <v>60</v>
      </c>
      <c r="S822">
        <v>10</v>
      </c>
      <c r="T822">
        <v>274</v>
      </c>
      <c r="U822" s="11">
        <v>-0.78183148246802991</v>
      </c>
      <c r="V822" s="11">
        <v>0.62348980185873337</v>
      </c>
      <c r="W822" s="11">
        <v>-0.99986995836185921</v>
      </c>
      <c r="X822" s="11">
        <v>-1.6126573270657762E-2</v>
      </c>
      <c r="Y822">
        <v>1</v>
      </c>
      <c r="Z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6">
        <v>45200</v>
      </c>
      <c r="B823" t="s">
        <v>41</v>
      </c>
      <c r="C823" t="s">
        <v>42</v>
      </c>
      <c r="D823" t="s">
        <v>43</v>
      </c>
      <c r="E823" t="s">
        <v>44</v>
      </c>
      <c r="F823">
        <v>85</v>
      </c>
      <c r="G823">
        <v>210</v>
      </c>
      <c r="H823">
        <v>144</v>
      </c>
      <c r="I823">
        <v>64</v>
      </c>
      <c r="J823" s="8">
        <v>0.75294117647058822</v>
      </c>
      <c r="K823">
        <v>21</v>
      </c>
      <c r="L823">
        <v>38</v>
      </c>
      <c r="M823">
        <v>118</v>
      </c>
      <c r="N823" s="10">
        <v>569.17999999999995</v>
      </c>
      <c r="O823" s="7">
        <v>0</v>
      </c>
      <c r="P823" s="7">
        <v>29.4</v>
      </c>
      <c r="Q823">
        <v>6</v>
      </c>
      <c r="R823" t="s">
        <v>60</v>
      </c>
      <c r="S823">
        <v>10</v>
      </c>
      <c r="T823">
        <v>274</v>
      </c>
      <c r="U823" s="11">
        <v>-0.78183148246802991</v>
      </c>
      <c r="V823" s="11">
        <v>0.62348980185873337</v>
      </c>
      <c r="W823" s="11">
        <v>-0.99986995836185921</v>
      </c>
      <c r="X823" s="11">
        <v>-1.6126573270657762E-2</v>
      </c>
      <c r="Y823">
        <v>1</v>
      </c>
      <c r="Z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6">
        <v>45201</v>
      </c>
      <c r="B824" t="s">
        <v>31</v>
      </c>
      <c r="C824" t="s">
        <v>32</v>
      </c>
      <c r="D824" t="s">
        <v>33</v>
      </c>
      <c r="E824" t="s">
        <v>34</v>
      </c>
      <c r="F824">
        <v>140</v>
      </c>
      <c r="G824">
        <v>360</v>
      </c>
      <c r="H824">
        <v>189</v>
      </c>
      <c r="I824">
        <v>81</v>
      </c>
      <c r="J824" s="8">
        <v>0.57857142857142863</v>
      </c>
      <c r="K824">
        <v>32</v>
      </c>
      <c r="L824">
        <v>17</v>
      </c>
      <c r="M824">
        <v>169</v>
      </c>
      <c r="N824" s="10">
        <v>429.37</v>
      </c>
      <c r="O824" s="7">
        <v>1.8</v>
      </c>
      <c r="P824" s="7">
        <v>28.7</v>
      </c>
      <c r="Q824">
        <v>0</v>
      </c>
      <c r="R824" t="s">
        <v>62</v>
      </c>
      <c r="S824">
        <v>10</v>
      </c>
      <c r="T824">
        <v>275</v>
      </c>
      <c r="U824" s="11">
        <v>0</v>
      </c>
      <c r="V824" s="11">
        <v>1</v>
      </c>
      <c r="W824" s="11">
        <v>-0.9999994220246925</v>
      </c>
      <c r="X824" s="11">
        <v>1.0751512827982259E-3</v>
      </c>
      <c r="Y824">
        <v>0</v>
      </c>
      <c r="Z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6">
        <v>45201</v>
      </c>
      <c r="B825" t="s">
        <v>36</v>
      </c>
      <c r="C825" t="s">
        <v>37</v>
      </c>
      <c r="D825" t="s">
        <v>38</v>
      </c>
      <c r="E825" t="s">
        <v>39</v>
      </c>
      <c r="F825">
        <v>125</v>
      </c>
      <c r="G825">
        <v>320</v>
      </c>
      <c r="H825">
        <v>141</v>
      </c>
      <c r="I825">
        <v>58</v>
      </c>
      <c r="J825" s="8">
        <v>0.46400000000000002</v>
      </c>
      <c r="K825">
        <v>37</v>
      </c>
      <c r="L825">
        <v>35</v>
      </c>
      <c r="M825">
        <v>127</v>
      </c>
      <c r="N825" s="10">
        <v>669.27</v>
      </c>
      <c r="O825" s="7">
        <v>1.8</v>
      </c>
      <c r="P825" s="7">
        <v>28.7</v>
      </c>
      <c r="Q825">
        <v>0</v>
      </c>
      <c r="R825" t="s">
        <v>62</v>
      </c>
      <c r="S825">
        <v>10</v>
      </c>
      <c r="T825">
        <v>275</v>
      </c>
      <c r="U825" s="11">
        <v>0</v>
      </c>
      <c r="V825" s="11">
        <v>1</v>
      </c>
      <c r="W825" s="11">
        <v>-0.9999994220246925</v>
      </c>
      <c r="X825" s="11">
        <v>1.0751512827982259E-3</v>
      </c>
      <c r="Y825">
        <v>0</v>
      </c>
      <c r="Z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6">
        <v>45201</v>
      </c>
      <c r="B826" t="s">
        <v>41</v>
      </c>
      <c r="C826" t="s">
        <v>42</v>
      </c>
      <c r="D826" t="s">
        <v>43</v>
      </c>
      <c r="E826" t="s">
        <v>44</v>
      </c>
      <c r="F826">
        <v>85</v>
      </c>
      <c r="G826">
        <v>210</v>
      </c>
      <c r="H826">
        <v>107</v>
      </c>
      <c r="I826">
        <v>46</v>
      </c>
      <c r="J826" s="8">
        <v>0.54117647058823526</v>
      </c>
      <c r="K826">
        <v>21</v>
      </c>
      <c r="L826">
        <v>23</v>
      </c>
      <c r="M826">
        <v>96</v>
      </c>
      <c r="N826" s="10">
        <v>526.36</v>
      </c>
      <c r="O826" s="7">
        <v>1.8</v>
      </c>
      <c r="P826" s="7">
        <v>28.7</v>
      </c>
      <c r="Q826">
        <v>0</v>
      </c>
      <c r="R826" t="s">
        <v>62</v>
      </c>
      <c r="S826">
        <v>10</v>
      </c>
      <c r="T826">
        <v>275</v>
      </c>
      <c r="U826" s="11">
        <v>0</v>
      </c>
      <c r="V826" s="11">
        <v>1</v>
      </c>
      <c r="W826" s="11">
        <v>-0.9999994220246925</v>
      </c>
      <c r="X826" s="11">
        <v>1.0751512827982259E-3</v>
      </c>
      <c r="Y826">
        <v>0</v>
      </c>
      <c r="Z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6">
        <v>45202</v>
      </c>
      <c r="B827" t="s">
        <v>31</v>
      </c>
      <c r="C827" t="s">
        <v>32</v>
      </c>
      <c r="D827" t="s">
        <v>33</v>
      </c>
      <c r="E827" t="s">
        <v>34</v>
      </c>
      <c r="F827">
        <v>140</v>
      </c>
      <c r="G827">
        <v>360</v>
      </c>
      <c r="H827">
        <v>182</v>
      </c>
      <c r="I827">
        <v>79</v>
      </c>
      <c r="J827" s="8">
        <v>0.56428571428571428</v>
      </c>
      <c r="K827">
        <v>39</v>
      </c>
      <c r="L827">
        <v>24</v>
      </c>
      <c r="M827">
        <v>167</v>
      </c>
      <c r="N827" s="10">
        <v>408.59</v>
      </c>
      <c r="O827" s="7">
        <v>2.2000000000000002</v>
      </c>
      <c r="P827" s="7">
        <v>29.4</v>
      </c>
      <c r="Q827">
        <v>1</v>
      </c>
      <c r="R827" t="s">
        <v>63</v>
      </c>
      <c r="S827">
        <v>10</v>
      </c>
      <c r="T827">
        <v>276</v>
      </c>
      <c r="U827" s="11">
        <v>0.7818314824680298</v>
      </c>
      <c r="V827" s="11">
        <v>0.62348980185873359</v>
      </c>
      <c r="W827" s="11">
        <v>-0.99983296977010505</v>
      </c>
      <c r="X827" s="11">
        <v>1.8276557681691223E-2</v>
      </c>
      <c r="Y827">
        <v>0</v>
      </c>
      <c r="Z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6">
        <v>45202</v>
      </c>
      <c r="B828" t="s">
        <v>36</v>
      </c>
      <c r="C828" t="s">
        <v>37</v>
      </c>
      <c r="D828" t="s">
        <v>38</v>
      </c>
      <c r="E828" t="s">
        <v>39</v>
      </c>
      <c r="F828">
        <v>125</v>
      </c>
      <c r="G828">
        <v>320</v>
      </c>
      <c r="H828">
        <v>138</v>
      </c>
      <c r="I828">
        <v>57</v>
      </c>
      <c r="J828" s="8">
        <v>0.45600000000000002</v>
      </c>
      <c r="K828">
        <v>19</v>
      </c>
      <c r="L828">
        <v>8</v>
      </c>
      <c r="M828">
        <v>120</v>
      </c>
      <c r="N828" s="10">
        <v>566.76</v>
      </c>
      <c r="O828" s="7">
        <v>2.2000000000000002</v>
      </c>
      <c r="P828" s="7">
        <v>29.4</v>
      </c>
      <c r="Q828">
        <v>1</v>
      </c>
      <c r="R828" t="s">
        <v>63</v>
      </c>
      <c r="S828">
        <v>10</v>
      </c>
      <c r="T828">
        <v>276</v>
      </c>
      <c r="U828" s="11">
        <v>0.7818314824680298</v>
      </c>
      <c r="V828" s="11">
        <v>0.62348980185873359</v>
      </c>
      <c r="W828" s="11">
        <v>-0.99983296977010505</v>
      </c>
      <c r="X828" s="11">
        <v>1.8276557681691223E-2</v>
      </c>
      <c r="Y828">
        <v>0</v>
      </c>
      <c r="Z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6">
        <v>45202</v>
      </c>
      <c r="B829" t="s">
        <v>41</v>
      </c>
      <c r="C829" t="s">
        <v>42</v>
      </c>
      <c r="D829" t="s">
        <v>43</v>
      </c>
      <c r="E829" t="s">
        <v>44</v>
      </c>
      <c r="F829">
        <v>85</v>
      </c>
      <c r="G829">
        <v>210</v>
      </c>
      <c r="H829">
        <v>103</v>
      </c>
      <c r="I829">
        <v>48</v>
      </c>
      <c r="J829" s="8">
        <v>0.56470588235294117</v>
      </c>
      <c r="K829">
        <v>16</v>
      </c>
      <c r="L829">
        <v>21</v>
      </c>
      <c r="M829">
        <v>94</v>
      </c>
      <c r="N829" s="10">
        <v>559.77</v>
      </c>
      <c r="O829" s="7">
        <v>2.2000000000000002</v>
      </c>
      <c r="P829" s="7">
        <v>29.4</v>
      </c>
      <c r="Q829">
        <v>1</v>
      </c>
      <c r="R829" t="s">
        <v>63</v>
      </c>
      <c r="S829">
        <v>10</v>
      </c>
      <c r="T829">
        <v>276</v>
      </c>
      <c r="U829" s="11">
        <v>0.7818314824680298</v>
      </c>
      <c r="V829" s="11">
        <v>0.62348980185873359</v>
      </c>
      <c r="W829" s="11">
        <v>-0.99983296977010505</v>
      </c>
      <c r="X829" s="11">
        <v>1.8276557681691223E-2</v>
      </c>
      <c r="Y829">
        <v>0</v>
      </c>
      <c r="Z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6">
        <v>45203</v>
      </c>
      <c r="B830" t="s">
        <v>31</v>
      </c>
      <c r="C830" t="s">
        <v>32</v>
      </c>
      <c r="D830" t="s">
        <v>33</v>
      </c>
      <c r="E830" t="s">
        <v>34</v>
      </c>
      <c r="F830">
        <v>140</v>
      </c>
      <c r="G830">
        <v>360</v>
      </c>
      <c r="H830">
        <v>160</v>
      </c>
      <c r="I830">
        <v>67</v>
      </c>
      <c r="J830" s="8">
        <v>0.47857142857142859</v>
      </c>
      <c r="K830">
        <v>26</v>
      </c>
      <c r="L830">
        <v>25</v>
      </c>
      <c r="M830">
        <v>139</v>
      </c>
      <c r="N830" s="10">
        <v>434.28</v>
      </c>
      <c r="O830" s="7">
        <v>1.7</v>
      </c>
      <c r="P830" s="7">
        <v>29.7</v>
      </c>
      <c r="Q830">
        <v>2</v>
      </c>
      <c r="R830" t="s">
        <v>64</v>
      </c>
      <c r="S830">
        <v>10</v>
      </c>
      <c r="T830">
        <v>277</v>
      </c>
      <c r="U830" s="11">
        <v>0.97492791218182362</v>
      </c>
      <c r="V830" s="11">
        <v>-0.22252093395631434</v>
      </c>
      <c r="W830" s="11">
        <v>-0.9993706508539969</v>
      </c>
      <c r="X830" s="11">
        <v>3.5472555753125558E-2</v>
      </c>
      <c r="Y830">
        <v>0</v>
      </c>
      <c r="Z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6">
        <v>45203</v>
      </c>
      <c r="B831" t="s">
        <v>36</v>
      </c>
      <c r="C831" t="s">
        <v>37</v>
      </c>
      <c r="D831" t="s">
        <v>38</v>
      </c>
      <c r="E831" t="s">
        <v>39</v>
      </c>
      <c r="F831">
        <v>125</v>
      </c>
      <c r="G831">
        <v>320</v>
      </c>
      <c r="H831">
        <v>137</v>
      </c>
      <c r="I831">
        <v>61</v>
      </c>
      <c r="J831" s="8">
        <v>0.48799999999999999</v>
      </c>
      <c r="K831">
        <v>17</v>
      </c>
      <c r="L831">
        <v>24</v>
      </c>
      <c r="M831">
        <v>113</v>
      </c>
      <c r="N831" s="10">
        <v>649.27</v>
      </c>
      <c r="O831" s="7">
        <v>1.7</v>
      </c>
      <c r="P831" s="7">
        <v>29.7</v>
      </c>
      <c r="Q831">
        <v>2</v>
      </c>
      <c r="R831" t="s">
        <v>64</v>
      </c>
      <c r="S831">
        <v>10</v>
      </c>
      <c r="T831">
        <v>277</v>
      </c>
      <c r="U831" s="11">
        <v>0.97492791218182362</v>
      </c>
      <c r="V831" s="11">
        <v>-0.22252093395631434</v>
      </c>
      <c r="W831" s="11">
        <v>-0.9993706508539969</v>
      </c>
      <c r="X831" s="11">
        <v>3.5472555753125558E-2</v>
      </c>
      <c r="Y831">
        <v>0</v>
      </c>
      <c r="Z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6">
        <v>45203</v>
      </c>
      <c r="B832" t="s">
        <v>41</v>
      </c>
      <c r="C832" t="s">
        <v>42</v>
      </c>
      <c r="D832" t="s">
        <v>43</v>
      </c>
      <c r="E832" t="s">
        <v>44</v>
      </c>
      <c r="F832">
        <v>85</v>
      </c>
      <c r="G832">
        <v>210</v>
      </c>
      <c r="H832">
        <v>108</v>
      </c>
      <c r="I832">
        <v>47</v>
      </c>
      <c r="J832" s="8">
        <v>0.55294117647058827</v>
      </c>
      <c r="K832">
        <v>22</v>
      </c>
      <c r="L832">
        <v>20</v>
      </c>
      <c r="M832">
        <v>90</v>
      </c>
      <c r="N832" s="10">
        <v>481.85</v>
      </c>
      <c r="O832" s="7">
        <v>1.7</v>
      </c>
      <c r="P832" s="7">
        <v>29.7</v>
      </c>
      <c r="Q832">
        <v>2</v>
      </c>
      <c r="R832" t="s">
        <v>64</v>
      </c>
      <c r="S832">
        <v>10</v>
      </c>
      <c r="T832">
        <v>277</v>
      </c>
      <c r="U832" s="11">
        <v>0.97492791218182362</v>
      </c>
      <c r="V832" s="11">
        <v>-0.22252093395631434</v>
      </c>
      <c r="W832" s="11">
        <v>-0.9993706508539969</v>
      </c>
      <c r="X832" s="11">
        <v>3.5472555753125558E-2</v>
      </c>
      <c r="Y832">
        <v>0</v>
      </c>
      <c r="Z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6">
        <v>45204</v>
      </c>
      <c r="B833" t="s">
        <v>31</v>
      </c>
      <c r="C833" t="s">
        <v>32</v>
      </c>
      <c r="D833" t="s">
        <v>33</v>
      </c>
      <c r="E833" t="s">
        <v>34</v>
      </c>
      <c r="F833">
        <v>140</v>
      </c>
      <c r="G833">
        <v>360</v>
      </c>
      <c r="H833">
        <v>166</v>
      </c>
      <c r="I833">
        <v>73</v>
      </c>
      <c r="J833" s="8">
        <v>0.52142857142857146</v>
      </c>
      <c r="K833">
        <v>18</v>
      </c>
      <c r="L833">
        <v>33</v>
      </c>
      <c r="M833">
        <v>138</v>
      </c>
      <c r="N833" s="10">
        <v>468.86</v>
      </c>
      <c r="O833" s="7">
        <v>1.6</v>
      </c>
      <c r="P833" s="7">
        <v>30.1</v>
      </c>
      <c r="Q833">
        <v>3</v>
      </c>
      <c r="R833" t="s">
        <v>65</v>
      </c>
      <c r="S833">
        <v>10</v>
      </c>
      <c r="T833">
        <v>278</v>
      </c>
      <c r="U833" s="11">
        <v>0.43388373911755823</v>
      </c>
      <c r="V833" s="11">
        <v>-0.90096886790241903</v>
      </c>
      <c r="W833" s="11">
        <v>-0.9986126020839734</v>
      </c>
      <c r="X833" s="11">
        <v>5.2658056924614005E-2</v>
      </c>
      <c r="Y833">
        <v>0</v>
      </c>
      <c r="Z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6">
        <v>45204</v>
      </c>
      <c r="B834" t="s">
        <v>36</v>
      </c>
      <c r="C834" t="s">
        <v>37</v>
      </c>
      <c r="D834" t="s">
        <v>38</v>
      </c>
      <c r="E834" t="s">
        <v>39</v>
      </c>
      <c r="F834">
        <v>125</v>
      </c>
      <c r="G834">
        <v>320</v>
      </c>
      <c r="H834">
        <v>164</v>
      </c>
      <c r="I834">
        <v>68</v>
      </c>
      <c r="J834" s="8">
        <v>0.54400000000000004</v>
      </c>
      <c r="K834">
        <v>24</v>
      </c>
      <c r="L834">
        <v>30</v>
      </c>
      <c r="M834">
        <v>153</v>
      </c>
      <c r="N834" s="10">
        <v>626.98</v>
      </c>
      <c r="O834" s="7">
        <v>1.6</v>
      </c>
      <c r="P834" s="7">
        <v>30.1</v>
      </c>
      <c r="Q834">
        <v>3</v>
      </c>
      <c r="R834" t="s">
        <v>65</v>
      </c>
      <c r="S834">
        <v>10</v>
      </c>
      <c r="T834">
        <v>278</v>
      </c>
      <c r="U834" s="11">
        <v>0.43388373911755823</v>
      </c>
      <c r="V834" s="11">
        <v>-0.90096886790241903</v>
      </c>
      <c r="W834" s="11">
        <v>-0.9986126020839734</v>
      </c>
      <c r="X834" s="11">
        <v>5.2658056924614005E-2</v>
      </c>
      <c r="Y834">
        <v>0</v>
      </c>
      <c r="Z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6">
        <v>45204</v>
      </c>
      <c r="B835" t="s">
        <v>41</v>
      </c>
      <c r="C835" t="s">
        <v>42</v>
      </c>
      <c r="D835" t="s">
        <v>43</v>
      </c>
      <c r="E835" t="s">
        <v>44</v>
      </c>
      <c r="F835">
        <v>85</v>
      </c>
      <c r="G835">
        <v>210</v>
      </c>
      <c r="H835">
        <v>94</v>
      </c>
      <c r="I835">
        <v>42</v>
      </c>
      <c r="J835" s="8">
        <v>0.49411764705882355</v>
      </c>
      <c r="K835">
        <v>9</v>
      </c>
      <c r="L835">
        <v>21</v>
      </c>
      <c r="M835">
        <v>88</v>
      </c>
      <c r="N835" s="10">
        <v>542.71</v>
      </c>
      <c r="O835" s="7">
        <v>1.6</v>
      </c>
      <c r="P835" s="7">
        <v>30.1</v>
      </c>
      <c r="Q835">
        <v>3</v>
      </c>
      <c r="R835" t="s">
        <v>65</v>
      </c>
      <c r="S835">
        <v>10</v>
      </c>
      <c r="T835">
        <v>278</v>
      </c>
      <c r="U835" s="11">
        <v>0.43388373911755823</v>
      </c>
      <c r="V835" s="11">
        <v>-0.90096886790241903</v>
      </c>
      <c r="W835" s="11">
        <v>-0.9986126020839734</v>
      </c>
      <c r="X835" s="11">
        <v>5.2658056924614005E-2</v>
      </c>
      <c r="Y835">
        <v>0</v>
      </c>
      <c r="Z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6">
        <v>45205</v>
      </c>
      <c r="B836" t="s">
        <v>31</v>
      </c>
      <c r="C836" t="s">
        <v>32</v>
      </c>
      <c r="D836" t="s">
        <v>33</v>
      </c>
      <c r="E836" t="s">
        <v>34</v>
      </c>
      <c r="F836">
        <v>140</v>
      </c>
      <c r="G836">
        <v>360</v>
      </c>
      <c r="H836">
        <v>161</v>
      </c>
      <c r="I836">
        <v>71</v>
      </c>
      <c r="J836" s="8">
        <v>0.50714285714285712</v>
      </c>
      <c r="K836">
        <v>43</v>
      </c>
      <c r="L836">
        <v>27</v>
      </c>
      <c r="M836">
        <v>150</v>
      </c>
      <c r="N836" s="10">
        <v>403.96</v>
      </c>
      <c r="O836" s="7">
        <v>4.2</v>
      </c>
      <c r="P836" s="7">
        <v>31.1</v>
      </c>
      <c r="Q836">
        <v>4</v>
      </c>
      <c r="R836" t="s">
        <v>66</v>
      </c>
      <c r="S836">
        <v>10</v>
      </c>
      <c r="T836">
        <v>279</v>
      </c>
      <c r="U836" s="11">
        <v>-0.43388373911755801</v>
      </c>
      <c r="V836" s="11">
        <v>-0.90096886790241915</v>
      </c>
      <c r="W836" s="11">
        <v>-0.99755904777886129</v>
      </c>
      <c r="X836" s="11">
        <v>6.9827975729870886E-2</v>
      </c>
      <c r="Y836">
        <v>0</v>
      </c>
      <c r="Z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6">
        <v>45205</v>
      </c>
      <c r="B837" t="s">
        <v>36</v>
      </c>
      <c r="C837" t="s">
        <v>37</v>
      </c>
      <c r="D837" t="s">
        <v>38</v>
      </c>
      <c r="E837" t="s">
        <v>39</v>
      </c>
      <c r="F837">
        <v>125</v>
      </c>
      <c r="G837">
        <v>320</v>
      </c>
      <c r="H837">
        <v>154</v>
      </c>
      <c r="I837">
        <v>63</v>
      </c>
      <c r="J837" s="8">
        <v>0.504</v>
      </c>
      <c r="K837">
        <v>29</v>
      </c>
      <c r="L837">
        <v>45</v>
      </c>
      <c r="M837">
        <v>137</v>
      </c>
      <c r="N837" s="10">
        <v>645.21</v>
      </c>
      <c r="O837" s="7">
        <v>4.2</v>
      </c>
      <c r="P837" s="7">
        <v>31.1</v>
      </c>
      <c r="Q837">
        <v>4</v>
      </c>
      <c r="R837" t="s">
        <v>66</v>
      </c>
      <c r="S837">
        <v>10</v>
      </c>
      <c r="T837">
        <v>279</v>
      </c>
      <c r="U837" s="11">
        <v>-0.43388373911755801</v>
      </c>
      <c r="V837" s="11">
        <v>-0.90096886790241915</v>
      </c>
      <c r="W837" s="11">
        <v>-0.99755904777886129</v>
      </c>
      <c r="X837" s="11">
        <v>6.9827975729870886E-2</v>
      </c>
      <c r="Y837">
        <v>0</v>
      </c>
      <c r="Z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6">
        <v>45205</v>
      </c>
      <c r="B838" t="s">
        <v>41</v>
      </c>
      <c r="C838" t="s">
        <v>42</v>
      </c>
      <c r="D838" t="s">
        <v>43</v>
      </c>
      <c r="E838" t="s">
        <v>44</v>
      </c>
      <c r="F838">
        <v>85</v>
      </c>
      <c r="G838">
        <v>210</v>
      </c>
      <c r="H838">
        <v>119</v>
      </c>
      <c r="I838">
        <v>52</v>
      </c>
      <c r="J838" s="8">
        <v>0.61176470588235299</v>
      </c>
      <c r="K838">
        <v>20</v>
      </c>
      <c r="L838">
        <v>16</v>
      </c>
      <c r="M838">
        <v>99</v>
      </c>
      <c r="N838" s="10">
        <v>559.02</v>
      </c>
      <c r="O838" s="7">
        <v>4.2</v>
      </c>
      <c r="P838" s="7">
        <v>31.1</v>
      </c>
      <c r="Q838">
        <v>4</v>
      </c>
      <c r="R838" t="s">
        <v>66</v>
      </c>
      <c r="S838">
        <v>10</v>
      </c>
      <c r="T838">
        <v>279</v>
      </c>
      <c r="U838" s="11">
        <v>-0.43388373911755801</v>
      </c>
      <c r="V838" s="11">
        <v>-0.90096886790241915</v>
      </c>
      <c r="W838" s="11">
        <v>-0.99755904777886129</v>
      </c>
      <c r="X838" s="11">
        <v>6.9827975729870886E-2</v>
      </c>
      <c r="Y838">
        <v>0</v>
      </c>
      <c r="Z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6">
        <v>45206</v>
      </c>
      <c r="B839" t="s">
        <v>31</v>
      </c>
      <c r="C839" t="s">
        <v>32</v>
      </c>
      <c r="D839" t="s">
        <v>33</v>
      </c>
      <c r="E839" t="s">
        <v>34</v>
      </c>
      <c r="F839">
        <v>140</v>
      </c>
      <c r="G839">
        <v>360</v>
      </c>
      <c r="H839">
        <v>202</v>
      </c>
      <c r="I839">
        <v>88</v>
      </c>
      <c r="J839" s="8">
        <v>0.62857142857142856</v>
      </c>
      <c r="K839">
        <v>35</v>
      </c>
      <c r="L839">
        <v>56</v>
      </c>
      <c r="M839">
        <v>170</v>
      </c>
      <c r="N839" s="10">
        <v>510.32</v>
      </c>
      <c r="O839" s="7">
        <v>0</v>
      </c>
      <c r="P839" s="7">
        <v>30.1</v>
      </c>
      <c r="Q839">
        <v>5</v>
      </c>
      <c r="R839" t="s">
        <v>67</v>
      </c>
      <c r="S839">
        <v>10</v>
      </c>
      <c r="T839">
        <v>280</v>
      </c>
      <c r="U839" s="11">
        <v>-0.97492791218182362</v>
      </c>
      <c r="V839" s="11">
        <v>-0.22252093395631459</v>
      </c>
      <c r="W839" s="11">
        <v>-0.99621029970232966</v>
      </c>
      <c r="X839" s="11">
        <v>8.6977231313686093E-2</v>
      </c>
      <c r="Y839">
        <v>1</v>
      </c>
      <c r="Z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6">
        <v>45206</v>
      </c>
      <c r="B840" t="s">
        <v>36</v>
      </c>
      <c r="C840" t="s">
        <v>37</v>
      </c>
      <c r="D840" t="s">
        <v>38</v>
      </c>
      <c r="E840" t="s">
        <v>39</v>
      </c>
      <c r="F840">
        <v>125</v>
      </c>
      <c r="G840">
        <v>320</v>
      </c>
      <c r="H840">
        <v>189</v>
      </c>
      <c r="I840">
        <v>77</v>
      </c>
      <c r="J840" s="8">
        <v>0.61599999999999999</v>
      </c>
      <c r="K840">
        <v>48</v>
      </c>
      <c r="L840">
        <v>41</v>
      </c>
      <c r="M840">
        <v>159</v>
      </c>
      <c r="N840" s="10">
        <v>713.1</v>
      </c>
      <c r="O840" s="7">
        <v>0</v>
      </c>
      <c r="P840" s="7">
        <v>30.1</v>
      </c>
      <c r="Q840">
        <v>5</v>
      </c>
      <c r="R840" t="s">
        <v>67</v>
      </c>
      <c r="S840">
        <v>10</v>
      </c>
      <c r="T840">
        <v>280</v>
      </c>
      <c r="U840" s="11">
        <v>-0.97492791218182362</v>
      </c>
      <c r="V840" s="11">
        <v>-0.22252093395631459</v>
      </c>
      <c r="W840" s="11">
        <v>-0.99621029970232966</v>
      </c>
      <c r="X840" s="11">
        <v>8.6977231313686093E-2</v>
      </c>
      <c r="Y840">
        <v>1</v>
      </c>
      <c r="Z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6">
        <v>45206</v>
      </c>
      <c r="B841" t="s">
        <v>41</v>
      </c>
      <c r="C841" t="s">
        <v>42</v>
      </c>
      <c r="D841" t="s">
        <v>43</v>
      </c>
      <c r="E841" t="s">
        <v>44</v>
      </c>
      <c r="F841">
        <v>85</v>
      </c>
      <c r="G841">
        <v>210</v>
      </c>
      <c r="H841">
        <v>133</v>
      </c>
      <c r="I841">
        <v>60</v>
      </c>
      <c r="J841" s="8">
        <v>0.70588235294117652</v>
      </c>
      <c r="K841">
        <v>29</v>
      </c>
      <c r="L841">
        <v>14</v>
      </c>
      <c r="M841">
        <v>120</v>
      </c>
      <c r="N841" s="10">
        <v>651.41999999999996</v>
      </c>
      <c r="O841" s="7">
        <v>0</v>
      </c>
      <c r="P841" s="7">
        <v>30.1</v>
      </c>
      <c r="Q841">
        <v>5</v>
      </c>
      <c r="R841" t="s">
        <v>67</v>
      </c>
      <c r="S841">
        <v>10</v>
      </c>
      <c r="T841">
        <v>280</v>
      </c>
      <c r="U841" s="11">
        <v>-0.97492791218182362</v>
      </c>
      <c r="V841" s="11">
        <v>-0.22252093395631459</v>
      </c>
      <c r="W841" s="11">
        <v>-0.99621029970232966</v>
      </c>
      <c r="X841" s="11">
        <v>8.6977231313686093E-2</v>
      </c>
      <c r="Y841">
        <v>1</v>
      </c>
      <c r="Z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6">
        <v>45207</v>
      </c>
      <c r="B842" t="s">
        <v>31</v>
      </c>
      <c r="C842" t="s">
        <v>32</v>
      </c>
      <c r="D842" t="s">
        <v>33</v>
      </c>
      <c r="E842" t="s">
        <v>34</v>
      </c>
      <c r="F842">
        <v>140</v>
      </c>
      <c r="G842">
        <v>360</v>
      </c>
      <c r="H842">
        <v>184</v>
      </c>
      <c r="I842">
        <v>77</v>
      </c>
      <c r="J842" s="8">
        <v>0.55000000000000004</v>
      </c>
      <c r="K842">
        <v>33</v>
      </c>
      <c r="L842">
        <v>46</v>
      </c>
      <c r="M842">
        <v>150</v>
      </c>
      <c r="N842" s="10">
        <v>515.74</v>
      </c>
      <c r="O842" s="7">
        <v>0.6</v>
      </c>
      <c r="P842" s="7">
        <v>29.4</v>
      </c>
      <c r="Q842">
        <v>6</v>
      </c>
      <c r="R842" t="s">
        <v>60</v>
      </c>
      <c r="S842">
        <v>10</v>
      </c>
      <c r="T842">
        <v>281</v>
      </c>
      <c r="U842" s="11">
        <v>-0.78183148246802991</v>
      </c>
      <c r="V842" s="11">
        <v>0.62348980185873337</v>
      </c>
      <c r="W842" s="11">
        <v>-0.99456675697063368</v>
      </c>
      <c r="X842" s="11">
        <v>0.1041007489354256</v>
      </c>
      <c r="Y842">
        <v>1</v>
      </c>
      <c r="Z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6">
        <v>45207</v>
      </c>
      <c r="B843" t="s">
        <v>36</v>
      </c>
      <c r="C843" t="s">
        <v>37</v>
      </c>
      <c r="D843" t="s">
        <v>38</v>
      </c>
      <c r="E843" t="s">
        <v>39</v>
      </c>
      <c r="F843">
        <v>125</v>
      </c>
      <c r="G843">
        <v>320</v>
      </c>
      <c r="H843">
        <v>182</v>
      </c>
      <c r="I843">
        <v>73</v>
      </c>
      <c r="J843" s="8">
        <v>0.58399999999999996</v>
      </c>
      <c r="K843">
        <v>43</v>
      </c>
      <c r="L843">
        <v>20</v>
      </c>
      <c r="M843">
        <v>163</v>
      </c>
      <c r="N843" s="10">
        <v>699.57</v>
      </c>
      <c r="O843" s="7">
        <v>0.6</v>
      </c>
      <c r="P843" s="7">
        <v>29.4</v>
      </c>
      <c r="Q843">
        <v>6</v>
      </c>
      <c r="R843" t="s">
        <v>60</v>
      </c>
      <c r="S843">
        <v>10</v>
      </c>
      <c r="T843">
        <v>281</v>
      </c>
      <c r="U843" s="11">
        <v>-0.78183148246802991</v>
      </c>
      <c r="V843" s="11">
        <v>0.62348980185873337</v>
      </c>
      <c r="W843" s="11">
        <v>-0.99456675697063368</v>
      </c>
      <c r="X843" s="11">
        <v>0.1041007489354256</v>
      </c>
      <c r="Y843">
        <v>1</v>
      </c>
      <c r="Z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6">
        <v>45207</v>
      </c>
      <c r="B844" t="s">
        <v>41</v>
      </c>
      <c r="C844" t="s">
        <v>42</v>
      </c>
      <c r="D844" t="s">
        <v>43</v>
      </c>
      <c r="E844" t="s">
        <v>44</v>
      </c>
      <c r="F844">
        <v>85</v>
      </c>
      <c r="G844">
        <v>210</v>
      </c>
      <c r="H844">
        <v>149</v>
      </c>
      <c r="I844">
        <v>62</v>
      </c>
      <c r="J844" s="8">
        <v>0.72941176470588232</v>
      </c>
      <c r="K844">
        <v>37</v>
      </c>
      <c r="L844">
        <v>28</v>
      </c>
      <c r="M844">
        <v>139</v>
      </c>
      <c r="N844" s="10">
        <v>613.92999999999995</v>
      </c>
      <c r="O844" s="7">
        <v>0.6</v>
      </c>
      <c r="P844" s="7">
        <v>29.4</v>
      </c>
      <c r="Q844">
        <v>6</v>
      </c>
      <c r="R844" t="s">
        <v>60</v>
      </c>
      <c r="S844">
        <v>10</v>
      </c>
      <c r="T844">
        <v>281</v>
      </c>
      <c r="U844" s="11">
        <v>-0.78183148246802991</v>
      </c>
      <c r="V844" s="11">
        <v>0.62348980185873337</v>
      </c>
      <c r="W844" s="11">
        <v>-0.99456675697063368</v>
      </c>
      <c r="X844" s="11">
        <v>0.1041007489354256</v>
      </c>
      <c r="Y844">
        <v>1</v>
      </c>
      <c r="Z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6">
        <v>45208</v>
      </c>
      <c r="B845" t="s">
        <v>31</v>
      </c>
      <c r="C845" t="s">
        <v>32</v>
      </c>
      <c r="D845" t="s">
        <v>33</v>
      </c>
      <c r="E845" t="s">
        <v>34</v>
      </c>
      <c r="F845">
        <v>140</v>
      </c>
      <c r="G845">
        <v>360</v>
      </c>
      <c r="H845">
        <v>173</v>
      </c>
      <c r="I845">
        <v>74</v>
      </c>
      <c r="J845" s="8">
        <v>0.52857142857142858</v>
      </c>
      <c r="K845">
        <v>43</v>
      </c>
      <c r="L845">
        <v>46</v>
      </c>
      <c r="M845">
        <v>144</v>
      </c>
      <c r="N845" s="10">
        <v>409.25</v>
      </c>
      <c r="O845" s="7">
        <v>4</v>
      </c>
      <c r="P845" s="7">
        <v>29.9</v>
      </c>
      <c r="Q845">
        <v>0</v>
      </c>
      <c r="R845" t="s">
        <v>62</v>
      </c>
      <c r="S845">
        <v>10</v>
      </c>
      <c r="T845">
        <v>282</v>
      </c>
      <c r="U845" s="11">
        <v>0</v>
      </c>
      <c r="V845" s="11">
        <v>1</v>
      </c>
      <c r="W845" s="11">
        <v>-0.99262890593450948</v>
      </c>
      <c r="X845" s="11">
        <v>0.12119346147073599</v>
      </c>
      <c r="Y845">
        <v>0</v>
      </c>
      <c r="Z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6">
        <v>45208</v>
      </c>
      <c r="B846" t="s">
        <v>36</v>
      </c>
      <c r="C846" t="s">
        <v>37</v>
      </c>
      <c r="D846" t="s">
        <v>38</v>
      </c>
      <c r="E846" t="s">
        <v>39</v>
      </c>
      <c r="F846">
        <v>125</v>
      </c>
      <c r="G846">
        <v>320</v>
      </c>
      <c r="H846">
        <v>137</v>
      </c>
      <c r="I846">
        <v>58</v>
      </c>
      <c r="J846" s="8">
        <v>0.46400000000000002</v>
      </c>
      <c r="K846">
        <v>32</v>
      </c>
      <c r="L846">
        <v>34</v>
      </c>
      <c r="M846">
        <v>111</v>
      </c>
      <c r="N846" s="10">
        <v>577.98</v>
      </c>
      <c r="O846" s="7">
        <v>4</v>
      </c>
      <c r="P846" s="7">
        <v>29.9</v>
      </c>
      <c r="Q846">
        <v>0</v>
      </c>
      <c r="R846" t="s">
        <v>62</v>
      </c>
      <c r="S846">
        <v>10</v>
      </c>
      <c r="T846">
        <v>282</v>
      </c>
      <c r="U846" s="11">
        <v>0</v>
      </c>
      <c r="V846" s="11">
        <v>1</v>
      </c>
      <c r="W846" s="11">
        <v>-0.99262890593450948</v>
      </c>
      <c r="X846" s="11">
        <v>0.12119346147073599</v>
      </c>
      <c r="Y846">
        <v>0</v>
      </c>
      <c r="Z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6">
        <v>45208</v>
      </c>
      <c r="B847" t="s">
        <v>41</v>
      </c>
      <c r="C847" t="s">
        <v>42</v>
      </c>
      <c r="D847" t="s">
        <v>43</v>
      </c>
      <c r="E847" t="s">
        <v>44</v>
      </c>
      <c r="F847">
        <v>85</v>
      </c>
      <c r="G847">
        <v>210</v>
      </c>
      <c r="H847">
        <v>87</v>
      </c>
      <c r="I847">
        <v>41</v>
      </c>
      <c r="J847" s="8">
        <v>0.4823529411764706</v>
      </c>
      <c r="K847">
        <v>16</v>
      </c>
      <c r="L847">
        <v>11</v>
      </c>
      <c r="M847">
        <v>73</v>
      </c>
      <c r="N847" s="10">
        <v>574.15</v>
      </c>
      <c r="O847" s="7">
        <v>4</v>
      </c>
      <c r="P847" s="7">
        <v>29.9</v>
      </c>
      <c r="Q847">
        <v>0</v>
      </c>
      <c r="R847" t="s">
        <v>62</v>
      </c>
      <c r="S847">
        <v>10</v>
      </c>
      <c r="T847">
        <v>282</v>
      </c>
      <c r="U847" s="11">
        <v>0</v>
      </c>
      <c r="V847" s="11">
        <v>1</v>
      </c>
      <c r="W847" s="11">
        <v>-0.99262890593450948</v>
      </c>
      <c r="X847" s="11">
        <v>0.12119346147073599</v>
      </c>
      <c r="Y847">
        <v>0</v>
      </c>
      <c r="Z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6">
        <v>45209</v>
      </c>
      <c r="B848" t="s">
        <v>31</v>
      </c>
      <c r="C848" t="s">
        <v>32</v>
      </c>
      <c r="D848" t="s">
        <v>33</v>
      </c>
      <c r="E848" t="s">
        <v>34</v>
      </c>
      <c r="F848">
        <v>140</v>
      </c>
      <c r="G848">
        <v>360</v>
      </c>
      <c r="H848">
        <v>169</v>
      </c>
      <c r="I848">
        <v>70</v>
      </c>
      <c r="J848" s="8">
        <v>0.5</v>
      </c>
      <c r="K848">
        <v>33</v>
      </c>
      <c r="L848">
        <v>34</v>
      </c>
      <c r="M848">
        <v>141</v>
      </c>
      <c r="N848" s="10">
        <v>448.43</v>
      </c>
      <c r="O848" s="7">
        <v>5.0999999999999996</v>
      </c>
      <c r="P848" s="7">
        <v>29.5</v>
      </c>
      <c r="Q848">
        <v>1</v>
      </c>
      <c r="R848" t="s">
        <v>63</v>
      </c>
      <c r="S848">
        <v>10</v>
      </c>
      <c r="T848">
        <v>283</v>
      </c>
      <c r="U848" s="11">
        <v>0.7818314824680298</v>
      </c>
      <c r="V848" s="11">
        <v>0.62348980185873359</v>
      </c>
      <c r="W848" s="11">
        <v>-0.99039732003525582</v>
      </c>
      <c r="X848" s="11">
        <v>0.13825031091098189</v>
      </c>
      <c r="Y848">
        <v>0</v>
      </c>
      <c r="Z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6">
        <v>45209</v>
      </c>
      <c r="B849" t="s">
        <v>36</v>
      </c>
      <c r="C849" t="s">
        <v>37</v>
      </c>
      <c r="D849" t="s">
        <v>38</v>
      </c>
      <c r="E849" t="s">
        <v>39</v>
      </c>
      <c r="F849">
        <v>125</v>
      </c>
      <c r="G849">
        <v>320</v>
      </c>
      <c r="H849">
        <v>141</v>
      </c>
      <c r="I849">
        <v>59</v>
      </c>
      <c r="J849" s="8">
        <v>0.47199999999999998</v>
      </c>
      <c r="K849">
        <v>26</v>
      </c>
      <c r="L849">
        <v>36</v>
      </c>
      <c r="M849">
        <v>114</v>
      </c>
      <c r="N849" s="10">
        <v>604.80999999999995</v>
      </c>
      <c r="O849" s="7">
        <v>5.0999999999999996</v>
      </c>
      <c r="P849" s="7">
        <v>29.5</v>
      </c>
      <c r="Q849">
        <v>1</v>
      </c>
      <c r="R849" t="s">
        <v>63</v>
      </c>
      <c r="S849">
        <v>10</v>
      </c>
      <c r="T849">
        <v>283</v>
      </c>
      <c r="U849" s="11">
        <v>0.7818314824680298</v>
      </c>
      <c r="V849" s="11">
        <v>0.62348980185873359</v>
      </c>
      <c r="W849" s="11">
        <v>-0.99039732003525582</v>
      </c>
      <c r="X849" s="11">
        <v>0.13825031091098189</v>
      </c>
      <c r="Y849">
        <v>0</v>
      </c>
      <c r="Z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6">
        <v>45209</v>
      </c>
      <c r="B850" t="s">
        <v>41</v>
      </c>
      <c r="C850" t="s">
        <v>42</v>
      </c>
      <c r="D850" t="s">
        <v>43</v>
      </c>
      <c r="E850" t="s">
        <v>44</v>
      </c>
      <c r="F850">
        <v>85</v>
      </c>
      <c r="G850">
        <v>210</v>
      </c>
      <c r="H850">
        <v>106</v>
      </c>
      <c r="I850">
        <v>48</v>
      </c>
      <c r="J850" s="8">
        <v>0.56470588235294117</v>
      </c>
      <c r="K850">
        <v>23</v>
      </c>
      <c r="L850">
        <v>34</v>
      </c>
      <c r="M850">
        <v>96</v>
      </c>
      <c r="N850" s="10">
        <v>503.23</v>
      </c>
      <c r="O850" s="7">
        <v>5.0999999999999996</v>
      </c>
      <c r="P850" s="7">
        <v>29.5</v>
      </c>
      <c r="Q850">
        <v>1</v>
      </c>
      <c r="R850" t="s">
        <v>63</v>
      </c>
      <c r="S850">
        <v>10</v>
      </c>
      <c r="T850">
        <v>283</v>
      </c>
      <c r="U850" s="11">
        <v>0.7818314824680298</v>
      </c>
      <c r="V850" s="11">
        <v>0.62348980185873359</v>
      </c>
      <c r="W850" s="11">
        <v>-0.99039732003525582</v>
      </c>
      <c r="X850" s="11">
        <v>0.13825031091098189</v>
      </c>
      <c r="Y850">
        <v>0</v>
      </c>
      <c r="Z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6">
        <v>45210</v>
      </c>
      <c r="B851" t="s">
        <v>31</v>
      </c>
      <c r="C851" t="s">
        <v>32</v>
      </c>
      <c r="D851" t="s">
        <v>33</v>
      </c>
      <c r="E851" t="s">
        <v>34</v>
      </c>
      <c r="F851">
        <v>140</v>
      </c>
      <c r="G851">
        <v>360</v>
      </c>
      <c r="H851">
        <v>165</v>
      </c>
      <c r="I851">
        <v>69</v>
      </c>
      <c r="J851" s="8">
        <v>0.49285714285714288</v>
      </c>
      <c r="K851">
        <v>25</v>
      </c>
      <c r="L851">
        <v>22</v>
      </c>
      <c r="M851">
        <v>145</v>
      </c>
      <c r="N851" s="10">
        <v>417.76</v>
      </c>
      <c r="O851" s="7">
        <v>3.5</v>
      </c>
      <c r="P851" s="7">
        <v>28.8</v>
      </c>
      <c r="Q851">
        <v>2</v>
      </c>
      <c r="R851" t="s">
        <v>64</v>
      </c>
      <c r="S851">
        <v>10</v>
      </c>
      <c r="T851">
        <v>284</v>
      </c>
      <c r="U851" s="11">
        <v>0.97492791218182362</v>
      </c>
      <c r="V851" s="11">
        <v>-0.22252093395631434</v>
      </c>
      <c r="W851" s="11">
        <v>-0.98787265963504289</v>
      </c>
      <c r="X851" s="11">
        <v>0.15526624985999563</v>
      </c>
      <c r="Y851">
        <v>0</v>
      </c>
      <c r="Z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6">
        <v>45210</v>
      </c>
      <c r="B852" t="s">
        <v>36</v>
      </c>
      <c r="C852" t="s">
        <v>37</v>
      </c>
      <c r="D852" t="s">
        <v>38</v>
      </c>
      <c r="E852" t="s">
        <v>39</v>
      </c>
      <c r="F852">
        <v>125</v>
      </c>
      <c r="G852">
        <v>320</v>
      </c>
      <c r="H852">
        <v>153</v>
      </c>
      <c r="I852">
        <v>62</v>
      </c>
      <c r="J852" s="8">
        <v>0.496</v>
      </c>
      <c r="K852">
        <v>38</v>
      </c>
      <c r="L852">
        <v>18</v>
      </c>
      <c r="M852">
        <v>138</v>
      </c>
      <c r="N852" s="10">
        <v>646.27</v>
      </c>
      <c r="O852" s="7">
        <v>3.5</v>
      </c>
      <c r="P852" s="7">
        <v>28.8</v>
      </c>
      <c r="Q852">
        <v>2</v>
      </c>
      <c r="R852" t="s">
        <v>64</v>
      </c>
      <c r="S852">
        <v>10</v>
      </c>
      <c r="T852">
        <v>284</v>
      </c>
      <c r="U852" s="11">
        <v>0.97492791218182362</v>
      </c>
      <c r="V852" s="11">
        <v>-0.22252093395631434</v>
      </c>
      <c r="W852" s="11">
        <v>-0.98787265963504289</v>
      </c>
      <c r="X852" s="11">
        <v>0.15526624985999563</v>
      </c>
      <c r="Y852">
        <v>0</v>
      </c>
      <c r="Z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6">
        <v>45210</v>
      </c>
      <c r="B853" t="s">
        <v>41</v>
      </c>
      <c r="C853" t="s">
        <v>42</v>
      </c>
      <c r="D853" t="s">
        <v>43</v>
      </c>
      <c r="E853" t="s">
        <v>44</v>
      </c>
      <c r="F853">
        <v>85</v>
      </c>
      <c r="G853">
        <v>210</v>
      </c>
      <c r="H853">
        <v>117</v>
      </c>
      <c r="I853">
        <v>52</v>
      </c>
      <c r="J853" s="8">
        <v>0.61176470588235299</v>
      </c>
      <c r="K853">
        <v>24</v>
      </c>
      <c r="L853">
        <v>28</v>
      </c>
      <c r="M853">
        <v>105</v>
      </c>
      <c r="N853" s="10">
        <v>493.89</v>
      </c>
      <c r="O853" s="7">
        <v>3.5</v>
      </c>
      <c r="P853" s="7">
        <v>28.8</v>
      </c>
      <c r="Q853">
        <v>2</v>
      </c>
      <c r="R853" t="s">
        <v>64</v>
      </c>
      <c r="S853">
        <v>10</v>
      </c>
      <c r="T853">
        <v>284</v>
      </c>
      <c r="U853" s="11">
        <v>0.97492791218182362</v>
      </c>
      <c r="V853" s="11">
        <v>-0.22252093395631434</v>
      </c>
      <c r="W853" s="11">
        <v>-0.98787265963504289</v>
      </c>
      <c r="X853" s="11">
        <v>0.15526624985999563</v>
      </c>
      <c r="Y853">
        <v>0</v>
      </c>
      <c r="Z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6">
        <v>45211</v>
      </c>
      <c r="B854" t="s">
        <v>31</v>
      </c>
      <c r="C854" t="s">
        <v>32</v>
      </c>
      <c r="D854" t="s">
        <v>33</v>
      </c>
      <c r="E854" t="s">
        <v>34</v>
      </c>
      <c r="F854">
        <v>140</v>
      </c>
      <c r="G854">
        <v>360</v>
      </c>
      <c r="H854">
        <v>211</v>
      </c>
      <c r="I854">
        <v>91</v>
      </c>
      <c r="J854" s="8">
        <v>0.65</v>
      </c>
      <c r="K854">
        <v>55</v>
      </c>
      <c r="L854">
        <v>47</v>
      </c>
      <c r="M854">
        <v>189</v>
      </c>
      <c r="N854" s="10">
        <v>428.32</v>
      </c>
      <c r="O854" s="7">
        <v>0</v>
      </c>
      <c r="P854" s="7">
        <v>28.1</v>
      </c>
      <c r="Q854">
        <v>3</v>
      </c>
      <c r="R854" t="s">
        <v>65</v>
      </c>
      <c r="S854">
        <v>10</v>
      </c>
      <c r="T854">
        <v>285</v>
      </c>
      <c r="U854" s="11">
        <v>0.43388373911755823</v>
      </c>
      <c r="V854" s="11">
        <v>-0.90096886790241903</v>
      </c>
      <c r="W854" s="11">
        <v>-0.98505567182150133</v>
      </c>
      <c r="X854" s="11">
        <v>0.17223624302768201</v>
      </c>
      <c r="Y854">
        <v>0</v>
      </c>
      <c r="Z854">
        <v>1</v>
      </c>
      <c r="AA854" t="s">
        <v>73</v>
      </c>
      <c r="AB854">
        <v>0</v>
      </c>
      <c r="AC854">
        <v>0</v>
      </c>
      <c r="AD854">
        <v>0</v>
      </c>
      <c r="AE854">
        <v>0</v>
      </c>
    </row>
    <row r="855" spans="1:31">
      <c r="A855" s="6">
        <v>45211</v>
      </c>
      <c r="B855" t="s">
        <v>36</v>
      </c>
      <c r="C855" t="s">
        <v>37</v>
      </c>
      <c r="D855" t="s">
        <v>38</v>
      </c>
      <c r="E855" t="s">
        <v>39</v>
      </c>
      <c r="F855">
        <v>125</v>
      </c>
      <c r="G855">
        <v>320</v>
      </c>
      <c r="H855">
        <v>182</v>
      </c>
      <c r="I855">
        <v>76</v>
      </c>
      <c r="J855" s="8">
        <v>0.60799999999999998</v>
      </c>
      <c r="K855">
        <v>43</v>
      </c>
      <c r="L855">
        <v>32</v>
      </c>
      <c r="M855">
        <v>153</v>
      </c>
      <c r="N855" s="10">
        <v>563.87</v>
      </c>
      <c r="O855" s="7">
        <v>0</v>
      </c>
      <c r="P855" s="7">
        <v>28.1</v>
      </c>
      <c r="Q855">
        <v>3</v>
      </c>
      <c r="R855" t="s">
        <v>65</v>
      </c>
      <c r="S855">
        <v>10</v>
      </c>
      <c r="T855">
        <v>285</v>
      </c>
      <c r="U855" s="11">
        <v>0.43388373911755823</v>
      </c>
      <c r="V855" s="11">
        <v>-0.90096886790241903</v>
      </c>
      <c r="W855" s="11">
        <v>-0.98505567182150133</v>
      </c>
      <c r="X855" s="11">
        <v>0.17223624302768201</v>
      </c>
      <c r="Y855">
        <v>0</v>
      </c>
      <c r="Z855">
        <v>1</v>
      </c>
      <c r="AA855" t="s">
        <v>73</v>
      </c>
      <c r="AB855">
        <v>0</v>
      </c>
      <c r="AC855">
        <v>0</v>
      </c>
      <c r="AD855">
        <v>0</v>
      </c>
      <c r="AE855">
        <v>0</v>
      </c>
    </row>
    <row r="856" spans="1:31">
      <c r="A856" s="6">
        <v>45211</v>
      </c>
      <c r="B856" t="s">
        <v>41</v>
      </c>
      <c r="C856" t="s">
        <v>42</v>
      </c>
      <c r="D856" t="s">
        <v>43</v>
      </c>
      <c r="E856" t="s">
        <v>44</v>
      </c>
      <c r="F856">
        <v>85</v>
      </c>
      <c r="G856">
        <v>210</v>
      </c>
      <c r="H856">
        <v>107</v>
      </c>
      <c r="I856">
        <v>51</v>
      </c>
      <c r="J856" s="8">
        <v>0.6</v>
      </c>
      <c r="K856">
        <v>26</v>
      </c>
      <c r="L856">
        <v>14</v>
      </c>
      <c r="M856">
        <v>88</v>
      </c>
      <c r="N856" s="10">
        <v>491.26</v>
      </c>
      <c r="O856" s="7">
        <v>0</v>
      </c>
      <c r="P856" s="7">
        <v>28.1</v>
      </c>
      <c r="Q856">
        <v>3</v>
      </c>
      <c r="R856" t="s">
        <v>65</v>
      </c>
      <c r="S856">
        <v>10</v>
      </c>
      <c r="T856">
        <v>285</v>
      </c>
      <c r="U856" s="11">
        <v>0.43388373911755823</v>
      </c>
      <c r="V856" s="11">
        <v>-0.90096886790241903</v>
      </c>
      <c r="W856" s="11">
        <v>-0.98505567182150133</v>
      </c>
      <c r="X856" s="11">
        <v>0.17223624302768201</v>
      </c>
      <c r="Y856">
        <v>0</v>
      </c>
      <c r="Z856">
        <v>1</v>
      </c>
      <c r="AA856" t="s">
        <v>73</v>
      </c>
      <c r="AB856">
        <v>0</v>
      </c>
      <c r="AC856">
        <v>0</v>
      </c>
      <c r="AD856">
        <v>0</v>
      </c>
      <c r="AE856">
        <v>0</v>
      </c>
    </row>
    <row r="857" spans="1:31">
      <c r="A857" s="6">
        <v>45212</v>
      </c>
      <c r="B857" t="s">
        <v>31</v>
      </c>
      <c r="C857" t="s">
        <v>32</v>
      </c>
      <c r="D857" t="s">
        <v>33</v>
      </c>
      <c r="E857" t="s">
        <v>34</v>
      </c>
      <c r="F857">
        <v>140</v>
      </c>
      <c r="G857">
        <v>360</v>
      </c>
      <c r="H857">
        <v>175</v>
      </c>
      <c r="I857">
        <v>75</v>
      </c>
      <c r="J857" s="8">
        <v>0.5357142857142857</v>
      </c>
      <c r="K857">
        <v>32</v>
      </c>
      <c r="L857">
        <v>41</v>
      </c>
      <c r="M857">
        <v>149</v>
      </c>
      <c r="N857" s="10">
        <v>454.97</v>
      </c>
      <c r="O857" s="7">
        <v>0</v>
      </c>
      <c r="P857" s="7">
        <v>29.7</v>
      </c>
      <c r="Q857">
        <v>4</v>
      </c>
      <c r="R857" t="s">
        <v>66</v>
      </c>
      <c r="S857">
        <v>10</v>
      </c>
      <c r="T857">
        <v>286</v>
      </c>
      <c r="U857" s="11">
        <v>-0.43388373911755801</v>
      </c>
      <c r="V857" s="11">
        <v>-0.90096886790241915</v>
      </c>
      <c r="W857" s="11">
        <v>-0.981947190186646</v>
      </c>
      <c r="X857" s="11">
        <v>0.18915526872004093</v>
      </c>
      <c r="Y857">
        <v>0</v>
      </c>
      <c r="Z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6">
        <v>45212</v>
      </c>
      <c r="B858" t="s">
        <v>36</v>
      </c>
      <c r="C858" t="s">
        <v>37</v>
      </c>
      <c r="D858" t="s">
        <v>38</v>
      </c>
      <c r="E858" t="s">
        <v>39</v>
      </c>
      <c r="F858">
        <v>125</v>
      </c>
      <c r="G858">
        <v>320</v>
      </c>
      <c r="H858">
        <v>160</v>
      </c>
      <c r="I858">
        <v>65</v>
      </c>
      <c r="J858" s="8">
        <v>0.52</v>
      </c>
      <c r="K858">
        <v>43</v>
      </c>
      <c r="L858">
        <v>20</v>
      </c>
      <c r="M858">
        <v>138</v>
      </c>
      <c r="N858" s="10">
        <v>660.87</v>
      </c>
      <c r="O858" s="7">
        <v>0</v>
      </c>
      <c r="P858" s="7">
        <v>29.7</v>
      </c>
      <c r="Q858">
        <v>4</v>
      </c>
      <c r="R858" t="s">
        <v>66</v>
      </c>
      <c r="S858">
        <v>10</v>
      </c>
      <c r="T858">
        <v>286</v>
      </c>
      <c r="U858" s="11">
        <v>-0.43388373911755801</v>
      </c>
      <c r="V858" s="11">
        <v>-0.90096886790241915</v>
      </c>
      <c r="W858" s="11">
        <v>-0.981947190186646</v>
      </c>
      <c r="X858" s="11">
        <v>0.18915526872004093</v>
      </c>
      <c r="Y858">
        <v>0</v>
      </c>
      <c r="Z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6">
        <v>45212</v>
      </c>
      <c r="B859" t="s">
        <v>41</v>
      </c>
      <c r="C859" t="s">
        <v>42</v>
      </c>
      <c r="D859" t="s">
        <v>43</v>
      </c>
      <c r="E859" t="s">
        <v>44</v>
      </c>
      <c r="F859">
        <v>85</v>
      </c>
      <c r="G859">
        <v>210</v>
      </c>
      <c r="H859">
        <v>127</v>
      </c>
      <c r="I859">
        <v>55</v>
      </c>
      <c r="J859" s="8">
        <v>0.6470588235294118</v>
      </c>
      <c r="K859">
        <v>18</v>
      </c>
      <c r="L859">
        <v>31</v>
      </c>
      <c r="M859">
        <v>116</v>
      </c>
      <c r="N859" s="10">
        <v>483.8</v>
      </c>
      <c r="O859" s="7">
        <v>0</v>
      </c>
      <c r="P859" s="7">
        <v>29.7</v>
      </c>
      <c r="Q859">
        <v>4</v>
      </c>
      <c r="R859" t="s">
        <v>66</v>
      </c>
      <c r="S859">
        <v>10</v>
      </c>
      <c r="T859">
        <v>286</v>
      </c>
      <c r="U859" s="11">
        <v>-0.43388373911755801</v>
      </c>
      <c r="V859" s="11">
        <v>-0.90096886790241915</v>
      </c>
      <c r="W859" s="11">
        <v>-0.981947190186646</v>
      </c>
      <c r="X859" s="11">
        <v>0.18915526872004093</v>
      </c>
      <c r="Y859">
        <v>0</v>
      </c>
      <c r="Z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6">
        <v>45213</v>
      </c>
      <c r="B860" t="s">
        <v>31</v>
      </c>
      <c r="C860" t="s">
        <v>32</v>
      </c>
      <c r="D860" t="s">
        <v>33</v>
      </c>
      <c r="E860" t="s">
        <v>34</v>
      </c>
      <c r="F860">
        <v>140</v>
      </c>
      <c r="G860">
        <v>360</v>
      </c>
      <c r="H860">
        <v>196</v>
      </c>
      <c r="I860">
        <v>84</v>
      </c>
      <c r="J860" s="8">
        <v>0.6</v>
      </c>
      <c r="K860">
        <v>32</v>
      </c>
      <c r="L860">
        <v>39</v>
      </c>
      <c r="M860">
        <v>164</v>
      </c>
      <c r="N860" s="10">
        <v>478.11</v>
      </c>
      <c r="O860" s="7">
        <v>0</v>
      </c>
      <c r="P860" s="7">
        <v>30.6</v>
      </c>
      <c r="Q860">
        <v>5</v>
      </c>
      <c r="R860" t="s">
        <v>67</v>
      </c>
      <c r="S860">
        <v>10</v>
      </c>
      <c r="T860">
        <v>287</v>
      </c>
      <c r="U860" s="11">
        <v>-0.97492791218182362</v>
      </c>
      <c r="V860" s="11">
        <v>-0.22252093395631459</v>
      </c>
      <c r="W860" s="11">
        <v>-0.97854813458020307</v>
      </c>
      <c r="X860" s="11">
        <v>0.20601832032517084</v>
      </c>
      <c r="Y860">
        <v>1</v>
      </c>
      <c r="Z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6">
        <v>45213</v>
      </c>
      <c r="B861" t="s">
        <v>36</v>
      </c>
      <c r="C861" t="s">
        <v>37</v>
      </c>
      <c r="D861" t="s">
        <v>38</v>
      </c>
      <c r="E861" t="s">
        <v>39</v>
      </c>
      <c r="F861">
        <v>125</v>
      </c>
      <c r="G861">
        <v>320</v>
      </c>
      <c r="H861">
        <v>182</v>
      </c>
      <c r="I861">
        <v>74</v>
      </c>
      <c r="J861" s="8">
        <v>0.59199999999999997</v>
      </c>
      <c r="K861">
        <v>24</v>
      </c>
      <c r="L861">
        <v>35</v>
      </c>
      <c r="M861">
        <v>171</v>
      </c>
      <c r="N861" s="10">
        <v>755.16</v>
      </c>
      <c r="O861" s="7">
        <v>0</v>
      </c>
      <c r="P861" s="7">
        <v>30.6</v>
      </c>
      <c r="Q861">
        <v>5</v>
      </c>
      <c r="R861" t="s">
        <v>67</v>
      </c>
      <c r="S861">
        <v>10</v>
      </c>
      <c r="T861">
        <v>287</v>
      </c>
      <c r="U861" s="11">
        <v>-0.97492791218182362</v>
      </c>
      <c r="V861" s="11">
        <v>-0.22252093395631459</v>
      </c>
      <c r="W861" s="11">
        <v>-0.97854813458020307</v>
      </c>
      <c r="X861" s="11">
        <v>0.20601832032517084</v>
      </c>
      <c r="Y861">
        <v>1</v>
      </c>
      <c r="Z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6">
        <v>45213</v>
      </c>
      <c r="B862" t="s">
        <v>41</v>
      </c>
      <c r="C862" t="s">
        <v>42</v>
      </c>
      <c r="D862" t="s">
        <v>43</v>
      </c>
      <c r="E862" t="s">
        <v>44</v>
      </c>
      <c r="F862">
        <v>85</v>
      </c>
      <c r="G862">
        <v>210</v>
      </c>
      <c r="H862">
        <v>133</v>
      </c>
      <c r="I862">
        <v>59</v>
      </c>
      <c r="J862" s="8">
        <v>0.69411764705882351</v>
      </c>
      <c r="K862">
        <v>20</v>
      </c>
      <c r="L862">
        <v>17</v>
      </c>
      <c r="M862">
        <v>120</v>
      </c>
      <c r="N862" s="10">
        <v>642.91999999999996</v>
      </c>
      <c r="O862" s="7">
        <v>0</v>
      </c>
      <c r="P862" s="7">
        <v>30.6</v>
      </c>
      <c r="Q862">
        <v>5</v>
      </c>
      <c r="R862" t="s">
        <v>67</v>
      </c>
      <c r="S862">
        <v>10</v>
      </c>
      <c r="T862">
        <v>287</v>
      </c>
      <c r="U862" s="11">
        <v>-0.97492791218182362</v>
      </c>
      <c r="V862" s="11">
        <v>-0.22252093395631459</v>
      </c>
      <c r="W862" s="11">
        <v>-0.97854813458020307</v>
      </c>
      <c r="X862" s="11">
        <v>0.20601832032517084</v>
      </c>
      <c r="Y862">
        <v>1</v>
      </c>
      <c r="Z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6">
        <v>45214</v>
      </c>
      <c r="B863" t="s">
        <v>31</v>
      </c>
      <c r="C863" t="s">
        <v>32</v>
      </c>
      <c r="D863" t="s">
        <v>33</v>
      </c>
      <c r="E863" t="s">
        <v>34</v>
      </c>
      <c r="F863">
        <v>140</v>
      </c>
      <c r="G863">
        <v>360</v>
      </c>
      <c r="H863">
        <v>212</v>
      </c>
      <c r="I863">
        <v>88</v>
      </c>
      <c r="J863" s="8">
        <v>0.62857142857142856</v>
      </c>
      <c r="K863">
        <v>36</v>
      </c>
      <c r="L863">
        <v>29</v>
      </c>
      <c r="M863">
        <v>173</v>
      </c>
      <c r="N863" s="10">
        <v>473.33</v>
      </c>
      <c r="O863" s="7">
        <v>1</v>
      </c>
      <c r="P863" s="7">
        <v>30.8</v>
      </c>
      <c r="Q863">
        <v>6</v>
      </c>
      <c r="R863" t="s">
        <v>60</v>
      </c>
      <c r="S863">
        <v>10</v>
      </c>
      <c r="T863">
        <v>288</v>
      </c>
      <c r="U863" s="11">
        <v>-0.78183148246802991</v>
      </c>
      <c r="V863" s="11">
        <v>0.62348980185873337</v>
      </c>
      <c r="W863" s="11">
        <v>-0.97485951083741251</v>
      </c>
      <c r="X863" s="11">
        <v>0.22282040779479959</v>
      </c>
      <c r="Y863">
        <v>1</v>
      </c>
      <c r="Z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6">
        <v>45214</v>
      </c>
      <c r="B864" t="s">
        <v>36</v>
      </c>
      <c r="C864" t="s">
        <v>37</v>
      </c>
      <c r="D864" t="s">
        <v>38</v>
      </c>
      <c r="E864" t="s">
        <v>39</v>
      </c>
      <c r="F864">
        <v>125</v>
      </c>
      <c r="G864">
        <v>320</v>
      </c>
      <c r="H864">
        <v>180</v>
      </c>
      <c r="I864">
        <v>76</v>
      </c>
      <c r="J864" s="8">
        <v>0.60799999999999998</v>
      </c>
      <c r="K864">
        <v>46</v>
      </c>
      <c r="L864">
        <v>46</v>
      </c>
      <c r="M864">
        <v>158</v>
      </c>
      <c r="N864" s="10">
        <v>710.01</v>
      </c>
      <c r="O864" s="7">
        <v>1</v>
      </c>
      <c r="P864" s="7">
        <v>30.8</v>
      </c>
      <c r="Q864">
        <v>6</v>
      </c>
      <c r="R864" t="s">
        <v>60</v>
      </c>
      <c r="S864">
        <v>10</v>
      </c>
      <c r="T864">
        <v>288</v>
      </c>
      <c r="U864" s="11">
        <v>-0.78183148246802991</v>
      </c>
      <c r="V864" s="11">
        <v>0.62348980185873337</v>
      </c>
      <c r="W864" s="11">
        <v>-0.97485951083741251</v>
      </c>
      <c r="X864" s="11">
        <v>0.22282040779479959</v>
      </c>
      <c r="Y864">
        <v>1</v>
      </c>
      <c r="Z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6">
        <v>45214</v>
      </c>
      <c r="B865" t="s">
        <v>41</v>
      </c>
      <c r="C865" t="s">
        <v>42</v>
      </c>
      <c r="D865" t="s">
        <v>43</v>
      </c>
      <c r="E865" t="s">
        <v>44</v>
      </c>
      <c r="F865">
        <v>85</v>
      </c>
      <c r="G865">
        <v>210</v>
      </c>
      <c r="H865">
        <v>134</v>
      </c>
      <c r="I865">
        <v>62</v>
      </c>
      <c r="J865" s="8">
        <v>0.72941176470588232</v>
      </c>
      <c r="K865">
        <v>32</v>
      </c>
      <c r="L865">
        <v>15</v>
      </c>
      <c r="M865">
        <v>118</v>
      </c>
      <c r="N865" s="10">
        <v>639.85</v>
      </c>
      <c r="O865" s="7">
        <v>1</v>
      </c>
      <c r="P865" s="7">
        <v>30.8</v>
      </c>
      <c r="Q865">
        <v>6</v>
      </c>
      <c r="R865" t="s">
        <v>60</v>
      </c>
      <c r="S865">
        <v>10</v>
      </c>
      <c r="T865">
        <v>288</v>
      </c>
      <c r="U865" s="11">
        <v>-0.78183148246802991</v>
      </c>
      <c r="V865" s="11">
        <v>0.62348980185873337</v>
      </c>
      <c r="W865" s="11">
        <v>-0.97485951083741251</v>
      </c>
      <c r="X865" s="11">
        <v>0.22282040779479959</v>
      </c>
      <c r="Y865">
        <v>1</v>
      </c>
      <c r="Z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6">
        <v>45215</v>
      </c>
      <c r="B866" t="s">
        <v>31</v>
      </c>
      <c r="C866" t="s">
        <v>32</v>
      </c>
      <c r="D866" t="s">
        <v>33</v>
      </c>
      <c r="E866" t="s">
        <v>34</v>
      </c>
      <c r="F866">
        <v>140</v>
      </c>
      <c r="G866">
        <v>360</v>
      </c>
      <c r="H866">
        <v>194</v>
      </c>
      <c r="I866">
        <v>80</v>
      </c>
      <c r="J866" s="8">
        <v>0.5714285714285714</v>
      </c>
      <c r="K866">
        <v>52</v>
      </c>
      <c r="L866">
        <v>27</v>
      </c>
      <c r="M866">
        <v>179</v>
      </c>
      <c r="N866" s="10">
        <v>462.14</v>
      </c>
      <c r="O866" s="7">
        <v>3.6</v>
      </c>
      <c r="P866" s="7">
        <v>29.8</v>
      </c>
      <c r="Q866">
        <v>0</v>
      </c>
      <c r="R866" t="s">
        <v>62</v>
      </c>
      <c r="S866">
        <v>10</v>
      </c>
      <c r="T866">
        <v>289</v>
      </c>
      <c r="U866" s="11">
        <v>0</v>
      </c>
      <c r="V866" s="11">
        <v>1</v>
      </c>
      <c r="W866" s="11">
        <v>-0.97088241048138357</v>
      </c>
      <c r="X866" s="11">
        <v>0.23955655912092708</v>
      </c>
      <c r="Y866">
        <v>0</v>
      </c>
      <c r="Z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6">
        <v>45215</v>
      </c>
      <c r="B867" t="s">
        <v>36</v>
      </c>
      <c r="C867" t="s">
        <v>37</v>
      </c>
      <c r="D867" t="s">
        <v>38</v>
      </c>
      <c r="E867" t="s">
        <v>39</v>
      </c>
      <c r="F867">
        <v>125</v>
      </c>
      <c r="G867">
        <v>320</v>
      </c>
      <c r="H867">
        <v>148</v>
      </c>
      <c r="I867">
        <v>62</v>
      </c>
      <c r="J867" s="8">
        <v>0.496</v>
      </c>
      <c r="K867">
        <v>42</v>
      </c>
      <c r="L867">
        <v>38</v>
      </c>
      <c r="M867">
        <v>123</v>
      </c>
      <c r="N867" s="10">
        <v>661.78</v>
      </c>
      <c r="O867" s="7">
        <v>3.6</v>
      </c>
      <c r="P867" s="7">
        <v>29.8</v>
      </c>
      <c r="Q867">
        <v>0</v>
      </c>
      <c r="R867" t="s">
        <v>62</v>
      </c>
      <c r="S867">
        <v>10</v>
      </c>
      <c r="T867">
        <v>289</v>
      </c>
      <c r="U867" s="11">
        <v>0</v>
      </c>
      <c r="V867" s="11">
        <v>1</v>
      </c>
      <c r="W867" s="11">
        <v>-0.97088241048138357</v>
      </c>
      <c r="X867" s="11">
        <v>0.23955655912092708</v>
      </c>
      <c r="Y867">
        <v>0</v>
      </c>
      <c r="Z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6">
        <v>45215</v>
      </c>
      <c r="B868" t="s">
        <v>41</v>
      </c>
      <c r="C868" t="s">
        <v>42</v>
      </c>
      <c r="D868" t="s">
        <v>43</v>
      </c>
      <c r="E868" t="s">
        <v>44</v>
      </c>
      <c r="F868">
        <v>85</v>
      </c>
      <c r="G868">
        <v>210</v>
      </c>
      <c r="H868">
        <v>101</v>
      </c>
      <c r="I868">
        <v>44</v>
      </c>
      <c r="J868" s="8">
        <v>0.51764705882352946</v>
      </c>
      <c r="K868">
        <v>28</v>
      </c>
      <c r="L868">
        <v>11</v>
      </c>
      <c r="M868">
        <v>89</v>
      </c>
      <c r="N868" s="10">
        <v>570.36</v>
      </c>
      <c r="O868" s="7">
        <v>3.6</v>
      </c>
      <c r="P868" s="7">
        <v>29.8</v>
      </c>
      <c r="Q868">
        <v>0</v>
      </c>
      <c r="R868" t="s">
        <v>62</v>
      </c>
      <c r="S868">
        <v>10</v>
      </c>
      <c r="T868">
        <v>289</v>
      </c>
      <c r="U868" s="11">
        <v>0</v>
      </c>
      <c r="V868" s="11">
        <v>1</v>
      </c>
      <c r="W868" s="11">
        <v>-0.97088241048138357</v>
      </c>
      <c r="X868" s="11">
        <v>0.23955655912092708</v>
      </c>
      <c r="Y868">
        <v>0</v>
      </c>
      <c r="Z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6">
        <v>45216</v>
      </c>
      <c r="B869" t="s">
        <v>31</v>
      </c>
      <c r="C869" t="s">
        <v>32</v>
      </c>
      <c r="D869" t="s">
        <v>33</v>
      </c>
      <c r="E869" t="s">
        <v>34</v>
      </c>
      <c r="F869">
        <v>140</v>
      </c>
      <c r="G869">
        <v>360</v>
      </c>
      <c r="H869">
        <v>190</v>
      </c>
      <c r="I869">
        <v>81</v>
      </c>
      <c r="J869" s="8">
        <v>0.57857142857142863</v>
      </c>
      <c r="K869">
        <v>30</v>
      </c>
      <c r="L869">
        <v>26</v>
      </c>
      <c r="M869">
        <v>156</v>
      </c>
      <c r="N869" s="10">
        <v>469.38</v>
      </c>
      <c r="O869" s="7">
        <v>5.3</v>
      </c>
      <c r="P869" s="7">
        <v>29.1</v>
      </c>
      <c r="Q869">
        <v>1</v>
      </c>
      <c r="R869" t="s">
        <v>63</v>
      </c>
      <c r="S869">
        <v>10</v>
      </c>
      <c r="T869">
        <v>290</v>
      </c>
      <c r="U869" s="11">
        <v>0.7818314824680298</v>
      </c>
      <c r="V869" s="11">
        <v>0.62348980185873359</v>
      </c>
      <c r="W869" s="11">
        <v>-0.96661801040009721</v>
      </c>
      <c r="X869" s="11">
        <v>0.25622182180711628</v>
      </c>
      <c r="Y869">
        <v>0</v>
      </c>
      <c r="Z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6">
        <v>45216</v>
      </c>
      <c r="B870" t="s">
        <v>36</v>
      </c>
      <c r="C870" t="s">
        <v>37</v>
      </c>
      <c r="D870" t="s">
        <v>38</v>
      </c>
      <c r="E870" t="s">
        <v>39</v>
      </c>
      <c r="F870">
        <v>125</v>
      </c>
      <c r="G870">
        <v>320</v>
      </c>
      <c r="H870">
        <v>150</v>
      </c>
      <c r="I870">
        <v>66</v>
      </c>
      <c r="J870" s="8">
        <v>0.52800000000000002</v>
      </c>
      <c r="K870">
        <v>23</v>
      </c>
      <c r="L870">
        <v>31</v>
      </c>
      <c r="M870">
        <v>136</v>
      </c>
      <c r="N870" s="10">
        <v>563.82000000000005</v>
      </c>
      <c r="O870" s="7">
        <v>5.3</v>
      </c>
      <c r="P870" s="7">
        <v>29.1</v>
      </c>
      <c r="Q870">
        <v>1</v>
      </c>
      <c r="R870" t="s">
        <v>63</v>
      </c>
      <c r="S870">
        <v>10</v>
      </c>
      <c r="T870">
        <v>290</v>
      </c>
      <c r="U870" s="11">
        <v>0.7818314824680298</v>
      </c>
      <c r="V870" s="11">
        <v>0.62348980185873359</v>
      </c>
      <c r="W870" s="11">
        <v>-0.96661801040009721</v>
      </c>
      <c r="X870" s="11">
        <v>0.25622182180711628</v>
      </c>
      <c r="Y870">
        <v>0</v>
      </c>
      <c r="Z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6">
        <v>45216</v>
      </c>
      <c r="B871" t="s">
        <v>41</v>
      </c>
      <c r="C871" t="s">
        <v>42</v>
      </c>
      <c r="D871" t="s">
        <v>43</v>
      </c>
      <c r="E871" t="s">
        <v>44</v>
      </c>
      <c r="F871">
        <v>85</v>
      </c>
      <c r="G871">
        <v>210</v>
      </c>
      <c r="H871">
        <v>100</v>
      </c>
      <c r="I871">
        <v>45</v>
      </c>
      <c r="J871" s="8">
        <v>0.52941176470588236</v>
      </c>
      <c r="K871">
        <v>20</v>
      </c>
      <c r="L871">
        <v>17</v>
      </c>
      <c r="M871">
        <v>90</v>
      </c>
      <c r="N871" s="10">
        <v>500.02</v>
      </c>
      <c r="O871" s="7">
        <v>5.3</v>
      </c>
      <c r="P871" s="7">
        <v>29.1</v>
      </c>
      <c r="Q871">
        <v>1</v>
      </c>
      <c r="R871" t="s">
        <v>63</v>
      </c>
      <c r="S871">
        <v>10</v>
      </c>
      <c r="T871">
        <v>290</v>
      </c>
      <c r="U871" s="11">
        <v>0.7818314824680298</v>
      </c>
      <c r="V871" s="11">
        <v>0.62348980185873359</v>
      </c>
      <c r="W871" s="11">
        <v>-0.96661801040009721</v>
      </c>
      <c r="X871" s="11">
        <v>0.25622182180711628</v>
      </c>
      <c r="Y871">
        <v>0</v>
      </c>
      <c r="Z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6">
        <v>45217</v>
      </c>
      <c r="B872" t="s">
        <v>31</v>
      </c>
      <c r="C872" t="s">
        <v>32</v>
      </c>
      <c r="D872" t="s">
        <v>33</v>
      </c>
      <c r="E872" t="s">
        <v>34</v>
      </c>
      <c r="F872">
        <v>140</v>
      </c>
      <c r="G872">
        <v>360</v>
      </c>
      <c r="H872">
        <v>145</v>
      </c>
      <c r="I872">
        <v>63</v>
      </c>
      <c r="J872" s="8">
        <v>0.45</v>
      </c>
      <c r="K872">
        <v>37</v>
      </c>
      <c r="L872">
        <v>27</v>
      </c>
      <c r="M872">
        <v>124</v>
      </c>
      <c r="N872" s="10">
        <v>403.03</v>
      </c>
      <c r="O872" s="7">
        <v>2.5</v>
      </c>
      <c r="P872" s="7">
        <v>29.7</v>
      </c>
      <c r="Q872">
        <v>2</v>
      </c>
      <c r="R872" t="s">
        <v>64</v>
      </c>
      <c r="S872">
        <v>10</v>
      </c>
      <c r="T872">
        <v>291</v>
      </c>
      <c r="U872" s="11">
        <v>0.97492791218182362</v>
      </c>
      <c r="V872" s="11">
        <v>-0.22252093395631434</v>
      </c>
      <c r="W872" s="11">
        <v>-0.96206757249814523</v>
      </c>
      <c r="X872" s="11">
        <v>0.27281126433401914</v>
      </c>
      <c r="Y872">
        <v>0</v>
      </c>
      <c r="Z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6">
        <v>45217</v>
      </c>
      <c r="B873" t="s">
        <v>36</v>
      </c>
      <c r="C873" t="s">
        <v>37</v>
      </c>
      <c r="D873" t="s">
        <v>38</v>
      </c>
      <c r="E873" t="s">
        <v>39</v>
      </c>
      <c r="F873">
        <v>125</v>
      </c>
      <c r="G873">
        <v>320</v>
      </c>
      <c r="H873">
        <v>162</v>
      </c>
      <c r="I873">
        <v>68</v>
      </c>
      <c r="J873" s="8">
        <v>0.54400000000000004</v>
      </c>
      <c r="K873">
        <v>21</v>
      </c>
      <c r="L873">
        <v>38</v>
      </c>
      <c r="M873">
        <v>139</v>
      </c>
      <c r="N873" s="10">
        <v>612.91999999999996</v>
      </c>
      <c r="O873" s="7">
        <v>2.5</v>
      </c>
      <c r="P873" s="7">
        <v>29.7</v>
      </c>
      <c r="Q873">
        <v>2</v>
      </c>
      <c r="R873" t="s">
        <v>64</v>
      </c>
      <c r="S873">
        <v>10</v>
      </c>
      <c r="T873">
        <v>291</v>
      </c>
      <c r="U873" s="11">
        <v>0.97492791218182362</v>
      </c>
      <c r="V873" s="11">
        <v>-0.22252093395631434</v>
      </c>
      <c r="W873" s="11">
        <v>-0.96206757249814523</v>
      </c>
      <c r="X873" s="11">
        <v>0.27281126433401914</v>
      </c>
      <c r="Y873">
        <v>0</v>
      </c>
      <c r="Z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6">
        <v>45217</v>
      </c>
      <c r="B874" t="s">
        <v>41</v>
      </c>
      <c r="C874" t="s">
        <v>42</v>
      </c>
      <c r="D874" t="s">
        <v>43</v>
      </c>
      <c r="E874" t="s">
        <v>44</v>
      </c>
      <c r="F874">
        <v>85</v>
      </c>
      <c r="G874">
        <v>210</v>
      </c>
      <c r="H874">
        <v>103</v>
      </c>
      <c r="I874">
        <v>47</v>
      </c>
      <c r="J874" s="8">
        <v>0.55294117647058827</v>
      </c>
      <c r="K874">
        <v>22</v>
      </c>
      <c r="L874">
        <v>28</v>
      </c>
      <c r="M874">
        <v>87</v>
      </c>
      <c r="N874" s="10">
        <v>491.84</v>
      </c>
      <c r="O874" s="7">
        <v>2.5</v>
      </c>
      <c r="P874" s="7">
        <v>29.7</v>
      </c>
      <c r="Q874">
        <v>2</v>
      </c>
      <c r="R874" t="s">
        <v>64</v>
      </c>
      <c r="S874">
        <v>10</v>
      </c>
      <c r="T874">
        <v>291</v>
      </c>
      <c r="U874" s="11">
        <v>0.97492791218182362</v>
      </c>
      <c r="V874" s="11">
        <v>-0.22252093395631434</v>
      </c>
      <c r="W874" s="11">
        <v>-0.96206757249814523</v>
      </c>
      <c r="X874" s="11">
        <v>0.27281126433401914</v>
      </c>
      <c r="Y874">
        <v>0</v>
      </c>
      <c r="Z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6">
        <v>45218</v>
      </c>
      <c r="B875" t="s">
        <v>31</v>
      </c>
      <c r="C875" t="s">
        <v>32</v>
      </c>
      <c r="D875" t="s">
        <v>33</v>
      </c>
      <c r="E875" t="s">
        <v>34</v>
      </c>
      <c r="F875">
        <v>140</v>
      </c>
      <c r="G875">
        <v>360</v>
      </c>
      <c r="H875">
        <v>164</v>
      </c>
      <c r="I875">
        <v>72</v>
      </c>
      <c r="J875" s="8">
        <v>0.51428571428571423</v>
      </c>
      <c r="K875">
        <v>23</v>
      </c>
      <c r="L875">
        <v>32</v>
      </c>
      <c r="M875">
        <v>132</v>
      </c>
      <c r="N875" s="10">
        <v>397.48</v>
      </c>
      <c r="O875" s="7">
        <v>2.4</v>
      </c>
      <c r="P875" s="7">
        <v>30</v>
      </c>
      <c r="Q875">
        <v>3</v>
      </c>
      <c r="R875" t="s">
        <v>65</v>
      </c>
      <c r="S875">
        <v>10</v>
      </c>
      <c r="T875">
        <v>292</v>
      </c>
      <c r="U875" s="11">
        <v>0.43388373911755823</v>
      </c>
      <c r="V875" s="11">
        <v>-0.90096886790241903</v>
      </c>
      <c r="W875" s="11">
        <v>-0.95723244332331203</v>
      </c>
      <c r="X875" s="11">
        <v>0.28931997761869527</v>
      </c>
      <c r="Y875">
        <v>0</v>
      </c>
      <c r="Z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6">
        <v>45218</v>
      </c>
      <c r="B876" t="s">
        <v>36</v>
      </c>
      <c r="C876" t="s">
        <v>37</v>
      </c>
      <c r="D876" t="s">
        <v>38</v>
      </c>
      <c r="E876" t="s">
        <v>39</v>
      </c>
      <c r="F876">
        <v>125</v>
      </c>
      <c r="G876">
        <v>320</v>
      </c>
      <c r="H876">
        <v>153</v>
      </c>
      <c r="I876">
        <v>63</v>
      </c>
      <c r="J876" s="8">
        <v>0.504</v>
      </c>
      <c r="K876">
        <v>33</v>
      </c>
      <c r="L876">
        <v>33</v>
      </c>
      <c r="M876">
        <v>141</v>
      </c>
      <c r="N876" s="10">
        <v>616.41999999999996</v>
      </c>
      <c r="O876" s="7">
        <v>2.4</v>
      </c>
      <c r="P876" s="7">
        <v>30</v>
      </c>
      <c r="Q876">
        <v>3</v>
      </c>
      <c r="R876" t="s">
        <v>65</v>
      </c>
      <c r="S876">
        <v>10</v>
      </c>
      <c r="T876">
        <v>292</v>
      </c>
      <c r="U876" s="11">
        <v>0.43388373911755823</v>
      </c>
      <c r="V876" s="11">
        <v>-0.90096886790241903</v>
      </c>
      <c r="W876" s="11">
        <v>-0.95723244332331203</v>
      </c>
      <c r="X876" s="11">
        <v>0.28931997761869527</v>
      </c>
      <c r="Y876">
        <v>0</v>
      </c>
      <c r="Z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6">
        <v>45218</v>
      </c>
      <c r="B877" t="s">
        <v>41</v>
      </c>
      <c r="C877" t="s">
        <v>42</v>
      </c>
      <c r="D877" t="s">
        <v>43</v>
      </c>
      <c r="E877" t="s">
        <v>44</v>
      </c>
      <c r="F877">
        <v>85</v>
      </c>
      <c r="G877">
        <v>210</v>
      </c>
      <c r="H877">
        <v>107</v>
      </c>
      <c r="I877">
        <v>51</v>
      </c>
      <c r="J877" s="8">
        <v>0.6</v>
      </c>
      <c r="K877">
        <v>16</v>
      </c>
      <c r="L877">
        <v>15</v>
      </c>
      <c r="M877">
        <v>90</v>
      </c>
      <c r="N877" s="10">
        <v>491.66</v>
      </c>
      <c r="O877" s="7">
        <v>2.4</v>
      </c>
      <c r="P877" s="7">
        <v>30</v>
      </c>
      <c r="Q877">
        <v>3</v>
      </c>
      <c r="R877" t="s">
        <v>65</v>
      </c>
      <c r="S877">
        <v>10</v>
      </c>
      <c r="T877">
        <v>292</v>
      </c>
      <c r="U877" s="11">
        <v>0.43388373911755823</v>
      </c>
      <c r="V877" s="11">
        <v>-0.90096886790241903</v>
      </c>
      <c r="W877" s="11">
        <v>-0.95723244332331203</v>
      </c>
      <c r="X877" s="11">
        <v>0.28931997761869527</v>
      </c>
      <c r="Y877">
        <v>0</v>
      </c>
      <c r="Z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6">
        <v>45219</v>
      </c>
      <c r="B878" t="s">
        <v>31</v>
      </c>
      <c r="C878" t="s">
        <v>32</v>
      </c>
      <c r="D878" t="s">
        <v>33</v>
      </c>
      <c r="E878" t="s">
        <v>34</v>
      </c>
      <c r="F878">
        <v>140</v>
      </c>
      <c r="G878">
        <v>360</v>
      </c>
      <c r="H878">
        <v>150</v>
      </c>
      <c r="I878">
        <v>66</v>
      </c>
      <c r="J878" s="8">
        <v>0.47142857142857142</v>
      </c>
      <c r="K878">
        <v>16</v>
      </c>
      <c r="L878">
        <v>41</v>
      </c>
      <c r="M878">
        <v>124</v>
      </c>
      <c r="N878" s="10">
        <v>429.19</v>
      </c>
      <c r="O878" s="7">
        <v>1</v>
      </c>
      <c r="P878" s="7">
        <v>29.9</v>
      </c>
      <c r="Q878">
        <v>4</v>
      </c>
      <c r="R878" t="s">
        <v>66</v>
      </c>
      <c r="S878">
        <v>10</v>
      </c>
      <c r="T878">
        <v>293</v>
      </c>
      <c r="U878" s="11">
        <v>-0.43388373911755801</v>
      </c>
      <c r="V878" s="11">
        <v>-0.90096886790241915</v>
      </c>
      <c r="W878" s="11">
        <v>-0.95211405366811019</v>
      </c>
      <c r="X878" s="11">
        <v>0.3057430764672831</v>
      </c>
      <c r="Y878">
        <v>0</v>
      </c>
      <c r="Z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6">
        <v>45219</v>
      </c>
      <c r="B879" t="s">
        <v>36</v>
      </c>
      <c r="C879" t="s">
        <v>37</v>
      </c>
      <c r="D879" t="s">
        <v>38</v>
      </c>
      <c r="E879" t="s">
        <v>39</v>
      </c>
      <c r="F879">
        <v>125</v>
      </c>
      <c r="G879">
        <v>320</v>
      </c>
      <c r="H879">
        <v>146</v>
      </c>
      <c r="I879">
        <v>62</v>
      </c>
      <c r="J879" s="8">
        <v>0.496</v>
      </c>
      <c r="K879">
        <v>25</v>
      </c>
      <c r="L879">
        <v>15</v>
      </c>
      <c r="M879">
        <v>121</v>
      </c>
      <c r="N879" s="10">
        <v>650.71</v>
      </c>
      <c r="O879" s="7">
        <v>1</v>
      </c>
      <c r="P879" s="7">
        <v>29.9</v>
      </c>
      <c r="Q879">
        <v>4</v>
      </c>
      <c r="R879" t="s">
        <v>66</v>
      </c>
      <c r="S879">
        <v>10</v>
      </c>
      <c r="T879">
        <v>293</v>
      </c>
      <c r="U879" s="11">
        <v>-0.43388373911755801</v>
      </c>
      <c r="V879" s="11">
        <v>-0.90096886790241915</v>
      </c>
      <c r="W879" s="11">
        <v>-0.95211405366811019</v>
      </c>
      <c r="X879" s="11">
        <v>0.3057430764672831</v>
      </c>
      <c r="Y879">
        <v>0</v>
      </c>
      <c r="Z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s="6">
        <v>45219</v>
      </c>
      <c r="B880" t="s">
        <v>41</v>
      </c>
      <c r="C880" t="s">
        <v>42</v>
      </c>
      <c r="D880" t="s">
        <v>43</v>
      </c>
      <c r="E880" t="s">
        <v>44</v>
      </c>
      <c r="F880">
        <v>85</v>
      </c>
      <c r="G880">
        <v>210</v>
      </c>
      <c r="H880">
        <v>124</v>
      </c>
      <c r="I880">
        <v>51</v>
      </c>
      <c r="J880" s="8">
        <v>0.6</v>
      </c>
      <c r="K880">
        <v>31</v>
      </c>
      <c r="L880">
        <v>9</v>
      </c>
      <c r="M880">
        <v>116</v>
      </c>
      <c r="N880" s="10">
        <v>489.64</v>
      </c>
      <c r="O880" s="7">
        <v>1</v>
      </c>
      <c r="P880" s="7">
        <v>29.9</v>
      </c>
      <c r="Q880">
        <v>4</v>
      </c>
      <c r="R880" t="s">
        <v>66</v>
      </c>
      <c r="S880">
        <v>10</v>
      </c>
      <c r="T880">
        <v>293</v>
      </c>
      <c r="U880" s="11">
        <v>-0.43388373911755801</v>
      </c>
      <c r="V880" s="11">
        <v>-0.90096886790241915</v>
      </c>
      <c r="W880" s="11">
        <v>-0.95211405366811019</v>
      </c>
      <c r="X880" s="11">
        <v>0.3057430764672831</v>
      </c>
      <c r="Y880">
        <v>0</v>
      </c>
      <c r="Z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6">
        <v>45220</v>
      </c>
      <c r="B881" t="s">
        <v>31</v>
      </c>
      <c r="C881" t="s">
        <v>32</v>
      </c>
      <c r="D881" t="s">
        <v>33</v>
      </c>
      <c r="E881" t="s">
        <v>34</v>
      </c>
      <c r="F881">
        <v>140</v>
      </c>
      <c r="G881">
        <v>360</v>
      </c>
      <c r="H881">
        <v>189</v>
      </c>
      <c r="I881">
        <v>81</v>
      </c>
      <c r="J881" s="8">
        <v>0.57857142857142863</v>
      </c>
      <c r="K881">
        <v>25</v>
      </c>
      <c r="L881">
        <v>47</v>
      </c>
      <c r="M881">
        <v>161</v>
      </c>
      <c r="N881" s="10">
        <v>448.43</v>
      </c>
      <c r="O881" s="7">
        <v>0</v>
      </c>
      <c r="P881" s="7">
        <v>31.1</v>
      </c>
      <c r="Q881">
        <v>5</v>
      </c>
      <c r="R881" t="s">
        <v>67</v>
      </c>
      <c r="S881">
        <v>10</v>
      </c>
      <c r="T881">
        <v>294</v>
      </c>
      <c r="U881" s="11">
        <v>-0.97492791218182362</v>
      </c>
      <c r="V881" s="11">
        <v>-0.22252093395631459</v>
      </c>
      <c r="W881" s="11">
        <v>-0.94671391814638617</v>
      </c>
      <c r="X881" s="11">
        <v>0.32207570102061039</v>
      </c>
      <c r="Y881">
        <v>1</v>
      </c>
      <c r="Z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6">
        <v>45220</v>
      </c>
      <c r="B882" t="s">
        <v>36</v>
      </c>
      <c r="C882" t="s">
        <v>37</v>
      </c>
      <c r="D882" t="s">
        <v>38</v>
      </c>
      <c r="E882" t="s">
        <v>39</v>
      </c>
      <c r="F882">
        <v>125</v>
      </c>
      <c r="G882">
        <v>320</v>
      </c>
      <c r="H882">
        <v>191</v>
      </c>
      <c r="I882">
        <v>77</v>
      </c>
      <c r="J882" s="8">
        <v>0.61599999999999999</v>
      </c>
      <c r="K882">
        <v>44</v>
      </c>
      <c r="L882">
        <v>23</v>
      </c>
      <c r="M882">
        <v>179</v>
      </c>
      <c r="N882" s="10">
        <v>747.06</v>
      </c>
      <c r="O882" s="7">
        <v>0</v>
      </c>
      <c r="P882" s="7">
        <v>31.1</v>
      </c>
      <c r="Q882">
        <v>5</v>
      </c>
      <c r="R882" t="s">
        <v>67</v>
      </c>
      <c r="S882">
        <v>10</v>
      </c>
      <c r="T882">
        <v>294</v>
      </c>
      <c r="U882" s="11">
        <v>-0.97492791218182362</v>
      </c>
      <c r="V882" s="11">
        <v>-0.22252093395631459</v>
      </c>
      <c r="W882" s="11">
        <v>-0.94671391814638617</v>
      </c>
      <c r="X882" s="11">
        <v>0.32207570102061039</v>
      </c>
      <c r="Y882">
        <v>1</v>
      </c>
      <c r="Z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6">
        <v>45220</v>
      </c>
      <c r="B883" t="s">
        <v>41</v>
      </c>
      <c r="C883" t="s">
        <v>42</v>
      </c>
      <c r="D883" t="s">
        <v>43</v>
      </c>
      <c r="E883" t="s">
        <v>44</v>
      </c>
      <c r="F883">
        <v>85</v>
      </c>
      <c r="G883">
        <v>210</v>
      </c>
      <c r="H883">
        <v>140</v>
      </c>
      <c r="I883">
        <v>61</v>
      </c>
      <c r="J883" s="8">
        <v>0.71764705882352942</v>
      </c>
      <c r="K883">
        <v>34</v>
      </c>
      <c r="L883">
        <v>29</v>
      </c>
      <c r="M883">
        <v>121</v>
      </c>
      <c r="N883" s="10">
        <v>538.71</v>
      </c>
      <c r="O883" s="7">
        <v>0</v>
      </c>
      <c r="P883" s="7">
        <v>31.1</v>
      </c>
      <c r="Q883">
        <v>5</v>
      </c>
      <c r="R883" t="s">
        <v>67</v>
      </c>
      <c r="S883">
        <v>10</v>
      </c>
      <c r="T883">
        <v>294</v>
      </c>
      <c r="U883" s="11">
        <v>-0.97492791218182362</v>
      </c>
      <c r="V883" s="11">
        <v>-0.22252093395631459</v>
      </c>
      <c r="W883" s="11">
        <v>-0.94671391814638617</v>
      </c>
      <c r="X883" s="11">
        <v>0.32207570102061039</v>
      </c>
      <c r="Y883">
        <v>1</v>
      </c>
      <c r="Z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6">
        <v>45221</v>
      </c>
      <c r="B884" t="s">
        <v>31</v>
      </c>
      <c r="C884" t="s">
        <v>32</v>
      </c>
      <c r="D884" t="s">
        <v>33</v>
      </c>
      <c r="E884" t="s">
        <v>34</v>
      </c>
      <c r="F884">
        <v>140</v>
      </c>
      <c r="G884">
        <v>360</v>
      </c>
      <c r="H884">
        <v>177</v>
      </c>
      <c r="I884">
        <v>78</v>
      </c>
      <c r="J884" s="8">
        <v>0.55714285714285716</v>
      </c>
      <c r="K884">
        <v>32</v>
      </c>
      <c r="L884">
        <v>23</v>
      </c>
      <c r="M884">
        <v>150</v>
      </c>
      <c r="N884" s="10">
        <v>517.47</v>
      </c>
      <c r="O884" s="7">
        <v>0.6</v>
      </c>
      <c r="P884" s="7">
        <v>29.4</v>
      </c>
      <c r="Q884">
        <v>6</v>
      </c>
      <c r="R884" t="s">
        <v>60</v>
      </c>
      <c r="S884">
        <v>10</v>
      </c>
      <c r="T884">
        <v>295</v>
      </c>
      <c r="U884" s="11">
        <v>-0.78183148246802991</v>
      </c>
      <c r="V884" s="11">
        <v>0.62348980185873337</v>
      </c>
      <c r="W884" s="11">
        <v>-0.9410336347451197</v>
      </c>
      <c r="X884" s="11">
        <v>0.33831301819230758</v>
      </c>
      <c r="Y884">
        <v>1</v>
      </c>
      <c r="Z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6">
        <v>45221</v>
      </c>
      <c r="B885" t="s">
        <v>36</v>
      </c>
      <c r="C885" t="s">
        <v>37</v>
      </c>
      <c r="D885" t="s">
        <v>38</v>
      </c>
      <c r="E885" t="s">
        <v>39</v>
      </c>
      <c r="F885">
        <v>125</v>
      </c>
      <c r="G885">
        <v>320</v>
      </c>
      <c r="H885">
        <v>185</v>
      </c>
      <c r="I885">
        <v>79</v>
      </c>
      <c r="J885" s="8">
        <v>0.63200000000000001</v>
      </c>
      <c r="K885">
        <v>19</v>
      </c>
      <c r="L885">
        <v>28</v>
      </c>
      <c r="M885">
        <v>165</v>
      </c>
      <c r="N885" s="10">
        <v>675.34</v>
      </c>
      <c r="O885" s="7">
        <v>0.6</v>
      </c>
      <c r="P885" s="7">
        <v>29.4</v>
      </c>
      <c r="Q885">
        <v>6</v>
      </c>
      <c r="R885" t="s">
        <v>60</v>
      </c>
      <c r="S885">
        <v>10</v>
      </c>
      <c r="T885">
        <v>295</v>
      </c>
      <c r="U885" s="11">
        <v>-0.78183148246802991</v>
      </c>
      <c r="V885" s="11">
        <v>0.62348980185873337</v>
      </c>
      <c r="W885" s="11">
        <v>-0.9410336347451197</v>
      </c>
      <c r="X885" s="11">
        <v>0.33831301819230758</v>
      </c>
      <c r="Y885">
        <v>1</v>
      </c>
      <c r="Z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s="6">
        <v>45221</v>
      </c>
      <c r="B886" t="s">
        <v>41</v>
      </c>
      <c r="C886" t="s">
        <v>42</v>
      </c>
      <c r="D886" t="s">
        <v>43</v>
      </c>
      <c r="E886" t="s">
        <v>44</v>
      </c>
      <c r="F886">
        <v>85</v>
      </c>
      <c r="G886">
        <v>210</v>
      </c>
      <c r="H886">
        <v>120</v>
      </c>
      <c r="I886">
        <v>55</v>
      </c>
      <c r="J886" s="8">
        <v>0.6470588235294118</v>
      </c>
      <c r="K886">
        <v>20</v>
      </c>
      <c r="L886">
        <v>23</v>
      </c>
      <c r="M886">
        <v>104</v>
      </c>
      <c r="N886" s="10">
        <v>646.71</v>
      </c>
      <c r="O886" s="7">
        <v>0.6</v>
      </c>
      <c r="P886" s="7">
        <v>29.4</v>
      </c>
      <c r="Q886">
        <v>6</v>
      </c>
      <c r="R886" t="s">
        <v>60</v>
      </c>
      <c r="S886">
        <v>10</v>
      </c>
      <c r="T886">
        <v>295</v>
      </c>
      <c r="U886" s="11">
        <v>-0.78183148246802991</v>
      </c>
      <c r="V886" s="11">
        <v>0.62348980185873337</v>
      </c>
      <c r="W886" s="11">
        <v>-0.9410336347451197</v>
      </c>
      <c r="X886" s="11">
        <v>0.33831301819230758</v>
      </c>
      <c r="Y886">
        <v>1</v>
      </c>
      <c r="Z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6">
        <v>45222</v>
      </c>
      <c r="B887" t="s">
        <v>31</v>
      </c>
      <c r="C887" t="s">
        <v>32</v>
      </c>
      <c r="D887" t="s">
        <v>33</v>
      </c>
      <c r="E887" t="s">
        <v>34</v>
      </c>
      <c r="F887">
        <v>140</v>
      </c>
      <c r="G887">
        <v>360</v>
      </c>
      <c r="H887">
        <v>152</v>
      </c>
      <c r="I887">
        <v>63</v>
      </c>
      <c r="J887" s="8">
        <v>0.45</v>
      </c>
      <c r="K887">
        <v>39</v>
      </c>
      <c r="L887">
        <v>14</v>
      </c>
      <c r="M887">
        <v>131</v>
      </c>
      <c r="N887" s="10">
        <v>447.21</v>
      </c>
      <c r="O887" s="7">
        <v>2.6</v>
      </c>
      <c r="P887" s="7">
        <v>27.5</v>
      </c>
      <c r="Q887">
        <v>0</v>
      </c>
      <c r="R887" t="s">
        <v>62</v>
      </c>
      <c r="S887">
        <v>10</v>
      </c>
      <c r="T887">
        <v>296</v>
      </c>
      <c r="U887" s="11">
        <v>0</v>
      </c>
      <c r="V887" s="11">
        <v>1</v>
      </c>
      <c r="W887" s="11">
        <v>-0.93507488435155739</v>
      </c>
      <c r="X887" s="11">
        <v>0.35445022309898688</v>
      </c>
      <c r="Y887">
        <v>0</v>
      </c>
      <c r="Z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6">
        <v>45222</v>
      </c>
      <c r="B888" t="s">
        <v>36</v>
      </c>
      <c r="C888" t="s">
        <v>37</v>
      </c>
      <c r="D888" t="s">
        <v>38</v>
      </c>
      <c r="E888" t="s">
        <v>39</v>
      </c>
      <c r="F888">
        <v>125</v>
      </c>
      <c r="G888">
        <v>320</v>
      </c>
      <c r="H888">
        <v>133</v>
      </c>
      <c r="I888">
        <v>58</v>
      </c>
      <c r="J888" s="8">
        <v>0.46400000000000002</v>
      </c>
      <c r="K888">
        <v>34</v>
      </c>
      <c r="L888">
        <v>20</v>
      </c>
      <c r="M888">
        <v>117</v>
      </c>
      <c r="N888" s="10">
        <v>655.19000000000005</v>
      </c>
      <c r="O888" s="7">
        <v>2.6</v>
      </c>
      <c r="P888" s="7">
        <v>27.5</v>
      </c>
      <c r="Q888">
        <v>0</v>
      </c>
      <c r="R888" t="s">
        <v>62</v>
      </c>
      <c r="S888">
        <v>10</v>
      </c>
      <c r="T888">
        <v>296</v>
      </c>
      <c r="U888" s="11">
        <v>0</v>
      </c>
      <c r="V888" s="11">
        <v>1</v>
      </c>
      <c r="W888" s="11">
        <v>-0.93507488435155739</v>
      </c>
      <c r="X888" s="11">
        <v>0.35445022309898688</v>
      </c>
      <c r="Y888">
        <v>0</v>
      </c>
      <c r="Z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6">
        <v>45222</v>
      </c>
      <c r="B889" t="s">
        <v>41</v>
      </c>
      <c r="C889" t="s">
        <v>42</v>
      </c>
      <c r="D889" t="s">
        <v>43</v>
      </c>
      <c r="E889" t="s">
        <v>44</v>
      </c>
      <c r="F889">
        <v>85</v>
      </c>
      <c r="G889">
        <v>210</v>
      </c>
      <c r="H889">
        <v>116</v>
      </c>
      <c r="I889">
        <v>51</v>
      </c>
      <c r="J889" s="8">
        <v>0.6</v>
      </c>
      <c r="K889">
        <v>21</v>
      </c>
      <c r="L889">
        <v>24</v>
      </c>
      <c r="M889">
        <v>97</v>
      </c>
      <c r="N889" s="10">
        <v>556.21</v>
      </c>
      <c r="O889" s="7">
        <v>2.6</v>
      </c>
      <c r="P889" s="7">
        <v>27.5</v>
      </c>
      <c r="Q889">
        <v>0</v>
      </c>
      <c r="R889" t="s">
        <v>62</v>
      </c>
      <c r="S889">
        <v>10</v>
      </c>
      <c r="T889">
        <v>296</v>
      </c>
      <c r="U889" s="11">
        <v>0</v>
      </c>
      <c r="V889" s="11">
        <v>1</v>
      </c>
      <c r="W889" s="11">
        <v>-0.93507488435155739</v>
      </c>
      <c r="X889" s="11">
        <v>0.35445022309898688</v>
      </c>
      <c r="Y889">
        <v>0</v>
      </c>
      <c r="Z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6">
        <v>45223</v>
      </c>
      <c r="B890" t="s">
        <v>31</v>
      </c>
      <c r="C890" t="s">
        <v>32</v>
      </c>
      <c r="D890" t="s">
        <v>33</v>
      </c>
      <c r="E890" t="s">
        <v>34</v>
      </c>
      <c r="F890">
        <v>140</v>
      </c>
      <c r="G890">
        <v>360</v>
      </c>
      <c r="H890">
        <v>181</v>
      </c>
      <c r="I890">
        <v>72</v>
      </c>
      <c r="J890" s="8">
        <v>0.51428571428571423</v>
      </c>
      <c r="K890">
        <v>37</v>
      </c>
      <c r="L890">
        <v>16</v>
      </c>
      <c r="M890">
        <v>165</v>
      </c>
      <c r="N890" s="10">
        <v>428.09</v>
      </c>
      <c r="O890" s="7">
        <v>0</v>
      </c>
      <c r="P890" s="7">
        <v>28.8</v>
      </c>
      <c r="Q890">
        <v>1</v>
      </c>
      <c r="R890" t="s">
        <v>63</v>
      </c>
      <c r="S890">
        <v>10</v>
      </c>
      <c r="T890">
        <v>297</v>
      </c>
      <c r="U890" s="11">
        <v>0.7818314824680298</v>
      </c>
      <c r="V890" s="11">
        <v>0.62348980185873359</v>
      </c>
      <c r="W890" s="11">
        <v>-0.92883943025580684</v>
      </c>
      <c r="X890" s="11">
        <v>0.37048254048209628</v>
      </c>
      <c r="Y890">
        <v>0</v>
      </c>
      <c r="Z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6">
        <v>45223</v>
      </c>
      <c r="B891" t="s">
        <v>36</v>
      </c>
      <c r="C891" t="s">
        <v>37</v>
      </c>
      <c r="D891" t="s">
        <v>38</v>
      </c>
      <c r="E891" t="s">
        <v>39</v>
      </c>
      <c r="F891">
        <v>125</v>
      </c>
      <c r="G891">
        <v>320</v>
      </c>
      <c r="H891">
        <v>150</v>
      </c>
      <c r="I891">
        <v>63</v>
      </c>
      <c r="J891" s="8">
        <v>0.504</v>
      </c>
      <c r="K891">
        <v>33</v>
      </c>
      <c r="L891">
        <v>24</v>
      </c>
      <c r="M891">
        <v>133</v>
      </c>
      <c r="N891" s="10">
        <v>578.41</v>
      </c>
      <c r="O891" s="7">
        <v>0</v>
      </c>
      <c r="P891" s="7">
        <v>28.8</v>
      </c>
      <c r="Q891">
        <v>1</v>
      </c>
      <c r="R891" t="s">
        <v>63</v>
      </c>
      <c r="S891">
        <v>10</v>
      </c>
      <c r="T891">
        <v>297</v>
      </c>
      <c r="U891" s="11">
        <v>0.7818314824680298</v>
      </c>
      <c r="V891" s="11">
        <v>0.62348980185873359</v>
      </c>
      <c r="W891" s="11">
        <v>-0.92883943025580684</v>
      </c>
      <c r="X891" s="11">
        <v>0.37048254048209628</v>
      </c>
      <c r="Y891">
        <v>0</v>
      </c>
      <c r="Z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6">
        <v>45223</v>
      </c>
      <c r="B892" t="s">
        <v>41</v>
      </c>
      <c r="C892" t="s">
        <v>42</v>
      </c>
      <c r="D892" t="s">
        <v>43</v>
      </c>
      <c r="E892" t="s">
        <v>44</v>
      </c>
      <c r="F892">
        <v>85</v>
      </c>
      <c r="G892">
        <v>210</v>
      </c>
      <c r="H892">
        <v>112</v>
      </c>
      <c r="I892">
        <v>50</v>
      </c>
      <c r="J892" s="8">
        <v>0.58823529411764708</v>
      </c>
      <c r="K892">
        <v>21</v>
      </c>
      <c r="L892">
        <v>17</v>
      </c>
      <c r="M892">
        <v>96</v>
      </c>
      <c r="N892" s="10">
        <v>573.89</v>
      </c>
      <c r="O892" s="7">
        <v>0</v>
      </c>
      <c r="P892" s="7">
        <v>28.8</v>
      </c>
      <c r="Q892">
        <v>1</v>
      </c>
      <c r="R892" t="s">
        <v>63</v>
      </c>
      <c r="S892">
        <v>10</v>
      </c>
      <c r="T892">
        <v>297</v>
      </c>
      <c r="U892" s="11">
        <v>0.7818314824680298</v>
      </c>
      <c r="V892" s="11">
        <v>0.62348980185873359</v>
      </c>
      <c r="W892" s="11">
        <v>-0.92883943025580684</v>
      </c>
      <c r="X892" s="11">
        <v>0.37048254048209628</v>
      </c>
      <c r="Y892">
        <v>0</v>
      </c>
      <c r="Z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6">
        <v>45224</v>
      </c>
      <c r="B893" t="s">
        <v>31</v>
      </c>
      <c r="C893" t="s">
        <v>32</v>
      </c>
      <c r="D893" t="s">
        <v>33</v>
      </c>
      <c r="E893" t="s">
        <v>34</v>
      </c>
      <c r="F893">
        <v>140</v>
      </c>
      <c r="G893">
        <v>360</v>
      </c>
      <c r="H893">
        <v>170</v>
      </c>
      <c r="I893">
        <v>71</v>
      </c>
      <c r="J893" s="8">
        <v>0.50714285714285712</v>
      </c>
      <c r="K893">
        <v>31</v>
      </c>
      <c r="L893">
        <v>42</v>
      </c>
      <c r="M893">
        <v>146</v>
      </c>
      <c r="N893" s="10">
        <v>398.5</v>
      </c>
      <c r="O893" s="7">
        <v>1.1000000000000001</v>
      </c>
      <c r="P893" s="7">
        <v>30.9</v>
      </c>
      <c r="Q893">
        <v>2</v>
      </c>
      <c r="R893" t="s">
        <v>64</v>
      </c>
      <c r="S893">
        <v>10</v>
      </c>
      <c r="T893">
        <v>298</v>
      </c>
      <c r="U893" s="11">
        <v>0.97492791218182362</v>
      </c>
      <c r="V893" s="11">
        <v>-0.22252093395631434</v>
      </c>
      <c r="W893" s="11">
        <v>-0.92232911762905445</v>
      </c>
      <c r="X893" s="11">
        <v>0.38640522612098532</v>
      </c>
      <c r="Y893">
        <v>0</v>
      </c>
      <c r="Z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6">
        <v>45224</v>
      </c>
      <c r="B894" t="s">
        <v>36</v>
      </c>
      <c r="C894" t="s">
        <v>37</v>
      </c>
      <c r="D894" t="s">
        <v>38</v>
      </c>
      <c r="E894" t="s">
        <v>39</v>
      </c>
      <c r="F894">
        <v>125</v>
      </c>
      <c r="G894">
        <v>320</v>
      </c>
      <c r="H894">
        <v>126</v>
      </c>
      <c r="I894">
        <v>54</v>
      </c>
      <c r="J894" s="8">
        <v>0.432</v>
      </c>
      <c r="K894">
        <v>31</v>
      </c>
      <c r="L894">
        <v>24</v>
      </c>
      <c r="M894">
        <v>117</v>
      </c>
      <c r="N894" s="10">
        <v>639.04999999999995</v>
      </c>
      <c r="O894" s="7">
        <v>1.1000000000000001</v>
      </c>
      <c r="P894" s="7">
        <v>30.9</v>
      </c>
      <c r="Q894">
        <v>2</v>
      </c>
      <c r="R894" t="s">
        <v>64</v>
      </c>
      <c r="S894">
        <v>10</v>
      </c>
      <c r="T894">
        <v>298</v>
      </c>
      <c r="U894" s="11">
        <v>0.97492791218182362</v>
      </c>
      <c r="V894" s="11">
        <v>-0.22252093395631434</v>
      </c>
      <c r="W894" s="11">
        <v>-0.92232911762905445</v>
      </c>
      <c r="X894" s="11">
        <v>0.38640522612098532</v>
      </c>
      <c r="Y894">
        <v>0</v>
      </c>
      <c r="Z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6">
        <v>45224</v>
      </c>
      <c r="B895" t="s">
        <v>41</v>
      </c>
      <c r="C895" t="s">
        <v>42</v>
      </c>
      <c r="D895" t="s">
        <v>43</v>
      </c>
      <c r="E895" t="s">
        <v>44</v>
      </c>
      <c r="F895">
        <v>85</v>
      </c>
      <c r="G895">
        <v>210</v>
      </c>
      <c r="H895">
        <v>116</v>
      </c>
      <c r="I895">
        <v>50</v>
      </c>
      <c r="J895" s="8">
        <v>0.58823529411764708</v>
      </c>
      <c r="K895">
        <v>33</v>
      </c>
      <c r="L895">
        <v>28</v>
      </c>
      <c r="M895">
        <v>104</v>
      </c>
      <c r="N895" s="10">
        <v>486</v>
      </c>
      <c r="O895" s="7">
        <v>1.1000000000000001</v>
      </c>
      <c r="P895" s="7">
        <v>30.9</v>
      </c>
      <c r="Q895">
        <v>2</v>
      </c>
      <c r="R895" t="s">
        <v>64</v>
      </c>
      <c r="S895">
        <v>10</v>
      </c>
      <c r="T895">
        <v>298</v>
      </c>
      <c r="U895" s="11">
        <v>0.97492791218182362</v>
      </c>
      <c r="V895" s="11">
        <v>-0.22252093395631434</v>
      </c>
      <c r="W895" s="11">
        <v>-0.92232911762905445</v>
      </c>
      <c r="X895" s="11">
        <v>0.38640522612098532</v>
      </c>
      <c r="Y895">
        <v>0</v>
      </c>
      <c r="Z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6">
        <v>45225</v>
      </c>
      <c r="B896" t="s">
        <v>31</v>
      </c>
      <c r="C896" t="s">
        <v>32</v>
      </c>
      <c r="D896" t="s">
        <v>33</v>
      </c>
      <c r="E896" t="s">
        <v>34</v>
      </c>
      <c r="F896">
        <v>140</v>
      </c>
      <c r="G896">
        <v>360</v>
      </c>
      <c r="H896">
        <v>158</v>
      </c>
      <c r="I896">
        <v>70</v>
      </c>
      <c r="J896" s="8">
        <v>0.5</v>
      </c>
      <c r="K896">
        <v>28</v>
      </c>
      <c r="L896">
        <v>17</v>
      </c>
      <c r="M896">
        <v>138</v>
      </c>
      <c r="N896" s="10">
        <v>442.78</v>
      </c>
      <c r="O896" s="7">
        <v>1.4</v>
      </c>
      <c r="P896" s="7">
        <v>27.6</v>
      </c>
      <c r="Q896">
        <v>3</v>
      </c>
      <c r="R896" t="s">
        <v>65</v>
      </c>
      <c r="S896">
        <v>10</v>
      </c>
      <c r="T896">
        <v>299</v>
      </c>
      <c r="U896" s="11">
        <v>0.43388373911755823</v>
      </c>
      <c r="V896" s="11">
        <v>-0.90096886790241903</v>
      </c>
      <c r="W896" s="11">
        <v>-0.91554587297754675</v>
      </c>
      <c r="X896" s="11">
        <v>0.40221356823680365</v>
      </c>
      <c r="Y896">
        <v>0</v>
      </c>
      <c r="Z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6">
        <v>45225</v>
      </c>
      <c r="B897" t="s">
        <v>36</v>
      </c>
      <c r="C897" t="s">
        <v>37</v>
      </c>
      <c r="D897" t="s">
        <v>38</v>
      </c>
      <c r="E897" t="s">
        <v>39</v>
      </c>
      <c r="F897">
        <v>125</v>
      </c>
      <c r="G897">
        <v>320</v>
      </c>
      <c r="H897">
        <v>131</v>
      </c>
      <c r="I897">
        <v>55</v>
      </c>
      <c r="J897" s="8">
        <v>0.44</v>
      </c>
      <c r="K897">
        <v>35</v>
      </c>
      <c r="L897">
        <v>15</v>
      </c>
      <c r="M897">
        <v>107</v>
      </c>
      <c r="N897" s="10">
        <v>678.01</v>
      </c>
      <c r="O897" s="7">
        <v>1.4</v>
      </c>
      <c r="P897" s="7">
        <v>27.6</v>
      </c>
      <c r="Q897">
        <v>3</v>
      </c>
      <c r="R897" t="s">
        <v>65</v>
      </c>
      <c r="S897">
        <v>10</v>
      </c>
      <c r="T897">
        <v>299</v>
      </c>
      <c r="U897" s="11">
        <v>0.43388373911755823</v>
      </c>
      <c r="V897" s="11">
        <v>-0.90096886790241903</v>
      </c>
      <c r="W897" s="11">
        <v>-0.91554587297754675</v>
      </c>
      <c r="X897" s="11">
        <v>0.40221356823680365</v>
      </c>
      <c r="Y897">
        <v>0</v>
      </c>
      <c r="Z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6">
        <v>45225</v>
      </c>
      <c r="B898" t="s">
        <v>41</v>
      </c>
      <c r="C898" t="s">
        <v>42</v>
      </c>
      <c r="D898" t="s">
        <v>43</v>
      </c>
      <c r="E898" t="s">
        <v>44</v>
      </c>
      <c r="F898">
        <v>85</v>
      </c>
      <c r="G898">
        <v>210</v>
      </c>
      <c r="H898">
        <v>105</v>
      </c>
      <c r="I898">
        <v>49</v>
      </c>
      <c r="J898" s="8">
        <v>0.57647058823529407</v>
      </c>
      <c r="K898">
        <v>13</v>
      </c>
      <c r="L898">
        <v>18</v>
      </c>
      <c r="M898">
        <v>91</v>
      </c>
      <c r="N898" s="10">
        <v>528.30999999999995</v>
      </c>
      <c r="O898" s="7">
        <v>1.4</v>
      </c>
      <c r="P898" s="7">
        <v>27.6</v>
      </c>
      <c r="Q898">
        <v>3</v>
      </c>
      <c r="R898" t="s">
        <v>65</v>
      </c>
      <c r="S898">
        <v>10</v>
      </c>
      <c r="T898">
        <v>299</v>
      </c>
      <c r="U898" s="11">
        <v>0.43388373911755823</v>
      </c>
      <c r="V898" s="11">
        <v>-0.90096886790241903</v>
      </c>
      <c r="W898" s="11">
        <v>-0.91554587297754675</v>
      </c>
      <c r="X898" s="11">
        <v>0.40221356823680365</v>
      </c>
      <c r="Y898">
        <v>0</v>
      </c>
      <c r="Z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6">
        <v>45226</v>
      </c>
      <c r="B899" t="s">
        <v>31</v>
      </c>
      <c r="C899" t="s">
        <v>32</v>
      </c>
      <c r="D899" t="s">
        <v>33</v>
      </c>
      <c r="E899" t="s">
        <v>34</v>
      </c>
      <c r="F899">
        <v>140</v>
      </c>
      <c r="G899">
        <v>360</v>
      </c>
      <c r="H899">
        <v>172</v>
      </c>
      <c r="I899">
        <v>75</v>
      </c>
      <c r="J899" s="8">
        <v>0.5357142857142857</v>
      </c>
      <c r="K899">
        <v>40</v>
      </c>
      <c r="L899">
        <v>20</v>
      </c>
      <c r="M899">
        <v>143</v>
      </c>
      <c r="N899" s="10">
        <v>414.26</v>
      </c>
      <c r="O899" s="7">
        <v>2.1</v>
      </c>
      <c r="P899" s="7">
        <v>30.1</v>
      </c>
      <c r="Q899">
        <v>4</v>
      </c>
      <c r="R899" t="s">
        <v>66</v>
      </c>
      <c r="S899">
        <v>10</v>
      </c>
      <c r="T899">
        <v>300</v>
      </c>
      <c r="U899" s="11">
        <v>-0.43388373911755801</v>
      </c>
      <c r="V899" s="11">
        <v>-0.90096886790241915</v>
      </c>
      <c r="W899" s="11">
        <v>-0.90849170357250819</v>
      </c>
      <c r="X899" s="11">
        <v>0.41790288888678667</v>
      </c>
      <c r="Y899">
        <v>0</v>
      </c>
      <c r="Z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6">
        <v>45226</v>
      </c>
      <c r="B900" t="s">
        <v>36</v>
      </c>
      <c r="C900" t="s">
        <v>37</v>
      </c>
      <c r="D900" t="s">
        <v>38</v>
      </c>
      <c r="E900" t="s">
        <v>39</v>
      </c>
      <c r="F900">
        <v>125</v>
      </c>
      <c r="G900">
        <v>320</v>
      </c>
      <c r="H900">
        <v>157</v>
      </c>
      <c r="I900">
        <v>64</v>
      </c>
      <c r="J900" s="8">
        <v>0.51200000000000001</v>
      </c>
      <c r="K900">
        <v>20</v>
      </c>
      <c r="L900">
        <v>42</v>
      </c>
      <c r="M900">
        <v>130</v>
      </c>
      <c r="N900" s="10">
        <v>611.74</v>
      </c>
      <c r="O900" s="7">
        <v>2.1</v>
      </c>
      <c r="P900" s="7">
        <v>30.1</v>
      </c>
      <c r="Q900">
        <v>4</v>
      </c>
      <c r="R900" t="s">
        <v>66</v>
      </c>
      <c r="S900">
        <v>10</v>
      </c>
      <c r="T900">
        <v>300</v>
      </c>
      <c r="U900" s="11">
        <v>-0.43388373911755801</v>
      </c>
      <c r="V900" s="11">
        <v>-0.90096886790241915</v>
      </c>
      <c r="W900" s="11">
        <v>-0.90849170357250819</v>
      </c>
      <c r="X900" s="11">
        <v>0.41790288888678667</v>
      </c>
      <c r="Y900">
        <v>0</v>
      </c>
      <c r="Z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6">
        <v>45226</v>
      </c>
      <c r="B901" t="s">
        <v>41</v>
      </c>
      <c r="C901" t="s">
        <v>42</v>
      </c>
      <c r="D901" t="s">
        <v>43</v>
      </c>
      <c r="E901" t="s">
        <v>44</v>
      </c>
      <c r="F901">
        <v>85</v>
      </c>
      <c r="G901">
        <v>210</v>
      </c>
      <c r="H901">
        <v>108</v>
      </c>
      <c r="I901">
        <v>51</v>
      </c>
      <c r="J901" s="8">
        <v>0.6</v>
      </c>
      <c r="K901">
        <v>24</v>
      </c>
      <c r="L901">
        <v>22</v>
      </c>
      <c r="M901">
        <v>96</v>
      </c>
      <c r="N901" s="10">
        <v>575.02</v>
      </c>
      <c r="O901" s="7">
        <v>2.1</v>
      </c>
      <c r="P901" s="7">
        <v>30.1</v>
      </c>
      <c r="Q901">
        <v>4</v>
      </c>
      <c r="R901" t="s">
        <v>66</v>
      </c>
      <c r="S901">
        <v>10</v>
      </c>
      <c r="T901">
        <v>300</v>
      </c>
      <c r="U901" s="11">
        <v>-0.43388373911755801</v>
      </c>
      <c r="V901" s="11">
        <v>-0.90096886790241915</v>
      </c>
      <c r="W901" s="11">
        <v>-0.90849170357250819</v>
      </c>
      <c r="X901" s="11">
        <v>0.41790288888678667</v>
      </c>
      <c r="Y901">
        <v>0</v>
      </c>
      <c r="Z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6">
        <v>45227</v>
      </c>
      <c r="B902" t="s">
        <v>31</v>
      </c>
      <c r="C902" t="s">
        <v>32</v>
      </c>
      <c r="D902" t="s">
        <v>33</v>
      </c>
      <c r="E902" t="s">
        <v>34</v>
      </c>
      <c r="F902">
        <v>140</v>
      </c>
      <c r="G902">
        <v>360</v>
      </c>
      <c r="H902">
        <v>197</v>
      </c>
      <c r="I902">
        <v>85</v>
      </c>
      <c r="J902" s="8">
        <v>0.6071428571428571</v>
      </c>
      <c r="K902">
        <v>48</v>
      </c>
      <c r="L902">
        <v>47</v>
      </c>
      <c r="M902">
        <v>177</v>
      </c>
      <c r="N902" s="10">
        <v>488.95</v>
      </c>
      <c r="O902" s="7">
        <v>3.2</v>
      </c>
      <c r="P902" s="7">
        <v>28.6</v>
      </c>
      <c r="Q902">
        <v>5</v>
      </c>
      <c r="R902" t="s">
        <v>67</v>
      </c>
      <c r="S902">
        <v>10</v>
      </c>
      <c r="T902">
        <v>301</v>
      </c>
      <c r="U902" s="11">
        <v>-0.97492791218182362</v>
      </c>
      <c r="V902" s="11">
        <v>-0.22252093395631459</v>
      </c>
      <c r="W902" s="11">
        <v>-0.90116869685615686</v>
      </c>
      <c r="X902" s="11">
        <v>0.43346854534853629</v>
      </c>
      <c r="Y902">
        <v>1</v>
      </c>
      <c r="Z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6">
        <v>45227</v>
      </c>
      <c r="B903" t="s">
        <v>36</v>
      </c>
      <c r="C903" t="s">
        <v>37</v>
      </c>
      <c r="D903" t="s">
        <v>38</v>
      </c>
      <c r="E903" t="s">
        <v>39</v>
      </c>
      <c r="F903">
        <v>125</v>
      </c>
      <c r="G903">
        <v>320</v>
      </c>
      <c r="H903">
        <v>185</v>
      </c>
      <c r="I903">
        <v>79</v>
      </c>
      <c r="J903" s="8">
        <v>0.63200000000000001</v>
      </c>
      <c r="K903">
        <v>35</v>
      </c>
      <c r="L903">
        <v>24</v>
      </c>
      <c r="M903">
        <v>159</v>
      </c>
      <c r="N903" s="10">
        <v>716.48</v>
      </c>
      <c r="O903" s="7">
        <v>3.2</v>
      </c>
      <c r="P903" s="7">
        <v>28.6</v>
      </c>
      <c r="Q903">
        <v>5</v>
      </c>
      <c r="R903" t="s">
        <v>67</v>
      </c>
      <c r="S903">
        <v>10</v>
      </c>
      <c r="T903">
        <v>301</v>
      </c>
      <c r="U903" s="11">
        <v>-0.97492791218182362</v>
      </c>
      <c r="V903" s="11">
        <v>-0.22252093395631459</v>
      </c>
      <c r="W903" s="11">
        <v>-0.90116869685615686</v>
      </c>
      <c r="X903" s="11">
        <v>0.43346854534853629</v>
      </c>
      <c r="Y903">
        <v>1</v>
      </c>
      <c r="Z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6">
        <v>45227</v>
      </c>
      <c r="B904" t="s">
        <v>41</v>
      </c>
      <c r="C904" t="s">
        <v>42</v>
      </c>
      <c r="D904" t="s">
        <v>43</v>
      </c>
      <c r="E904" t="s">
        <v>44</v>
      </c>
      <c r="F904">
        <v>85</v>
      </c>
      <c r="G904">
        <v>210</v>
      </c>
      <c r="H904">
        <v>147</v>
      </c>
      <c r="I904">
        <v>65</v>
      </c>
      <c r="J904" s="8">
        <v>0.76470588235294112</v>
      </c>
      <c r="K904">
        <v>32</v>
      </c>
      <c r="L904">
        <v>31</v>
      </c>
      <c r="M904">
        <v>118</v>
      </c>
      <c r="N904" s="10">
        <v>590.71</v>
      </c>
      <c r="O904" s="7">
        <v>3.2</v>
      </c>
      <c r="P904" s="7">
        <v>28.6</v>
      </c>
      <c r="Q904">
        <v>5</v>
      </c>
      <c r="R904" t="s">
        <v>67</v>
      </c>
      <c r="S904">
        <v>10</v>
      </c>
      <c r="T904">
        <v>301</v>
      </c>
      <c r="U904" s="11">
        <v>-0.97492791218182362</v>
      </c>
      <c r="V904" s="11">
        <v>-0.22252093395631459</v>
      </c>
      <c r="W904" s="11">
        <v>-0.90116869685615686</v>
      </c>
      <c r="X904" s="11">
        <v>0.43346854534853629</v>
      </c>
      <c r="Y904">
        <v>1</v>
      </c>
      <c r="Z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6">
        <v>45228</v>
      </c>
      <c r="B905" t="s">
        <v>31</v>
      </c>
      <c r="C905" t="s">
        <v>32</v>
      </c>
      <c r="D905" t="s">
        <v>33</v>
      </c>
      <c r="E905" t="s">
        <v>34</v>
      </c>
      <c r="F905">
        <v>140</v>
      </c>
      <c r="G905">
        <v>360</v>
      </c>
      <c r="H905">
        <v>196</v>
      </c>
      <c r="I905">
        <v>84</v>
      </c>
      <c r="J905" s="8">
        <v>0.6</v>
      </c>
      <c r="K905">
        <v>52</v>
      </c>
      <c r="L905">
        <v>33</v>
      </c>
      <c r="M905">
        <v>166</v>
      </c>
      <c r="N905" s="10">
        <v>491.51</v>
      </c>
      <c r="O905" s="7">
        <v>0</v>
      </c>
      <c r="P905" s="7">
        <v>28.9</v>
      </c>
      <c r="Q905">
        <v>6</v>
      </c>
      <c r="R905" t="s">
        <v>60</v>
      </c>
      <c r="S905">
        <v>10</v>
      </c>
      <c r="T905">
        <v>302</v>
      </c>
      <c r="U905" s="11">
        <v>-0.78183148246802991</v>
      </c>
      <c r="V905" s="11">
        <v>0.62348980185873337</v>
      </c>
      <c r="W905" s="11">
        <v>-0.89357901982399524</v>
      </c>
      <c r="X905" s="11">
        <v>0.44890593149387981</v>
      </c>
      <c r="Y905">
        <v>1</v>
      </c>
      <c r="Z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6">
        <v>45228</v>
      </c>
      <c r="B906" t="s">
        <v>36</v>
      </c>
      <c r="C906" t="s">
        <v>37</v>
      </c>
      <c r="D906" t="s">
        <v>38</v>
      </c>
      <c r="E906" t="s">
        <v>39</v>
      </c>
      <c r="F906">
        <v>125</v>
      </c>
      <c r="G906">
        <v>320</v>
      </c>
      <c r="H906">
        <v>184</v>
      </c>
      <c r="I906">
        <v>75</v>
      </c>
      <c r="J906" s="8">
        <v>0.6</v>
      </c>
      <c r="K906">
        <v>34</v>
      </c>
      <c r="L906">
        <v>37</v>
      </c>
      <c r="M906">
        <v>163</v>
      </c>
      <c r="N906" s="10">
        <v>708.01</v>
      </c>
      <c r="O906" s="7">
        <v>0</v>
      </c>
      <c r="P906" s="7">
        <v>28.9</v>
      </c>
      <c r="Q906">
        <v>6</v>
      </c>
      <c r="R906" t="s">
        <v>60</v>
      </c>
      <c r="S906">
        <v>10</v>
      </c>
      <c r="T906">
        <v>302</v>
      </c>
      <c r="U906" s="11">
        <v>-0.78183148246802991</v>
      </c>
      <c r="V906" s="11">
        <v>0.62348980185873337</v>
      </c>
      <c r="W906" s="11">
        <v>-0.89357901982399524</v>
      </c>
      <c r="X906" s="11">
        <v>0.44890593149387981</v>
      </c>
      <c r="Y906">
        <v>1</v>
      </c>
      <c r="Z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6">
        <v>45228</v>
      </c>
      <c r="B907" t="s">
        <v>41</v>
      </c>
      <c r="C907" t="s">
        <v>42</v>
      </c>
      <c r="D907" t="s">
        <v>43</v>
      </c>
      <c r="E907" t="s">
        <v>44</v>
      </c>
      <c r="F907">
        <v>85</v>
      </c>
      <c r="G907">
        <v>210</v>
      </c>
      <c r="H907">
        <v>124</v>
      </c>
      <c r="I907">
        <v>59</v>
      </c>
      <c r="J907" s="8">
        <v>0.69411764705882351</v>
      </c>
      <c r="K907">
        <v>40</v>
      </c>
      <c r="L907">
        <v>12</v>
      </c>
      <c r="M907">
        <v>116</v>
      </c>
      <c r="N907" s="10">
        <v>593.15</v>
      </c>
      <c r="O907" s="7">
        <v>0</v>
      </c>
      <c r="P907" s="7">
        <v>28.9</v>
      </c>
      <c r="Q907">
        <v>6</v>
      </c>
      <c r="R907" t="s">
        <v>60</v>
      </c>
      <c r="S907">
        <v>10</v>
      </c>
      <c r="T907">
        <v>302</v>
      </c>
      <c r="U907" s="11">
        <v>-0.78183148246802991</v>
      </c>
      <c r="V907" s="11">
        <v>0.62348980185873337</v>
      </c>
      <c r="W907" s="11">
        <v>-0.89357901982399524</v>
      </c>
      <c r="X907" s="11">
        <v>0.44890593149387981</v>
      </c>
      <c r="Y907">
        <v>1</v>
      </c>
      <c r="Z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6">
        <v>45229</v>
      </c>
      <c r="B908" t="s">
        <v>31</v>
      </c>
      <c r="C908" t="s">
        <v>32</v>
      </c>
      <c r="D908" t="s">
        <v>33</v>
      </c>
      <c r="E908" t="s">
        <v>34</v>
      </c>
      <c r="F908">
        <v>140</v>
      </c>
      <c r="G908">
        <v>360</v>
      </c>
      <c r="H908">
        <v>161</v>
      </c>
      <c r="I908">
        <v>65</v>
      </c>
      <c r="J908" s="8">
        <v>0.4642857142857143</v>
      </c>
      <c r="K908">
        <v>24</v>
      </c>
      <c r="L908">
        <v>20</v>
      </c>
      <c r="M908">
        <v>147</v>
      </c>
      <c r="N908" s="10">
        <v>461.79</v>
      </c>
      <c r="O908" s="7">
        <v>1.9</v>
      </c>
      <c r="P908" s="7">
        <v>29.7</v>
      </c>
      <c r="Q908">
        <v>0</v>
      </c>
      <c r="R908" t="s">
        <v>62</v>
      </c>
      <c r="S908">
        <v>10</v>
      </c>
      <c r="T908">
        <v>303</v>
      </c>
      <c r="U908" s="11">
        <v>0</v>
      </c>
      <c r="V908" s="11">
        <v>1</v>
      </c>
      <c r="W908" s="11">
        <v>-0.88572491838356371</v>
      </c>
      <c r="X908" s="11">
        <v>0.46421047915189229</v>
      </c>
      <c r="Y908">
        <v>0</v>
      </c>
      <c r="Z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6">
        <v>45229</v>
      </c>
      <c r="B909" t="s">
        <v>36</v>
      </c>
      <c r="C909" t="s">
        <v>37</v>
      </c>
      <c r="D909" t="s">
        <v>38</v>
      </c>
      <c r="E909" t="s">
        <v>39</v>
      </c>
      <c r="F909">
        <v>125</v>
      </c>
      <c r="G909">
        <v>320</v>
      </c>
      <c r="H909">
        <v>142</v>
      </c>
      <c r="I909">
        <v>61</v>
      </c>
      <c r="J909" s="8">
        <v>0.48799999999999999</v>
      </c>
      <c r="K909">
        <v>29</v>
      </c>
      <c r="L909">
        <v>19</v>
      </c>
      <c r="M909">
        <v>125</v>
      </c>
      <c r="N909" s="10">
        <v>561.79999999999995</v>
      </c>
      <c r="O909" s="7">
        <v>1.9</v>
      </c>
      <c r="P909" s="7">
        <v>29.7</v>
      </c>
      <c r="Q909">
        <v>0</v>
      </c>
      <c r="R909" t="s">
        <v>62</v>
      </c>
      <c r="S909">
        <v>10</v>
      </c>
      <c r="T909">
        <v>303</v>
      </c>
      <c r="U909" s="11">
        <v>0</v>
      </c>
      <c r="V909" s="11">
        <v>1</v>
      </c>
      <c r="W909" s="11">
        <v>-0.88572491838356371</v>
      </c>
      <c r="X909" s="11">
        <v>0.46421047915189229</v>
      </c>
      <c r="Y909">
        <v>0</v>
      </c>
      <c r="Z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6">
        <v>45229</v>
      </c>
      <c r="B910" t="s">
        <v>41</v>
      </c>
      <c r="C910" t="s">
        <v>42</v>
      </c>
      <c r="D910" t="s">
        <v>43</v>
      </c>
      <c r="E910" t="s">
        <v>44</v>
      </c>
      <c r="F910">
        <v>85</v>
      </c>
      <c r="G910">
        <v>210</v>
      </c>
      <c r="H910">
        <v>121</v>
      </c>
      <c r="I910">
        <v>50</v>
      </c>
      <c r="J910" s="8">
        <v>0.58823529411764708</v>
      </c>
      <c r="K910">
        <v>25</v>
      </c>
      <c r="L910">
        <v>9</v>
      </c>
      <c r="M910">
        <v>112</v>
      </c>
      <c r="N910" s="10">
        <v>494.09</v>
      </c>
      <c r="O910" s="7">
        <v>1.9</v>
      </c>
      <c r="P910" s="7">
        <v>29.7</v>
      </c>
      <c r="Q910">
        <v>0</v>
      </c>
      <c r="R910" t="s">
        <v>62</v>
      </c>
      <c r="S910">
        <v>10</v>
      </c>
      <c r="T910">
        <v>303</v>
      </c>
      <c r="U910" s="11">
        <v>0</v>
      </c>
      <c r="V910" s="11">
        <v>1</v>
      </c>
      <c r="W910" s="11">
        <v>-0.88572491838356371</v>
      </c>
      <c r="X910" s="11">
        <v>0.46421047915189229</v>
      </c>
      <c r="Y910">
        <v>0</v>
      </c>
      <c r="Z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6">
        <v>45230</v>
      </c>
      <c r="B911" t="s">
        <v>31</v>
      </c>
      <c r="C911" t="s">
        <v>32</v>
      </c>
      <c r="D911" t="s">
        <v>33</v>
      </c>
      <c r="E911" t="s">
        <v>34</v>
      </c>
      <c r="F911">
        <v>140</v>
      </c>
      <c r="G911">
        <v>360</v>
      </c>
      <c r="H911">
        <v>185</v>
      </c>
      <c r="I911">
        <v>78</v>
      </c>
      <c r="J911" s="8">
        <v>0.55714285714285716</v>
      </c>
      <c r="K911">
        <v>25</v>
      </c>
      <c r="L911">
        <v>45</v>
      </c>
      <c r="M911">
        <v>163</v>
      </c>
      <c r="N911" s="10">
        <v>441.28</v>
      </c>
      <c r="O911" s="7">
        <v>1.7</v>
      </c>
      <c r="P911" s="7">
        <v>29.9</v>
      </c>
      <c r="Q911">
        <v>1</v>
      </c>
      <c r="R911" t="s">
        <v>63</v>
      </c>
      <c r="S911">
        <v>10</v>
      </c>
      <c r="T911">
        <v>304</v>
      </c>
      <c r="U911" s="11">
        <v>0.7818314824680298</v>
      </c>
      <c r="V911" s="11">
        <v>0.62348980185873359</v>
      </c>
      <c r="W911" s="11">
        <v>-0.8776087166898392</v>
      </c>
      <c r="X911" s="11">
        <v>0.47937765946069449</v>
      </c>
      <c r="Y911">
        <v>0</v>
      </c>
      <c r="Z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6">
        <v>45230</v>
      </c>
      <c r="B912" t="s">
        <v>36</v>
      </c>
      <c r="C912" t="s">
        <v>37</v>
      </c>
      <c r="D912" t="s">
        <v>38</v>
      </c>
      <c r="E912" t="s">
        <v>39</v>
      </c>
      <c r="F912">
        <v>125</v>
      </c>
      <c r="G912">
        <v>320</v>
      </c>
      <c r="H912">
        <v>153</v>
      </c>
      <c r="I912">
        <v>67</v>
      </c>
      <c r="J912" s="8">
        <v>0.53600000000000003</v>
      </c>
      <c r="K912">
        <v>38</v>
      </c>
      <c r="L912">
        <v>32</v>
      </c>
      <c r="M912">
        <v>124</v>
      </c>
      <c r="N912" s="10">
        <v>669.09</v>
      </c>
      <c r="O912" s="7">
        <v>1.7</v>
      </c>
      <c r="P912" s="7">
        <v>29.9</v>
      </c>
      <c r="Q912">
        <v>1</v>
      </c>
      <c r="R912" t="s">
        <v>63</v>
      </c>
      <c r="S912">
        <v>10</v>
      </c>
      <c r="T912">
        <v>304</v>
      </c>
      <c r="U912" s="11">
        <v>0.7818314824680298</v>
      </c>
      <c r="V912" s="11">
        <v>0.62348980185873359</v>
      </c>
      <c r="W912" s="11">
        <v>-0.8776087166898392</v>
      </c>
      <c r="X912" s="11">
        <v>0.47937765946069449</v>
      </c>
      <c r="Y912">
        <v>0</v>
      </c>
      <c r="Z912">
        <v>0</v>
      </c>
      <c r="AB912">
        <v>0</v>
      </c>
      <c r="AC912">
        <v>0</v>
      </c>
      <c r="AD912">
        <v>0</v>
      </c>
      <c r="AE912">
        <v>0</v>
      </c>
    </row>
    <row r="913" spans="1:31">
      <c r="A913" s="6">
        <v>45230</v>
      </c>
      <c r="B913" t="s">
        <v>41</v>
      </c>
      <c r="C913" t="s">
        <v>42</v>
      </c>
      <c r="D913" t="s">
        <v>43</v>
      </c>
      <c r="E913" t="s">
        <v>44</v>
      </c>
      <c r="F913">
        <v>85</v>
      </c>
      <c r="G913">
        <v>210</v>
      </c>
      <c r="H913">
        <v>113</v>
      </c>
      <c r="I913">
        <v>49</v>
      </c>
      <c r="J913" s="8">
        <v>0.57647058823529407</v>
      </c>
      <c r="K913">
        <v>25</v>
      </c>
      <c r="L913">
        <v>16</v>
      </c>
      <c r="M913">
        <v>99</v>
      </c>
      <c r="N913" s="10">
        <v>553.79999999999995</v>
      </c>
      <c r="O913" s="7">
        <v>1.7</v>
      </c>
      <c r="P913" s="7">
        <v>29.9</v>
      </c>
      <c r="Q913">
        <v>1</v>
      </c>
      <c r="R913" t="s">
        <v>63</v>
      </c>
      <c r="S913">
        <v>10</v>
      </c>
      <c r="T913">
        <v>304</v>
      </c>
      <c r="U913" s="11">
        <v>0.7818314824680298</v>
      </c>
      <c r="V913" s="11">
        <v>0.62348980185873359</v>
      </c>
      <c r="W913" s="11">
        <v>-0.8776087166898392</v>
      </c>
      <c r="X913" s="11">
        <v>0.47937765946069449</v>
      </c>
      <c r="Y913">
        <v>0</v>
      </c>
      <c r="Z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6">
        <v>45231</v>
      </c>
      <c r="B914" t="s">
        <v>31</v>
      </c>
      <c r="C914" t="s">
        <v>32</v>
      </c>
      <c r="D914" t="s">
        <v>33</v>
      </c>
      <c r="E914" t="s">
        <v>34</v>
      </c>
      <c r="F914">
        <v>140</v>
      </c>
      <c r="G914">
        <v>360</v>
      </c>
      <c r="H914">
        <v>188</v>
      </c>
      <c r="I914">
        <v>81</v>
      </c>
      <c r="J914" s="8">
        <v>0.57857142857142863</v>
      </c>
      <c r="K914">
        <v>43</v>
      </c>
      <c r="L914">
        <v>35</v>
      </c>
      <c r="M914">
        <v>152</v>
      </c>
      <c r="N914" s="10">
        <v>468.48</v>
      </c>
      <c r="O914" s="7">
        <v>2.2999999999999998</v>
      </c>
      <c r="P914" s="7">
        <v>30.3</v>
      </c>
      <c r="Q914">
        <v>2</v>
      </c>
      <c r="R914" t="s">
        <v>64</v>
      </c>
      <c r="S914">
        <v>11</v>
      </c>
      <c r="T914">
        <v>305</v>
      </c>
      <c r="U914" s="11">
        <v>0.97492791218182362</v>
      </c>
      <c r="V914" s="11">
        <v>-0.22252093395631434</v>
      </c>
      <c r="W914" s="11">
        <v>-0.86923281645747918</v>
      </c>
      <c r="X914" s="11">
        <v>0.49440298420761813</v>
      </c>
      <c r="Y914">
        <v>0</v>
      </c>
      <c r="Z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6">
        <v>45231</v>
      </c>
      <c r="B915" t="s">
        <v>36</v>
      </c>
      <c r="C915" t="s">
        <v>37</v>
      </c>
      <c r="D915" t="s">
        <v>38</v>
      </c>
      <c r="E915" t="s">
        <v>39</v>
      </c>
      <c r="F915">
        <v>125</v>
      </c>
      <c r="G915">
        <v>320</v>
      </c>
      <c r="H915">
        <v>142</v>
      </c>
      <c r="I915">
        <v>59</v>
      </c>
      <c r="J915" s="8">
        <v>0.47199999999999998</v>
      </c>
      <c r="K915">
        <v>42</v>
      </c>
      <c r="L915">
        <v>18</v>
      </c>
      <c r="M915">
        <v>119</v>
      </c>
      <c r="N915" s="10">
        <v>621.95000000000005</v>
      </c>
      <c r="O915" s="7">
        <v>2.2999999999999998</v>
      </c>
      <c r="P915" s="7">
        <v>30.3</v>
      </c>
      <c r="Q915">
        <v>2</v>
      </c>
      <c r="R915" t="s">
        <v>64</v>
      </c>
      <c r="S915">
        <v>11</v>
      </c>
      <c r="T915">
        <v>305</v>
      </c>
      <c r="U915" s="11">
        <v>0.97492791218182362</v>
      </c>
      <c r="V915" s="11">
        <v>-0.22252093395631434</v>
      </c>
      <c r="W915" s="11">
        <v>-0.86923281645747918</v>
      </c>
      <c r="X915" s="11">
        <v>0.49440298420761813</v>
      </c>
      <c r="Y915">
        <v>0</v>
      </c>
      <c r="Z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6">
        <v>45231</v>
      </c>
      <c r="B916" t="s">
        <v>41</v>
      </c>
      <c r="C916" t="s">
        <v>42</v>
      </c>
      <c r="D916" t="s">
        <v>43</v>
      </c>
      <c r="E916" t="s">
        <v>44</v>
      </c>
      <c r="F916">
        <v>85</v>
      </c>
      <c r="G916">
        <v>210</v>
      </c>
      <c r="H916">
        <v>110</v>
      </c>
      <c r="I916">
        <v>51</v>
      </c>
      <c r="J916" s="8">
        <v>0.6</v>
      </c>
      <c r="K916">
        <v>11</v>
      </c>
      <c r="L916">
        <v>15</v>
      </c>
      <c r="M916">
        <v>93</v>
      </c>
      <c r="N916" s="10">
        <v>514.4</v>
      </c>
      <c r="O916" s="7">
        <v>2.2999999999999998</v>
      </c>
      <c r="P916" s="7">
        <v>30.3</v>
      </c>
      <c r="Q916">
        <v>2</v>
      </c>
      <c r="R916" t="s">
        <v>64</v>
      </c>
      <c r="S916">
        <v>11</v>
      </c>
      <c r="T916">
        <v>305</v>
      </c>
      <c r="U916" s="11">
        <v>0.97492791218182362</v>
      </c>
      <c r="V916" s="11">
        <v>-0.22252093395631434</v>
      </c>
      <c r="W916" s="11">
        <v>-0.86923281645747918</v>
      </c>
      <c r="X916" s="11">
        <v>0.49440298420761813</v>
      </c>
      <c r="Y916">
        <v>0</v>
      </c>
      <c r="Z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6">
        <v>45232</v>
      </c>
      <c r="B917" t="s">
        <v>31</v>
      </c>
      <c r="C917" t="s">
        <v>32</v>
      </c>
      <c r="D917" t="s">
        <v>33</v>
      </c>
      <c r="E917" t="s">
        <v>34</v>
      </c>
      <c r="F917">
        <v>140</v>
      </c>
      <c r="G917">
        <v>360</v>
      </c>
      <c r="H917">
        <v>190</v>
      </c>
      <c r="I917">
        <v>83</v>
      </c>
      <c r="J917" s="8">
        <v>0.59285714285714286</v>
      </c>
      <c r="K917">
        <v>30</v>
      </c>
      <c r="L917">
        <v>26</v>
      </c>
      <c r="M917">
        <v>165</v>
      </c>
      <c r="N917" s="10">
        <v>423.82</v>
      </c>
      <c r="O917" s="7">
        <v>0</v>
      </c>
      <c r="P917" s="7">
        <v>28.8</v>
      </c>
      <c r="Q917">
        <v>3</v>
      </c>
      <c r="R917" t="s">
        <v>65</v>
      </c>
      <c r="S917">
        <v>11</v>
      </c>
      <c r="T917">
        <v>306</v>
      </c>
      <c r="U917" s="11">
        <v>0.43388373911755823</v>
      </c>
      <c r="V917" s="11">
        <v>-0.90096886790241903</v>
      </c>
      <c r="W917" s="11">
        <v>-0.86059969625011812</v>
      </c>
      <c r="X917" s="11">
        <v>0.50928200715733563</v>
      </c>
      <c r="Y917">
        <v>0</v>
      </c>
      <c r="Z917">
        <v>1</v>
      </c>
      <c r="AA917" t="s">
        <v>74</v>
      </c>
      <c r="AB917">
        <v>0</v>
      </c>
      <c r="AC917">
        <v>0</v>
      </c>
      <c r="AD917">
        <v>0</v>
      </c>
      <c r="AE917">
        <v>0</v>
      </c>
    </row>
    <row r="918" spans="1:31">
      <c r="A918" s="6">
        <v>45232</v>
      </c>
      <c r="B918" t="s">
        <v>36</v>
      </c>
      <c r="C918" t="s">
        <v>37</v>
      </c>
      <c r="D918" t="s">
        <v>38</v>
      </c>
      <c r="E918" t="s">
        <v>39</v>
      </c>
      <c r="F918">
        <v>125</v>
      </c>
      <c r="G918">
        <v>320</v>
      </c>
      <c r="H918">
        <v>177</v>
      </c>
      <c r="I918">
        <v>73</v>
      </c>
      <c r="J918" s="8">
        <v>0.58399999999999996</v>
      </c>
      <c r="K918">
        <v>36</v>
      </c>
      <c r="L918">
        <v>35</v>
      </c>
      <c r="M918">
        <v>157</v>
      </c>
      <c r="N918" s="10">
        <v>658.04</v>
      </c>
      <c r="O918" s="7">
        <v>0</v>
      </c>
      <c r="P918" s="7">
        <v>28.8</v>
      </c>
      <c r="Q918">
        <v>3</v>
      </c>
      <c r="R918" t="s">
        <v>65</v>
      </c>
      <c r="S918">
        <v>11</v>
      </c>
      <c r="T918">
        <v>306</v>
      </c>
      <c r="U918" s="11">
        <v>0.43388373911755823</v>
      </c>
      <c r="V918" s="11">
        <v>-0.90096886790241903</v>
      </c>
      <c r="W918" s="11">
        <v>-0.86059969625011812</v>
      </c>
      <c r="X918" s="11">
        <v>0.50928200715733563</v>
      </c>
      <c r="Y918">
        <v>0</v>
      </c>
      <c r="Z918">
        <v>1</v>
      </c>
      <c r="AA918" t="s">
        <v>74</v>
      </c>
      <c r="AB918">
        <v>0</v>
      </c>
      <c r="AC918">
        <v>0</v>
      </c>
      <c r="AD918">
        <v>0</v>
      </c>
      <c r="AE918">
        <v>0</v>
      </c>
    </row>
    <row r="919" spans="1:31">
      <c r="A919" s="6">
        <v>45232</v>
      </c>
      <c r="B919" t="s">
        <v>41</v>
      </c>
      <c r="C919" t="s">
        <v>42</v>
      </c>
      <c r="D919" t="s">
        <v>43</v>
      </c>
      <c r="E919" t="s">
        <v>44</v>
      </c>
      <c r="F919">
        <v>85</v>
      </c>
      <c r="G919">
        <v>210</v>
      </c>
      <c r="H919">
        <v>121</v>
      </c>
      <c r="I919">
        <v>54</v>
      </c>
      <c r="J919" s="8">
        <v>0.63529411764705879</v>
      </c>
      <c r="K919">
        <v>18</v>
      </c>
      <c r="L919">
        <v>20</v>
      </c>
      <c r="M919">
        <v>104</v>
      </c>
      <c r="N919" s="10">
        <v>506.97</v>
      </c>
      <c r="O919" s="7">
        <v>0</v>
      </c>
      <c r="P919" s="7">
        <v>28.8</v>
      </c>
      <c r="Q919">
        <v>3</v>
      </c>
      <c r="R919" t="s">
        <v>65</v>
      </c>
      <c r="S919">
        <v>11</v>
      </c>
      <c r="T919">
        <v>306</v>
      </c>
      <c r="U919" s="11">
        <v>0.43388373911755823</v>
      </c>
      <c r="V919" s="11">
        <v>-0.90096886790241903</v>
      </c>
      <c r="W919" s="11">
        <v>-0.86059969625011812</v>
      </c>
      <c r="X919" s="11">
        <v>0.50928200715733563</v>
      </c>
      <c r="Y919">
        <v>0</v>
      </c>
      <c r="Z919">
        <v>1</v>
      </c>
      <c r="AA919" t="s">
        <v>74</v>
      </c>
      <c r="AB919">
        <v>0</v>
      </c>
      <c r="AC919">
        <v>0</v>
      </c>
      <c r="AD919">
        <v>0</v>
      </c>
      <c r="AE919">
        <v>0</v>
      </c>
    </row>
    <row r="920" spans="1:31">
      <c r="A920" s="6">
        <v>45233</v>
      </c>
      <c r="B920" t="s">
        <v>31</v>
      </c>
      <c r="C920" t="s">
        <v>32</v>
      </c>
      <c r="D920" t="s">
        <v>33</v>
      </c>
      <c r="E920" t="s">
        <v>34</v>
      </c>
      <c r="F920">
        <v>140</v>
      </c>
      <c r="G920">
        <v>360</v>
      </c>
      <c r="H920">
        <v>160</v>
      </c>
      <c r="I920">
        <v>67</v>
      </c>
      <c r="J920" s="8">
        <v>0.47857142857142859</v>
      </c>
      <c r="K920">
        <v>45</v>
      </c>
      <c r="L920">
        <v>29</v>
      </c>
      <c r="M920">
        <v>138</v>
      </c>
      <c r="N920" s="10">
        <v>400.29</v>
      </c>
      <c r="O920" s="7">
        <v>1.7</v>
      </c>
      <c r="P920" s="7">
        <v>28.2</v>
      </c>
      <c r="Q920">
        <v>4</v>
      </c>
      <c r="R920" t="s">
        <v>66</v>
      </c>
      <c r="S920">
        <v>11</v>
      </c>
      <c r="T920">
        <v>307</v>
      </c>
      <c r="U920" s="11">
        <v>-0.43388373911755801</v>
      </c>
      <c r="V920" s="11">
        <v>-0.90096886790241915</v>
      </c>
      <c r="W920" s="11">
        <v>-0.85171191074691888</v>
      </c>
      <c r="X920" s="11">
        <v>0.52401032536757564</v>
      </c>
      <c r="Y920">
        <v>0</v>
      </c>
      <c r="Z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6">
        <v>45233</v>
      </c>
      <c r="B921" t="s">
        <v>36</v>
      </c>
      <c r="C921" t="s">
        <v>37</v>
      </c>
      <c r="D921" t="s">
        <v>38</v>
      </c>
      <c r="E921" t="s">
        <v>39</v>
      </c>
      <c r="F921">
        <v>125</v>
      </c>
      <c r="G921">
        <v>320</v>
      </c>
      <c r="H921">
        <v>119</v>
      </c>
      <c r="I921">
        <v>53</v>
      </c>
      <c r="J921" s="8">
        <v>0.42399999999999999</v>
      </c>
      <c r="K921">
        <v>27</v>
      </c>
      <c r="L921">
        <v>29</v>
      </c>
      <c r="M921">
        <v>105</v>
      </c>
      <c r="N921" s="10">
        <v>663.93</v>
      </c>
      <c r="O921" s="7">
        <v>1.7</v>
      </c>
      <c r="P921" s="7">
        <v>28.2</v>
      </c>
      <c r="Q921">
        <v>4</v>
      </c>
      <c r="R921" t="s">
        <v>66</v>
      </c>
      <c r="S921">
        <v>11</v>
      </c>
      <c r="T921">
        <v>307</v>
      </c>
      <c r="U921" s="11">
        <v>-0.43388373911755801</v>
      </c>
      <c r="V921" s="11">
        <v>-0.90096886790241915</v>
      </c>
      <c r="W921" s="11">
        <v>-0.85171191074691888</v>
      </c>
      <c r="X921" s="11">
        <v>0.52401032536757564</v>
      </c>
      <c r="Y921">
        <v>0</v>
      </c>
      <c r="Z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6">
        <v>45233</v>
      </c>
      <c r="B922" t="s">
        <v>41</v>
      </c>
      <c r="C922" t="s">
        <v>42</v>
      </c>
      <c r="D922" t="s">
        <v>43</v>
      </c>
      <c r="E922" t="s">
        <v>44</v>
      </c>
      <c r="F922">
        <v>85</v>
      </c>
      <c r="G922">
        <v>210</v>
      </c>
      <c r="H922">
        <v>127</v>
      </c>
      <c r="I922">
        <v>54</v>
      </c>
      <c r="J922" s="8">
        <v>0.63529411764705879</v>
      </c>
      <c r="K922">
        <v>16</v>
      </c>
      <c r="L922">
        <v>17</v>
      </c>
      <c r="M922">
        <v>110</v>
      </c>
      <c r="N922" s="10">
        <v>484.31</v>
      </c>
      <c r="O922" s="7">
        <v>1.7</v>
      </c>
      <c r="P922" s="7">
        <v>28.2</v>
      </c>
      <c r="Q922">
        <v>4</v>
      </c>
      <c r="R922" t="s">
        <v>66</v>
      </c>
      <c r="S922">
        <v>11</v>
      </c>
      <c r="T922">
        <v>307</v>
      </c>
      <c r="U922" s="11">
        <v>-0.43388373911755801</v>
      </c>
      <c r="V922" s="11">
        <v>-0.90096886790241915</v>
      </c>
      <c r="W922" s="11">
        <v>-0.85171191074691888</v>
      </c>
      <c r="X922" s="11">
        <v>0.52401032536757564</v>
      </c>
      <c r="Y922">
        <v>0</v>
      </c>
      <c r="Z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6">
        <v>45234</v>
      </c>
      <c r="B923" t="s">
        <v>31</v>
      </c>
      <c r="C923" t="s">
        <v>32</v>
      </c>
      <c r="D923" t="s">
        <v>33</v>
      </c>
      <c r="E923" t="s">
        <v>34</v>
      </c>
      <c r="F923">
        <v>140</v>
      </c>
      <c r="G923">
        <v>360</v>
      </c>
      <c r="H923">
        <v>208</v>
      </c>
      <c r="I923">
        <v>91</v>
      </c>
      <c r="J923" s="8">
        <v>0.65</v>
      </c>
      <c r="K923">
        <v>57</v>
      </c>
      <c r="L923">
        <v>54</v>
      </c>
      <c r="M923">
        <v>188</v>
      </c>
      <c r="N923" s="10">
        <v>482.14</v>
      </c>
      <c r="O923" s="7">
        <v>0.5</v>
      </c>
      <c r="P923" s="7">
        <v>30.7</v>
      </c>
      <c r="Q923">
        <v>5</v>
      </c>
      <c r="R923" t="s">
        <v>67</v>
      </c>
      <c r="S923">
        <v>11</v>
      </c>
      <c r="T923">
        <v>308</v>
      </c>
      <c r="U923" s="11">
        <v>-0.97492791218182362</v>
      </c>
      <c r="V923" s="11">
        <v>-0.22252093395631459</v>
      </c>
      <c r="W923" s="11">
        <v>-0.84257208998660316</v>
      </c>
      <c r="X923" s="11">
        <v>0.53858358049202315</v>
      </c>
      <c r="Y923">
        <v>1</v>
      </c>
      <c r="Z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6">
        <v>45234</v>
      </c>
      <c r="B924" t="s">
        <v>36</v>
      </c>
      <c r="C924" t="s">
        <v>37</v>
      </c>
      <c r="D924" t="s">
        <v>38</v>
      </c>
      <c r="E924" t="s">
        <v>39</v>
      </c>
      <c r="F924">
        <v>125</v>
      </c>
      <c r="G924">
        <v>320</v>
      </c>
      <c r="H924">
        <v>193</v>
      </c>
      <c r="I924">
        <v>76</v>
      </c>
      <c r="J924" s="8">
        <v>0.60799999999999998</v>
      </c>
      <c r="K924">
        <v>37</v>
      </c>
      <c r="L924">
        <v>52</v>
      </c>
      <c r="M924">
        <v>163</v>
      </c>
      <c r="N924" s="10">
        <v>761.45</v>
      </c>
      <c r="O924" s="7">
        <v>0.5</v>
      </c>
      <c r="P924" s="7">
        <v>30.7</v>
      </c>
      <c r="Q924">
        <v>5</v>
      </c>
      <c r="R924" t="s">
        <v>67</v>
      </c>
      <c r="S924">
        <v>11</v>
      </c>
      <c r="T924">
        <v>308</v>
      </c>
      <c r="U924" s="11">
        <v>-0.97492791218182362</v>
      </c>
      <c r="V924" s="11">
        <v>-0.22252093395631459</v>
      </c>
      <c r="W924" s="11">
        <v>-0.84257208998660316</v>
      </c>
      <c r="X924" s="11">
        <v>0.53858358049202315</v>
      </c>
      <c r="Y924">
        <v>1</v>
      </c>
      <c r="Z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6">
        <v>45234</v>
      </c>
      <c r="B925" t="s">
        <v>41</v>
      </c>
      <c r="C925" t="s">
        <v>42</v>
      </c>
      <c r="D925" t="s">
        <v>43</v>
      </c>
      <c r="E925" t="s">
        <v>44</v>
      </c>
      <c r="F925">
        <v>85</v>
      </c>
      <c r="G925">
        <v>210</v>
      </c>
      <c r="H925">
        <v>140</v>
      </c>
      <c r="I925">
        <v>61</v>
      </c>
      <c r="J925" s="8">
        <v>0.71764705882352942</v>
      </c>
      <c r="K925">
        <v>28</v>
      </c>
      <c r="L925">
        <v>18</v>
      </c>
      <c r="M925">
        <v>122</v>
      </c>
      <c r="N925" s="10">
        <v>547.98</v>
      </c>
      <c r="O925" s="7">
        <v>0.5</v>
      </c>
      <c r="P925" s="7">
        <v>30.7</v>
      </c>
      <c r="Q925">
        <v>5</v>
      </c>
      <c r="R925" t="s">
        <v>67</v>
      </c>
      <c r="S925">
        <v>11</v>
      </c>
      <c r="T925">
        <v>308</v>
      </c>
      <c r="U925" s="11">
        <v>-0.97492791218182362</v>
      </c>
      <c r="V925" s="11">
        <v>-0.22252093395631459</v>
      </c>
      <c r="W925" s="11">
        <v>-0.84257208998660316</v>
      </c>
      <c r="X925" s="11">
        <v>0.53858358049202315</v>
      </c>
      <c r="Y925">
        <v>1</v>
      </c>
      <c r="Z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6">
        <v>45235</v>
      </c>
      <c r="B926" t="s">
        <v>31</v>
      </c>
      <c r="C926" t="s">
        <v>32</v>
      </c>
      <c r="D926" t="s">
        <v>33</v>
      </c>
      <c r="E926" t="s">
        <v>34</v>
      </c>
      <c r="F926">
        <v>140</v>
      </c>
      <c r="G926">
        <v>360</v>
      </c>
      <c r="H926">
        <v>220</v>
      </c>
      <c r="I926">
        <v>94</v>
      </c>
      <c r="J926" s="8">
        <v>0.67142857142857137</v>
      </c>
      <c r="K926">
        <v>60</v>
      </c>
      <c r="L926">
        <v>60</v>
      </c>
      <c r="M926">
        <v>198</v>
      </c>
      <c r="N926" s="10">
        <v>475.12</v>
      </c>
      <c r="O926" s="7">
        <v>0</v>
      </c>
      <c r="P926" s="7">
        <v>29.8</v>
      </c>
      <c r="Q926">
        <v>6</v>
      </c>
      <c r="R926" t="s">
        <v>60</v>
      </c>
      <c r="S926">
        <v>11</v>
      </c>
      <c r="T926">
        <v>309</v>
      </c>
      <c r="U926" s="11">
        <v>-0.78183148246802991</v>
      </c>
      <c r="V926" s="11">
        <v>0.62348980185873337</v>
      </c>
      <c r="W926" s="11">
        <v>-0.83318293858917847</v>
      </c>
      <c r="X926" s="11">
        <v>0.55299746007002715</v>
      </c>
      <c r="Y926">
        <v>1</v>
      </c>
      <c r="Z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6">
        <v>45235</v>
      </c>
      <c r="B927" t="s">
        <v>36</v>
      </c>
      <c r="C927" t="s">
        <v>37</v>
      </c>
      <c r="D927" t="s">
        <v>38</v>
      </c>
      <c r="E927" t="s">
        <v>39</v>
      </c>
      <c r="F927">
        <v>125</v>
      </c>
      <c r="G927">
        <v>320</v>
      </c>
      <c r="H927">
        <v>195</v>
      </c>
      <c r="I927">
        <v>81</v>
      </c>
      <c r="J927" s="8">
        <v>0.64800000000000002</v>
      </c>
      <c r="K927">
        <v>25</v>
      </c>
      <c r="L927">
        <v>47</v>
      </c>
      <c r="M927">
        <v>183</v>
      </c>
      <c r="N927" s="10">
        <v>672.32</v>
      </c>
      <c r="O927" s="7">
        <v>0</v>
      </c>
      <c r="P927" s="7">
        <v>29.8</v>
      </c>
      <c r="Q927">
        <v>6</v>
      </c>
      <c r="R927" t="s">
        <v>60</v>
      </c>
      <c r="S927">
        <v>11</v>
      </c>
      <c r="T927">
        <v>309</v>
      </c>
      <c r="U927" s="11">
        <v>-0.78183148246802991</v>
      </c>
      <c r="V927" s="11">
        <v>0.62348980185873337</v>
      </c>
      <c r="W927" s="11">
        <v>-0.83318293858917847</v>
      </c>
      <c r="X927" s="11">
        <v>0.55299746007002715</v>
      </c>
      <c r="Y927">
        <v>1</v>
      </c>
      <c r="Z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6">
        <v>45235</v>
      </c>
      <c r="B928" t="s">
        <v>41</v>
      </c>
      <c r="C928" t="s">
        <v>42</v>
      </c>
      <c r="D928" t="s">
        <v>43</v>
      </c>
      <c r="E928" t="s">
        <v>44</v>
      </c>
      <c r="F928">
        <v>85</v>
      </c>
      <c r="G928">
        <v>210</v>
      </c>
      <c r="H928">
        <v>131</v>
      </c>
      <c r="I928">
        <v>58</v>
      </c>
      <c r="J928" s="8">
        <v>0.68235294117647061</v>
      </c>
      <c r="K928">
        <v>33</v>
      </c>
      <c r="L928">
        <v>24</v>
      </c>
      <c r="M928">
        <v>117</v>
      </c>
      <c r="N928" s="10">
        <v>550.24</v>
      </c>
      <c r="O928" s="7">
        <v>0</v>
      </c>
      <c r="P928" s="7">
        <v>29.8</v>
      </c>
      <c r="Q928">
        <v>6</v>
      </c>
      <c r="R928" t="s">
        <v>60</v>
      </c>
      <c r="S928">
        <v>11</v>
      </c>
      <c r="T928">
        <v>309</v>
      </c>
      <c r="U928" s="11">
        <v>-0.78183148246802991</v>
      </c>
      <c r="V928" s="11">
        <v>0.62348980185873337</v>
      </c>
      <c r="W928" s="11">
        <v>-0.83318293858917847</v>
      </c>
      <c r="X928" s="11">
        <v>0.55299746007002715</v>
      </c>
      <c r="Y928">
        <v>1</v>
      </c>
      <c r="Z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6">
        <v>45236</v>
      </c>
      <c r="B929" t="s">
        <v>31</v>
      </c>
      <c r="C929" t="s">
        <v>32</v>
      </c>
      <c r="D929" t="s">
        <v>33</v>
      </c>
      <c r="E929" t="s">
        <v>34</v>
      </c>
      <c r="F929">
        <v>140</v>
      </c>
      <c r="G929">
        <v>360</v>
      </c>
      <c r="H929">
        <v>211</v>
      </c>
      <c r="I929">
        <v>88</v>
      </c>
      <c r="J929" s="8">
        <v>0.62857142857142856</v>
      </c>
      <c r="K929">
        <v>50</v>
      </c>
      <c r="L929">
        <v>49</v>
      </c>
      <c r="M929">
        <v>175</v>
      </c>
      <c r="N929" s="10">
        <v>447.9</v>
      </c>
      <c r="O929" s="7">
        <v>0</v>
      </c>
      <c r="P929" s="7">
        <v>28.5</v>
      </c>
      <c r="Q929">
        <v>0</v>
      </c>
      <c r="R929" t="s">
        <v>62</v>
      </c>
      <c r="S929">
        <v>11</v>
      </c>
      <c r="T929">
        <v>310</v>
      </c>
      <c r="U929" s="11">
        <v>0</v>
      </c>
      <c r="V929" s="11">
        <v>1</v>
      </c>
      <c r="W929" s="11">
        <v>-0.82354723495560067</v>
      </c>
      <c r="X929" s="11">
        <v>0.56724769880272286</v>
      </c>
      <c r="Y929">
        <v>0</v>
      </c>
      <c r="Z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6">
        <v>45236</v>
      </c>
      <c r="B930" t="s">
        <v>36</v>
      </c>
      <c r="C930" t="s">
        <v>37</v>
      </c>
      <c r="D930" t="s">
        <v>38</v>
      </c>
      <c r="E930" t="s">
        <v>39</v>
      </c>
      <c r="F930">
        <v>125</v>
      </c>
      <c r="G930">
        <v>320</v>
      </c>
      <c r="H930">
        <v>153</v>
      </c>
      <c r="I930">
        <v>62</v>
      </c>
      <c r="J930" s="8">
        <v>0.496</v>
      </c>
      <c r="K930">
        <v>14</v>
      </c>
      <c r="L930">
        <v>35</v>
      </c>
      <c r="M930">
        <v>124</v>
      </c>
      <c r="N930" s="10">
        <v>590.26</v>
      </c>
      <c r="O930" s="7">
        <v>0</v>
      </c>
      <c r="P930" s="7">
        <v>28.5</v>
      </c>
      <c r="Q930">
        <v>0</v>
      </c>
      <c r="R930" t="s">
        <v>62</v>
      </c>
      <c r="S930">
        <v>11</v>
      </c>
      <c r="T930">
        <v>310</v>
      </c>
      <c r="U930" s="11">
        <v>0</v>
      </c>
      <c r="V930" s="11">
        <v>1</v>
      </c>
      <c r="W930" s="11">
        <v>-0.82354723495560067</v>
      </c>
      <c r="X930" s="11">
        <v>0.56724769880272286</v>
      </c>
      <c r="Y930">
        <v>0</v>
      </c>
      <c r="Z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6">
        <v>45236</v>
      </c>
      <c r="B931" t="s">
        <v>41</v>
      </c>
      <c r="C931" t="s">
        <v>42</v>
      </c>
      <c r="D931" t="s">
        <v>43</v>
      </c>
      <c r="E931" t="s">
        <v>44</v>
      </c>
      <c r="F931">
        <v>85</v>
      </c>
      <c r="G931">
        <v>210</v>
      </c>
      <c r="H931">
        <v>109</v>
      </c>
      <c r="I931">
        <v>49</v>
      </c>
      <c r="J931" s="8">
        <v>0.57647058823529407</v>
      </c>
      <c r="K931">
        <v>16</v>
      </c>
      <c r="L931">
        <v>29</v>
      </c>
      <c r="M931">
        <v>94</v>
      </c>
      <c r="N931" s="10">
        <v>506.19</v>
      </c>
      <c r="O931" s="7">
        <v>0</v>
      </c>
      <c r="P931" s="7">
        <v>28.5</v>
      </c>
      <c r="Q931">
        <v>0</v>
      </c>
      <c r="R931" t="s">
        <v>62</v>
      </c>
      <c r="S931">
        <v>11</v>
      </c>
      <c r="T931">
        <v>310</v>
      </c>
      <c r="U931" s="11">
        <v>0</v>
      </c>
      <c r="V931" s="11">
        <v>1</v>
      </c>
      <c r="W931" s="11">
        <v>-0.82354723495560067</v>
      </c>
      <c r="X931" s="11">
        <v>0.56724769880272286</v>
      </c>
      <c r="Y931">
        <v>0</v>
      </c>
      <c r="Z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6">
        <v>45237</v>
      </c>
      <c r="B932" t="s">
        <v>31</v>
      </c>
      <c r="C932" t="s">
        <v>32</v>
      </c>
      <c r="D932" t="s">
        <v>33</v>
      </c>
      <c r="E932" t="s">
        <v>34</v>
      </c>
      <c r="F932">
        <v>140</v>
      </c>
      <c r="G932">
        <v>360</v>
      </c>
      <c r="H932">
        <v>163</v>
      </c>
      <c r="I932">
        <v>72</v>
      </c>
      <c r="J932" s="8">
        <v>0.51428571428571423</v>
      </c>
      <c r="K932">
        <v>22</v>
      </c>
      <c r="L932">
        <v>24</v>
      </c>
      <c r="M932">
        <v>132</v>
      </c>
      <c r="N932" s="10">
        <v>462.46</v>
      </c>
      <c r="O932" s="7">
        <v>0</v>
      </c>
      <c r="P932" s="7">
        <v>29.6</v>
      </c>
      <c r="Q932">
        <v>1</v>
      </c>
      <c r="R932" t="s">
        <v>63</v>
      </c>
      <c r="S932">
        <v>11</v>
      </c>
      <c r="T932">
        <v>311</v>
      </c>
      <c r="U932" s="11">
        <v>0.7818314824680298</v>
      </c>
      <c r="V932" s="11">
        <v>0.62348980185873359</v>
      </c>
      <c r="W932" s="11">
        <v>-0.81366783044559909</v>
      </c>
      <c r="X932" s="11">
        <v>0.58133007981520424</v>
      </c>
      <c r="Y932">
        <v>0</v>
      </c>
      <c r="Z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6">
        <v>45237</v>
      </c>
      <c r="B933" t="s">
        <v>36</v>
      </c>
      <c r="C933" t="s">
        <v>37</v>
      </c>
      <c r="D933" t="s">
        <v>38</v>
      </c>
      <c r="E933" t="s">
        <v>39</v>
      </c>
      <c r="F933">
        <v>125</v>
      </c>
      <c r="G933">
        <v>320</v>
      </c>
      <c r="H933">
        <v>152</v>
      </c>
      <c r="I933">
        <v>64</v>
      </c>
      <c r="J933" s="8">
        <v>0.51200000000000001</v>
      </c>
      <c r="K933">
        <v>28</v>
      </c>
      <c r="L933">
        <v>36</v>
      </c>
      <c r="M933">
        <v>127</v>
      </c>
      <c r="N933" s="10">
        <v>669.38</v>
      </c>
      <c r="O933" s="7">
        <v>0</v>
      </c>
      <c r="P933" s="7">
        <v>29.6</v>
      </c>
      <c r="Q933">
        <v>1</v>
      </c>
      <c r="R933" t="s">
        <v>63</v>
      </c>
      <c r="S933">
        <v>11</v>
      </c>
      <c r="T933">
        <v>311</v>
      </c>
      <c r="U933" s="11">
        <v>0.7818314824680298</v>
      </c>
      <c r="V933" s="11">
        <v>0.62348980185873359</v>
      </c>
      <c r="W933" s="11">
        <v>-0.81366783044559909</v>
      </c>
      <c r="X933" s="11">
        <v>0.58133007981520424</v>
      </c>
      <c r="Y933">
        <v>0</v>
      </c>
      <c r="Z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6">
        <v>45237</v>
      </c>
      <c r="B934" t="s">
        <v>41</v>
      </c>
      <c r="C934" t="s">
        <v>42</v>
      </c>
      <c r="D934" t="s">
        <v>43</v>
      </c>
      <c r="E934" t="s">
        <v>44</v>
      </c>
      <c r="F934">
        <v>85</v>
      </c>
      <c r="G934">
        <v>210</v>
      </c>
      <c r="H934">
        <v>102</v>
      </c>
      <c r="I934">
        <v>49</v>
      </c>
      <c r="J934" s="8">
        <v>0.57647058823529407</v>
      </c>
      <c r="K934">
        <v>20</v>
      </c>
      <c r="L934">
        <v>28</v>
      </c>
      <c r="M934">
        <v>90</v>
      </c>
      <c r="N934" s="10">
        <v>541.29999999999995</v>
      </c>
      <c r="O934" s="7">
        <v>0</v>
      </c>
      <c r="P934" s="7">
        <v>29.6</v>
      </c>
      <c r="Q934">
        <v>1</v>
      </c>
      <c r="R934" t="s">
        <v>63</v>
      </c>
      <c r="S934">
        <v>11</v>
      </c>
      <c r="T934">
        <v>311</v>
      </c>
      <c r="U934" s="11">
        <v>0.7818314824680298</v>
      </c>
      <c r="V934" s="11">
        <v>0.62348980185873359</v>
      </c>
      <c r="W934" s="11">
        <v>-0.81366783044559909</v>
      </c>
      <c r="X934" s="11">
        <v>0.58133007981520424</v>
      </c>
      <c r="Y934">
        <v>0</v>
      </c>
      <c r="Z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6">
        <v>45238</v>
      </c>
      <c r="B935" t="s">
        <v>31</v>
      </c>
      <c r="C935" t="s">
        <v>32</v>
      </c>
      <c r="D935" t="s">
        <v>33</v>
      </c>
      <c r="E935" t="s">
        <v>34</v>
      </c>
      <c r="F935">
        <v>140</v>
      </c>
      <c r="G935">
        <v>360</v>
      </c>
      <c r="H935">
        <v>190</v>
      </c>
      <c r="I935">
        <v>81</v>
      </c>
      <c r="J935" s="8">
        <v>0.57857142857142863</v>
      </c>
      <c r="K935">
        <v>44</v>
      </c>
      <c r="L935">
        <v>27</v>
      </c>
      <c r="M935">
        <v>153</v>
      </c>
      <c r="N935" s="10">
        <v>430.64</v>
      </c>
      <c r="O935" s="7">
        <v>2.1</v>
      </c>
      <c r="P935" s="7">
        <v>28.9</v>
      </c>
      <c r="Q935">
        <v>2</v>
      </c>
      <c r="R935" t="s">
        <v>64</v>
      </c>
      <c r="S935">
        <v>11</v>
      </c>
      <c r="T935">
        <v>312</v>
      </c>
      <c r="U935" s="11">
        <v>0.97492791218182362</v>
      </c>
      <c r="V935" s="11">
        <v>-0.22252093395631434</v>
      </c>
      <c r="W935" s="11">
        <v>-0.80354764853391158</v>
      </c>
      <c r="X935" s="11">
        <v>0.59524043590436737</v>
      </c>
      <c r="Y935">
        <v>0</v>
      </c>
      <c r="Z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6">
        <v>45238</v>
      </c>
      <c r="B936" t="s">
        <v>36</v>
      </c>
      <c r="C936" t="s">
        <v>37</v>
      </c>
      <c r="D936" t="s">
        <v>38</v>
      </c>
      <c r="E936" t="s">
        <v>39</v>
      </c>
      <c r="F936">
        <v>125</v>
      </c>
      <c r="G936">
        <v>320</v>
      </c>
      <c r="H936">
        <v>134</v>
      </c>
      <c r="I936">
        <v>55</v>
      </c>
      <c r="J936" s="8">
        <v>0.44</v>
      </c>
      <c r="K936">
        <v>32</v>
      </c>
      <c r="L936">
        <v>17</v>
      </c>
      <c r="M936">
        <v>116</v>
      </c>
      <c r="N936" s="10">
        <v>594.01</v>
      </c>
      <c r="O936" s="7">
        <v>2.1</v>
      </c>
      <c r="P936" s="7">
        <v>28.9</v>
      </c>
      <c r="Q936">
        <v>2</v>
      </c>
      <c r="R936" t="s">
        <v>64</v>
      </c>
      <c r="S936">
        <v>11</v>
      </c>
      <c r="T936">
        <v>312</v>
      </c>
      <c r="U936" s="11">
        <v>0.97492791218182362</v>
      </c>
      <c r="V936" s="11">
        <v>-0.22252093395631434</v>
      </c>
      <c r="W936" s="11">
        <v>-0.80354764853391158</v>
      </c>
      <c r="X936" s="11">
        <v>0.59524043590436737</v>
      </c>
      <c r="Y936">
        <v>0</v>
      </c>
      <c r="Z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6">
        <v>45238</v>
      </c>
      <c r="B937" t="s">
        <v>41</v>
      </c>
      <c r="C937" t="s">
        <v>42</v>
      </c>
      <c r="D937" t="s">
        <v>43</v>
      </c>
      <c r="E937" t="s">
        <v>44</v>
      </c>
      <c r="F937">
        <v>85</v>
      </c>
      <c r="G937">
        <v>210</v>
      </c>
      <c r="H937">
        <v>103</v>
      </c>
      <c r="I937">
        <v>47</v>
      </c>
      <c r="J937" s="8">
        <v>0.55294117647058827</v>
      </c>
      <c r="K937">
        <v>16</v>
      </c>
      <c r="L937">
        <v>30</v>
      </c>
      <c r="M937">
        <v>89</v>
      </c>
      <c r="N937" s="10">
        <v>564.30999999999995</v>
      </c>
      <c r="O937" s="7">
        <v>2.1</v>
      </c>
      <c r="P937" s="7">
        <v>28.9</v>
      </c>
      <c r="Q937">
        <v>2</v>
      </c>
      <c r="R937" t="s">
        <v>64</v>
      </c>
      <c r="S937">
        <v>11</v>
      </c>
      <c r="T937">
        <v>312</v>
      </c>
      <c r="U937" s="11">
        <v>0.97492791218182362</v>
      </c>
      <c r="V937" s="11">
        <v>-0.22252093395631434</v>
      </c>
      <c r="W937" s="11">
        <v>-0.80354764853391158</v>
      </c>
      <c r="X937" s="11">
        <v>0.59524043590436737</v>
      </c>
      <c r="Y937">
        <v>0</v>
      </c>
      <c r="Z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6">
        <v>45239</v>
      </c>
      <c r="B938" t="s">
        <v>31</v>
      </c>
      <c r="C938" t="s">
        <v>32</v>
      </c>
      <c r="D938" t="s">
        <v>33</v>
      </c>
      <c r="E938" t="s">
        <v>34</v>
      </c>
      <c r="F938">
        <v>140</v>
      </c>
      <c r="G938">
        <v>360</v>
      </c>
      <c r="H938">
        <v>178</v>
      </c>
      <c r="I938">
        <v>76</v>
      </c>
      <c r="J938" s="8">
        <v>0.54285714285714282</v>
      </c>
      <c r="K938">
        <v>39</v>
      </c>
      <c r="L938">
        <v>49</v>
      </c>
      <c r="M938">
        <v>159</v>
      </c>
      <c r="N938" s="10">
        <v>396.68</v>
      </c>
      <c r="O938" s="7">
        <v>3.3</v>
      </c>
      <c r="P938" s="7">
        <v>27.6</v>
      </c>
      <c r="Q938">
        <v>3</v>
      </c>
      <c r="R938" t="s">
        <v>65</v>
      </c>
      <c r="S938">
        <v>11</v>
      </c>
      <c r="T938">
        <v>313</v>
      </c>
      <c r="U938" s="11">
        <v>0.43388373911755823</v>
      </c>
      <c r="V938" s="11">
        <v>-0.90096886790241903</v>
      </c>
      <c r="W938" s="11">
        <v>-0.7931896839451843</v>
      </c>
      <c r="X938" s="11">
        <v>0.6089746507720486</v>
      </c>
      <c r="Y938">
        <v>0</v>
      </c>
      <c r="Z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6">
        <v>45239</v>
      </c>
      <c r="B939" t="s">
        <v>36</v>
      </c>
      <c r="C939" t="s">
        <v>37</v>
      </c>
      <c r="D939" t="s">
        <v>38</v>
      </c>
      <c r="E939" t="s">
        <v>39</v>
      </c>
      <c r="F939">
        <v>125</v>
      </c>
      <c r="G939">
        <v>320</v>
      </c>
      <c r="H939">
        <v>155</v>
      </c>
      <c r="I939">
        <v>65</v>
      </c>
      <c r="J939" s="8">
        <v>0.52</v>
      </c>
      <c r="K939">
        <v>26</v>
      </c>
      <c r="L939">
        <v>19</v>
      </c>
      <c r="M939">
        <v>132</v>
      </c>
      <c r="N939" s="10">
        <v>627.24</v>
      </c>
      <c r="O939" s="7">
        <v>3.3</v>
      </c>
      <c r="P939" s="7">
        <v>27.6</v>
      </c>
      <c r="Q939">
        <v>3</v>
      </c>
      <c r="R939" t="s">
        <v>65</v>
      </c>
      <c r="S939">
        <v>11</v>
      </c>
      <c r="T939">
        <v>313</v>
      </c>
      <c r="U939" s="11">
        <v>0.43388373911755823</v>
      </c>
      <c r="V939" s="11">
        <v>-0.90096886790241903</v>
      </c>
      <c r="W939" s="11">
        <v>-0.7931896839451843</v>
      </c>
      <c r="X939" s="11">
        <v>0.6089746507720486</v>
      </c>
      <c r="Y939">
        <v>0</v>
      </c>
      <c r="Z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6">
        <v>45239</v>
      </c>
      <c r="B940" t="s">
        <v>41</v>
      </c>
      <c r="C940" t="s">
        <v>42</v>
      </c>
      <c r="D940" t="s">
        <v>43</v>
      </c>
      <c r="E940" t="s">
        <v>44</v>
      </c>
      <c r="F940">
        <v>85</v>
      </c>
      <c r="G940">
        <v>210</v>
      </c>
      <c r="H940">
        <v>108</v>
      </c>
      <c r="I940">
        <v>48</v>
      </c>
      <c r="J940" s="8">
        <v>0.56470588235294117</v>
      </c>
      <c r="K940">
        <v>32</v>
      </c>
      <c r="L940">
        <v>28</v>
      </c>
      <c r="M940">
        <v>96</v>
      </c>
      <c r="N940" s="10">
        <v>572.39</v>
      </c>
      <c r="O940" s="7">
        <v>3.3</v>
      </c>
      <c r="P940" s="7">
        <v>27.6</v>
      </c>
      <c r="Q940">
        <v>3</v>
      </c>
      <c r="R940" t="s">
        <v>65</v>
      </c>
      <c r="S940">
        <v>11</v>
      </c>
      <c r="T940">
        <v>313</v>
      </c>
      <c r="U940" s="11">
        <v>0.43388373911755823</v>
      </c>
      <c r="V940" s="11">
        <v>-0.90096886790241903</v>
      </c>
      <c r="W940" s="11">
        <v>-0.7931896839451843</v>
      </c>
      <c r="X940" s="11">
        <v>0.6089746507720486</v>
      </c>
      <c r="Y940">
        <v>0</v>
      </c>
      <c r="Z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6">
        <v>45240</v>
      </c>
      <c r="B941" t="s">
        <v>31</v>
      </c>
      <c r="C941" t="s">
        <v>32</v>
      </c>
      <c r="D941" t="s">
        <v>33</v>
      </c>
      <c r="E941" t="s">
        <v>34</v>
      </c>
      <c r="F941">
        <v>140</v>
      </c>
      <c r="G941">
        <v>360</v>
      </c>
      <c r="H941">
        <v>166</v>
      </c>
      <c r="I941">
        <v>74</v>
      </c>
      <c r="J941" s="8">
        <v>0.52857142857142858</v>
      </c>
      <c r="K941">
        <v>31</v>
      </c>
      <c r="L941">
        <v>34</v>
      </c>
      <c r="M941">
        <v>149</v>
      </c>
      <c r="N941" s="10">
        <v>456.01</v>
      </c>
      <c r="O941" s="7">
        <v>0</v>
      </c>
      <c r="P941" s="7">
        <v>28.7</v>
      </c>
      <c r="Q941">
        <v>4</v>
      </c>
      <c r="R941" t="s">
        <v>66</v>
      </c>
      <c r="S941">
        <v>11</v>
      </c>
      <c r="T941">
        <v>314</v>
      </c>
      <c r="U941" s="11">
        <v>-0.43388373911755801</v>
      </c>
      <c r="V941" s="11">
        <v>-0.90096886790241915</v>
      </c>
      <c r="W941" s="11">
        <v>-0.78259700176778335</v>
      </c>
      <c r="X941" s="11">
        <v>0.62252866024310571</v>
      </c>
      <c r="Y941">
        <v>0</v>
      </c>
      <c r="Z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6">
        <v>45240</v>
      </c>
      <c r="B942" t="s">
        <v>36</v>
      </c>
      <c r="C942" t="s">
        <v>37</v>
      </c>
      <c r="D942" t="s">
        <v>38</v>
      </c>
      <c r="E942" t="s">
        <v>39</v>
      </c>
      <c r="F942">
        <v>125</v>
      </c>
      <c r="G942">
        <v>320</v>
      </c>
      <c r="H942">
        <v>169</v>
      </c>
      <c r="I942">
        <v>68</v>
      </c>
      <c r="J942" s="8">
        <v>0.54400000000000004</v>
      </c>
      <c r="K942">
        <v>30</v>
      </c>
      <c r="L942">
        <v>28</v>
      </c>
      <c r="M942">
        <v>157</v>
      </c>
      <c r="N942" s="10">
        <v>646.17999999999995</v>
      </c>
      <c r="O942" s="7">
        <v>0</v>
      </c>
      <c r="P942" s="7">
        <v>28.7</v>
      </c>
      <c r="Q942">
        <v>4</v>
      </c>
      <c r="R942" t="s">
        <v>66</v>
      </c>
      <c r="S942">
        <v>11</v>
      </c>
      <c r="T942">
        <v>314</v>
      </c>
      <c r="U942" s="11">
        <v>-0.43388373911755801</v>
      </c>
      <c r="V942" s="11">
        <v>-0.90096886790241915</v>
      </c>
      <c r="W942" s="11">
        <v>-0.78259700176778335</v>
      </c>
      <c r="X942" s="11">
        <v>0.62252866024310571</v>
      </c>
      <c r="Y942">
        <v>0</v>
      </c>
      <c r="Z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6">
        <v>45240</v>
      </c>
      <c r="B943" t="s">
        <v>41</v>
      </c>
      <c r="C943" t="s">
        <v>42</v>
      </c>
      <c r="D943" t="s">
        <v>43</v>
      </c>
      <c r="E943" t="s">
        <v>44</v>
      </c>
      <c r="F943">
        <v>85</v>
      </c>
      <c r="G943">
        <v>210</v>
      </c>
      <c r="H943">
        <v>110</v>
      </c>
      <c r="I943">
        <v>47</v>
      </c>
      <c r="J943" s="8">
        <v>0.55294117647058827</v>
      </c>
      <c r="K943">
        <v>33</v>
      </c>
      <c r="L943">
        <v>29</v>
      </c>
      <c r="M943">
        <v>89</v>
      </c>
      <c r="N943" s="10">
        <v>524.92999999999995</v>
      </c>
      <c r="O943" s="7">
        <v>0</v>
      </c>
      <c r="P943" s="7">
        <v>28.7</v>
      </c>
      <c r="Q943">
        <v>4</v>
      </c>
      <c r="R943" t="s">
        <v>66</v>
      </c>
      <c r="S943">
        <v>11</v>
      </c>
      <c r="T943">
        <v>314</v>
      </c>
      <c r="U943" s="11">
        <v>-0.43388373911755801</v>
      </c>
      <c r="V943" s="11">
        <v>-0.90096886790241915</v>
      </c>
      <c r="W943" s="11">
        <v>-0.78259700176778335</v>
      </c>
      <c r="X943" s="11">
        <v>0.62252866024310571</v>
      </c>
      <c r="Y943">
        <v>0</v>
      </c>
      <c r="Z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6">
        <v>45241</v>
      </c>
      <c r="B944" t="s">
        <v>31</v>
      </c>
      <c r="C944" t="s">
        <v>32</v>
      </c>
      <c r="D944" t="s">
        <v>33</v>
      </c>
      <c r="E944" t="s">
        <v>34</v>
      </c>
      <c r="F944">
        <v>140</v>
      </c>
      <c r="G944">
        <v>360</v>
      </c>
      <c r="H944">
        <v>202</v>
      </c>
      <c r="I944">
        <v>87</v>
      </c>
      <c r="J944" s="8">
        <v>0.62142857142857144</v>
      </c>
      <c r="K944">
        <v>32</v>
      </c>
      <c r="L944">
        <v>25</v>
      </c>
      <c r="M944">
        <v>181</v>
      </c>
      <c r="N944" s="10">
        <v>464.4</v>
      </c>
      <c r="O944" s="7">
        <v>0.3</v>
      </c>
      <c r="P944" s="7">
        <v>29.2</v>
      </c>
      <c r="Q944">
        <v>5</v>
      </c>
      <c r="R944" t="s">
        <v>67</v>
      </c>
      <c r="S944">
        <v>11</v>
      </c>
      <c r="T944">
        <v>315</v>
      </c>
      <c r="U944" s="11">
        <v>-0.97492791218182362</v>
      </c>
      <c r="V944" s="11">
        <v>-0.22252093395631459</v>
      </c>
      <c r="W944" s="11">
        <v>-0.77177273654678369</v>
      </c>
      <c r="X944" s="11">
        <v>0.6358984534680745</v>
      </c>
      <c r="Y944">
        <v>1</v>
      </c>
      <c r="Z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6">
        <v>45241</v>
      </c>
      <c r="B945" t="s">
        <v>36</v>
      </c>
      <c r="C945" t="s">
        <v>37</v>
      </c>
      <c r="D945" t="s">
        <v>38</v>
      </c>
      <c r="E945" t="s">
        <v>39</v>
      </c>
      <c r="F945">
        <v>125</v>
      </c>
      <c r="G945">
        <v>320</v>
      </c>
      <c r="H945">
        <v>186</v>
      </c>
      <c r="I945">
        <v>81</v>
      </c>
      <c r="J945" s="8">
        <v>0.64800000000000002</v>
      </c>
      <c r="K945">
        <v>42</v>
      </c>
      <c r="L945">
        <v>31</v>
      </c>
      <c r="M945">
        <v>150</v>
      </c>
      <c r="N945" s="10">
        <v>700.65</v>
      </c>
      <c r="O945" s="7">
        <v>0.3</v>
      </c>
      <c r="P945" s="7">
        <v>29.2</v>
      </c>
      <c r="Q945">
        <v>5</v>
      </c>
      <c r="R945" t="s">
        <v>67</v>
      </c>
      <c r="S945">
        <v>11</v>
      </c>
      <c r="T945">
        <v>315</v>
      </c>
      <c r="U945" s="11">
        <v>-0.97492791218182362</v>
      </c>
      <c r="V945" s="11">
        <v>-0.22252093395631459</v>
      </c>
      <c r="W945" s="11">
        <v>-0.77177273654678369</v>
      </c>
      <c r="X945" s="11">
        <v>0.6358984534680745</v>
      </c>
      <c r="Y945">
        <v>1</v>
      </c>
      <c r="Z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6">
        <v>45241</v>
      </c>
      <c r="B946" t="s">
        <v>41</v>
      </c>
      <c r="C946" t="s">
        <v>42</v>
      </c>
      <c r="D946" t="s">
        <v>43</v>
      </c>
      <c r="E946" t="s">
        <v>44</v>
      </c>
      <c r="F946">
        <v>85</v>
      </c>
      <c r="G946">
        <v>210</v>
      </c>
      <c r="H946">
        <v>134</v>
      </c>
      <c r="I946">
        <v>58</v>
      </c>
      <c r="J946" s="8">
        <v>0.68235294117647061</v>
      </c>
      <c r="K946">
        <v>30</v>
      </c>
      <c r="L946">
        <v>21</v>
      </c>
      <c r="M946">
        <v>109</v>
      </c>
      <c r="N946" s="10">
        <v>570.16</v>
      </c>
      <c r="O946" s="7">
        <v>0.3</v>
      </c>
      <c r="P946" s="7">
        <v>29.2</v>
      </c>
      <c r="Q946">
        <v>5</v>
      </c>
      <c r="R946" t="s">
        <v>67</v>
      </c>
      <c r="S946">
        <v>11</v>
      </c>
      <c r="T946">
        <v>315</v>
      </c>
      <c r="U946" s="11">
        <v>-0.97492791218182362</v>
      </c>
      <c r="V946" s="11">
        <v>-0.22252093395631459</v>
      </c>
      <c r="W946" s="11">
        <v>-0.77177273654678369</v>
      </c>
      <c r="X946" s="11">
        <v>0.6358984534680745</v>
      </c>
      <c r="Y946">
        <v>1</v>
      </c>
      <c r="Z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6">
        <v>45242</v>
      </c>
      <c r="B947" t="s">
        <v>31</v>
      </c>
      <c r="C947" t="s">
        <v>32</v>
      </c>
      <c r="D947" t="s">
        <v>33</v>
      </c>
      <c r="E947" t="s">
        <v>34</v>
      </c>
      <c r="F947">
        <v>140</v>
      </c>
      <c r="G947">
        <v>360</v>
      </c>
      <c r="H947">
        <v>206</v>
      </c>
      <c r="I947">
        <v>86</v>
      </c>
      <c r="J947" s="8">
        <v>0.61428571428571432</v>
      </c>
      <c r="K947">
        <v>39</v>
      </c>
      <c r="L947">
        <v>43</v>
      </c>
      <c r="M947">
        <v>192</v>
      </c>
      <c r="N947" s="10">
        <v>490.19</v>
      </c>
      <c r="O947" s="7">
        <v>0</v>
      </c>
      <c r="P947" s="7">
        <v>29.4</v>
      </c>
      <c r="Q947">
        <v>6</v>
      </c>
      <c r="R947" t="s">
        <v>60</v>
      </c>
      <c r="S947">
        <v>11</v>
      </c>
      <c r="T947">
        <v>316</v>
      </c>
      <c r="U947" s="11">
        <v>-0.78183148246802991</v>
      </c>
      <c r="V947" s="11">
        <v>0.62348980185873337</v>
      </c>
      <c r="W947" s="11">
        <v>-0.76072009135641039</v>
      </c>
      <c r="X947" s="11">
        <v>0.64908007411003976</v>
      </c>
      <c r="Y947">
        <v>1</v>
      </c>
      <c r="Z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6">
        <v>45242</v>
      </c>
      <c r="B948" t="s">
        <v>36</v>
      </c>
      <c r="C948" t="s">
        <v>37</v>
      </c>
      <c r="D948" t="s">
        <v>38</v>
      </c>
      <c r="E948" t="s">
        <v>39</v>
      </c>
      <c r="F948">
        <v>125</v>
      </c>
      <c r="G948">
        <v>320</v>
      </c>
      <c r="H948">
        <v>209</v>
      </c>
      <c r="I948">
        <v>86</v>
      </c>
      <c r="J948" s="8">
        <v>0.68799999999999994</v>
      </c>
      <c r="K948">
        <v>50</v>
      </c>
      <c r="L948">
        <v>35</v>
      </c>
      <c r="M948">
        <v>195</v>
      </c>
      <c r="N948" s="10">
        <v>636.66999999999996</v>
      </c>
      <c r="O948" s="7">
        <v>0</v>
      </c>
      <c r="P948" s="7">
        <v>29.4</v>
      </c>
      <c r="Q948">
        <v>6</v>
      </c>
      <c r="R948" t="s">
        <v>60</v>
      </c>
      <c r="S948">
        <v>11</v>
      </c>
      <c r="T948">
        <v>316</v>
      </c>
      <c r="U948" s="11">
        <v>-0.78183148246802991</v>
      </c>
      <c r="V948" s="11">
        <v>0.62348980185873337</v>
      </c>
      <c r="W948" s="11">
        <v>-0.76072009135641039</v>
      </c>
      <c r="X948" s="11">
        <v>0.64908007411003976</v>
      </c>
      <c r="Y948">
        <v>1</v>
      </c>
      <c r="Z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6">
        <v>45242</v>
      </c>
      <c r="B949" t="s">
        <v>41</v>
      </c>
      <c r="C949" t="s">
        <v>42</v>
      </c>
      <c r="D949" t="s">
        <v>43</v>
      </c>
      <c r="E949" t="s">
        <v>44</v>
      </c>
      <c r="F949">
        <v>85</v>
      </c>
      <c r="G949">
        <v>210</v>
      </c>
      <c r="H949">
        <v>140</v>
      </c>
      <c r="I949">
        <v>58</v>
      </c>
      <c r="J949" s="8">
        <v>0.68235294117647061</v>
      </c>
      <c r="K949">
        <v>25</v>
      </c>
      <c r="L949">
        <v>27</v>
      </c>
      <c r="M949">
        <v>114</v>
      </c>
      <c r="N949" s="10">
        <v>566.61</v>
      </c>
      <c r="O949" s="7">
        <v>0</v>
      </c>
      <c r="P949" s="7">
        <v>29.4</v>
      </c>
      <c r="Q949">
        <v>6</v>
      </c>
      <c r="R949" t="s">
        <v>60</v>
      </c>
      <c r="S949">
        <v>11</v>
      </c>
      <c r="T949">
        <v>316</v>
      </c>
      <c r="U949" s="11">
        <v>-0.78183148246802991</v>
      </c>
      <c r="V949" s="11">
        <v>0.62348980185873337</v>
      </c>
      <c r="W949" s="11">
        <v>-0.76072009135641039</v>
      </c>
      <c r="X949" s="11">
        <v>0.64908007411003976</v>
      </c>
      <c r="Y949">
        <v>1</v>
      </c>
      <c r="Z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6">
        <v>45243</v>
      </c>
      <c r="B950" t="s">
        <v>31</v>
      </c>
      <c r="C950" t="s">
        <v>32</v>
      </c>
      <c r="D950" t="s">
        <v>33</v>
      </c>
      <c r="E950" t="s">
        <v>34</v>
      </c>
      <c r="F950">
        <v>140</v>
      </c>
      <c r="G950">
        <v>360</v>
      </c>
      <c r="H950">
        <v>174</v>
      </c>
      <c r="I950">
        <v>73</v>
      </c>
      <c r="J950" s="8">
        <v>0.52142857142857146</v>
      </c>
      <c r="K950">
        <v>45</v>
      </c>
      <c r="L950">
        <v>33</v>
      </c>
      <c r="M950">
        <v>145</v>
      </c>
      <c r="N950" s="10">
        <v>448.88</v>
      </c>
      <c r="O950" s="7">
        <v>0</v>
      </c>
      <c r="P950" s="7">
        <v>30.2</v>
      </c>
      <c r="Q950">
        <v>0</v>
      </c>
      <c r="R950" t="s">
        <v>62</v>
      </c>
      <c r="S950">
        <v>11</v>
      </c>
      <c r="T950">
        <v>317</v>
      </c>
      <c r="U950" s="11">
        <v>0</v>
      </c>
      <c r="V950" s="11">
        <v>1</v>
      </c>
      <c r="W950" s="11">
        <v>-0.7494423368521953</v>
      </c>
      <c r="X950" s="11">
        <v>0.66206962151538151</v>
      </c>
      <c r="Y950">
        <v>0</v>
      </c>
      <c r="Z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6">
        <v>45243</v>
      </c>
      <c r="B951" t="s">
        <v>36</v>
      </c>
      <c r="C951" t="s">
        <v>37</v>
      </c>
      <c r="D951" t="s">
        <v>38</v>
      </c>
      <c r="E951" t="s">
        <v>39</v>
      </c>
      <c r="F951">
        <v>125</v>
      </c>
      <c r="G951">
        <v>320</v>
      </c>
      <c r="H951">
        <v>162</v>
      </c>
      <c r="I951">
        <v>68</v>
      </c>
      <c r="J951" s="8">
        <v>0.54400000000000004</v>
      </c>
      <c r="K951">
        <v>26</v>
      </c>
      <c r="L951">
        <v>41</v>
      </c>
      <c r="M951">
        <v>132</v>
      </c>
      <c r="N951" s="10">
        <v>609.94000000000005</v>
      </c>
      <c r="O951" s="7">
        <v>0</v>
      </c>
      <c r="P951" s="7">
        <v>30.2</v>
      </c>
      <c r="Q951">
        <v>0</v>
      </c>
      <c r="R951" t="s">
        <v>62</v>
      </c>
      <c r="S951">
        <v>11</v>
      </c>
      <c r="T951">
        <v>317</v>
      </c>
      <c r="U951" s="11">
        <v>0</v>
      </c>
      <c r="V951" s="11">
        <v>1</v>
      </c>
      <c r="W951" s="11">
        <v>-0.7494423368521953</v>
      </c>
      <c r="X951" s="11">
        <v>0.66206962151538151</v>
      </c>
      <c r="Y951">
        <v>0</v>
      </c>
      <c r="Z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6">
        <v>45243</v>
      </c>
      <c r="B952" t="s">
        <v>41</v>
      </c>
      <c r="C952" t="s">
        <v>42</v>
      </c>
      <c r="D952" t="s">
        <v>43</v>
      </c>
      <c r="E952" t="s">
        <v>44</v>
      </c>
      <c r="F952">
        <v>85</v>
      </c>
      <c r="G952">
        <v>210</v>
      </c>
      <c r="H952">
        <v>125</v>
      </c>
      <c r="I952">
        <v>52</v>
      </c>
      <c r="J952" s="8">
        <v>0.61176470588235299</v>
      </c>
      <c r="K952">
        <v>12</v>
      </c>
      <c r="L952">
        <v>23</v>
      </c>
      <c r="M952">
        <v>108</v>
      </c>
      <c r="N952" s="10">
        <v>552.33000000000004</v>
      </c>
      <c r="O952" s="7">
        <v>0</v>
      </c>
      <c r="P952" s="7">
        <v>30.2</v>
      </c>
      <c r="Q952">
        <v>0</v>
      </c>
      <c r="R952" t="s">
        <v>62</v>
      </c>
      <c r="S952">
        <v>11</v>
      </c>
      <c r="T952">
        <v>317</v>
      </c>
      <c r="U952" s="11">
        <v>0</v>
      </c>
      <c r="V952" s="11">
        <v>1</v>
      </c>
      <c r="W952" s="11">
        <v>-0.7494423368521953</v>
      </c>
      <c r="X952" s="11">
        <v>0.66206962151538151</v>
      </c>
      <c r="Y952">
        <v>0</v>
      </c>
      <c r="Z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6">
        <v>45244</v>
      </c>
      <c r="B953" t="s">
        <v>31</v>
      </c>
      <c r="C953" t="s">
        <v>32</v>
      </c>
      <c r="D953" t="s">
        <v>33</v>
      </c>
      <c r="E953" t="s">
        <v>34</v>
      </c>
      <c r="F953">
        <v>140</v>
      </c>
      <c r="G953">
        <v>360</v>
      </c>
      <c r="H953">
        <v>200</v>
      </c>
      <c r="I953">
        <v>86</v>
      </c>
      <c r="J953" s="8">
        <v>0.61428571428571432</v>
      </c>
      <c r="K953">
        <v>41</v>
      </c>
      <c r="L953">
        <v>31</v>
      </c>
      <c r="M953">
        <v>170</v>
      </c>
      <c r="N953" s="10">
        <v>425.01</v>
      </c>
      <c r="O953" s="7">
        <v>0</v>
      </c>
      <c r="P953" s="7">
        <v>29.6</v>
      </c>
      <c r="Q953">
        <v>1</v>
      </c>
      <c r="R953" t="s">
        <v>63</v>
      </c>
      <c r="S953">
        <v>11</v>
      </c>
      <c r="T953">
        <v>318</v>
      </c>
      <c r="U953" s="11">
        <v>0.7818314824680298</v>
      </c>
      <c r="V953" s="11">
        <v>0.62348980185873359</v>
      </c>
      <c r="W953" s="11">
        <v>-0.73794281030313857</v>
      </c>
      <c r="X953" s="11">
        <v>0.6748632518680403</v>
      </c>
      <c r="Y953">
        <v>0</v>
      </c>
      <c r="Z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6">
        <v>45244</v>
      </c>
      <c r="B954" t="s">
        <v>36</v>
      </c>
      <c r="C954" t="s">
        <v>37</v>
      </c>
      <c r="D954" t="s">
        <v>38</v>
      </c>
      <c r="E954" t="s">
        <v>39</v>
      </c>
      <c r="F954">
        <v>125</v>
      </c>
      <c r="G954">
        <v>320</v>
      </c>
      <c r="H954">
        <v>134</v>
      </c>
      <c r="I954">
        <v>55</v>
      </c>
      <c r="J954" s="8">
        <v>0.44</v>
      </c>
      <c r="K954">
        <v>30</v>
      </c>
      <c r="L954">
        <v>11</v>
      </c>
      <c r="M954">
        <v>114</v>
      </c>
      <c r="N954" s="10">
        <v>635.36</v>
      </c>
      <c r="O954" s="7">
        <v>0</v>
      </c>
      <c r="P954" s="7">
        <v>29.6</v>
      </c>
      <c r="Q954">
        <v>1</v>
      </c>
      <c r="R954" t="s">
        <v>63</v>
      </c>
      <c r="S954">
        <v>11</v>
      </c>
      <c r="T954">
        <v>318</v>
      </c>
      <c r="U954" s="11">
        <v>0.7818314824680298</v>
      </c>
      <c r="V954" s="11">
        <v>0.62348980185873359</v>
      </c>
      <c r="W954" s="11">
        <v>-0.73794281030313857</v>
      </c>
      <c r="X954" s="11">
        <v>0.6748632518680403</v>
      </c>
      <c r="Y954">
        <v>0</v>
      </c>
      <c r="Z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6">
        <v>45244</v>
      </c>
      <c r="B955" t="s">
        <v>41</v>
      </c>
      <c r="C955" t="s">
        <v>42</v>
      </c>
      <c r="D955" t="s">
        <v>43</v>
      </c>
      <c r="E955" t="s">
        <v>44</v>
      </c>
      <c r="F955">
        <v>85</v>
      </c>
      <c r="G955">
        <v>210</v>
      </c>
      <c r="H955">
        <v>112</v>
      </c>
      <c r="I955">
        <v>51</v>
      </c>
      <c r="J955" s="8">
        <v>0.6</v>
      </c>
      <c r="K955">
        <v>21</v>
      </c>
      <c r="L955">
        <v>31</v>
      </c>
      <c r="M955">
        <v>102</v>
      </c>
      <c r="N955" s="10">
        <v>495.44</v>
      </c>
      <c r="O955" s="7">
        <v>0</v>
      </c>
      <c r="P955" s="7">
        <v>29.6</v>
      </c>
      <c r="Q955">
        <v>1</v>
      </c>
      <c r="R955" t="s">
        <v>63</v>
      </c>
      <c r="S955">
        <v>11</v>
      </c>
      <c r="T955">
        <v>318</v>
      </c>
      <c r="U955" s="11">
        <v>0.7818314824680298</v>
      </c>
      <c r="V955" s="11">
        <v>0.62348980185873359</v>
      </c>
      <c r="W955" s="11">
        <v>-0.73794281030313857</v>
      </c>
      <c r="X955" s="11">
        <v>0.6748632518680403</v>
      </c>
      <c r="Y955">
        <v>0</v>
      </c>
      <c r="Z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6">
        <v>45245</v>
      </c>
      <c r="B956" t="s">
        <v>31</v>
      </c>
      <c r="C956" t="s">
        <v>32</v>
      </c>
      <c r="D956" t="s">
        <v>33</v>
      </c>
      <c r="E956" t="s">
        <v>34</v>
      </c>
      <c r="F956">
        <v>140</v>
      </c>
      <c r="G956">
        <v>360</v>
      </c>
      <c r="H956">
        <v>185</v>
      </c>
      <c r="I956">
        <v>81</v>
      </c>
      <c r="J956" s="8">
        <v>0.57857142857142863</v>
      </c>
      <c r="K956">
        <v>22</v>
      </c>
      <c r="L956">
        <v>48</v>
      </c>
      <c r="M956">
        <v>161</v>
      </c>
      <c r="N956" s="10">
        <v>412.55</v>
      </c>
      <c r="O956" s="7">
        <v>0.2</v>
      </c>
      <c r="P956" s="7">
        <v>30.6</v>
      </c>
      <c r="Q956">
        <v>2</v>
      </c>
      <c r="R956" t="s">
        <v>64</v>
      </c>
      <c r="S956">
        <v>11</v>
      </c>
      <c r="T956">
        <v>319</v>
      </c>
      <c r="U956" s="11">
        <v>0.97492791218182362</v>
      </c>
      <c r="V956" s="11">
        <v>-0.22252093395631434</v>
      </c>
      <c r="W956" s="11">
        <v>-0.72622491460415428</v>
      </c>
      <c r="X956" s="11">
        <v>0.68745717932696637</v>
      </c>
      <c r="Y956">
        <v>0</v>
      </c>
      <c r="Z956">
        <v>1</v>
      </c>
      <c r="AA956" t="s">
        <v>75</v>
      </c>
      <c r="AB956">
        <v>0</v>
      </c>
      <c r="AC956">
        <v>0</v>
      </c>
      <c r="AD956">
        <v>0</v>
      </c>
      <c r="AE956">
        <v>0</v>
      </c>
    </row>
    <row r="957" spans="1:31">
      <c r="A957" s="6">
        <v>45245</v>
      </c>
      <c r="B957" t="s">
        <v>36</v>
      </c>
      <c r="C957" t="s">
        <v>37</v>
      </c>
      <c r="D957" t="s">
        <v>38</v>
      </c>
      <c r="E957" t="s">
        <v>39</v>
      </c>
      <c r="F957">
        <v>125</v>
      </c>
      <c r="G957">
        <v>320</v>
      </c>
      <c r="H957">
        <v>176</v>
      </c>
      <c r="I957">
        <v>73</v>
      </c>
      <c r="J957" s="8">
        <v>0.58399999999999996</v>
      </c>
      <c r="K957">
        <v>32</v>
      </c>
      <c r="L957">
        <v>32</v>
      </c>
      <c r="M957">
        <v>164</v>
      </c>
      <c r="N957" s="10">
        <v>662.64</v>
      </c>
      <c r="O957" s="7">
        <v>0.2</v>
      </c>
      <c r="P957" s="7">
        <v>30.6</v>
      </c>
      <c r="Q957">
        <v>2</v>
      </c>
      <c r="R957" t="s">
        <v>64</v>
      </c>
      <c r="S957">
        <v>11</v>
      </c>
      <c r="T957">
        <v>319</v>
      </c>
      <c r="U957" s="11">
        <v>0.97492791218182362</v>
      </c>
      <c r="V957" s="11">
        <v>-0.22252093395631434</v>
      </c>
      <c r="W957" s="11">
        <v>-0.72622491460415428</v>
      </c>
      <c r="X957" s="11">
        <v>0.68745717932696637</v>
      </c>
      <c r="Y957">
        <v>0</v>
      </c>
      <c r="Z957">
        <v>1</v>
      </c>
      <c r="AA957" t="s">
        <v>75</v>
      </c>
      <c r="AB957">
        <v>0</v>
      </c>
      <c r="AC957">
        <v>0</v>
      </c>
      <c r="AD957">
        <v>0</v>
      </c>
      <c r="AE957">
        <v>0</v>
      </c>
    </row>
    <row r="958" spans="1:31">
      <c r="A958" s="6">
        <v>45245</v>
      </c>
      <c r="B958" t="s">
        <v>41</v>
      </c>
      <c r="C958" t="s">
        <v>42</v>
      </c>
      <c r="D958" t="s">
        <v>43</v>
      </c>
      <c r="E958" t="s">
        <v>44</v>
      </c>
      <c r="F958">
        <v>85</v>
      </c>
      <c r="G958">
        <v>210</v>
      </c>
      <c r="H958">
        <v>133</v>
      </c>
      <c r="I958">
        <v>58</v>
      </c>
      <c r="J958" s="8">
        <v>0.68235294117647061</v>
      </c>
      <c r="K958">
        <v>26</v>
      </c>
      <c r="L958">
        <v>14</v>
      </c>
      <c r="M958">
        <v>107</v>
      </c>
      <c r="N958" s="10">
        <v>546.08000000000004</v>
      </c>
      <c r="O958" s="7">
        <v>0.2</v>
      </c>
      <c r="P958" s="7">
        <v>30.6</v>
      </c>
      <c r="Q958">
        <v>2</v>
      </c>
      <c r="R958" t="s">
        <v>64</v>
      </c>
      <c r="S958">
        <v>11</v>
      </c>
      <c r="T958">
        <v>319</v>
      </c>
      <c r="U958" s="11">
        <v>0.97492791218182362</v>
      </c>
      <c r="V958" s="11">
        <v>-0.22252093395631434</v>
      </c>
      <c r="W958" s="11">
        <v>-0.72622491460415428</v>
      </c>
      <c r="X958" s="11">
        <v>0.68745717932696637</v>
      </c>
      <c r="Y958">
        <v>0</v>
      </c>
      <c r="Z958">
        <v>1</v>
      </c>
      <c r="AA958" t="s">
        <v>75</v>
      </c>
      <c r="AB958">
        <v>0</v>
      </c>
      <c r="AC958">
        <v>0</v>
      </c>
      <c r="AD958">
        <v>0</v>
      </c>
      <c r="AE958">
        <v>0</v>
      </c>
    </row>
    <row r="959" spans="1:31">
      <c r="A959" s="6">
        <v>45246</v>
      </c>
      <c r="B959" t="s">
        <v>31</v>
      </c>
      <c r="C959" t="s">
        <v>32</v>
      </c>
      <c r="D959" t="s">
        <v>33</v>
      </c>
      <c r="E959" t="s">
        <v>34</v>
      </c>
      <c r="F959">
        <v>140</v>
      </c>
      <c r="G959">
        <v>360</v>
      </c>
      <c r="H959">
        <v>159</v>
      </c>
      <c r="I959">
        <v>71</v>
      </c>
      <c r="J959" s="8">
        <v>0.50714285714285712</v>
      </c>
      <c r="K959">
        <v>37</v>
      </c>
      <c r="L959">
        <v>31</v>
      </c>
      <c r="M959">
        <v>143</v>
      </c>
      <c r="N959" s="10">
        <v>422.64</v>
      </c>
      <c r="O959" s="7">
        <v>1.5</v>
      </c>
      <c r="P959" s="7">
        <v>30.8</v>
      </c>
      <c r="Q959">
        <v>3</v>
      </c>
      <c r="R959" t="s">
        <v>65</v>
      </c>
      <c r="S959">
        <v>11</v>
      </c>
      <c r="T959">
        <v>320</v>
      </c>
      <c r="U959" s="11">
        <v>0.43388373911755823</v>
      </c>
      <c r="V959" s="11">
        <v>-0.90096886790241903</v>
      </c>
      <c r="W959" s="11">
        <v>-0.71429211726910324</v>
      </c>
      <c r="X959" s="11">
        <v>0.69984767714640705</v>
      </c>
      <c r="Y959">
        <v>0</v>
      </c>
      <c r="Z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6">
        <v>45246</v>
      </c>
      <c r="B960" t="s">
        <v>36</v>
      </c>
      <c r="C960" t="s">
        <v>37</v>
      </c>
      <c r="D960" t="s">
        <v>38</v>
      </c>
      <c r="E960" t="s">
        <v>39</v>
      </c>
      <c r="F960">
        <v>125</v>
      </c>
      <c r="G960">
        <v>320</v>
      </c>
      <c r="H960">
        <v>165</v>
      </c>
      <c r="I960">
        <v>69</v>
      </c>
      <c r="J960" s="8">
        <v>0.55200000000000005</v>
      </c>
      <c r="K960">
        <v>45</v>
      </c>
      <c r="L960">
        <v>21</v>
      </c>
      <c r="M960">
        <v>152</v>
      </c>
      <c r="N960" s="10">
        <v>566.38</v>
      </c>
      <c r="O960" s="7">
        <v>1.5</v>
      </c>
      <c r="P960" s="7">
        <v>30.8</v>
      </c>
      <c r="Q960">
        <v>3</v>
      </c>
      <c r="R960" t="s">
        <v>65</v>
      </c>
      <c r="S960">
        <v>11</v>
      </c>
      <c r="T960">
        <v>320</v>
      </c>
      <c r="U960" s="11">
        <v>0.43388373911755823</v>
      </c>
      <c r="V960" s="11">
        <v>-0.90096886790241903</v>
      </c>
      <c r="W960" s="11">
        <v>-0.71429211726910324</v>
      </c>
      <c r="X960" s="11">
        <v>0.69984767714640705</v>
      </c>
      <c r="Y960">
        <v>0</v>
      </c>
      <c r="Z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6">
        <v>45246</v>
      </c>
      <c r="B961" t="s">
        <v>41</v>
      </c>
      <c r="C961" t="s">
        <v>42</v>
      </c>
      <c r="D961" t="s">
        <v>43</v>
      </c>
      <c r="E961" t="s">
        <v>44</v>
      </c>
      <c r="F961">
        <v>85</v>
      </c>
      <c r="G961">
        <v>210</v>
      </c>
      <c r="H961">
        <v>113</v>
      </c>
      <c r="I961">
        <v>50</v>
      </c>
      <c r="J961" s="8">
        <v>0.58823529411764708</v>
      </c>
      <c r="K961">
        <v>23</v>
      </c>
      <c r="L961">
        <v>22</v>
      </c>
      <c r="M961">
        <v>102</v>
      </c>
      <c r="N961" s="10">
        <v>512.33000000000004</v>
      </c>
      <c r="O961" s="7">
        <v>1.5</v>
      </c>
      <c r="P961" s="7">
        <v>30.8</v>
      </c>
      <c r="Q961">
        <v>3</v>
      </c>
      <c r="R961" t="s">
        <v>65</v>
      </c>
      <c r="S961">
        <v>11</v>
      </c>
      <c r="T961">
        <v>320</v>
      </c>
      <c r="U961" s="11">
        <v>0.43388373911755823</v>
      </c>
      <c r="V961" s="11">
        <v>-0.90096886790241903</v>
      </c>
      <c r="W961" s="11">
        <v>-0.71429211726910324</v>
      </c>
      <c r="X961" s="11">
        <v>0.69984767714640705</v>
      </c>
      <c r="Y961">
        <v>0</v>
      </c>
      <c r="Z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6">
        <v>45247</v>
      </c>
      <c r="B962" t="s">
        <v>31</v>
      </c>
      <c r="C962" t="s">
        <v>32</v>
      </c>
      <c r="D962" t="s">
        <v>33</v>
      </c>
      <c r="E962" t="s">
        <v>34</v>
      </c>
      <c r="F962">
        <v>140</v>
      </c>
      <c r="G962">
        <v>360</v>
      </c>
      <c r="H962">
        <v>180</v>
      </c>
      <c r="I962">
        <v>74</v>
      </c>
      <c r="J962" s="8">
        <v>0.52857142857142858</v>
      </c>
      <c r="K962">
        <v>38</v>
      </c>
      <c r="L962">
        <v>29</v>
      </c>
      <c r="M962">
        <v>167</v>
      </c>
      <c r="N962" s="10">
        <v>430.58</v>
      </c>
      <c r="O962" s="7">
        <v>0.4</v>
      </c>
      <c r="P962" s="7">
        <v>29</v>
      </c>
      <c r="Q962">
        <v>4</v>
      </c>
      <c r="R962" t="s">
        <v>66</v>
      </c>
      <c r="S962">
        <v>11</v>
      </c>
      <c r="T962">
        <v>321</v>
      </c>
      <c r="U962" s="11">
        <v>-0.43388373911755801</v>
      </c>
      <c r="V962" s="11">
        <v>-0.90096886790241915</v>
      </c>
      <c r="W962" s="11">
        <v>-0.70214794940469782</v>
      </c>
      <c r="X962" s="11">
        <v>0.71203107877871308</v>
      </c>
      <c r="Y962">
        <v>0</v>
      </c>
      <c r="Z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6">
        <v>45247</v>
      </c>
      <c r="B963" t="s">
        <v>36</v>
      </c>
      <c r="C963" t="s">
        <v>37</v>
      </c>
      <c r="D963" t="s">
        <v>38</v>
      </c>
      <c r="E963" t="s">
        <v>39</v>
      </c>
      <c r="F963">
        <v>125</v>
      </c>
      <c r="G963">
        <v>320</v>
      </c>
      <c r="H963">
        <v>145</v>
      </c>
      <c r="I963">
        <v>60</v>
      </c>
      <c r="J963" s="8">
        <v>0.48</v>
      </c>
      <c r="K963">
        <v>28</v>
      </c>
      <c r="L963">
        <v>24</v>
      </c>
      <c r="M963">
        <v>121</v>
      </c>
      <c r="N963" s="10">
        <v>668.25</v>
      </c>
      <c r="O963" s="7">
        <v>0.4</v>
      </c>
      <c r="P963" s="7">
        <v>29</v>
      </c>
      <c r="Q963">
        <v>4</v>
      </c>
      <c r="R963" t="s">
        <v>66</v>
      </c>
      <c r="S963">
        <v>11</v>
      </c>
      <c r="T963">
        <v>321</v>
      </c>
      <c r="U963" s="11">
        <v>-0.43388373911755801</v>
      </c>
      <c r="V963" s="11">
        <v>-0.90096886790241915</v>
      </c>
      <c r="W963" s="11">
        <v>-0.70214794940469782</v>
      </c>
      <c r="X963" s="11">
        <v>0.71203107877871308</v>
      </c>
      <c r="Y963">
        <v>0</v>
      </c>
      <c r="Z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6">
        <v>45247</v>
      </c>
      <c r="B964" t="s">
        <v>41</v>
      </c>
      <c r="C964" t="s">
        <v>42</v>
      </c>
      <c r="D964" t="s">
        <v>43</v>
      </c>
      <c r="E964" t="s">
        <v>44</v>
      </c>
      <c r="F964">
        <v>85</v>
      </c>
      <c r="G964">
        <v>210</v>
      </c>
      <c r="H964">
        <v>100</v>
      </c>
      <c r="I964">
        <v>44</v>
      </c>
      <c r="J964" s="8">
        <v>0.51764705882352946</v>
      </c>
      <c r="K964">
        <v>21</v>
      </c>
      <c r="L964">
        <v>28</v>
      </c>
      <c r="M964">
        <v>89</v>
      </c>
      <c r="N964" s="10">
        <v>482.24</v>
      </c>
      <c r="O964" s="7">
        <v>0.4</v>
      </c>
      <c r="P964" s="7">
        <v>29</v>
      </c>
      <c r="Q964">
        <v>4</v>
      </c>
      <c r="R964" t="s">
        <v>66</v>
      </c>
      <c r="S964">
        <v>11</v>
      </c>
      <c r="T964">
        <v>321</v>
      </c>
      <c r="U964" s="11">
        <v>-0.43388373911755801</v>
      </c>
      <c r="V964" s="11">
        <v>-0.90096886790241915</v>
      </c>
      <c r="W964" s="11">
        <v>-0.70214794940469782</v>
      </c>
      <c r="X964" s="11">
        <v>0.71203107877871308</v>
      </c>
      <c r="Y964">
        <v>0</v>
      </c>
      <c r="Z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6">
        <v>45248</v>
      </c>
      <c r="B965" t="s">
        <v>31</v>
      </c>
      <c r="C965" t="s">
        <v>32</v>
      </c>
      <c r="D965" t="s">
        <v>33</v>
      </c>
      <c r="E965" t="s">
        <v>34</v>
      </c>
      <c r="F965">
        <v>140</v>
      </c>
      <c r="G965">
        <v>360</v>
      </c>
      <c r="H965">
        <v>185</v>
      </c>
      <c r="I965">
        <v>80</v>
      </c>
      <c r="J965" s="8">
        <v>0.5714285714285714</v>
      </c>
      <c r="K965">
        <v>29</v>
      </c>
      <c r="L965">
        <v>44</v>
      </c>
      <c r="M965">
        <v>166</v>
      </c>
      <c r="N965" s="10">
        <v>524.69000000000005</v>
      </c>
      <c r="O965" s="7">
        <v>1.8</v>
      </c>
      <c r="P965" s="7">
        <v>28.5</v>
      </c>
      <c r="Q965">
        <v>5</v>
      </c>
      <c r="R965" t="s">
        <v>67</v>
      </c>
      <c r="S965">
        <v>11</v>
      </c>
      <c r="T965">
        <v>322</v>
      </c>
      <c r="U965" s="11">
        <v>-0.97492791218182362</v>
      </c>
      <c r="V965" s="11">
        <v>-0.22252093395631459</v>
      </c>
      <c r="W965" s="11">
        <v>-0.68979600466558866</v>
      </c>
      <c r="X965" s="11">
        <v>0.72400377895933055</v>
      </c>
      <c r="Y965">
        <v>1</v>
      </c>
      <c r="Z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6">
        <v>45248</v>
      </c>
      <c r="B966" t="s">
        <v>36</v>
      </c>
      <c r="C966" t="s">
        <v>37</v>
      </c>
      <c r="D966" t="s">
        <v>38</v>
      </c>
      <c r="E966" t="s">
        <v>39</v>
      </c>
      <c r="F966">
        <v>125</v>
      </c>
      <c r="G966">
        <v>320</v>
      </c>
      <c r="H966">
        <v>193</v>
      </c>
      <c r="I966">
        <v>81</v>
      </c>
      <c r="J966" s="8">
        <v>0.64800000000000002</v>
      </c>
      <c r="K966">
        <v>37</v>
      </c>
      <c r="L966">
        <v>30</v>
      </c>
      <c r="M966">
        <v>175</v>
      </c>
      <c r="N966" s="10">
        <v>727.36</v>
      </c>
      <c r="O966" s="7">
        <v>1.8</v>
      </c>
      <c r="P966" s="7">
        <v>28.5</v>
      </c>
      <c r="Q966">
        <v>5</v>
      </c>
      <c r="R966" t="s">
        <v>67</v>
      </c>
      <c r="S966">
        <v>11</v>
      </c>
      <c r="T966">
        <v>322</v>
      </c>
      <c r="U966" s="11">
        <v>-0.97492791218182362</v>
      </c>
      <c r="V966" s="11">
        <v>-0.22252093395631459</v>
      </c>
      <c r="W966" s="11">
        <v>-0.68979600466558866</v>
      </c>
      <c r="X966" s="11">
        <v>0.72400377895933055</v>
      </c>
      <c r="Y966">
        <v>1</v>
      </c>
      <c r="Z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6">
        <v>45248</v>
      </c>
      <c r="B967" t="s">
        <v>41</v>
      </c>
      <c r="C967" t="s">
        <v>42</v>
      </c>
      <c r="D967" t="s">
        <v>43</v>
      </c>
      <c r="E967" t="s">
        <v>44</v>
      </c>
      <c r="F967">
        <v>85</v>
      </c>
      <c r="G967">
        <v>210</v>
      </c>
      <c r="H967">
        <v>138</v>
      </c>
      <c r="I967">
        <v>61</v>
      </c>
      <c r="J967" s="8">
        <v>0.71764705882352942</v>
      </c>
      <c r="K967">
        <v>26</v>
      </c>
      <c r="L967">
        <v>33</v>
      </c>
      <c r="M967">
        <v>124</v>
      </c>
      <c r="N967" s="10">
        <v>559.44000000000005</v>
      </c>
      <c r="O967" s="7">
        <v>1.8</v>
      </c>
      <c r="P967" s="7">
        <v>28.5</v>
      </c>
      <c r="Q967">
        <v>5</v>
      </c>
      <c r="R967" t="s">
        <v>67</v>
      </c>
      <c r="S967">
        <v>11</v>
      </c>
      <c r="T967">
        <v>322</v>
      </c>
      <c r="U967" s="11">
        <v>-0.97492791218182362</v>
      </c>
      <c r="V967" s="11">
        <v>-0.22252093395631459</v>
      </c>
      <c r="W967" s="11">
        <v>-0.68979600466558866</v>
      </c>
      <c r="X967" s="11">
        <v>0.72400377895933055</v>
      </c>
      <c r="Y967">
        <v>1</v>
      </c>
      <c r="Z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6">
        <v>45249</v>
      </c>
      <c r="B968" t="s">
        <v>31</v>
      </c>
      <c r="C968" t="s">
        <v>32</v>
      </c>
      <c r="D968" t="s">
        <v>33</v>
      </c>
      <c r="E968" t="s">
        <v>34</v>
      </c>
      <c r="F968">
        <v>140</v>
      </c>
      <c r="G968">
        <v>360</v>
      </c>
      <c r="H968">
        <v>207</v>
      </c>
      <c r="I968">
        <v>89</v>
      </c>
      <c r="J968" s="8">
        <v>0.63571428571428568</v>
      </c>
      <c r="K968">
        <v>31</v>
      </c>
      <c r="L968">
        <v>38</v>
      </c>
      <c r="M968">
        <v>189</v>
      </c>
      <c r="N968" s="10">
        <v>494.95</v>
      </c>
      <c r="O968" s="7">
        <v>1</v>
      </c>
      <c r="P968" s="7">
        <v>28.5</v>
      </c>
      <c r="Q968">
        <v>6</v>
      </c>
      <c r="R968" t="s">
        <v>60</v>
      </c>
      <c r="S968">
        <v>11</v>
      </c>
      <c r="T968">
        <v>323</v>
      </c>
      <c r="U968" s="11">
        <v>-0.78183148246802991</v>
      </c>
      <c r="V968" s="11">
        <v>0.62348980185873337</v>
      </c>
      <c r="W968" s="11">
        <v>-0.67723993819094908</v>
      </c>
      <c r="X968" s="11">
        <v>0.73576223477365266</v>
      </c>
      <c r="Y968">
        <v>1</v>
      </c>
      <c r="Z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6">
        <v>45249</v>
      </c>
      <c r="B969" t="s">
        <v>36</v>
      </c>
      <c r="C969" t="s">
        <v>37</v>
      </c>
      <c r="D969" t="s">
        <v>38</v>
      </c>
      <c r="E969" t="s">
        <v>39</v>
      </c>
      <c r="F969">
        <v>125</v>
      </c>
      <c r="G969">
        <v>320</v>
      </c>
      <c r="H969">
        <v>187</v>
      </c>
      <c r="I969">
        <v>80</v>
      </c>
      <c r="J969" s="8">
        <v>0.64</v>
      </c>
      <c r="K969">
        <v>43</v>
      </c>
      <c r="L969">
        <v>39</v>
      </c>
      <c r="M969">
        <v>154</v>
      </c>
      <c r="N969" s="10">
        <v>761.57</v>
      </c>
      <c r="O969" s="7">
        <v>1</v>
      </c>
      <c r="P969" s="7">
        <v>28.5</v>
      </c>
      <c r="Q969">
        <v>6</v>
      </c>
      <c r="R969" t="s">
        <v>60</v>
      </c>
      <c r="S969">
        <v>11</v>
      </c>
      <c r="T969">
        <v>323</v>
      </c>
      <c r="U969" s="11">
        <v>-0.78183148246802991</v>
      </c>
      <c r="V969" s="11">
        <v>0.62348980185873337</v>
      </c>
      <c r="W969" s="11">
        <v>-0.67723993819094908</v>
      </c>
      <c r="X969" s="11">
        <v>0.73576223477365266</v>
      </c>
      <c r="Y969">
        <v>1</v>
      </c>
      <c r="Z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6">
        <v>45249</v>
      </c>
      <c r="B970" t="s">
        <v>41</v>
      </c>
      <c r="C970" t="s">
        <v>42</v>
      </c>
      <c r="D970" t="s">
        <v>43</v>
      </c>
      <c r="E970" t="s">
        <v>44</v>
      </c>
      <c r="F970">
        <v>85</v>
      </c>
      <c r="G970">
        <v>210</v>
      </c>
      <c r="H970">
        <v>140</v>
      </c>
      <c r="I970">
        <v>61</v>
      </c>
      <c r="J970" s="8">
        <v>0.71764705882352942</v>
      </c>
      <c r="K970">
        <v>31</v>
      </c>
      <c r="L970">
        <v>22</v>
      </c>
      <c r="M970">
        <v>115</v>
      </c>
      <c r="N970" s="10">
        <v>585.72</v>
      </c>
      <c r="O970" s="7">
        <v>1</v>
      </c>
      <c r="P970" s="7">
        <v>28.5</v>
      </c>
      <c r="Q970">
        <v>6</v>
      </c>
      <c r="R970" t="s">
        <v>60</v>
      </c>
      <c r="S970">
        <v>11</v>
      </c>
      <c r="T970">
        <v>323</v>
      </c>
      <c r="U970" s="11">
        <v>-0.78183148246802991</v>
      </c>
      <c r="V970" s="11">
        <v>0.62348980185873337</v>
      </c>
      <c r="W970" s="11">
        <v>-0.67723993819094908</v>
      </c>
      <c r="X970" s="11">
        <v>0.73576223477365266</v>
      </c>
      <c r="Y970">
        <v>1</v>
      </c>
      <c r="Z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6">
        <v>45250</v>
      </c>
      <c r="B971" t="s">
        <v>31</v>
      </c>
      <c r="C971" t="s">
        <v>32</v>
      </c>
      <c r="D971" t="s">
        <v>33</v>
      </c>
      <c r="E971" t="s">
        <v>34</v>
      </c>
      <c r="F971">
        <v>140</v>
      </c>
      <c r="G971">
        <v>360</v>
      </c>
      <c r="H971">
        <v>179</v>
      </c>
      <c r="I971">
        <v>77</v>
      </c>
      <c r="J971" s="8">
        <v>0.55000000000000004</v>
      </c>
      <c r="K971">
        <v>25</v>
      </c>
      <c r="L971">
        <v>43</v>
      </c>
      <c r="M971">
        <v>144</v>
      </c>
      <c r="N971" s="10">
        <v>393.1</v>
      </c>
      <c r="O971" s="7">
        <v>0</v>
      </c>
      <c r="P971" s="7">
        <v>29.5</v>
      </c>
      <c r="Q971">
        <v>0</v>
      </c>
      <c r="R971" t="s">
        <v>62</v>
      </c>
      <c r="S971">
        <v>11</v>
      </c>
      <c r="T971">
        <v>324</v>
      </c>
      <c r="U971" s="11">
        <v>0</v>
      </c>
      <c r="V971" s="11">
        <v>1</v>
      </c>
      <c r="W971" s="11">
        <v>-0.6644834655228552</v>
      </c>
      <c r="X971" s="11">
        <v>0.74730296670542973</v>
      </c>
      <c r="Y971">
        <v>0</v>
      </c>
      <c r="Z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6">
        <v>45250</v>
      </c>
      <c r="B972" t="s">
        <v>36</v>
      </c>
      <c r="C972" t="s">
        <v>37</v>
      </c>
      <c r="D972" t="s">
        <v>38</v>
      </c>
      <c r="E972" t="s">
        <v>39</v>
      </c>
      <c r="F972">
        <v>125</v>
      </c>
      <c r="G972">
        <v>320</v>
      </c>
      <c r="H972">
        <v>149</v>
      </c>
      <c r="I972">
        <v>62</v>
      </c>
      <c r="J972" s="8">
        <v>0.496</v>
      </c>
      <c r="K972">
        <v>27</v>
      </c>
      <c r="L972">
        <v>38</v>
      </c>
      <c r="M972">
        <v>132</v>
      </c>
      <c r="N972" s="10">
        <v>643.85</v>
      </c>
      <c r="O972" s="7">
        <v>0</v>
      </c>
      <c r="P972" s="7">
        <v>29.5</v>
      </c>
      <c r="Q972">
        <v>0</v>
      </c>
      <c r="R972" t="s">
        <v>62</v>
      </c>
      <c r="S972">
        <v>11</v>
      </c>
      <c r="T972">
        <v>324</v>
      </c>
      <c r="U972" s="11">
        <v>0</v>
      </c>
      <c r="V972" s="11">
        <v>1</v>
      </c>
      <c r="W972" s="11">
        <v>-0.6644834655228552</v>
      </c>
      <c r="X972" s="11">
        <v>0.74730296670542973</v>
      </c>
      <c r="Y972">
        <v>0</v>
      </c>
      <c r="Z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6">
        <v>45250</v>
      </c>
      <c r="B973" t="s">
        <v>41</v>
      </c>
      <c r="C973" t="s">
        <v>42</v>
      </c>
      <c r="D973" t="s">
        <v>43</v>
      </c>
      <c r="E973" t="s">
        <v>44</v>
      </c>
      <c r="F973">
        <v>85</v>
      </c>
      <c r="G973">
        <v>210</v>
      </c>
      <c r="H973">
        <v>112</v>
      </c>
      <c r="I973">
        <v>49</v>
      </c>
      <c r="J973" s="8">
        <v>0.57647058823529407</v>
      </c>
      <c r="K973">
        <v>26</v>
      </c>
      <c r="L973">
        <v>15</v>
      </c>
      <c r="M973">
        <v>96</v>
      </c>
      <c r="N973" s="10">
        <v>579.98</v>
      </c>
      <c r="O973" s="7">
        <v>0</v>
      </c>
      <c r="P973" s="7">
        <v>29.5</v>
      </c>
      <c r="Q973">
        <v>0</v>
      </c>
      <c r="R973" t="s">
        <v>62</v>
      </c>
      <c r="S973">
        <v>11</v>
      </c>
      <c r="T973">
        <v>324</v>
      </c>
      <c r="U973" s="11">
        <v>0</v>
      </c>
      <c r="V973" s="11">
        <v>1</v>
      </c>
      <c r="W973" s="11">
        <v>-0.6644834655228552</v>
      </c>
      <c r="X973" s="11">
        <v>0.74730296670542973</v>
      </c>
      <c r="Y973">
        <v>0</v>
      </c>
      <c r="Z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6">
        <v>45251</v>
      </c>
      <c r="B974" t="s">
        <v>31</v>
      </c>
      <c r="C974" t="s">
        <v>32</v>
      </c>
      <c r="D974" t="s">
        <v>33</v>
      </c>
      <c r="E974" t="s">
        <v>34</v>
      </c>
      <c r="F974">
        <v>140</v>
      </c>
      <c r="G974">
        <v>360</v>
      </c>
      <c r="H974">
        <v>198</v>
      </c>
      <c r="I974">
        <v>83</v>
      </c>
      <c r="J974" s="8">
        <v>0.59285714285714286</v>
      </c>
      <c r="K974">
        <v>36</v>
      </c>
      <c r="L974">
        <v>21</v>
      </c>
      <c r="M974">
        <v>159</v>
      </c>
      <c r="N974" s="10">
        <v>413.35</v>
      </c>
      <c r="O974" s="7">
        <v>0</v>
      </c>
      <c r="P974" s="7">
        <v>28.4</v>
      </c>
      <c r="Q974">
        <v>1</v>
      </c>
      <c r="R974" t="s">
        <v>63</v>
      </c>
      <c r="S974">
        <v>11</v>
      </c>
      <c r="T974">
        <v>325</v>
      </c>
      <c r="U974" s="11">
        <v>0.7818314824680298</v>
      </c>
      <c r="V974" s="11">
        <v>0.62348980185873359</v>
      </c>
      <c r="W974" s="11">
        <v>-0.6515303615068021</v>
      </c>
      <c r="X974" s="11">
        <v>0.75862255966641001</v>
      </c>
      <c r="Y974">
        <v>0</v>
      </c>
      <c r="Z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6">
        <v>45251</v>
      </c>
      <c r="B975" t="s">
        <v>36</v>
      </c>
      <c r="C975" t="s">
        <v>37</v>
      </c>
      <c r="D975" t="s">
        <v>38</v>
      </c>
      <c r="E975" t="s">
        <v>39</v>
      </c>
      <c r="F975">
        <v>125</v>
      </c>
      <c r="G975">
        <v>320</v>
      </c>
      <c r="H975">
        <v>185</v>
      </c>
      <c r="I975">
        <v>75</v>
      </c>
      <c r="J975" s="8">
        <v>0.6</v>
      </c>
      <c r="K975">
        <v>26</v>
      </c>
      <c r="L975">
        <v>45</v>
      </c>
      <c r="M975">
        <v>156</v>
      </c>
      <c r="N975" s="10">
        <v>682.24</v>
      </c>
      <c r="O975" s="7">
        <v>0</v>
      </c>
      <c r="P975" s="7">
        <v>28.4</v>
      </c>
      <c r="Q975">
        <v>1</v>
      </c>
      <c r="R975" t="s">
        <v>63</v>
      </c>
      <c r="S975">
        <v>11</v>
      </c>
      <c r="T975">
        <v>325</v>
      </c>
      <c r="U975" s="11">
        <v>0.7818314824680298</v>
      </c>
      <c r="V975" s="11">
        <v>0.62348980185873359</v>
      </c>
      <c r="W975" s="11">
        <v>-0.6515303615068021</v>
      </c>
      <c r="X975" s="11">
        <v>0.75862255966641001</v>
      </c>
      <c r="Y975">
        <v>0</v>
      </c>
      <c r="Z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6">
        <v>45251</v>
      </c>
      <c r="B976" t="s">
        <v>41</v>
      </c>
      <c r="C976" t="s">
        <v>42</v>
      </c>
      <c r="D976" t="s">
        <v>43</v>
      </c>
      <c r="E976" t="s">
        <v>44</v>
      </c>
      <c r="F976">
        <v>85</v>
      </c>
      <c r="G976">
        <v>210</v>
      </c>
      <c r="H976">
        <v>115</v>
      </c>
      <c r="I976">
        <v>53</v>
      </c>
      <c r="J976" s="8">
        <v>0.62352941176470589</v>
      </c>
      <c r="K976">
        <v>22</v>
      </c>
      <c r="L976">
        <v>15</v>
      </c>
      <c r="M976">
        <v>97</v>
      </c>
      <c r="N976" s="10">
        <v>490.85</v>
      </c>
      <c r="O976" s="7">
        <v>0</v>
      </c>
      <c r="P976" s="7">
        <v>28.4</v>
      </c>
      <c r="Q976">
        <v>1</v>
      </c>
      <c r="R976" t="s">
        <v>63</v>
      </c>
      <c r="S976">
        <v>11</v>
      </c>
      <c r="T976">
        <v>325</v>
      </c>
      <c r="U976" s="11">
        <v>0.7818314824680298</v>
      </c>
      <c r="V976" s="11">
        <v>0.62348980185873359</v>
      </c>
      <c r="W976" s="11">
        <v>-0.6515303615068021</v>
      </c>
      <c r="X976" s="11">
        <v>0.75862255966641001</v>
      </c>
      <c r="Y976">
        <v>0</v>
      </c>
      <c r="Z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6">
        <v>45252</v>
      </c>
      <c r="B977" t="s">
        <v>31</v>
      </c>
      <c r="C977" t="s">
        <v>32</v>
      </c>
      <c r="D977" t="s">
        <v>33</v>
      </c>
      <c r="E977" t="s">
        <v>34</v>
      </c>
      <c r="F977">
        <v>140</v>
      </c>
      <c r="G977">
        <v>360</v>
      </c>
      <c r="H977">
        <v>167</v>
      </c>
      <c r="I977">
        <v>71</v>
      </c>
      <c r="J977" s="8">
        <v>0.50714285714285712</v>
      </c>
      <c r="K977">
        <v>35</v>
      </c>
      <c r="L977">
        <v>40</v>
      </c>
      <c r="M977">
        <v>136</v>
      </c>
      <c r="N977" s="10">
        <v>401.87</v>
      </c>
      <c r="O977" s="7">
        <v>0</v>
      </c>
      <c r="P977" s="7">
        <v>29.9</v>
      </c>
      <c r="Q977">
        <v>2</v>
      </c>
      <c r="R977" t="s">
        <v>64</v>
      </c>
      <c r="S977">
        <v>11</v>
      </c>
      <c r="T977">
        <v>326</v>
      </c>
      <c r="U977" s="11">
        <v>0.97492791218182362</v>
      </c>
      <c r="V977" s="11">
        <v>-0.22252093395631434</v>
      </c>
      <c r="W977" s="11">
        <v>-0.63838445917466424</v>
      </c>
      <c r="X977" s="11">
        <v>0.76971766400692099</v>
      </c>
      <c r="Y977">
        <v>0</v>
      </c>
      <c r="Z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6">
        <v>45252</v>
      </c>
      <c r="B978" t="s">
        <v>36</v>
      </c>
      <c r="C978" t="s">
        <v>37</v>
      </c>
      <c r="D978" t="s">
        <v>38</v>
      </c>
      <c r="E978" t="s">
        <v>39</v>
      </c>
      <c r="F978">
        <v>125</v>
      </c>
      <c r="G978">
        <v>320</v>
      </c>
      <c r="H978">
        <v>168</v>
      </c>
      <c r="I978">
        <v>71</v>
      </c>
      <c r="J978" s="8">
        <v>0.56799999999999995</v>
      </c>
      <c r="K978">
        <v>27</v>
      </c>
      <c r="L978">
        <v>35</v>
      </c>
      <c r="M978">
        <v>145</v>
      </c>
      <c r="N978" s="10">
        <v>679.34</v>
      </c>
      <c r="O978" s="7">
        <v>0</v>
      </c>
      <c r="P978" s="7">
        <v>29.9</v>
      </c>
      <c r="Q978">
        <v>2</v>
      </c>
      <c r="R978" t="s">
        <v>64</v>
      </c>
      <c r="S978">
        <v>11</v>
      </c>
      <c r="T978">
        <v>326</v>
      </c>
      <c r="U978" s="11">
        <v>0.97492791218182362</v>
      </c>
      <c r="V978" s="11">
        <v>-0.22252093395631434</v>
      </c>
      <c r="W978" s="11">
        <v>-0.63838445917466424</v>
      </c>
      <c r="X978" s="11">
        <v>0.76971766400692099</v>
      </c>
      <c r="Y978">
        <v>0</v>
      </c>
      <c r="Z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6">
        <v>45252</v>
      </c>
      <c r="B979" t="s">
        <v>41</v>
      </c>
      <c r="C979" t="s">
        <v>42</v>
      </c>
      <c r="D979" t="s">
        <v>43</v>
      </c>
      <c r="E979" t="s">
        <v>44</v>
      </c>
      <c r="F979">
        <v>85</v>
      </c>
      <c r="G979">
        <v>210</v>
      </c>
      <c r="H979">
        <v>125</v>
      </c>
      <c r="I979">
        <v>56</v>
      </c>
      <c r="J979" s="8">
        <v>0.6588235294117647</v>
      </c>
      <c r="K979">
        <v>31</v>
      </c>
      <c r="L979">
        <v>14</v>
      </c>
      <c r="M979">
        <v>110</v>
      </c>
      <c r="N979" s="10">
        <v>502.32</v>
      </c>
      <c r="O979" s="7">
        <v>0</v>
      </c>
      <c r="P979" s="7">
        <v>29.9</v>
      </c>
      <c r="Q979">
        <v>2</v>
      </c>
      <c r="R979" t="s">
        <v>64</v>
      </c>
      <c r="S979">
        <v>11</v>
      </c>
      <c r="T979">
        <v>326</v>
      </c>
      <c r="U979" s="11">
        <v>0.97492791218182362</v>
      </c>
      <c r="V979" s="11">
        <v>-0.22252093395631434</v>
      </c>
      <c r="W979" s="11">
        <v>-0.63838445917466424</v>
      </c>
      <c r="X979" s="11">
        <v>0.76971766400692099</v>
      </c>
      <c r="Y979">
        <v>0</v>
      </c>
      <c r="Z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6">
        <v>45253</v>
      </c>
      <c r="B980" t="s">
        <v>31</v>
      </c>
      <c r="C980" t="s">
        <v>32</v>
      </c>
      <c r="D980" t="s">
        <v>33</v>
      </c>
      <c r="E980" t="s">
        <v>34</v>
      </c>
      <c r="F980">
        <v>140</v>
      </c>
      <c r="G980">
        <v>360</v>
      </c>
      <c r="H980">
        <v>168</v>
      </c>
      <c r="I980">
        <v>75</v>
      </c>
      <c r="J980" s="8">
        <v>0.5357142857142857</v>
      </c>
      <c r="K980">
        <v>41</v>
      </c>
      <c r="L980">
        <v>45</v>
      </c>
      <c r="M980">
        <v>151</v>
      </c>
      <c r="N980" s="10">
        <v>459.04</v>
      </c>
      <c r="O980" s="7">
        <v>0</v>
      </c>
      <c r="P980" s="7">
        <v>29.2</v>
      </c>
      <c r="Q980">
        <v>3</v>
      </c>
      <c r="R980" t="s">
        <v>65</v>
      </c>
      <c r="S980">
        <v>11</v>
      </c>
      <c r="T980">
        <v>327</v>
      </c>
      <c r="U980" s="11">
        <v>0.43388373911755823</v>
      </c>
      <c r="V980" s="11">
        <v>-0.90096886790241903</v>
      </c>
      <c r="W980" s="11">
        <v>-0.62504964861043766</v>
      </c>
      <c r="X980" s="11">
        <v>0.78058499650708657</v>
      </c>
      <c r="Y980">
        <v>0</v>
      </c>
      <c r="Z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6">
        <v>45253</v>
      </c>
      <c r="B981" t="s">
        <v>36</v>
      </c>
      <c r="C981" t="s">
        <v>37</v>
      </c>
      <c r="D981" t="s">
        <v>38</v>
      </c>
      <c r="E981" t="s">
        <v>39</v>
      </c>
      <c r="F981">
        <v>125</v>
      </c>
      <c r="G981">
        <v>320</v>
      </c>
      <c r="H981">
        <v>147</v>
      </c>
      <c r="I981">
        <v>62</v>
      </c>
      <c r="J981" s="8">
        <v>0.496</v>
      </c>
      <c r="K981">
        <v>18</v>
      </c>
      <c r="L981">
        <v>34</v>
      </c>
      <c r="M981">
        <v>119</v>
      </c>
      <c r="N981" s="10">
        <v>562.91</v>
      </c>
      <c r="O981" s="7">
        <v>0</v>
      </c>
      <c r="P981" s="7">
        <v>29.2</v>
      </c>
      <c r="Q981">
        <v>3</v>
      </c>
      <c r="R981" t="s">
        <v>65</v>
      </c>
      <c r="S981">
        <v>11</v>
      </c>
      <c r="T981">
        <v>327</v>
      </c>
      <c r="U981" s="11">
        <v>0.43388373911755823</v>
      </c>
      <c r="V981" s="11">
        <v>-0.90096886790241903</v>
      </c>
      <c r="W981" s="11">
        <v>-0.62504964861043766</v>
      </c>
      <c r="X981" s="11">
        <v>0.78058499650708657</v>
      </c>
      <c r="Y981">
        <v>0</v>
      </c>
      <c r="Z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6">
        <v>45253</v>
      </c>
      <c r="B982" t="s">
        <v>41</v>
      </c>
      <c r="C982" t="s">
        <v>42</v>
      </c>
      <c r="D982" t="s">
        <v>43</v>
      </c>
      <c r="E982" t="s">
        <v>44</v>
      </c>
      <c r="F982">
        <v>85</v>
      </c>
      <c r="G982">
        <v>210</v>
      </c>
      <c r="H982">
        <v>121</v>
      </c>
      <c r="I982">
        <v>54</v>
      </c>
      <c r="J982" s="8">
        <v>0.63529411764705879</v>
      </c>
      <c r="K982">
        <v>24</v>
      </c>
      <c r="L982">
        <v>30</v>
      </c>
      <c r="M982">
        <v>111</v>
      </c>
      <c r="N982" s="10">
        <v>479.55</v>
      </c>
      <c r="O982" s="7">
        <v>0</v>
      </c>
      <c r="P982" s="7">
        <v>29.2</v>
      </c>
      <c r="Q982">
        <v>3</v>
      </c>
      <c r="R982" t="s">
        <v>65</v>
      </c>
      <c r="S982">
        <v>11</v>
      </c>
      <c r="T982">
        <v>327</v>
      </c>
      <c r="U982" s="11">
        <v>0.43388373911755823</v>
      </c>
      <c r="V982" s="11">
        <v>-0.90096886790241903</v>
      </c>
      <c r="W982" s="11">
        <v>-0.62504964861043766</v>
      </c>
      <c r="X982" s="11">
        <v>0.78058499650708657</v>
      </c>
      <c r="Y982">
        <v>0</v>
      </c>
      <c r="Z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6">
        <v>45254</v>
      </c>
      <c r="B983" t="s">
        <v>31</v>
      </c>
      <c r="C983" t="s">
        <v>32</v>
      </c>
      <c r="D983" t="s">
        <v>33</v>
      </c>
      <c r="E983" t="s">
        <v>34</v>
      </c>
      <c r="F983">
        <v>140</v>
      </c>
      <c r="G983">
        <v>360</v>
      </c>
      <c r="H983">
        <v>163</v>
      </c>
      <c r="I983">
        <v>72</v>
      </c>
      <c r="J983" s="8">
        <v>0.51428571428571423</v>
      </c>
      <c r="K983">
        <v>27</v>
      </c>
      <c r="L983">
        <v>21</v>
      </c>
      <c r="M983">
        <v>147</v>
      </c>
      <c r="N983" s="10">
        <v>396.29</v>
      </c>
      <c r="O983" s="7">
        <v>3.2</v>
      </c>
      <c r="P983" s="7">
        <v>28.4</v>
      </c>
      <c r="Q983">
        <v>4</v>
      </c>
      <c r="R983" t="s">
        <v>66</v>
      </c>
      <c r="S983">
        <v>11</v>
      </c>
      <c r="T983">
        <v>328</v>
      </c>
      <c r="U983" s="11">
        <v>-0.43388373911755801</v>
      </c>
      <c r="V983" s="11">
        <v>-0.90096886790241915</v>
      </c>
      <c r="W983" s="11">
        <v>-0.61152987579910534</v>
      </c>
      <c r="X983" s="11">
        <v>0.79122134134838074</v>
      </c>
      <c r="Y983">
        <v>0</v>
      </c>
      <c r="Z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6">
        <v>45254</v>
      </c>
      <c r="B984" t="s">
        <v>36</v>
      </c>
      <c r="C984" t="s">
        <v>37</v>
      </c>
      <c r="D984" t="s">
        <v>38</v>
      </c>
      <c r="E984" t="s">
        <v>39</v>
      </c>
      <c r="F984">
        <v>125</v>
      </c>
      <c r="G984">
        <v>320</v>
      </c>
      <c r="H984">
        <v>148</v>
      </c>
      <c r="I984">
        <v>62</v>
      </c>
      <c r="J984" s="8">
        <v>0.496</v>
      </c>
      <c r="K984">
        <v>40</v>
      </c>
      <c r="L984">
        <v>31</v>
      </c>
      <c r="M984">
        <v>136</v>
      </c>
      <c r="N984" s="10">
        <v>634.24</v>
      </c>
      <c r="O984" s="7">
        <v>3.2</v>
      </c>
      <c r="P984" s="7">
        <v>28.4</v>
      </c>
      <c r="Q984">
        <v>4</v>
      </c>
      <c r="R984" t="s">
        <v>66</v>
      </c>
      <c r="S984">
        <v>11</v>
      </c>
      <c r="T984">
        <v>328</v>
      </c>
      <c r="U984" s="11">
        <v>-0.43388373911755801</v>
      </c>
      <c r="V984" s="11">
        <v>-0.90096886790241915</v>
      </c>
      <c r="W984" s="11">
        <v>-0.61152987579910534</v>
      </c>
      <c r="X984" s="11">
        <v>0.79122134134838074</v>
      </c>
      <c r="Y984">
        <v>0</v>
      </c>
      <c r="Z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6">
        <v>45254</v>
      </c>
      <c r="B985" t="s">
        <v>41</v>
      </c>
      <c r="C985" t="s">
        <v>42</v>
      </c>
      <c r="D985" t="s">
        <v>43</v>
      </c>
      <c r="E985" t="s">
        <v>44</v>
      </c>
      <c r="F985">
        <v>85</v>
      </c>
      <c r="G985">
        <v>210</v>
      </c>
      <c r="H985">
        <v>119</v>
      </c>
      <c r="I985">
        <v>51</v>
      </c>
      <c r="J985" s="8">
        <v>0.6</v>
      </c>
      <c r="K985">
        <v>21</v>
      </c>
      <c r="L985">
        <v>17</v>
      </c>
      <c r="M985">
        <v>111</v>
      </c>
      <c r="N985" s="10">
        <v>576.94000000000005</v>
      </c>
      <c r="O985" s="7">
        <v>3.2</v>
      </c>
      <c r="P985" s="7">
        <v>28.4</v>
      </c>
      <c r="Q985">
        <v>4</v>
      </c>
      <c r="R985" t="s">
        <v>66</v>
      </c>
      <c r="S985">
        <v>11</v>
      </c>
      <c r="T985">
        <v>328</v>
      </c>
      <c r="U985" s="11">
        <v>-0.43388373911755801</v>
      </c>
      <c r="V985" s="11">
        <v>-0.90096886790241915</v>
      </c>
      <c r="W985" s="11">
        <v>-0.61152987579910534</v>
      </c>
      <c r="X985" s="11">
        <v>0.79122134134838074</v>
      </c>
      <c r="Y985">
        <v>0</v>
      </c>
      <c r="Z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6">
        <v>45255</v>
      </c>
      <c r="B986" t="s">
        <v>31</v>
      </c>
      <c r="C986" t="s">
        <v>32</v>
      </c>
      <c r="D986" t="s">
        <v>33</v>
      </c>
      <c r="E986" t="s">
        <v>34</v>
      </c>
      <c r="F986">
        <v>140</v>
      </c>
      <c r="G986">
        <v>360</v>
      </c>
      <c r="H986">
        <v>220</v>
      </c>
      <c r="I986">
        <v>95</v>
      </c>
      <c r="J986" s="8">
        <v>0.6785714285714286</v>
      </c>
      <c r="K986">
        <v>57</v>
      </c>
      <c r="L986">
        <v>32</v>
      </c>
      <c r="M986">
        <v>204</v>
      </c>
      <c r="N986" s="10">
        <v>523.25</v>
      </c>
      <c r="O986" s="7">
        <v>1.7</v>
      </c>
      <c r="P986" s="7">
        <v>29.6</v>
      </c>
      <c r="Q986">
        <v>5</v>
      </c>
      <c r="R986" t="s">
        <v>67</v>
      </c>
      <c r="S986">
        <v>11</v>
      </c>
      <c r="T986">
        <v>329</v>
      </c>
      <c r="U986" s="11">
        <v>-0.97492791218182362</v>
      </c>
      <c r="V986" s="11">
        <v>-0.22252093395631459</v>
      </c>
      <c r="W986" s="11">
        <v>-0.59782914145895516</v>
      </c>
      <c r="X986" s="11">
        <v>0.80162355106524197</v>
      </c>
      <c r="Y986">
        <v>1</v>
      </c>
      <c r="Z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6">
        <v>45255</v>
      </c>
      <c r="B987" t="s">
        <v>36</v>
      </c>
      <c r="C987" t="s">
        <v>37</v>
      </c>
      <c r="D987" t="s">
        <v>38</v>
      </c>
      <c r="E987" t="s">
        <v>39</v>
      </c>
      <c r="F987">
        <v>125</v>
      </c>
      <c r="G987">
        <v>320</v>
      </c>
      <c r="H987">
        <v>191</v>
      </c>
      <c r="I987">
        <v>80</v>
      </c>
      <c r="J987" s="8">
        <v>0.64</v>
      </c>
      <c r="K987">
        <v>50</v>
      </c>
      <c r="L987">
        <v>48</v>
      </c>
      <c r="M987">
        <v>158</v>
      </c>
      <c r="N987" s="10">
        <v>692.23</v>
      </c>
      <c r="O987" s="7">
        <v>1.7</v>
      </c>
      <c r="P987" s="7">
        <v>29.6</v>
      </c>
      <c r="Q987">
        <v>5</v>
      </c>
      <c r="R987" t="s">
        <v>67</v>
      </c>
      <c r="S987">
        <v>11</v>
      </c>
      <c r="T987">
        <v>329</v>
      </c>
      <c r="U987" s="11">
        <v>-0.97492791218182362</v>
      </c>
      <c r="V987" s="11">
        <v>-0.22252093395631459</v>
      </c>
      <c r="W987" s="11">
        <v>-0.59782914145895516</v>
      </c>
      <c r="X987" s="11">
        <v>0.80162355106524197</v>
      </c>
      <c r="Y987">
        <v>1</v>
      </c>
      <c r="Z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6">
        <v>45255</v>
      </c>
      <c r="B988" t="s">
        <v>41</v>
      </c>
      <c r="C988" t="s">
        <v>42</v>
      </c>
      <c r="D988" t="s">
        <v>43</v>
      </c>
      <c r="E988" t="s">
        <v>44</v>
      </c>
      <c r="F988">
        <v>85</v>
      </c>
      <c r="G988">
        <v>210</v>
      </c>
      <c r="H988">
        <v>135</v>
      </c>
      <c r="I988">
        <v>61</v>
      </c>
      <c r="J988" s="8">
        <v>0.71764705882352942</v>
      </c>
      <c r="K988">
        <v>21</v>
      </c>
      <c r="L988">
        <v>26</v>
      </c>
      <c r="M988">
        <v>123</v>
      </c>
      <c r="N988" s="10">
        <v>554.69000000000005</v>
      </c>
      <c r="O988" s="7">
        <v>1.7</v>
      </c>
      <c r="P988" s="7">
        <v>29.6</v>
      </c>
      <c r="Q988">
        <v>5</v>
      </c>
      <c r="R988" t="s">
        <v>67</v>
      </c>
      <c r="S988">
        <v>11</v>
      </c>
      <c r="T988">
        <v>329</v>
      </c>
      <c r="U988" s="11">
        <v>-0.97492791218182362</v>
      </c>
      <c r="V988" s="11">
        <v>-0.22252093395631459</v>
      </c>
      <c r="W988" s="11">
        <v>-0.59782914145895516</v>
      </c>
      <c r="X988" s="11">
        <v>0.80162355106524197</v>
      </c>
      <c r="Y988">
        <v>1</v>
      </c>
      <c r="Z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6">
        <v>45256</v>
      </c>
      <c r="B989" t="s">
        <v>31</v>
      </c>
      <c r="C989" t="s">
        <v>32</v>
      </c>
      <c r="D989" t="s">
        <v>33</v>
      </c>
      <c r="E989" t="s">
        <v>34</v>
      </c>
      <c r="F989">
        <v>140</v>
      </c>
      <c r="G989">
        <v>360</v>
      </c>
      <c r="H989">
        <v>201</v>
      </c>
      <c r="I989">
        <v>82</v>
      </c>
      <c r="J989" s="8">
        <v>0.58571428571428574</v>
      </c>
      <c r="K989">
        <v>42</v>
      </c>
      <c r="L989">
        <v>45</v>
      </c>
      <c r="M989">
        <v>186</v>
      </c>
      <c r="N989" s="10">
        <v>460.26</v>
      </c>
      <c r="O989" s="7">
        <v>3.9</v>
      </c>
      <c r="P989" s="7">
        <v>30</v>
      </c>
      <c r="Q989">
        <v>6</v>
      </c>
      <c r="R989" t="s">
        <v>60</v>
      </c>
      <c r="S989">
        <v>11</v>
      </c>
      <c r="T989">
        <v>330</v>
      </c>
      <c r="U989" s="11">
        <v>-0.78183148246802991</v>
      </c>
      <c r="V989" s="11">
        <v>0.62348980185873337</v>
      </c>
      <c r="W989" s="11">
        <v>-0.58395149985769979</v>
      </c>
      <c r="X989" s="11">
        <v>0.81178854747646134</v>
      </c>
      <c r="Y989">
        <v>1</v>
      </c>
      <c r="Z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6">
        <v>45256</v>
      </c>
      <c r="B990" t="s">
        <v>36</v>
      </c>
      <c r="C990" t="s">
        <v>37</v>
      </c>
      <c r="D990" t="s">
        <v>38</v>
      </c>
      <c r="E990" t="s">
        <v>39</v>
      </c>
      <c r="F990">
        <v>125</v>
      </c>
      <c r="G990">
        <v>320</v>
      </c>
      <c r="H990">
        <v>197</v>
      </c>
      <c r="I990">
        <v>81</v>
      </c>
      <c r="J990" s="8">
        <v>0.64800000000000002</v>
      </c>
      <c r="K990">
        <v>51</v>
      </c>
      <c r="L990">
        <v>47</v>
      </c>
      <c r="M990">
        <v>180</v>
      </c>
      <c r="N990" s="10">
        <v>648.59</v>
      </c>
      <c r="O990" s="7">
        <v>3.9</v>
      </c>
      <c r="P990" s="7">
        <v>30</v>
      </c>
      <c r="Q990">
        <v>6</v>
      </c>
      <c r="R990" t="s">
        <v>60</v>
      </c>
      <c r="S990">
        <v>11</v>
      </c>
      <c r="T990">
        <v>330</v>
      </c>
      <c r="U990" s="11">
        <v>-0.78183148246802991</v>
      </c>
      <c r="V990" s="11">
        <v>0.62348980185873337</v>
      </c>
      <c r="W990" s="11">
        <v>-0.58395149985769979</v>
      </c>
      <c r="X990" s="11">
        <v>0.81178854747646134</v>
      </c>
      <c r="Y990">
        <v>1</v>
      </c>
      <c r="Z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6">
        <v>45256</v>
      </c>
      <c r="B991" t="s">
        <v>41</v>
      </c>
      <c r="C991" t="s">
        <v>42</v>
      </c>
      <c r="D991" t="s">
        <v>43</v>
      </c>
      <c r="E991" t="s">
        <v>44</v>
      </c>
      <c r="F991">
        <v>85</v>
      </c>
      <c r="G991">
        <v>210</v>
      </c>
      <c r="H991">
        <v>137</v>
      </c>
      <c r="I991">
        <v>61</v>
      </c>
      <c r="J991" s="8">
        <v>0.71764705882352942</v>
      </c>
      <c r="K991">
        <v>18</v>
      </c>
      <c r="L991">
        <v>32</v>
      </c>
      <c r="M991">
        <v>125</v>
      </c>
      <c r="N991" s="10">
        <v>599.71</v>
      </c>
      <c r="O991" s="7">
        <v>3.9</v>
      </c>
      <c r="P991" s="7">
        <v>30</v>
      </c>
      <c r="Q991">
        <v>6</v>
      </c>
      <c r="R991" t="s">
        <v>60</v>
      </c>
      <c r="S991">
        <v>11</v>
      </c>
      <c r="T991">
        <v>330</v>
      </c>
      <c r="U991" s="11">
        <v>-0.78183148246802991</v>
      </c>
      <c r="V991" s="11">
        <v>0.62348980185873337</v>
      </c>
      <c r="W991" s="11">
        <v>-0.58395149985769979</v>
      </c>
      <c r="X991" s="11">
        <v>0.81178854747646134</v>
      </c>
      <c r="Y991">
        <v>1</v>
      </c>
      <c r="Z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6">
        <v>45257</v>
      </c>
      <c r="B992" t="s">
        <v>31</v>
      </c>
      <c r="C992" t="s">
        <v>32</v>
      </c>
      <c r="D992" t="s">
        <v>33</v>
      </c>
      <c r="E992" t="s">
        <v>34</v>
      </c>
      <c r="F992">
        <v>140</v>
      </c>
      <c r="G992">
        <v>360</v>
      </c>
      <c r="H992">
        <v>185</v>
      </c>
      <c r="I992">
        <v>80</v>
      </c>
      <c r="J992" s="8">
        <v>0.5714285714285714</v>
      </c>
      <c r="K992">
        <v>35</v>
      </c>
      <c r="L992">
        <v>32</v>
      </c>
      <c r="M992">
        <v>150</v>
      </c>
      <c r="N992" s="10">
        <v>440.88</v>
      </c>
      <c r="O992" s="7">
        <v>3.8</v>
      </c>
      <c r="P992" s="7">
        <v>28.4</v>
      </c>
      <c r="Q992">
        <v>0</v>
      </c>
      <c r="R992" t="s">
        <v>62</v>
      </c>
      <c r="S992">
        <v>11</v>
      </c>
      <c r="T992">
        <v>331</v>
      </c>
      <c r="U992" s="11">
        <v>0</v>
      </c>
      <c r="V992" s="11">
        <v>1</v>
      </c>
      <c r="W992" s="11">
        <v>-0.56990105761276244</v>
      </c>
      <c r="X992" s="11">
        <v>0.821713322596059</v>
      </c>
      <c r="Y992">
        <v>0</v>
      </c>
      <c r="Z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6">
        <v>45257</v>
      </c>
      <c r="B993" t="s">
        <v>36</v>
      </c>
      <c r="C993" t="s">
        <v>37</v>
      </c>
      <c r="D993" t="s">
        <v>38</v>
      </c>
      <c r="E993" t="s">
        <v>39</v>
      </c>
      <c r="F993">
        <v>125</v>
      </c>
      <c r="G993">
        <v>320</v>
      </c>
      <c r="H993">
        <v>166</v>
      </c>
      <c r="I993">
        <v>71</v>
      </c>
      <c r="J993" s="8">
        <v>0.56799999999999995</v>
      </c>
      <c r="K993">
        <v>27</v>
      </c>
      <c r="L993">
        <v>29</v>
      </c>
      <c r="M993">
        <v>134</v>
      </c>
      <c r="N993" s="10">
        <v>627.65</v>
      </c>
      <c r="O993" s="7">
        <v>3.8</v>
      </c>
      <c r="P993" s="7">
        <v>28.4</v>
      </c>
      <c r="Q993">
        <v>0</v>
      </c>
      <c r="R993" t="s">
        <v>62</v>
      </c>
      <c r="S993">
        <v>11</v>
      </c>
      <c r="T993">
        <v>331</v>
      </c>
      <c r="U993" s="11">
        <v>0</v>
      </c>
      <c r="V993" s="11">
        <v>1</v>
      </c>
      <c r="W993" s="11">
        <v>-0.56990105761276244</v>
      </c>
      <c r="X993" s="11">
        <v>0.821713322596059</v>
      </c>
      <c r="Y993">
        <v>0</v>
      </c>
      <c r="Z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6">
        <v>45257</v>
      </c>
      <c r="B994" t="s">
        <v>41</v>
      </c>
      <c r="C994" t="s">
        <v>42</v>
      </c>
      <c r="D994" t="s">
        <v>43</v>
      </c>
      <c r="E994" t="s">
        <v>44</v>
      </c>
      <c r="F994">
        <v>85</v>
      </c>
      <c r="G994">
        <v>210</v>
      </c>
      <c r="H994">
        <v>120</v>
      </c>
      <c r="I994">
        <v>53</v>
      </c>
      <c r="J994" s="8">
        <v>0.62352941176470589</v>
      </c>
      <c r="K994">
        <v>13</v>
      </c>
      <c r="L994">
        <v>17</v>
      </c>
      <c r="M994">
        <v>99</v>
      </c>
      <c r="N994" s="10">
        <v>487.65</v>
      </c>
      <c r="O994" s="7">
        <v>3.8</v>
      </c>
      <c r="P994" s="7">
        <v>28.4</v>
      </c>
      <c r="Q994">
        <v>0</v>
      </c>
      <c r="R994" t="s">
        <v>62</v>
      </c>
      <c r="S994">
        <v>11</v>
      </c>
      <c r="T994">
        <v>331</v>
      </c>
      <c r="U994" s="11">
        <v>0</v>
      </c>
      <c r="V994" s="11">
        <v>1</v>
      </c>
      <c r="W994" s="11">
        <v>-0.56990105761276244</v>
      </c>
      <c r="X994" s="11">
        <v>0.821713322596059</v>
      </c>
      <c r="Y994">
        <v>0</v>
      </c>
      <c r="Z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6">
        <v>45258</v>
      </c>
      <c r="B995" t="s">
        <v>31</v>
      </c>
      <c r="C995" t="s">
        <v>32</v>
      </c>
      <c r="D995" t="s">
        <v>33</v>
      </c>
      <c r="E995" t="s">
        <v>34</v>
      </c>
      <c r="F995">
        <v>140</v>
      </c>
      <c r="G995">
        <v>360</v>
      </c>
      <c r="H995">
        <v>198</v>
      </c>
      <c r="I995">
        <v>86</v>
      </c>
      <c r="J995" s="8">
        <v>0.61428571428571432</v>
      </c>
      <c r="K995">
        <v>52</v>
      </c>
      <c r="L995">
        <v>38</v>
      </c>
      <c r="M995">
        <v>161</v>
      </c>
      <c r="N995" s="10">
        <v>400.78</v>
      </c>
      <c r="O995" s="7">
        <v>0.2</v>
      </c>
      <c r="P995" s="7">
        <v>28.8</v>
      </c>
      <c r="Q995">
        <v>1</v>
      </c>
      <c r="R995" t="s">
        <v>63</v>
      </c>
      <c r="S995">
        <v>11</v>
      </c>
      <c r="T995">
        <v>332</v>
      </c>
      <c r="U995" s="11">
        <v>0.7818314824680298</v>
      </c>
      <c r="V995" s="11">
        <v>0.62348980185873359</v>
      </c>
      <c r="W995" s="11">
        <v>-0.55568197247604889</v>
      </c>
      <c r="X995" s="11">
        <v>0.83139493952340582</v>
      </c>
      <c r="Y995">
        <v>0</v>
      </c>
      <c r="Z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6">
        <v>45258</v>
      </c>
      <c r="B996" t="s">
        <v>36</v>
      </c>
      <c r="C996" t="s">
        <v>37</v>
      </c>
      <c r="D996" t="s">
        <v>38</v>
      </c>
      <c r="E996" t="s">
        <v>39</v>
      </c>
      <c r="F996">
        <v>125</v>
      </c>
      <c r="G996">
        <v>320</v>
      </c>
      <c r="H996">
        <v>155</v>
      </c>
      <c r="I996">
        <v>62</v>
      </c>
      <c r="J996" s="8">
        <v>0.496</v>
      </c>
      <c r="K996">
        <v>20</v>
      </c>
      <c r="L996">
        <v>30</v>
      </c>
      <c r="M996">
        <v>135</v>
      </c>
      <c r="N996" s="10">
        <v>621.35</v>
      </c>
      <c r="O996" s="7">
        <v>0.2</v>
      </c>
      <c r="P996" s="7">
        <v>28.8</v>
      </c>
      <c r="Q996">
        <v>1</v>
      </c>
      <c r="R996" t="s">
        <v>63</v>
      </c>
      <c r="S996">
        <v>11</v>
      </c>
      <c r="T996">
        <v>332</v>
      </c>
      <c r="U996" s="11">
        <v>0.7818314824680298</v>
      </c>
      <c r="V996" s="11">
        <v>0.62348980185873359</v>
      </c>
      <c r="W996" s="11">
        <v>-0.55568197247604889</v>
      </c>
      <c r="X996" s="11">
        <v>0.83139493952340582</v>
      </c>
      <c r="Y996">
        <v>0</v>
      </c>
      <c r="Z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6">
        <v>45258</v>
      </c>
      <c r="B997" t="s">
        <v>41</v>
      </c>
      <c r="C997" t="s">
        <v>42</v>
      </c>
      <c r="D997" t="s">
        <v>43</v>
      </c>
      <c r="E997" t="s">
        <v>44</v>
      </c>
      <c r="F997">
        <v>85</v>
      </c>
      <c r="G997">
        <v>210</v>
      </c>
      <c r="H997">
        <v>126</v>
      </c>
      <c r="I997">
        <v>54</v>
      </c>
      <c r="J997" s="8">
        <v>0.63529411764705879</v>
      </c>
      <c r="K997">
        <v>37</v>
      </c>
      <c r="L997">
        <v>31</v>
      </c>
      <c r="M997">
        <v>101</v>
      </c>
      <c r="N997" s="10">
        <v>513.83000000000004</v>
      </c>
      <c r="O997" s="7">
        <v>0.2</v>
      </c>
      <c r="P997" s="7">
        <v>28.8</v>
      </c>
      <c r="Q997">
        <v>1</v>
      </c>
      <c r="R997" t="s">
        <v>63</v>
      </c>
      <c r="S997">
        <v>11</v>
      </c>
      <c r="T997">
        <v>332</v>
      </c>
      <c r="U997" s="11">
        <v>0.7818314824680298</v>
      </c>
      <c r="V997" s="11">
        <v>0.62348980185873359</v>
      </c>
      <c r="W997" s="11">
        <v>-0.55568197247604889</v>
      </c>
      <c r="X997" s="11">
        <v>0.83139493952340582</v>
      </c>
      <c r="Y997">
        <v>0</v>
      </c>
      <c r="Z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6">
        <v>45259</v>
      </c>
      <c r="B998" t="s">
        <v>31</v>
      </c>
      <c r="C998" t="s">
        <v>32</v>
      </c>
      <c r="D998" t="s">
        <v>33</v>
      </c>
      <c r="E998" t="s">
        <v>34</v>
      </c>
      <c r="F998">
        <v>140</v>
      </c>
      <c r="G998">
        <v>360</v>
      </c>
      <c r="H998">
        <v>183</v>
      </c>
      <c r="I998">
        <v>79</v>
      </c>
      <c r="J998" s="8">
        <v>0.56428571428571428</v>
      </c>
      <c r="K998">
        <v>43</v>
      </c>
      <c r="L998">
        <v>33</v>
      </c>
      <c r="M998">
        <v>148</v>
      </c>
      <c r="N998" s="10">
        <v>432.52</v>
      </c>
      <c r="O998" s="7">
        <v>0</v>
      </c>
      <c r="P998" s="7">
        <v>29.4</v>
      </c>
      <c r="Q998">
        <v>2</v>
      </c>
      <c r="R998" t="s">
        <v>64</v>
      </c>
      <c r="S998">
        <v>11</v>
      </c>
      <c r="T998">
        <v>333</v>
      </c>
      <c r="U998" s="11">
        <v>0.97492791218182362</v>
      </c>
      <c r="V998" s="11">
        <v>-0.22252093395631434</v>
      </c>
      <c r="W998" s="11">
        <v>-0.54129845210361727</v>
      </c>
      <c r="X998" s="11">
        <v>0.84083053331228874</v>
      </c>
      <c r="Y998">
        <v>0</v>
      </c>
      <c r="Z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6">
        <v>45259</v>
      </c>
      <c r="B999" t="s">
        <v>36</v>
      </c>
      <c r="C999" t="s">
        <v>37</v>
      </c>
      <c r="D999" t="s">
        <v>38</v>
      </c>
      <c r="E999" t="s">
        <v>39</v>
      </c>
      <c r="F999">
        <v>125</v>
      </c>
      <c r="G999">
        <v>320</v>
      </c>
      <c r="H999">
        <v>163</v>
      </c>
      <c r="I999">
        <v>67</v>
      </c>
      <c r="J999" s="8">
        <v>0.53600000000000003</v>
      </c>
      <c r="K999">
        <v>24</v>
      </c>
      <c r="L999">
        <v>31</v>
      </c>
      <c r="M999">
        <v>140</v>
      </c>
      <c r="N999" s="10">
        <v>667.67</v>
      </c>
      <c r="O999" s="7">
        <v>0</v>
      </c>
      <c r="P999" s="7">
        <v>29.4</v>
      </c>
      <c r="Q999">
        <v>2</v>
      </c>
      <c r="R999" t="s">
        <v>64</v>
      </c>
      <c r="S999">
        <v>11</v>
      </c>
      <c r="T999">
        <v>333</v>
      </c>
      <c r="U999" s="11">
        <v>0.97492791218182362</v>
      </c>
      <c r="V999" s="11">
        <v>-0.22252093395631434</v>
      </c>
      <c r="W999" s="11">
        <v>-0.54129845210361727</v>
      </c>
      <c r="X999" s="11">
        <v>0.84083053331228874</v>
      </c>
      <c r="Y999">
        <v>0</v>
      </c>
      <c r="Z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6">
        <v>45259</v>
      </c>
      <c r="B1000" t="s">
        <v>41</v>
      </c>
      <c r="C1000" t="s">
        <v>42</v>
      </c>
      <c r="D1000" t="s">
        <v>43</v>
      </c>
      <c r="E1000" t="s">
        <v>44</v>
      </c>
      <c r="F1000">
        <v>85</v>
      </c>
      <c r="G1000">
        <v>210</v>
      </c>
      <c r="H1000">
        <v>121</v>
      </c>
      <c r="I1000">
        <v>53</v>
      </c>
      <c r="J1000" s="8">
        <v>0.62352941176470589</v>
      </c>
      <c r="K1000">
        <v>30</v>
      </c>
      <c r="L1000">
        <v>29</v>
      </c>
      <c r="M1000">
        <v>106</v>
      </c>
      <c r="N1000" s="10">
        <v>527.6</v>
      </c>
      <c r="O1000" s="7">
        <v>0</v>
      </c>
      <c r="P1000" s="7">
        <v>29.4</v>
      </c>
      <c r="Q1000">
        <v>2</v>
      </c>
      <c r="R1000" t="s">
        <v>64</v>
      </c>
      <c r="S1000">
        <v>11</v>
      </c>
      <c r="T1000">
        <v>333</v>
      </c>
      <c r="U1000" s="11">
        <v>0.97492791218182362</v>
      </c>
      <c r="V1000" s="11">
        <v>-0.22252093395631434</v>
      </c>
      <c r="W1000" s="11">
        <v>-0.54129845210361727</v>
      </c>
      <c r="X1000" s="11">
        <v>0.84083053331228874</v>
      </c>
      <c r="Y1000">
        <v>0</v>
      </c>
      <c r="Z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6">
        <v>45260</v>
      </c>
      <c r="B1001" t="s">
        <v>31</v>
      </c>
      <c r="C1001" t="s">
        <v>32</v>
      </c>
      <c r="D1001" t="s">
        <v>33</v>
      </c>
      <c r="E1001" t="s">
        <v>34</v>
      </c>
      <c r="F1001">
        <v>140</v>
      </c>
      <c r="G1001">
        <v>360</v>
      </c>
      <c r="H1001">
        <v>197</v>
      </c>
      <c r="I1001">
        <v>85</v>
      </c>
      <c r="J1001" s="8">
        <v>0.6071428571428571</v>
      </c>
      <c r="K1001">
        <v>31</v>
      </c>
      <c r="L1001">
        <v>23</v>
      </c>
      <c r="M1001">
        <v>169</v>
      </c>
      <c r="N1001" s="10">
        <v>403.9</v>
      </c>
      <c r="O1001" s="7">
        <v>0</v>
      </c>
      <c r="P1001" s="7">
        <v>29.8</v>
      </c>
      <c r="Q1001">
        <v>3</v>
      </c>
      <c r="R1001" t="s">
        <v>65</v>
      </c>
      <c r="S1001">
        <v>11</v>
      </c>
      <c r="T1001">
        <v>334</v>
      </c>
      <c r="U1001" s="11">
        <v>0.43388373911755823</v>
      </c>
      <c r="V1001" s="11">
        <v>-0.90096886790241903</v>
      </c>
      <c r="W1001" s="11">
        <v>-0.52675475281055417</v>
      </c>
      <c r="X1001" s="11">
        <v>0.85001731181870177</v>
      </c>
      <c r="Y1001">
        <v>0</v>
      </c>
      <c r="Z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6">
        <v>45260</v>
      </c>
      <c r="B1002" t="s">
        <v>36</v>
      </c>
      <c r="C1002" t="s">
        <v>37</v>
      </c>
      <c r="D1002" t="s">
        <v>38</v>
      </c>
      <c r="E1002" t="s">
        <v>39</v>
      </c>
      <c r="F1002">
        <v>125</v>
      </c>
      <c r="G1002">
        <v>320</v>
      </c>
      <c r="H1002">
        <v>169</v>
      </c>
      <c r="I1002">
        <v>72</v>
      </c>
      <c r="J1002" s="8">
        <v>0.57599999999999996</v>
      </c>
      <c r="K1002">
        <v>47</v>
      </c>
      <c r="L1002">
        <v>26</v>
      </c>
      <c r="M1002">
        <v>150</v>
      </c>
      <c r="N1002" s="10">
        <v>670.98</v>
      </c>
      <c r="O1002" s="7">
        <v>0</v>
      </c>
      <c r="P1002" s="7">
        <v>29.8</v>
      </c>
      <c r="Q1002">
        <v>3</v>
      </c>
      <c r="R1002" t="s">
        <v>65</v>
      </c>
      <c r="S1002">
        <v>11</v>
      </c>
      <c r="T1002">
        <v>334</v>
      </c>
      <c r="U1002" s="11">
        <v>0.43388373911755823</v>
      </c>
      <c r="V1002" s="11">
        <v>-0.90096886790241903</v>
      </c>
      <c r="W1002" s="11">
        <v>-0.52675475281055417</v>
      </c>
      <c r="X1002" s="11">
        <v>0.85001731181870177</v>
      </c>
      <c r="Y1002">
        <v>0</v>
      </c>
      <c r="Z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6">
        <v>45260</v>
      </c>
      <c r="B1003" t="s">
        <v>41</v>
      </c>
      <c r="C1003" t="s">
        <v>42</v>
      </c>
      <c r="D1003" t="s">
        <v>43</v>
      </c>
      <c r="E1003" t="s">
        <v>44</v>
      </c>
      <c r="F1003">
        <v>85</v>
      </c>
      <c r="G1003">
        <v>210</v>
      </c>
      <c r="H1003">
        <v>120</v>
      </c>
      <c r="I1003">
        <v>53</v>
      </c>
      <c r="J1003" s="8">
        <v>0.62352941176470589</v>
      </c>
      <c r="K1003">
        <v>33</v>
      </c>
      <c r="L1003">
        <v>15</v>
      </c>
      <c r="M1003">
        <v>111</v>
      </c>
      <c r="N1003" s="10">
        <v>572.29</v>
      </c>
      <c r="O1003" s="7">
        <v>0</v>
      </c>
      <c r="P1003" s="7">
        <v>29.8</v>
      </c>
      <c r="Q1003">
        <v>3</v>
      </c>
      <c r="R1003" t="s">
        <v>65</v>
      </c>
      <c r="S1003">
        <v>11</v>
      </c>
      <c r="T1003">
        <v>334</v>
      </c>
      <c r="U1003" s="11">
        <v>0.43388373911755823</v>
      </c>
      <c r="V1003" s="11">
        <v>-0.90096886790241903</v>
      </c>
      <c r="W1003" s="11">
        <v>-0.52675475281055417</v>
      </c>
      <c r="X1003" s="11">
        <v>0.85001731181870177</v>
      </c>
      <c r="Y1003">
        <v>0</v>
      </c>
      <c r="Z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6">
        <v>45261</v>
      </c>
      <c r="B1004" t="s">
        <v>31</v>
      </c>
      <c r="C1004" t="s">
        <v>32</v>
      </c>
      <c r="D1004" t="s">
        <v>33</v>
      </c>
      <c r="E1004" t="s">
        <v>34</v>
      </c>
      <c r="F1004">
        <v>140</v>
      </c>
      <c r="G1004">
        <v>360</v>
      </c>
      <c r="H1004">
        <v>204</v>
      </c>
      <c r="I1004">
        <v>84</v>
      </c>
      <c r="J1004" s="8">
        <v>0.6</v>
      </c>
      <c r="K1004">
        <v>59</v>
      </c>
      <c r="L1004">
        <v>42</v>
      </c>
      <c r="M1004">
        <v>165</v>
      </c>
      <c r="N1004" s="10">
        <v>444.98</v>
      </c>
      <c r="O1004" s="7">
        <v>0.1</v>
      </c>
      <c r="P1004" s="7">
        <v>29</v>
      </c>
      <c r="Q1004">
        <v>4</v>
      </c>
      <c r="R1004" t="s">
        <v>66</v>
      </c>
      <c r="S1004">
        <v>12</v>
      </c>
      <c r="T1004">
        <v>335</v>
      </c>
      <c r="U1004" s="11">
        <v>-0.43388373911755801</v>
      </c>
      <c r="V1004" s="11">
        <v>-0.90096886790241915</v>
      </c>
      <c r="W1004" s="11">
        <v>-0.51205517831146463</v>
      </c>
      <c r="X1004" s="11">
        <v>0.85895255652708447</v>
      </c>
      <c r="Y1004">
        <v>0</v>
      </c>
      <c r="Z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6">
        <v>45261</v>
      </c>
      <c r="B1005" t="s">
        <v>36</v>
      </c>
      <c r="C1005" t="s">
        <v>37</v>
      </c>
      <c r="D1005" t="s">
        <v>38</v>
      </c>
      <c r="E1005" t="s">
        <v>39</v>
      </c>
      <c r="F1005">
        <v>125</v>
      </c>
      <c r="G1005">
        <v>320</v>
      </c>
      <c r="H1005">
        <v>139</v>
      </c>
      <c r="I1005">
        <v>57</v>
      </c>
      <c r="J1005" s="8">
        <v>0.45600000000000002</v>
      </c>
      <c r="K1005">
        <v>41</v>
      </c>
      <c r="L1005">
        <v>18</v>
      </c>
      <c r="M1005">
        <v>114</v>
      </c>
      <c r="N1005" s="10">
        <v>654.57000000000005</v>
      </c>
      <c r="O1005" s="7">
        <v>0.1</v>
      </c>
      <c r="P1005" s="7">
        <v>29</v>
      </c>
      <c r="Q1005">
        <v>4</v>
      </c>
      <c r="R1005" t="s">
        <v>66</v>
      </c>
      <c r="S1005">
        <v>12</v>
      </c>
      <c r="T1005">
        <v>335</v>
      </c>
      <c r="U1005" s="11">
        <v>-0.43388373911755801</v>
      </c>
      <c r="V1005" s="11">
        <v>-0.90096886790241915</v>
      </c>
      <c r="W1005" s="11">
        <v>-0.51205517831146463</v>
      </c>
      <c r="X1005" s="11">
        <v>0.85895255652708447</v>
      </c>
      <c r="Y1005">
        <v>0</v>
      </c>
      <c r="Z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6">
        <v>45261</v>
      </c>
      <c r="B1006" t="s">
        <v>41</v>
      </c>
      <c r="C1006" t="s">
        <v>42</v>
      </c>
      <c r="D1006" t="s">
        <v>43</v>
      </c>
      <c r="E1006" t="s">
        <v>44</v>
      </c>
      <c r="F1006">
        <v>85</v>
      </c>
      <c r="G1006">
        <v>210</v>
      </c>
      <c r="H1006">
        <v>118</v>
      </c>
      <c r="I1006">
        <v>52</v>
      </c>
      <c r="J1006" s="8">
        <v>0.61176470588235299</v>
      </c>
      <c r="K1006">
        <v>30</v>
      </c>
      <c r="L1006">
        <v>25</v>
      </c>
      <c r="M1006">
        <v>106</v>
      </c>
      <c r="N1006" s="10">
        <v>520.44000000000005</v>
      </c>
      <c r="O1006" s="7">
        <v>0.1</v>
      </c>
      <c r="P1006" s="7">
        <v>29</v>
      </c>
      <c r="Q1006">
        <v>4</v>
      </c>
      <c r="R1006" t="s">
        <v>66</v>
      </c>
      <c r="S1006">
        <v>12</v>
      </c>
      <c r="T1006">
        <v>335</v>
      </c>
      <c r="U1006" s="11">
        <v>-0.43388373911755801</v>
      </c>
      <c r="V1006" s="11">
        <v>-0.90096886790241915</v>
      </c>
      <c r="W1006" s="11">
        <v>-0.51205517831146463</v>
      </c>
      <c r="X1006" s="11">
        <v>0.85895255652708447</v>
      </c>
      <c r="Y1006">
        <v>0</v>
      </c>
      <c r="Z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6">
        <v>45262</v>
      </c>
      <c r="B1007" t="s">
        <v>31</v>
      </c>
      <c r="C1007" t="s">
        <v>32</v>
      </c>
      <c r="D1007" t="s">
        <v>33</v>
      </c>
      <c r="E1007" t="s">
        <v>34</v>
      </c>
      <c r="F1007">
        <v>140</v>
      </c>
      <c r="G1007">
        <v>360</v>
      </c>
      <c r="H1007">
        <v>218</v>
      </c>
      <c r="I1007">
        <v>89</v>
      </c>
      <c r="J1007" s="8">
        <v>0.63571428571428568</v>
      </c>
      <c r="K1007">
        <v>39</v>
      </c>
      <c r="L1007">
        <v>24</v>
      </c>
      <c r="M1007">
        <v>185</v>
      </c>
      <c r="N1007" s="10">
        <v>500.33</v>
      </c>
      <c r="O1007" s="7">
        <v>1.2</v>
      </c>
      <c r="P1007" s="7">
        <v>28.8</v>
      </c>
      <c r="Q1007">
        <v>5</v>
      </c>
      <c r="R1007" t="s">
        <v>67</v>
      </c>
      <c r="S1007">
        <v>12</v>
      </c>
      <c r="T1007">
        <v>336</v>
      </c>
      <c r="U1007" s="11">
        <v>-0.97492791218182362</v>
      </c>
      <c r="V1007" s="11">
        <v>-0.22252093395631459</v>
      </c>
      <c r="W1007" s="11">
        <v>-0.49720407844693781</v>
      </c>
      <c r="X1007" s="11">
        <v>0.86763362335477257</v>
      </c>
      <c r="Y1007">
        <v>1</v>
      </c>
      <c r="Z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6">
        <v>45262</v>
      </c>
      <c r="B1008" t="s">
        <v>36</v>
      </c>
      <c r="C1008" t="s">
        <v>37</v>
      </c>
      <c r="D1008" t="s">
        <v>38</v>
      </c>
      <c r="E1008" t="s">
        <v>39</v>
      </c>
      <c r="F1008">
        <v>125</v>
      </c>
      <c r="G1008">
        <v>320</v>
      </c>
      <c r="H1008">
        <v>210</v>
      </c>
      <c r="I1008">
        <v>86</v>
      </c>
      <c r="J1008" s="8">
        <v>0.68799999999999994</v>
      </c>
      <c r="K1008">
        <v>31</v>
      </c>
      <c r="L1008">
        <v>51</v>
      </c>
      <c r="M1008">
        <v>174</v>
      </c>
      <c r="N1008" s="10">
        <v>758.62</v>
      </c>
      <c r="O1008" s="7">
        <v>1.2</v>
      </c>
      <c r="P1008" s="7">
        <v>28.8</v>
      </c>
      <c r="Q1008">
        <v>5</v>
      </c>
      <c r="R1008" t="s">
        <v>67</v>
      </c>
      <c r="S1008">
        <v>12</v>
      </c>
      <c r="T1008">
        <v>336</v>
      </c>
      <c r="U1008" s="11">
        <v>-0.97492791218182362</v>
      </c>
      <c r="V1008" s="11">
        <v>-0.22252093395631459</v>
      </c>
      <c r="W1008" s="11">
        <v>-0.49720407844693781</v>
      </c>
      <c r="X1008" s="11">
        <v>0.86763362335477257</v>
      </c>
      <c r="Y1008">
        <v>1</v>
      </c>
      <c r="Z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6">
        <v>45262</v>
      </c>
      <c r="B1009" t="s">
        <v>41</v>
      </c>
      <c r="C1009" t="s">
        <v>42</v>
      </c>
      <c r="D1009" t="s">
        <v>43</v>
      </c>
      <c r="E1009" t="s">
        <v>44</v>
      </c>
      <c r="F1009">
        <v>85</v>
      </c>
      <c r="G1009">
        <v>210</v>
      </c>
      <c r="H1009">
        <v>148</v>
      </c>
      <c r="I1009">
        <v>65</v>
      </c>
      <c r="J1009" s="8">
        <v>0.76470588235294112</v>
      </c>
      <c r="K1009">
        <v>31</v>
      </c>
      <c r="L1009">
        <v>39</v>
      </c>
      <c r="M1009">
        <v>134</v>
      </c>
      <c r="N1009" s="10">
        <v>544.66999999999996</v>
      </c>
      <c r="O1009" s="7">
        <v>1.2</v>
      </c>
      <c r="P1009" s="7">
        <v>28.8</v>
      </c>
      <c r="Q1009">
        <v>5</v>
      </c>
      <c r="R1009" t="s">
        <v>67</v>
      </c>
      <c r="S1009">
        <v>12</v>
      </c>
      <c r="T1009">
        <v>336</v>
      </c>
      <c r="U1009" s="11">
        <v>-0.97492791218182362</v>
      </c>
      <c r="V1009" s="11">
        <v>-0.22252093395631459</v>
      </c>
      <c r="W1009" s="11">
        <v>-0.49720407844693781</v>
      </c>
      <c r="X1009" s="11">
        <v>0.86763362335477257</v>
      </c>
      <c r="Y1009">
        <v>1</v>
      </c>
      <c r="Z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6">
        <v>45263</v>
      </c>
      <c r="B1010" t="s">
        <v>31</v>
      </c>
      <c r="C1010" t="s">
        <v>32</v>
      </c>
      <c r="D1010" t="s">
        <v>33</v>
      </c>
      <c r="E1010" t="s">
        <v>34</v>
      </c>
      <c r="F1010">
        <v>140</v>
      </c>
      <c r="G1010">
        <v>360</v>
      </c>
      <c r="H1010">
        <v>225</v>
      </c>
      <c r="I1010">
        <v>95</v>
      </c>
      <c r="J1010" s="8">
        <v>0.6785714285714286</v>
      </c>
      <c r="K1010">
        <v>57</v>
      </c>
      <c r="L1010">
        <v>40</v>
      </c>
      <c r="M1010">
        <v>208</v>
      </c>
      <c r="N1010" s="10">
        <v>439.14</v>
      </c>
      <c r="O1010" s="7">
        <v>0</v>
      </c>
      <c r="P1010" s="7">
        <v>29.1</v>
      </c>
      <c r="Q1010">
        <v>6</v>
      </c>
      <c r="R1010" t="s">
        <v>60</v>
      </c>
      <c r="S1010">
        <v>12</v>
      </c>
      <c r="T1010">
        <v>337</v>
      </c>
      <c r="U1010" s="11">
        <v>-0.78183148246802991</v>
      </c>
      <c r="V1010" s="11">
        <v>0.62348980185873337</v>
      </c>
      <c r="W1010" s="11">
        <v>-0.48220584789635262</v>
      </c>
      <c r="X1010" s="11">
        <v>0.87605794343442811</v>
      </c>
      <c r="Y1010">
        <v>1</v>
      </c>
      <c r="Z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6">
        <v>45263</v>
      </c>
      <c r="B1011" t="s">
        <v>36</v>
      </c>
      <c r="C1011" t="s">
        <v>37</v>
      </c>
      <c r="D1011" t="s">
        <v>38</v>
      </c>
      <c r="E1011" t="s">
        <v>39</v>
      </c>
      <c r="F1011">
        <v>125</v>
      </c>
      <c r="G1011">
        <v>320</v>
      </c>
      <c r="H1011">
        <v>185</v>
      </c>
      <c r="I1011">
        <v>79</v>
      </c>
      <c r="J1011" s="8">
        <v>0.63200000000000001</v>
      </c>
      <c r="K1011">
        <v>50</v>
      </c>
      <c r="L1011">
        <v>30</v>
      </c>
      <c r="M1011">
        <v>166</v>
      </c>
      <c r="N1011" s="10">
        <v>732.17</v>
      </c>
      <c r="O1011" s="7">
        <v>0</v>
      </c>
      <c r="P1011" s="7">
        <v>29.1</v>
      </c>
      <c r="Q1011">
        <v>6</v>
      </c>
      <c r="R1011" t="s">
        <v>60</v>
      </c>
      <c r="S1011">
        <v>12</v>
      </c>
      <c r="T1011">
        <v>337</v>
      </c>
      <c r="U1011" s="11">
        <v>-0.78183148246802991</v>
      </c>
      <c r="V1011" s="11">
        <v>0.62348980185873337</v>
      </c>
      <c r="W1011" s="11">
        <v>-0.48220584789635262</v>
      </c>
      <c r="X1011" s="11">
        <v>0.87605794343442811</v>
      </c>
      <c r="Y1011">
        <v>1</v>
      </c>
      <c r="Z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6">
        <v>45263</v>
      </c>
      <c r="B1012" t="s">
        <v>41</v>
      </c>
      <c r="C1012" t="s">
        <v>42</v>
      </c>
      <c r="D1012" t="s">
        <v>43</v>
      </c>
      <c r="E1012" t="s">
        <v>44</v>
      </c>
      <c r="F1012">
        <v>85</v>
      </c>
      <c r="G1012">
        <v>210</v>
      </c>
      <c r="H1012">
        <v>150</v>
      </c>
      <c r="I1012">
        <v>67</v>
      </c>
      <c r="J1012" s="8">
        <v>0.78823529411764703</v>
      </c>
      <c r="K1012">
        <v>16</v>
      </c>
      <c r="L1012">
        <v>35</v>
      </c>
      <c r="M1012">
        <v>122</v>
      </c>
      <c r="N1012" s="10">
        <v>544.77</v>
      </c>
      <c r="O1012" s="7">
        <v>0</v>
      </c>
      <c r="P1012" s="7">
        <v>29.1</v>
      </c>
      <c r="Q1012">
        <v>6</v>
      </c>
      <c r="R1012" t="s">
        <v>60</v>
      </c>
      <c r="S1012">
        <v>12</v>
      </c>
      <c r="T1012">
        <v>337</v>
      </c>
      <c r="U1012" s="11">
        <v>-0.78183148246802991</v>
      </c>
      <c r="V1012" s="11">
        <v>0.62348980185873337</v>
      </c>
      <c r="W1012" s="11">
        <v>-0.48220584789635262</v>
      </c>
      <c r="X1012" s="11">
        <v>0.87605794343442811</v>
      </c>
      <c r="Y1012">
        <v>1</v>
      </c>
      <c r="Z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6">
        <v>45264</v>
      </c>
      <c r="B1013" t="s">
        <v>31</v>
      </c>
      <c r="C1013" t="s">
        <v>32</v>
      </c>
      <c r="D1013" t="s">
        <v>33</v>
      </c>
      <c r="E1013" t="s">
        <v>34</v>
      </c>
      <c r="F1013">
        <v>140</v>
      </c>
      <c r="G1013">
        <v>360</v>
      </c>
      <c r="H1013">
        <v>178</v>
      </c>
      <c r="I1013">
        <v>74</v>
      </c>
      <c r="J1013" s="8">
        <v>0.52857142857142858</v>
      </c>
      <c r="K1013">
        <v>49</v>
      </c>
      <c r="L1013">
        <v>23</v>
      </c>
      <c r="M1013">
        <v>162</v>
      </c>
      <c r="N1013" s="10">
        <v>422.21</v>
      </c>
      <c r="O1013" s="7">
        <v>0</v>
      </c>
      <c r="P1013" s="7">
        <v>30.3</v>
      </c>
      <c r="Q1013">
        <v>0</v>
      </c>
      <c r="R1013" t="s">
        <v>62</v>
      </c>
      <c r="S1013">
        <v>12</v>
      </c>
      <c r="T1013">
        <v>338</v>
      </c>
      <c r="U1013" s="11">
        <v>0</v>
      </c>
      <c r="V1013" s="11">
        <v>1</v>
      </c>
      <c r="W1013" s="11">
        <v>-0.46706492487743034</v>
      </c>
      <c r="X1013" s="11">
        <v>0.8842230238742036</v>
      </c>
      <c r="Y1013">
        <v>0</v>
      </c>
      <c r="Z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6">
        <v>45264</v>
      </c>
      <c r="B1014" t="s">
        <v>36</v>
      </c>
      <c r="C1014" t="s">
        <v>37</v>
      </c>
      <c r="D1014" t="s">
        <v>38</v>
      </c>
      <c r="E1014" t="s">
        <v>39</v>
      </c>
      <c r="F1014">
        <v>125</v>
      </c>
      <c r="G1014">
        <v>320</v>
      </c>
      <c r="H1014">
        <v>184</v>
      </c>
      <c r="I1014">
        <v>76</v>
      </c>
      <c r="J1014" s="8">
        <v>0.60799999999999998</v>
      </c>
      <c r="K1014">
        <v>25</v>
      </c>
      <c r="L1014">
        <v>24</v>
      </c>
      <c r="M1014">
        <v>152</v>
      </c>
      <c r="N1014" s="10">
        <v>618.73</v>
      </c>
      <c r="O1014" s="7">
        <v>0</v>
      </c>
      <c r="P1014" s="7">
        <v>30.3</v>
      </c>
      <c r="Q1014">
        <v>0</v>
      </c>
      <c r="R1014" t="s">
        <v>62</v>
      </c>
      <c r="S1014">
        <v>12</v>
      </c>
      <c r="T1014">
        <v>338</v>
      </c>
      <c r="U1014" s="11">
        <v>0</v>
      </c>
      <c r="V1014" s="11">
        <v>1</v>
      </c>
      <c r="W1014" s="11">
        <v>-0.46706492487743034</v>
      </c>
      <c r="X1014" s="11">
        <v>0.8842230238742036</v>
      </c>
      <c r="Y1014">
        <v>0</v>
      </c>
      <c r="Z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6">
        <v>45264</v>
      </c>
      <c r="B1015" t="s">
        <v>41</v>
      </c>
      <c r="C1015" t="s">
        <v>42</v>
      </c>
      <c r="D1015" t="s">
        <v>43</v>
      </c>
      <c r="E1015" t="s">
        <v>44</v>
      </c>
      <c r="F1015">
        <v>85</v>
      </c>
      <c r="G1015">
        <v>210</v>
      </c>
      <c r="H1015">
        <v>133</v>
      </c>
      <c r="I1015">
        <v>57</v>
      </c>
      <c r="J1015" s="8">
        <v>0.6705882352941176</v>
      </c>
      <c r="K1015">
        <v>25</v>
      </c>
      <c r="L1015">
        <v>32</v>
      </c>
      <c r="M1015">
        <v>107</v>
      </c>
      <c r="N1015" s="10">
        <v>522.27</v>
      </c>
      <c r="O1015" s="7">
        <v>0</v>
      </c>
      <c r="P1015" s="7">
        <v>30.3</v>
      </c>
      <c r="Q1015">
        <v>0</v>
      </c>
      <c r="R1015" t="s">
        <v>62</v>
      </c>
      <c r="S1015">
        <v>12</v>
      </c>
      <c r="T1015">
        <v>338</v>
      </c>
      <c r="U1015" s="11">
        <v>0</v>
      </c>
      <c r="V1015" s="11">
        <v>1</v>
      </c>
      <c r="W1015" s="11">
        <v>-0.46706492487743034</v>
      </c>
      <c r="X1015" s="11">
        <v>0.8842230238742036</v>
      </c>
      <c r="Y1015">
        <v>0</v>
      </c>
      <c r="Z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6">
        <v>45265</v>
      </c>
      <c r="B1016" t="s">
        <v>31</v>
      </c>
      <c r="C1016" t="s">
        <v>32</v>
      </c>
      <c r="D1016" t="s">
        <v>33</v>
      </c>
      <c r="E1016" t="s">
        <v>34</v>
      </c>
      <c r="F1016">
        <v>140</v>
      </c>
      <c r="G1016">
        <v>360</v>
      </c>
      <c r="H1016">
        <v>198</v>
      </c>
      <c r="I1016">
        <v>83</v>
      </c>
      <c r="J1016" s="8">
        <v>0.59285714285714286</v>
      </c>
      <c r="K1016">
        <v>19</v>
      </c>
      <c r="L1016">
        <v>24</v>
      </c>
      <c r="M1016">
        <v>181</v>
      </c>
      <c r="N1016" s="10">
        <v>414.06</v>
      </c>
      <c r="O1016" s="7">
        <v>1.4</v>
      </c>
      <c r="P1016" s="7">
        <v>29</v>
      </c>
      <c r="Q1016">
        <v>1</v>
      </c>
      <c r="R1016" t="s">
        <v>63</v>
      </c>
      <c r="S1016">
        <v>12</v>
      </c>
      <c r="T1016">
        <v>339</v>
      </c>
      <c r="U1016" s="11">
        <v>0.7818314824680298</v>
      </c>
      <c r="V1016" s="11">
        <v>0.62348980185873359</v>
      </c>
      <c r="W1016" s="11">
        <v>-0.45178578983288398</v>
      </c>
      <c r="X1016" s="11">
        <v>0.89212644849543454</v>
      </c>
      <c r="Y1016">
        <v>0</v>
      </c>
      <c r="Z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6">
        <v>45265</v>
      </c>
      <c r="B1017" t="s">
        <v>36</v>
      </c>
      <c r="C1017" t="s">
        <v>37</v>
      </c>
      <c r="D1017" t="s">
        <v>38</v>
      </c>
      <c r="E1017" t="s">
        <v>39</v>
      </c>
      <c r="F1017">
        <v>125</v>
      </c>
      <c r="G1017">
        <v>320</v>
      </c>
      <c r="H1017">
        <v>152</v>
      </c>
      <c r="I1017">
        <v>65</v>
      </c>
      <c r="J1017" s="8">
        <v>0.52</v>
      </c>
      <c r="K1017">
        <v>19</v>
      </c>
      <c r="L1017">
        <v>14</v>
      </c>
      <c r="M1017">
        <v>125</v>
      </c>
      <c r="N1017" s="10">
        <v>588.41999999999996</v>
      </c>
      <c r="O1017" s="7">
        <v>1.4</v>
      </c>
      <c r="P1017" s="7">
        <v>29</v>
      </c>
      <c r="Q1017">
        <v>1</v>
      </c>
      <c r="R1017" t="s">
        <v>63</v>
      </c>
      <c r="S1017">
        <v>12</v>
      </c>
      <c r="T1017">
        <v>339</v>
      </c>
      <c r="U1017" s="11">
        <v>0.7818314824680298</v>
      </c>
      <c r="V1017" s="11">
        <v>0.62348980185873359</v>
      </c>
      <c r="W1017" s="11">
        <v>-0.45178578983288398</v>
      </c>
      <c r="X1017" s="11">
        <v>0.89212644849543454</v>
      </c>
      <c r="Y1017">
        <v>0</v>
      </c>
      <c r="Z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6">
        <v>45265</v>
      </c>
      <c r="B1018" t="s">
        <v>41</v>
      </c>
      <c r="C1018" t="s">
        <v>42</v>
      </c>
      <c r="D1018" t="s">
        <v>43</v>
      </c>
      <c r="E1018" t="s">
        <v>44</v>
      </c>
      <c r="F1018">
        <v>85</v>
      </c>
      <c r="G1018">
        <v>210</v>
      </c>
      <c r="H1018">
        <v>109</v>
      </c>
      <c r="I1018">
        <v>49</v>
      </c>
      <c r="J1018" s="8">
        <v>0.57647058823529407</v>
      </c>
      <c r="K1018">
        <v>29</v>
      </c>
      <c r="L1018">
        <v>16</v>
      </c>
      <c r="M1018">
        <v>100</v>
      </c>
      <c r="N1018" s="10">
        <v>551.85</v>
      </c>
      <c r="O1018" s="7">
        <v>1.4</v>
      </c>
      <c r="P1018" s="7">
        <v>29</v>
      </c>
      <c r="Q1018">
        <v>1</v>
      </c>
      <c r="R1018" t="s">
        <v>63</v>
      </c>
      <c r="S1018">
        <v>12</v>
      </c>
      <c r="T1018">
        <v>339</v>
      </c>
      <c r="U1018" s="11">
        <v>0.7818314824680298</v>
      </c>
      <c r="V1018" s="11">
        <v>0.62348980185873359</v>
      </c>
      <c r="W1018" s="11">
        <v>-0.45178578983288398</v>
      </c>
      <c r="X1018" s="11">
        <v>0.89212644849543454</v>
      </c>
      <c r="Y1018">
        <v>0</v>
      </c>
      <c r="Z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6">
        <v>45266</v>
      </c>
      <c r="B1019" t="s">
        <v>31</v>
      </c>
      <c r="C1019" t="s">
        <v>32</v>
      </c>
      <c r="D1019" t="s">
        <v>33</v>
      </c>
      <c r="E1019" t="s">
        <v>34</v>
      </c>
      <c r="F1019">
        <v>140</v>
      </c>
      <c r="G1019">
        <v>360</v>
      </c>
      <c r="H1019">
        <v>147</v>
      </c>
      <c r="I1019">
        <v>66</v>
      </c>
      <c r="J1019" s="8">
        <v>0.47142857142857142</v>
      </c>
      <c r="K1019">
        <v>21</v>
      </c>
      <c r="L1019">
        <v>30</v>
      </c>
      <c r="M1019">
        <v>127</v>
      </c>
      <c r="N1019" s="10">
        <v>389.02</v>
      </c>
      <c r="O1019" s="7">
        <v>0</v>
      </c>
      <c r="P1019" s="7">
        <v>27.7</v>
      </c>
      <c r="Q1019">
        <v>2</v>
      </c>
      <c r="R1019" t="s">
        <v>64</v>
      </c>
      <c r="S1019">
        <v>12</v>
      </c>
      <c r="T1019">
        <v>340</v>
      </c>
      <c r="U1019" s="11">
        <v>0.97492791218182362</v>
      </c>
      <c r="V1019" s="11">
        <v>-0.22252093395631434</v>
      </c>
      <c r="W1019" s="11">
        <v>-0.43637296410459242</v>
      </c>
      <c r="X1019" s="11">
        <v>0.89976587854762091</v>
      </c>
      <c r="Y1019">
        <v>0</v>
      </c>
      <c r="Z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6">
        <v>45266</v>
      </c>
      <c r="B1020" t="s">
        <v>36</v>
      </c>
      <c r="C1020" t="s">
        <v>37</v>
      </c>
      <c r="D1020" t="s">
        <v>38</v>
      </c>
      <c r="E1020" t="s">
        <v>39</v>
      </c>
      <c r="F1020">
        <v>125</v>
      </c>
      <c r="G1020">
        <v>320</v>
      </c>
      <c r="H1020">
        <v>166</v>
      </c>
      <c r="I1020">
        <v>69</v>
      </c>
      <c r="J1020" s="8">
        <v>0.55200000000000005</v>
      </c>
      <c r="K1020">
        <v>37</v>
      </c>
      <c r="L1020">
        <v>32</v>
      </c>
      <c r="M1020">
        <v>150</v>
      </c>
      <c r="N1020" s="10">
        <v>608.89</v>
      </c>
      <c r="O1020" s="7">
        <v>0</v>
      </c>
      <c r="P1020" s="7">
        <v>27.7</v>
      </c>
      <c r="Q1020">
        <v>2</v>
      </c>
      <c r="R1020" t="s">
        <v>64</v>
      </c>
      <c r="S1020">
        <v>12</v>
      </c>
      <c r="T1020">
        <v>340</v>
      </c>
      <c r="U1020" s="11">
        <v>0.97492791218182362</v>
      </c>
      <c r="V1020" s="11">
        <v>-0.22252093395631434</v>
      </c>
      <c r="W1020" s="11">
        <v>-0.43637296410459242</v>
      </c>
      <c r="X1020" s="11">
        <v>0.89976587854762091</v>
      </c>
      <c r="Y1020">
        <v>0</v>
      </c>
      <c r="Z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6">
        <v>45266</v>
      </c>
      <c r="B1021" t="s">
        <v>41</v>
      </c>
      <c r="C1021" t="s">
        <v>42</v>
      </c>
      <c r="D1021" t="s">
        <v>43</v>
      </c>
      <c r="E1021" t="s">
        <v>44</v>
      </c>
      <c r="F1021">
        <v>85</v>
      </c>
      <c r="G1021">
        <v>210</v>
      </c>
      <c r="H1021">
        <v>133</v>
      </c>
      <c r="I1021">
        <v>59</v>
      </c>
      <c r="J1021" s="8">
        <v>0.69411764705882351</v>
      </c>
      <c r="K1021">
        <v>29</v>
      </c>
      <c r="L1021">
        <v>37</v>
      </c>
      <c r="M1021">
        <v>107</v>
      </c>
      <c r="N1021" s="10">
        <v>559.53</v>
      </c>
      <c r="O1021" s="7">
        <v>0</v>
      </c>
      <c r="P1021" s="7">
        <v>27.7</v>
      </c>
      <c r="Q1021">
        <v>2</v>
      </c>
      <c r="R1021" t="s">
        <v>64</v>
      </c>
      <c r="S1021">
        <v>12</v>
      </c>
      <c r="T1021">
        <v>340</v>
      </c>
      <c r="U1021" s="11">
        <v>0.97492791218182362</v>
      </c>
      <c r="V1021" s="11">
        <v>-0.22252093395631434</v>
      </c>
      <c r="W1021" s="11">
        <v>-0.43637296410459242</v>
      </c>
      <c r="X1021" s="11">
        <v>0.89976587854762091</v>
      </c>
      <c r="Y1021">
        <v>0</v>
      </c>
      <c r="Z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6">
        <v>45267</v>
      </c>
      <c r="B1022" t="s">
        <v>31</v>
      </c>
      <c r="C1022" t="s">
        <v>32</v>
      </c>
      <c r="D1022" t="s">
        <v>33</v>
      </c>
      <c r="E1022" t="s">
        <v>34</v>
      </c>
      <c r="F1022">
        <v>140</v>
      </c>
      <c r="G1022">
        <v>360</v>
      </c>
      <c r="H1022">
        <v>200</v>
      </c>
      <c r="I1022">
        <v>83</v>
      </c>
      <c r="J1022" s="8">
        <v>0.59285714285714286</v>
      </c>
      <c r="K1022">
        <v>30</v>
      </c>
      <c r="L1022">
        <v>21</v>
      </c>
      <c r="M1022">
        <v>179</v>
      </c>
      <c r="N1022" s="10">
        <v>402.94</v>
      </c>
      <c r="O1022" s="7">
        <v>0</v>
      </c>
      <c r="P1022" s="7">
        <v>30.4</v>
      </c>
      <c r="Q1022">
        <v>3</v>
      </c>
      <c r="R1022" t="s">
        <v>65</v>
      </c>
      <c r="S1022">
        <v>12</v>
      </c>
      <c r="T1022">
        <v>341</v>
      </c>
      <c r="U1022" s="11">
        <v>0.43388373911755823</v>
      </c>
      <c r="V1022" s="11">
        <v>-0.90096886790241903</v>
      </c>
      <c r="W1022" s="11">
        <v>-0.42083100859565564</v>
      </c>
      <c r="X1022" s="11">
        <v>0.90713905340050438</v>
      </c>
      <c r="Y1022">
        <v>0</v>
      </c>
      <c r="Z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6">
        <v>45267</v>
      </c>
      <c r="B1023" t="s">
        <v>36</v>
      </c>
      <c r="C1023" t="s">
        <v>37</v>
      </c>
      <c r="D1023" t="s">
        <v>38</v>
      </c>
      <c r="E1023" t="s">
        <v>39</v>
      </c>
      <c r="F1023">
        <v>125</v>
      </c>
      <c r="G1023">
        <v>320</v>
      </c>
      <c r="H1023">
        <v>185</v>
      </c>
      <c r="I1023">
        <v>77</v>
      </c>
      <c r="J1023" s="8">
        <v>0.61599999999999999</v>
      </c>
      <c r="K1023">
        <v>37</v>
      </c>
      <c r="L1023">
        <v>45</v>
      </c>
      <c r="M1023">
        <v>173</v>
      </c>
      <c r="N1023" s="10">
        <v>640.19000000000005</v>
      </c>
      <c r="O1023" s="7">
        <v>0</v>
      </c>
      <c r="P1023" s="7">
        <v>30.4</v>
      </c>
      <c r="Q1023">
        <v>3</v>
      </c>
      <c r="R1023" t="s">
        <v>65</v>
      </c>
      <c r="S1023">
        <v>12</v>
      </c>
      <c r="T1023">
        <v>341</v>
      </c>
      <c r="U1023" s="11">
        <v>0.43388373911755823</v>
      </c>
      <c r="V1023" s="11">
        <v>-0.90096886790241903</v>
      </c>
      <c r="W1023" s="11">
        <v>-0.42083100859565564</v>
      </c>
      <c r="X1023" s="11">
        <v>0.90713905340050438</v>
      </c>
      <c r="Y1023">
        <v>0</v>
      </c>
      <c r="Z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6">
        <v>45267</v>
      </c>
      <c r="B1024" t="s">
        <v>41</v>
      </c>
      <c r="C1024" t="s">
        <v>42</v>
      </c>
      <c r="D1024" t="s">
        <v>43</v>
      </c>
      <c r="E1024" t="s">
        <v>44</v>
      </c>
      <c r="F1024">
        <v>85</v>
      </c>
      <c r="G1024">
        <v>210</v>
      </c>
      <c r="H1024">
        <v>129</v>
      </c>
      <c r="I1024">
        <v>58</v>
      </c>
      <c r="J1024" s="8">
        <v>0.68235294117647061</v>
      </c>
      <c r="K1024">
        <v>42</v>
      </c>
      <c r="L1024">
        <v>29</v>
      </c>
      <c r="M1024">
        <v>117</v>
      </c>
      <c r="N1024" s="10">
        <v>490.7</v>
      </c>
      <c r="O1024" s="7">
        <v>0</v>
      </c>
      <c r="P1024" s="7">
        <v>30.4</v>
      </c>
      <c r="Q1024">
        <v>3</v>
      </c>
      <c r="R1024" t="s">
        <v>65</v>
      </c>
      <c r="S1024">
        <v>12</v>
      </c>
      <c r="T1024">
        <v>341</v>
      </c>
      <c r="U1024" s="11">
        <v>0.43388373911755823</v>
      </c>
      <c r="V1024" s="11">
        <v>-0.90096886790241903</v>
      </c>
      <c r="W1024" s="11">
        <v>-0.42083100859565564</v>
      </c>
      <c r="X1024" s="11">
        <v>0.90713905340050438</v>
      </c>
      <c r="Y1024">
        <v>0</v>
      </c>
      <c r="Z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6">
        <v>45268</v>
      </c>
      <c r="B1025" t="s">
        <v>31</v>
      </c>
      <c r="C1025" t="s">
        <v>32</v>
      </c>
      <c r="D1025" t="s">
        <v>33</v>
      </c>
      <c r="E1025" t="s">
        <v>34</v>
      </c>
      <c r="F1025">
        <v>140</v>
      </c>
      <c r="G1025">
        <v>360</v>
      </c>
      <c r="H1025">
        <v>202</v>
      </c>
      <c r="I1025">
        <v>87</v>
      </c>
      <c r="J1025" s="8">
        <v>0.62142857142857144</v>
      </c>
      <c r="K1025">
        <v>50</v>
      </c>
      <c r="L1025">
        <v>41</v>
      </c>
      <c r="M1025">
        <v>170</v>
      </c>
      <c r="N1025" s="10">
        <v>389.97</v>
      </c>
      <c r="O1025" s="7">
        <v>0</v>
      </c>
      <c r="P1025" s="7">
        <v>30.7</v>
      </c>
      <c r="Q1025">
        <v>4</v>
      </c>
      <c r="R1025" t="s">
        <v>66</v>
      </c>
      <c r="S1025">
        <v>12</v>
      </c>
      <c r="T1025">
        <v>342</v>
      </c>
      <c r="U1025" s="11">
        <v>-0.43388373911755801</v>
      </c>
      <c r="V1025" s="11">
        <v>-0.90096886790241915</v>
      </c>
      <c r="W1025" s="11">
        <v>-0.40516452242075629</v>
      </c>
      <c r="X1025" s="11">
        <v>0.91424379121302235</v>
      </c>
      <c r="Y1025">
        <v>0</v>
      </c>
      <c r="Z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6">
        <v>45268</v>
      </c>
      <c r="B1026" t="s">
        <v>36</v>
      </c>
      <c r="C1026" t="s">
        <v>37</v>
      </c>
      <c r="D1026" t="s">
        <v>38</v>
      </c>
      <c r="E1026" t="s">
        <v>39</v>
      </c>
      <c r="F1026">
        <v>125</v>
      </c>
      <c r="G1026">
        <v>320</v>
      </c>
      <c r="H1026">
        <v>166</v>
      </c>
      <c r="I1026">
        <v>70</v>
      </c>
      <c r="J1026" s="8">
        <v>0.56000000000000005</v>
      </c>
      <c r="K1026">
        <v>30</v>
      </c>
      <c r="L1026">
        <v>26</v>
      </c>
      <c r="M1026">
        <v>139</v>
      </c>
      <c r="N1026" s="10">
        <v>587.11</v>
      </c>
      <c r="O1026" s="7">
        <v>0</v>
      </c>
      <c r="P1026" s="7">
        <v>30.7</v>
      </c>
      <c r="Q1026">
        <v>4</v>
      </c>
      <c r="R1026" t="s">
        <v>66</v>
      </c>
      <c r="S1026">
        <v>12</v>
      </c>
      <c r="T1026">
        <v>342</v>
      </c>
      <c r="U1026" s="11">
        <v>-0.43388373911755801</v>
      </c>
      <c r="V1026" s="11">
        <v>-0.90096886790241915</v>
      </c>
      <c r="W1026" s="11">
        <v>-0.40516452242075629</v>
      </c>
      <c r="X1026" s="11">
        <v>0.91424379121302235</v>
      </c>
      <c r="Y1026">
        <v>0</v>
      </c>
      <c r="Z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6">
        <v>45268</v>
      </c>
      <c r="B1027" t="s">
        <v>41</v>
      </c>
      <c r="C1027" t="s">
        <v>42</v>
      </c>
      <c r="D1027" t="s">
        <v>43</v>
      </c>
      <c r="E1027" t="s">
        <v>44</v>
      </c>
      <c r="F1027">
        <v>85</v>
      </c>
      <c r="G1027">
        <v>210</v>
      </c>
      <c r="H1027">
        <v>133</v>
      </c>
      <c r="I1027">
        <v>59</v>
      </c>
      <c r="J1027" s="8">
        <v>0.69411764705882351</v>
      </c>
      <c r="K1027">
        <v>15</v>
      </c>
      <c r="L1027">
        <v>25</v>
      </c>
      <c r="M1027">
        <v>109</v>
      </c>
      <c r="N1027" s="10">
        <v>551.91</v>
      </c>
      <c r="O1027" s="7">
        <v>0</v>
      </c>
      <c r="P1027" s="7">
        <v>30.7</v>
      </c>
      <c r="Q1027">
        <v>4</v>
      </c>
      <c r="R1027" t="s">
        <v>66</v>
      </c>
      <c r="S1027">
        <v>12</v>
      </c>
      <c r="T1027">
        <v>342</v>
      </c>
      <c r="U1027" s="11">
        <v>-0.43388373911755801</v>
      </c>
      <c r="V1027" s="11">
        <v>-0.90096886790241915</v>
      </c>
      <c r="W1027" s="11">
        <v>-0.40516452242075629</v>
      </c>
      <c r="X1027" s="11">
        <v>0.91424379121302235</v>
      </c>
      <c r="Y1027">
        <v>0</v>
      </c>
      <c r="Z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6">
        <v>45269</v>
      </c>
      <c r="B1028" t="s">
        <v>31</v>
      </c>
      <c r="C1028" t="s">
        <v>32</v>
      </c>
      <c r="D1028" t="s">
        <v>33</v>
      </c>
      <c r="E1028" t="s">
        <v>34</v>
      </c>
      <c r="F1028">
        <v>140</v>
      </c>
      <c r="G1028">
        <v>360</v>
      </c>
      <c r="H1028">
        <v>236</v>
      </c>
      <c r="I1028">
        <v>101</v>
      </c>
      <c r="J1028" s="8">
        <v>0.72142857142857142</v>
      </c>
      <c r="K1028">
        <v>40</v>
      </c>
      <c r="L1028">
        <v>39</v>
      </c>
      <c r="M1028">
        <v>208</v>
      </c>
      <c r="N1028" s="10">
        <v>512.07000000000005</v>
      </c>
      <c r="O1028" s="7">
        <v>1</v>
      </c>
      <c r="P1028" s="7">
        <v>30</v>
      </c>
      <c r="Q1028">
        <v>5</v>
      </c>
      <c r="R1028" t="s">
        <v>67</v>
      </c>
      <c r="S1028">
        <v>12</v>
      </c>
      <c r="T1028">
        <v>343</v>
      </c>
      <c r="U1028" s="11">
        <v>-0.97492791218182362</v>
      </c>
      <c r="V1028" s="11">
        <v>-0.22252093395631459</v>
      </c>
      <c r="W1028" s="11">
        <v>-0.38937814154520151</v>
      </c>
      <c r="X1028" s="11">
        <v>0.92107798957895259</v>
      </c>
      <c r="Y1028">
        <v>1</v>
      </c>
      <c r="Z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6">
        <v>45269</v>
      </c>
      <c r="B1029" t="s">
        <v>36</v>
      </c>
      <c r="C1029" t="s">
        <v>37</v>
      </c>
      <c r="D1029" t="s">
        <v>38</v>
      </c>
      <c r="E1029" t="s">
        <v>39</v>
      </c>
      <c r="F1029">
        <v>125</v>
      </c>
      <c r="G1029">
        <v>320</v>
      </c>
      <c r="H1029">
        <v>197</v>
      </c>
      <c r="I1029">
        <v>83</v>
      </c>
      <c r="J1029" s="8">
        <v>0.66400000000000003</v>
      </c>
      <c r="K1029">
        <v>30</v>
      </c>
      <c r="L1029">
        <v>27</v>
      </c>
      <c r="M1029">
        <v>183</v>
      </c>
      <c r="N1029" s="10">
        <v>630.66999999999996</v>
      </c>
      <c r="O1029" s="7">
        <v>1</v>
      </c>
      <c r="P1029" s="7">
        <v>30</v>
      </c>
      <c r="Q1029">
        <v>5</v>
      </c>
      <c r="R1029" t="s">
        <v>67</v>
      </c>
      <c r="S1029">
        <v>12</v>
      </c>
      <c r="T1029">
        <v>343</v>
      </c>
      <c r="U1029" s="11">
        <v>-0.97492791218182362</v>
      </c>
      <c r="V1029" s="11">
        <v>-0.22252093395631459</v>
      </c>
      <c r="W1029" s="11">
        <v>-0.38937814154520151</v>
      </c>
      <c r="X1029" s="11">
        <v>0.92107798957895259</v>
      </c>
      <c r="Y1029">
        <v>1</v>
      </c>
      <c r="Z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6">
        <v>45269</v>
      </c>
      <c r="B1030" t="s">
        <v>41</v>
      </c>
      <c r="C1030" t="s">
        <v>42</v>
      </c>
      <c r="D1030" t="s">
        <v>43</v>
      </c>
      <c r="E1030" t="s">
        <v>44</v>
      </c>
      <c r="F1030">
        <v>85</v>
      </c>
      <c r="G1030">
        <v>210</v>
      </c>
      <c r="H1030">
        <v>147</v>
      </c>
      <c r="I1030">
        <v>65</v>
      </c>
      <c r="J1030" s="8">
        <v>0.76470588235294112</v>
      </c>
      <c r="K1030">
        <v>28</v>
      </c>
      <c r="L1030">
        <v>36</v>
      </c>
      <c r="M1030">
        <v>118</v>
      </c>
      <c r="N1030" s="10">
        <v>576</v>
      </c>
      <c r="O1030" s="7">
        <v>1</v>
      </c>
      <c r="P1030" s="7">
        <v>30</v>
      </c>
      <c r="Q1030">
        <v>5</v>
      </c>
      <c r="R1030" t="s">
        <v>67</v>
      </c>
      <c r="S1030">
        <v>12</v>
      </c>
      <c r="T1030">
        <v>343</v>
      </c>
      <c r="U1030" s="11">
        <v>-0.97492791218182362</v>
      </c>
      <c r="V1030" s="11">
        <v>-0.22252093395631459</v>
      </c>
      <c r="W1030" s="11">
        <v>-0.38937814154520151</v>
      </c>
      <c r="X1030" s="11">
        <v>0.92107798957895259</v>
      </c>
      <c r="Y1030">
        <v>1</v>
      </c>
      <c r="Z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6">
        <v>45270</v>
      </c>
      <c r="B1031" t="s">
        <v>31</v>
      </c>
      <c r="C1031" t="s">
        <v>32</v>
      </c>
      <c r="D1031" t="s">
        <v>33</v>
      </c>
      <c r="E1031" t="s">
        <v>34</v>
      </c>
      <c r="F1031">
        <v>140</v>
      </c>
      <c r="G1031">
        <v>360</v>
      </c>
      <c r="H1031">
        <v>203</v>
      </c>
      <c r="I1031">
        <v>87</v>
      </c>
      <c r="J1031" s="8">
        <v>0.62142857142857144</v>
      </c>
      <c r="K1031">
        <v>40</v>
      </c>
      <c r="L1031">
        <v>33</v>
      </c>
      <c r="M1031">
        <v>177</v>
      </c>
      <c r="N1031" s="10">
        <v>504.74</v>
      </c>
      <c r="O1031" s="7">
        <v>0</v>
      </c>
      <c r="P1031" s="7">
        <v>28.4</v>
      </c>
      <c r="Q1031">
        <v>6</v>
      </c>
      <c r="R1031" t="s">
        <v>60</v>
      </c>
      <c r="S1031">
        <v>12</v>
      </c>
      <c r="T1031">
        <v>344</v>
      </c>
      <c r="U1031" s="11">
        <v>-0.78183148246802991</v>
      </c>
      <c r="V1031" s="11">
        <v>0.62348980185873337</v>
      </c>
      <c r="W1031" s="11">
        <v>-0.37347653741307074</v>
      </c>
      <c r="X1031" s="11">
        <v>0.92763962614904671</v>
      </c>
      <c r="Y1031">
        <v>1</v>
      </c>
      <c r="Z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6">
        <v>45270</v>
      </c>
      <c r="B1032" t="s">
        <v>36</v>
      </c>
      <c r="C1032" t="s">
        <v>37</v>
      </c>
      <c r="D1032" t="s">
        <v>38</v>
      </c>
      <c r="E1032" t="s">
        <v>39</v>
      </c>
      <c r="F1032">
        <v>125</v>
      </c>
      <c r="G1032">
        <v>320</v>
      </c>
      <c r="H1032">
        <v>190</v>
      </c>
      <c r="I1032">
        <v>77</v>
      </c>
      <c r="J1032" s="8">
        <v>0.61599999999999999</v>
      </c>
      <c r="K1032">
        <v>52</v>
      </c>
      <c r="L1032">
        <v>25</v>
      </c>
      <c r="M1032">
        <v>157</v>
      </c>
      <c r="N1032" s="10">
        <v>663.7</v>
      </c>
      <c r="O1032" s="7">
        <v>0</v>
      </c>
      <c r="P1032" s="7">
        <v>28.4</v>
      </c>
      <c r="Q1032">
        <v>6</v>
      </c>
      <c r="R1032" t="s">
        <v>60</v>
      </c>
      <c r="S1032">
        <v>12</v>
      </c>
      <c r="T1032">
        <v>344</v>
      </c>
      <c r="U1032" s="11">
        <v>-0.78183148246802991</v>
      </c>
      <c r="V1032" s="11">
        <v>0.62348980185873337</v>
      </c>
      <c r="W1032" s="11">
        <v>-0.37347653741307074</v>
      </c>
      <c r="X1032" s="11">
        <v>0.92763962614904671</v>
      </c>
      <c r="Y1032">
        <v>1</v>
      </c>
      <c r="Z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6">
        <v>45270</v>
      </c>
      <c r="B1033" t="s">
        <v>41</v>
      </c>
      <c r="C1033" t="s">
        <v>42</v>
      </c>
      <c r="D1033" t="s">
        <v>43</v>
      </c>
      <c r="E1033" t="s">
        <v>44</v>
      </c>
      <c r="F1033">
        <v>85</v>
      </c>
      <c r="G1033">
        <v>210</v>
      </c>
      <c r="H1033">
        <v>141</v>
      </c>
      <c r="I1033">
        <v>63</v>
      </c>
      <c r="J1033" s="8">
        <v>0.74117647058823533</v>
      </c>
      <c r="K1033">
        <v>31</v>
      </c>
      <c r="L1033">
        <v>26</v>
      </c>
      <c r="M1033">
        <v>119</v>
      </c>
      <c r="N1033" s="10">
        <v>574.69000000000005</v>
      </c>
      <c r="O1033" s="7">
        <v>0</v>
      </c>
      <c r="P1033" s="7">
        <v>28.4</v>
      </c>
      <c r="Q1033">
        <v>6</v>
      </c>
      <c r="R1033" t="s">
        <v>60</v>
      </c>
      <c r="S1033">
        <v>12</v>
      </c>
      <c r="T1033">
        <v>344</v>
      </c>
      <c r="U1033" s="11">
        <v>-0.78183148246802991</v>
      </c>
      <c r="V1033" s="11">
        <v>0.62348980185873337</v>
      </c>
      <c r="W1033" s="11">
        <v>-0.37347653741307074</v>
      </c>
      <c r="X1033" s="11">
        <v>0.92763962614904671</v>
      </c>
      <c r="Y1033">
        <v>1</v>
      </c>
      <c r="Z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6">
        <v>45271</v>
      </c>
      <c r="B1034" t="s">
        <v>31</v>
      </c>
      <c r="C1034" t="s">
        <v>32</v>
      </c>
      <c r="D1034" t="s">
        <v>33</v>
      </c>
      <c r="E1034" t="s">
        <v>34</v>
      </c>
      <c r="F1034">
        <v>140</v>
      </c>
      <c r="G1034">
        <v>360</v>
      </c>
      <c r="H1034">
        <v>205</v>
      </c>
      <c r="I1034">
        <v>86</v>
      </c>
      <c r="J1034" s="8">
        <v>0.61428571428571432</v>
      </c>
      <c r="K1034">
        <v>32</v>
      </c>
      <c r="L1034">
        <v>25</v>
      </c>
      <c r="M1034">
        <v>189</v>
      </c>
      <c r="N1034" s="10">
        <v>453.75</v>
      </c>
      <c r="O1034" s="7">
        <v>0.4</v>
      </c>
      <c r="P1034" s="7">
        <v>28.6</v>
      </c>
      <c r="Q1034">
        <v>0</v>
      </c>
      <c r="R1034" t="s">
        <v>62</v>
      </c>
      <c r="S1034">
        <v>12</v>
      </c>
      <c r="T1034">
        <v>345</v>
      </c>
      <c r="U1034" s="11">
        <v>0</v>
      </c>
      <c r="V1034" s="11">
        <v>1</v>
      </c>
      <c r="W1034" s="11">
        <v>-0.35746441556486142</v>
      </c>
      <c r="X1034" s="11">
        <v>0.93392675922947621</v>
      </c>
      <c r="Y1034">
        <v>0</v>
      </c>
      <c r="Z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6">
        <v>45271</v>
      </c>
      <c r="B1035" t="s">
        <v>36</v>
      </c>
      <c r="C1035" t="s">
        <v>37</v>
      </c>
      <c r="D1035" t="s">
        <v>38</v>
      </c>
      <c r="E1035" t="s">
        <v>39</v>
      </c>
      <c r="F1035">
        <v>125</v>
      </c>
      <c r="G1035">
        <v>320</v>
      </c>
      <c r="H1035">
        <v>165</v>
      </c>
      <c r="I1035">
        <v>71</v>
      </c>
      <c r="J1035" s="8">
        <v>0.56799999999999995</v>
      </c>
      <c r="K1035">
        <v>24</v>
      </c>
      <c r="L1035">
        <v>32</v>
      </c>
      <c r="M1035">
        <v>134</v>
      </c>
      <c r="N1035" s="10">
        <v>598.84</v>
      </c>
      <c r="O1035" s="7">
        <v>0.4</v>
      </c>
      <c r="P1035" s="7">
        <v>28.6</v>
      </c>
      <c r="Q1035">
        <v>0</v>
      </c>
      <c r="R1035" t="s">
        <v>62</v>
      </c>
      <c r="S1035">
        <v>12</v>
      </c>
      <c r="T1035">
        <v>345</v>
      </c>
      <c r="U1035" s="11">
        <v>0</v>
      </c>
      <c r="V1035" s="11">
        <v>1</v>
      </c>
      <c r="W1035" s="11">
        <v>-0.35746441556486142</v>
      </c>
      <c r="X1035" s="11">
        <v>0.93392675922947621</v>
      </c>
      <c r="Y1035">
        <v>0</v>
      </c>
      <c r="Z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6">
        <v>45271</v>
      </c>
      <c r="B1036" t="s">
        <v>41</v>
      </c>
      <c r="C1036" t="s">
        <v>42</v>
      </c>
      <c r="D1036" t="s">
        <v>43</v>
      </c>
      <c r="E1036" t="s">
        <v>44</v>
      </c>
      <c r="F1036">
        <v>85</v>
      </c>
      <c r="G1036">
        <v>210</v>
      </c>
      <c r="H1036">
        <v>128</v>
      </c>
      <c r="I1036">
        <v>57</v>
      </c>
      <c r="J1036" s="8">
        <v>0.6705882352941176</v>
      </c>
      <c r="K1036">
        <v>39</v>
      </c>
      <c r="L1036">
        <v>37</v>
      </c>
      <c r="M1036">
        <v>107</v>
      </c>
      <c r="N1036" s="10">
        <v>574.28</v>
      </c>
      <c r="O1036" s="7">
        <v>0.4</v>
      </c>
      <c r="P1036" s="7">
        <v>28.6</v>
      </c>
      <c r="Q1036">
        <v>0</v>
      </c>
      <c r="R1036" t="s">
        <v>62</v>
      </c>
      <c r="S1036">
        <v>12</v>
      </c>
      <c r="T1036">
        <v>345</v>
      </c>
      <c r="U1036" s="11">
        <v>0</v>
      </c>
      <c r="V1036" s="11">
        <v>1</v>
      </c>
      <c r="W1036" s="11">
        <v>-0.35746441556486142</v>
      </c>
      <c r="X1036" s="11">
        <v>0.93392675922947621</v>
      </c>
      <c r="Y1036">
        <v>0</v>
      </c>
      <c r="Z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6">
        <v>45272</v>
      </c>
      <c r="B1037" t="s">
        <v>31</v>
      </c>
      <c r="C1037" t="s">
        <v>32</v>
      </c>
      <c r="D1037" t="s">
        <v>33</v>
      </c>
      <c r="E1037" t="s">
        <v>34</v>
      </c>
      <c r="F1037">
        <v>140</v>
      </c>
      <c r="G1037">
        <v>360</v>
      </c>
      <c r="H1037">
        <v>212</v>
      </c>
      <c r="I1037">
        <v>88</v>
      </c>
      <c r="J1037" s="8">
        <v>0.62857142857142856</v>
      </c>
      <c r="K1037">
        <v>53</v>
      </c>
      <c r="L1037">
        <v>55</v>
      </c>
      <c r="M1037">
        <v>190</v>
      </c>
      <c r="N1037" s="10">
        <v>408.74</v>
      </c>
      <c r="O1037" s="7">
        <v>1.5</v>
      </c>
      <c r="P1037" s="7">
        <v>27.9</v>
      </c>
      <c r="Q1037">
        <v>1</v>
      </c>
      <c r="R1037" t="s">
        <v>63</v>
      </c>
      <c r="S1037">
        <v>12</v>
      </c>
      <c r="T1037">
        <v>346</v>
      </c>
      <c r="U1037" s="11">
        <v>0.7818314824680298</v>
      </c>
      <c r="V1037" s="11">
        <v>0.62348980185873359</v>
      </c>
      <c r="W1037" s="11">
        <v>-0.34134651424503615</v>
      </c>
      <c r="X1037" s="11">
        <v>0.93993752835641331</v>
      </c>
      <c r="Y1037">
        <v>0</v>
      </c>
      <c r="Z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6">
        <v>45272</v>
      </c>
      <c r="B1038" t="s">
        <v>36</v>
      </c>
      <c r="C1038" t="s">
        <v>37</v>
      </c>
      <c r="D1038" t="s">
        <v>38</v>
      </c>
      <c r="E1038" t="s">
        <v>39</v>
      </c>
      <c r="F1038">
        <v>125</v>
      </c>
      <c r="G1038">
        <v>320</v>
      </c>
      <c r="H1038">
        <v>178</v>
      </c>
      <c r="I1038">
        <v>75</v>
      </c>
      <c r="J1038" s="8">
        <v>0.6</v>
      </c>
      <c r="K1038">
        <v>34</v>
      </c>
      <c r="L1038">
        <v>24</v>
      </c>
      <c r="M1038">
        <v>165</v>
      </c>
      <c r="N1038" s="10">
        <v>605.79</v>
      </c>
      <c r="O1038" s="7">
        <v>1.5</v>
      </c>
      <c r="P1038" s="7">
        <v>27.9</v>
      </c>
      <c r="Q1038">
        <v>1</v>
      </c>
      <c r="R1038" t="s">
        <v>63</v>
      </c>
      <c r="S1038">
        <v>12</v>
      </c>
      <c r="T1038">
        <v>346</v>
      </c>
      <c r="U1038" s="11">
        <v>0.7818314824680298</v>
      </c>
      <c r="V1038" s="11">
        <v>0.62348980185873359</v>
      </c>
      <c r="W1038" s="11">
        <v>-0.34134651424503615</v>
      </c>
      <c r="X1038" s="11">
        <v>0.93993752835641331</v>
      </c>
      <c r="Y1038">
        <v>0</v>
      </c>
      <c r="Z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6">
        <v>45272</v>
      </c>
      <c r="B1039" t="s">
        <v>41</v>
      </c>
      <c r="C1039" t="s">
        <v>42</v>
      </c>
      <c r="D1039" t="s">
        <v>43</v>
      </c>
      <c r="E1039" t="s">
        <v>44</v>
      </c>
      <c r="F1039">
        <v>85</v>
      </c>
      <c r="G1039">
        <v>210</v>
      </c>
      <c r="H1039">
        <v>121</v>
      </c>
      <c r="I1039">
        <v>55</v>
      </c>
      <c r="J1039" s="8">
        <v>0.6470588235294118</v>
      </c>
      <c r="K1039">
        <v>26</v>
      </c>
      <c r="L1039">
        <v>29</v>
      </c>
      <c r="M1039">
        <v>109</v>
      </c>
      <c r="N1039" s="10">
        <v>528.54999999999995</v>
      </c>
      <c r="O1039" s="7">
        <v>1.5</v>
      </c>
      <c r="P1039" s="7">
        <v>27.9</v>
      </c>
      <c r="Q1039">
        <v>1</v>
      </c>
      <c r="R1039" t="s">
        <v>63</v>
      </c>
      <c r="S1039">
        <v>12</v>
      </c>
      <c r="T1039">
        <v>346</v>
      </c>
      <c r="U1039" s="11">
        <v>0.7818314824680298</v>
      </c>
      <c r="V1039" s="11">
        <v>0.62348980185873359</v>
      </c>
      <c r="W1039" s="11">
        <v>-0.34134651424503615</v>
      </c>
      <c r="X1039" s="11">
        <v>0.93993752835641331</v>
      </c>
      <c r="Y1039">
        <v>0</v>
      </c>
      <c r="Z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6">
        <v>45273</v>
      </c>
      <c r="B1040" t="s">
        <v>31</v>
      </c>
      <c r="C1040" t="s">
        <v>32</v>
      </c>
      <c r="D1040" t="s">
        <v>33</v>
      </c>
      <c r="E1040" t="s">
        <v>34</v>
      </c>
      <c r="F1040">
        <v>140</v>
      </c>
      <c r="G1040">
        <v>360</v>
      </c>
      <c r="H1040">
        <v>203</v>
      </c>
      <c r="I1040">
        <v>85</v>
      </c>
      <c r="J1040" s="8">
        <v>0.6071428571428571</v>
      </c>
      <c r="K1040">
        <v>55</v>
      </c>
      <c r="L1040">
        <v>24</v>
      </c>
      <c r="M1040">
        <v>179</v>
      </c>
      <c r="N1040" s="10">
        <v>395.87</v>
      </c>
      <c r="O1040" s="7">
        <v>0.5</v>
      </c>
      <c r="P1040" s="7">
        <v>30</v>
      </c>
      <c r="Q1040">
        <v>2</v>
      </c>
      <c r="R1040" t="s">
        <v>64</v>
      </c>
      <c r="S1040">
        <v>12</v>
      </c>
      <c r="T1040">
        <v>347</v>
      </c>
      <c r="U1040" s="11">
        <v>0.97492791218182362</v>
      </c>
      <c r="V1040" s="11">
        <v>-0.22252093395631434</v>
      </c>
      <c r="W1040" s="11">
        <v>-0.32512760299990928</v>
      </c>
      <c r="X1040" s="11">
        <v>0.9456701548465688</v>
      </c>
      <c r="Y1040">
        <v>0</v>
      </c>
      <c r="Z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6">
        <v>45273</v>
      </c>
      <c r="B1041" t="s">
        <v>36</v>
      </c>
      <c r="C1041" t="s">
        <v>37</v>
      </c>
      <c r="D1041" t="s">
        <v>38</v>
      </c>
      <c r="E1041" t="s">
        <v>39</v>
      </c>
      <c r="F1041">
        <v>125</v>
      </c>
      <c r="G1041">
        <v>320</v>
      </c>
      <c r="H1041">
        <v>197</v>
      </c>
      <c r="I1041">
        <v>79</v>
      </c>
      <c r="J1041" s="8">
        <v>0.63200000000000001</v>
      </c>
      <c r="K1041">
        <v>28</v>
      </c>
      <c r="L1041">
        <v>26</v>
      </c>
      <c r="M1041">
        <v>177</v>
      </c>
      <c r="N1041" s="10">
        <v>621.28</v>
      </c>
      <c r="O1041" s="7">
        <v>0.5</v>
      </c>
      <c r="P1041" s="7">
        <v>30</v>
      </c>
      <c r="Q1041">
        <v>2</v>
      </c>
      <c r="R1041" t="s">
        <v>64</v>
      </c>
      <c r="S1041">
        <v>12</v>
      </c>
      <c r="T1041">
        <v>347</v>
      </c>
      <c r="U1041" s="11">
        <v>0.97492791218182362</v>
      </c>
      <c r="V1041" s="11">
        <v>-0.22252093395631434</v>
      </c>
      <c r="W1041" s="11">
        <v>-0.32512760299990928</v>
      </c>
      <c r="X1041" s="11">
        <v>0.9456701548465688</v>
      </c>
      <c r="Y1041">
        <v>0</v>
      </c>
      <c r="Z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6">
        <v>45273</v>
      </c>
      <c r="B1042" t="s">
        <v>41</v>
      </c>
      <c r="C1042" t="s">
        <v>42</v>
      </c>
      <c r="D1042" t="s">
        <v>43</v>
      </c>
      <c r="E1042" t="s">
        <v>44</v>
      </c>
      <c r="F1042">
        <v>85</v>
      </c>
      <c r="G1042">
        <v>210</v>
      </c>
      <c r="H1042">
        <v>113</v>
      </c>
      <c r="I1042">
        <v>53</v>
      </c>
      <c r="J1042" s="8">
        <v>0.62352941176470589</v>
      </c>
      <c r="K1042">
        <v>28</v>
      </c>
      <c r="L1042">
        <v>25</v>
      </c>
      <c r="M1042">
        <v>100</v>
      </c>
      <c r="N1042" s="10">
        <v>521.22</v>
      </c>
      <c r="O1042" s="7">
        <v>0.5</v>
      </c>
      <c r="P1042" s="7">
        <v>30</v>
      </c>
      <c r="Q1042">
        <v>2</v>
      </c>
      <c r="R1042" t="s">
        <v>64</v>
      </c>
      <c r="S1042">
        <v>12</v>
      </c>
      <c r="T1042">
        <v>347</v>
      </c>
      <c r="U1042" s="11">
        <v>0.97492791218182362</v>
      </c>
      <c r="V1042" s="11">
        <v>-0.22252093395631434</v>
      </c>
      <c r="W1042" s="11">
        <v>-0.32512760299990928</v>
      </c>
      <c r="X1042" s="11">
        <v>0.9456701548465688</v>
      </c>
      <c r="Y1042">
        <v>0</v>
      </c>
      <c r="Z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6">
        <v>45274</v>
      </c>
      <c r="B1043" t="s">
        <v>31</v>
      </c>
      <c r="C1043" t="s">
        <v>32</v>
      </c>
      <c r="D1043" t="s">
        <v>33</v>
      </c>
      <c r="E1043" t="s">
        <v>34</v>
      </c>
      <c r="F1043">
        <v>140</v>
      </c>
      <c r="G1043">
        <v>360</v>
      </c>
      <c r="H1043">
        <v>204</v>
      </c>
      <c r="I1043">
        <v>86</v>
      </c>
      <c r="J1043" s="8">
        <v>0.61428571428571432</v>
      </c>
      <c r="K1043">
        <v>37</v>
      </c>
      <c r="L1043">
        <v>48</v>
      </c>
      <c r="M1043">
        <v>179</v>
      </c>
      <c r="N1043" s="10">
        <v>407.35</v>
      </c>
      <c r="O1043" s="7">
        <v>0</v>
      </c>
      <c r="P1043" s="7">
        <v>28.5</v>
      </c>
      <c r="Q1043">
        <v>3</v>
      </c>
      <c r="R1043" t="s">
        <v>65</v>
      </c>
      <c r="S1043">
        <v>12</v>
      </c>
      <c r="T1043">
        <v>348</v>
      </c>
      <c r="U1043" s="11">
        <v>0.43388373911755823</v>
      </c>
      <c r="V1043" s="11">
        <v>-0.90096886790241903</v>
      </c>
      <c r="W1043" s="11">
        <v>-0.30881248126625377</v>
      </c>
      <c r="X1043" s="11">
        <v>0.95112294232353567</v>
      </c>
      <c r="Y1043">
        <v>0</v>
      </c>
      <c r="Z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6">
        <v>45274</v>
      </c>
      <c r="B1044" t="s">
        <v>36</v>
      </c>
      <c r="C1044" t="s">
        <v>37</v>
      </c>
      <c r="D1044" t="s">
        <v>38</v>
      </c>
      <c r="E1044" t="s">
        <v>39</v>
      </c>
      <c r="F1044">
        <v>125</v>
      </c>
      <c r="G1044">
        <v>320</v>
      </c>
      <c r="H1044">
        <v>160</v>
      </c>
      <c r="I1044">
        <v>69</v>
      </c>
      <c r="J1044" s="8">
        <v>0.55200000000000005</v>
      </c>
      <c r="K1044">
        <v>20</v>
      </c>
      <c r="L1044">
        <v>27</v>
      </c>
      <c r="M1044">
        <v>149</v>
      </c>
      <c r="N1044" s="10">
        <v>584.53</v>
      </c>
      <c r="O1044" s="7">
        <v>0</v>
      </c>
      <c r="P1044" s="7">
        <v>28.5</v>
      </c>
      <c r="Q1044">
        <v>3</v>
      </c>
      <c r="R1044" t="s">
        <v>65</v>
      </c>
      <c r="S1044">
        <v>12</v>
      </c>
      <c r="T1044">
        <v>348</v>
      </c>
      <c r="U1044" s="11">
        <v>0.43388373911755823</v>
      </c>
      <c r="V1044" s="11">
        <v>-0.90096886790241903</v>
      </c>
      <c r="W1044" s="11">
        <v>-0.30881248126625377</v>
      </c>
      <c r="X1044" s="11">
        <v>0.95112294232353567</v>
      </c>
      <c r="Y1044">
        <v>0</v>
      </c>
      <c r="Z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6">
        <v>45274</v>
      </c>
      <c r="B1045" t="s">
        <v>41</v>
      </c>
      <c r="C1045" t="s">
        <v>42</v>
      </c>
      <c r="D1045" t="s">
        <v>43</v>
      </c>
      <c r="E1045" t="s">
        <v>44</v>
      </c>
      <c r="F1045">
        <v>85</v>
      </c>
      <c r="G1045">
        <v>210</v>
      </c>
      <c r="H1045">
        <v>121</v>
      </c>
      <c r="I1045">
        <v>53</v>
      </c>
      <c r="J1045" s="8">
        <v>0.62352941176470589</v>
      </c>
      <c r="K1045">
        <v>22</v>
      </c>
      <c r="L1045">
        <v>25</v>
      </c>
      <c r="M1045">
        <v>99</v>
      </c>
      <c r="N1045" s="10">
        <v>581.41</v>
      </c>
      <c r="O1045" s="7">
        <v>0</v>
      </c>
      <c r="P1045" s="7">
        <v>28.5</v>
      </c>
      <c r="Q1045">
        <v>3</v>
      </c>
      <c r="R1045" t="s">
        <v>65</v>
      </c>
      <c r="S1045">
        <v>12</v>
      </c>
      <c r="T1045">
        <v>348</v>
      </c>
      <c r="U1045" s="11">
        <v>0.43388373911755823</v>
      </c>
      <c r="V1045" s="11">
        <v>-0.90096886790241903</v>
      </c>
      <c r="W1045" s="11">
        <v>-0.30881248126625377</v>
      </c>
      <c r="X1045" s="11">
        <v>0.95112294232353567</v>
      </c>
      <c r="Y1045">
        <v>0</v>
      </c>
      <c r="Z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6">
        <v>45275</v>
      </c>
      <c r="B1046" t="s">
        <v>31</v>
      </c>
      <c r="C1046" t="s">
        <v>32</v>
      </c>
      <c r="D1046" t="s">
        <v>33</v>
      </c>
      <c r="E1046" t="s">
        <v>34</v>
      </c>
      <c r="F1046">
        <v>140</v>
      </c>
      <c r="G1046">
        <v>360</v>
      </c>
      <c r="H1046">
        <v>207</v>
      </c>
      <c r="I1046">
        <v>88</v>
      </c>
      <c r="J1046" s="8">
        <v>0.62857142857142856</v>
      </c>
      <c r="K1046">
        <v>53</v>
      </c>
      <c r="L1046">
        <v>43</v>
      </c>
      <c r="M1046">
        <v>181</v>
      </c>
      <c r="N1046" s="10">
        <v>483.32</v>
      </c>
      <c r="O1046" s="7">
        <v>3.8</v>
      </c>
      <c r="P1046" s="7">
        <v>30.4</v>
      </c>
      <c r="Q1046">
        <v>4</v>
      </c>
      <c r="R1046" t="s">
        <v>66</v>
      </c>
      <c r="S1046">
        <v>12</v>
      </c>
      <c r="T1046">
        <v>349</v>
      </c>
      <c r="U1046" s="11">
        <v>-0.43388373911755801</v>
      </c>
      <c r="V1046" s="11">
        <v>-0.90096886790241915</v>
      </c>
      <c r="W1046" s="11">
        <v>-0.29240597695107734</v>
      </c>
      <c r="X1046" s="11">
        <v>0.95629427721977189</v>
      </c>
      <c r="Y1046">
        <v>0</v>
      </c>
      <c r="Z1046">
        <v>0</v>
      </c>
      <c r="AB1046">
        <v>1</v>
      </c>
      <c r="AC1046">
        <v>0</v>
      </c>
      <c r="AD1046">
        <v>0</v>
      </c>
      <c r="AE1046">
        <v>0</v>
      </c>
    </row>
    <row r="1047" spans="1:31">
      <c r="A1047" s="6">
        <v>45275</v>
      </c>
      <c r="B1047" t="s">
        <v>36</v>
      </c>
      <c r="C1047" t="s">
        <v>37</v>
      </c>
      <c r="D1047" t="s">
        <v>38</v>
      </c>
      <c r="E1047" t="s">
        <v>39</v>
      </c>
      <c r="F1047">
        <v>125</v>
      </c>
      <c r="G1047">
        <v>320</v>
      </c>
      <c r="H1047">
        <v>212</v>
      </c>
      <c r="I1047">
        <v>89</v>
      </c>
      <c r="J1047" s="8">
        <v>0.71199999999999997</v>
      </c>
      <c r="K1047">
        <v>27</v>
      </c>
      <c r="L1047">
        <v>37</v>
      </c>
      <c r="M1047">
        <v>182</v>
      </c>
      <c r="N1047" s="10">
        <v>723.06</v>
      </c>
      <c r="O1047" s="7">
        <v>3.8</v>
      </c>
      <c r="P1047" s="7">
        <v>30.4</v>
      </c>
      <c r="Q1047">
        <v>4</v>
      </c>
      <c r="R1047" t="s">
        <v>66</v>
      </c>
      <c r="S1047">
        <v>12</v>
      </c>
      <c r="T1047">
        <v>349</v>
      </c>
      <c r="U1047" s="11">
        <v>-0.43388373911755801</v>
      </c>
      <c r="V1047" s="11">
        <v>-0.90096886790241915</v>
      </c>
      <c r="W1047" s="11">
        <v>-0.29240597695107734</v>
      </c>
      <c r="X1047" s="11">
        <v>0.95629427721977189</v>
      </c>
      <c r="Y1047">
        <v>0</v>
      </c>
      <c r="Z1047">
        <v>0</v>
      </c>
      <c r="AB1047">
        <v>1</v>
      </c>
      <c r="AC1047">
        <v>0</v>
      </c>
      <c r="AD1047">
        <v>0</v>
      </c>
      <c r="AE1047">
        <v>0</v>
      </c>
    </row>
    <row r="1048" spans="1:31">
      <c r="A1048" s="6">
        <v>45275</v>
      </c>
      <c r="B1048" t="s">
        <v>41</v>
      </c>
      <c r="C1048" t="s">
        <v>42</v>
      </c>
      <c r="D1048" t="s">
        <v>43</v>
      </c>
      <c r="E1048" t="s">
        <v>44</v>
      </c>
      <c r="F1048">
        <v>85</v>
      </c>
      <c r="G1048">
        <v>210</v>
      </c>
      <c r="H1048">
        <v>157</v>
      </c>
      <c r="I1048">
        <v>68</v>
      </c>
      <c r="J1048" s="8">
        <v>0.8</v>
      </c>
      <c r="K1048">
        <v>21</v>
      </c>
      <c r="L1048">
        <v>38</v>
      </c>
      <c r="M1048">
        <v>148</v>
      </c>
      <c r="N1048" s="10">
        <v>598.63</v>
      </c>
      <c r="O1048" s="7">
        <v>3.8</v>
      </c>
      <c r="P1048" s="7">
        <v>30.4</v>
      </c>
      <c r="Q1048">
        <v>4</v>
      </c>
      <c r="R1048" t="s">
        <v>66</v>
      </c>
      <c r="S1048">
        <v>12</v>
      </c>
      <c r="T1048">
        <v>349</v>
      </c>
      <c r="U1048" s="11">
        <v>-0.43388373911755801</v>
      </c>
      <c r="V1048" s="11">
        <v>-0.90096886790241915</v>
      </c>
      <c r="W1048" s="11">
        <v>-0.29240597695107734</v>
      </c>
      <c r="X1048" s="11">
        <v>0.95629427721977189</v>
      </c>
      <c r="Y1048">
        <v>0</v>
      </c>
      <c r="Z1048">
        <v>0</v>
      </c>
      <c r="AB1048">
        <v>1</v>
      </c>
      <c r="AC1048">
        <v>0</v>
      </c>
      <c r="AD1048">
        <v>0</v>
      </c>
      <c r="AE1048">
        <v>0</v>
      </c>
    </row>
    <row r="1049" spans="1:31">
      <c r="A1049" s="6">
        <v>45276</v>
      </c>
      <c r="B1049" t="s">
        <v>31</v>
      </c>
      <c r="C1049" t="s">
        <v>32</v>
      </c>
      <c r="D1049" t="s">
        <v>33</v>
      </c>
      <c r="E1049" t="s">
        <v>34</v>
      </c>
      <c r="F1049">
        <v>140</v>
      </c>
      <c r="G1049">
        <v>360</v>
      </c>
      <c r="H1049">
        <v>239</v>
      </c>
      <c r="I1049">
        <v>99</v>
      </c>
      <c r="J1049" s="8">
        <v>0.70714285714285718</v>
      </c>
      <c r="K1049">
        <v>43</v>
      </c>
      <c r="L1049">
        <v>52</v>
      </c>
      <c r="M1049">
        <v>205</v>
      </c>
      <c r="N1049" s="10">
        <v>501.8</v>
      </c>
      <c r="O1049" s="7">
        <v>1.9</v>
      </c>
      <c r="P1049" s="7">
        <v>30.2</v>
      </c>
      <c r="Q1049">
        <v>5</v>
      </c>
      <c r="R1049" t="s">
        <v>67</v>
      </c>
      <c r="S1049">
        <v>12</v>
      </c>
      <c r="T1049">
        <v>350</v>
      </c>
      <c r="U1049" s="11">
        <v>-0.97492791218182362</v>
      </c>
      <c r="V1049" s="11">
        <v>-0.22252093395631459</v>
      </c>
      <c r="W1049" s="11">
        <v>-0.27591294500296043</v>
      </c>
      <c r="X1049" s="11">
        <v>0.96118262925408371</v>
      </c>
      <c r="Y1049">
        <v>1</v>
      </c>
      <c r="Z1049">
        <v>0</v>
      </c>
      <c r="AB1049">
        <v>1</v>
      </c>
      <c r="AC1049">
        <v>0</v>
      </c>
      <c r="AD1049">
        <v>0</v>
      </c>
      <c r="AE1049">
        <v>0</v>
      </c>
    </row>
    <row r="1050" spans="1:31">
      <c r="A1050" s="6">
        <v>45276</v>
      </c>
      <c r="B1050" t="s">
        <v>36</v>
      </c>
      <c r="C1050" t="s">
        <v>37</v>
      </c>
      <c r="D1050" t="s">
        <v>38</v>
      </c>
      <c r="E1050" t="s">
        <v>39</v>
      </c>
      <c r="F1050">
        <v>125</v>
      </c>
      <c r="G1050">
        <v>320</v>
      </c>
      <c r="H1050">
        <v>246</v>
      </c>
      <c r="I1050">
        <v>103</v>
      </c>
      <c r="J1050" s="8">
        <v>0.82399999999999995</v>
      </c>
      <c r="K1050">
        <v>35</v>
      </c>
      <c r="L1050">
        <v>45</v>
      </c>
      <c r="M1050">
        <v>200</v>
      </c>
      <c r="N1050" s="10">
        <v>769.61</v>
      </c>
      <c r="O1050" s="7">
        <v>1.9</v>
      </c>
      <c r="P1050" s="7">
        <v>30.2</v>
      </c>
      <c r="Q1050">
        <v>5</v>
      </c>
      <c r="R1050" t="s">
        <v>67</v>
      </c>
      <c r="S1050">
        <v>12</v>
      </c>
      <c r="T1050">
        <v>350</v>
      </c>
      <c r="U1050" s="11">
        <v>-0.97492791218182362</v>
      </c>
      <c r="V1050" s="11">
        <v>-0.22252093395631459</v>
      </c>
      <c r="W1050" s="11">
        <v>-0.27591294500296043</v>
      </c>
      <c r="X1050" s="11">
        <v>0.96118262925408371</v>
      </c>
      <c r="Y1050">
        <v>1</v>
      </c>
      <c r="Z1050">
        <v>0</v>
      </c>
      <c r="AB1050">
        <v>1</v>
      </c>
      <c r="AC1050">
        <v>0</v>
      </c>
      <c r="AD1050">
        <v>0</v>
      </c>
      <c r="AE1050">
        <v>0</v>
      </c>
    </row>
    <row r="1051" spans="1:31">
      <c r="A1051" s="6">
        <v>45276</v>
      </c>
      <c r="B1051" t="s">
        <v>41</v>
      </c>
      <c r="C1051" t="s">
        <v>42</v>
      </c>
      <c r="D1051" t="s">
        <v>43</v>
      </c>
      <c r="E1051" t="s">
        <v>44</v>
      </c>
      <c r="F1051">
        <v>85</v>
      </c>
      <c r="G1051">
        <v>210</v>
      </c>
      <c r="H1051">
        <v>169</v>
      </c>
      <c r="I1051">
        <v>77</v>
      </c>
      <c r="J1051" s="8">
        <v>0.90588235294117647</v>
      </c>
      <c r="K1051">
        <v>37</v>
      </c>
      <c r="L1051">
        <v>30</v>
      </c>
      <c r="M1051">
        <v>154</v>
      </c>
      <c r="N1051" s="10">
        <v>701.54</v>
      </c>
      <c r="O1051" s="7">
        <v>1.9</v>
      </c>
      <c r="P1051" s="7">
        <v>30.2</v>
      </c>
      <c r="Q1051">
        <v>5</v>
      </c>
      <c r="R1051" t="s">
        <v>67</v>
      </c>
      <c r="S1051">
        <v>12</v>
      </c>
      <c r="T1051">
        <v>350</v>
      </c>
      <c r="U1051" s="11">
        <v>-0.97492791218182362</v>
      </c>
      <c r="V1051" s="11">
        <v>-0.22252093395631459</v>
      </c>
      <c r="W1051" s="11">
        <v>-0.27591294500296043</v>
      </c>
      <c r="X1051" s="11">
        <v>0.96118262925408371</v>
      </c>
      <c r="Y1051">
        <v>1</v>
      </c>
      <c r="Z1051">
        <v>0</v>
      </c>
      <c r="AB1051">
        <v>1</v>
      </c>
      <c r="AC1051">
        <v>0</v>
      </c>
      <c r="AD1051">
        <v>0</v>
      </c>
      <c r="AE1051">
        <v>0</v>
      </c>
    </row>
    <row r="1052" spans="1:31">
      <c r="A1052" s="6">
        <v>45277</v>
      </c>
      <c r="B1052" t="s">
        <v>31</v>
      </c>
      <c r="C1052" t="s">
        <v>32</v>
      </c>
      <c r="D1052" t="s">
        <v>33</v>
      </c>
      <c r="E1052" t="s">
        <v>34</v>
      </c>
      <c r="F1052">
        <v>140</v>
      </c>
      <c r="G1052">
        <v>360</v>
      </c>
      <c r="H1052">
        <v>246</v>
      </c>
      <c r="I1052">
        <v>104</v>
      </c>
      <c r="J1052" s="8">
        <v>0.74285714285714288</v>
      </c>
      <c r="K1052">
        <v>53</v>
      </c>
      <c r="L1052">
        <v>33</v>
      </c>
      <c r="M1052">
        <v>227</v>
      </c>
      <c r="N1052" s="10">
        <v>568.9</v>
      </c>
      <c r="O1052" s="7">
        <v>1</v>
      </c>
      <c r="P1052" s="7">
        <v>28.4</v>
      </c>
      <c r="Q1052">
        <v>6</v>
      </c>
      <c r="R1052" t="s">
        <v>60</v>
      </c>
      <c r="S1052">
        <v>12</v>
      </c>
      <c r="T1052">
        <v>351</v>
      </c>
      <c r="U1052" s="11">
        <v>-0.78183148246802991</v>
      </c>
      <c r="V1052" s="11">
        <v>0.62348980185873337</v>
      </c>
      <c r="W1052" s="11">
        <v>-0.2593382659754056</v>
      </c>
      <c r="X1052" s="11">
        <v>0.96578655188445739</v>
      </c>
      <c r="Y1052">
        <v>1</v>
      </c>
      <c r="Z1052">
        <v>0</v>
      </c>
      <c r="AB1052">
        <v>1</v>
      </c>
      <c r="AC1052">
        <v>0</v>
      </c>
      <c r="AD1052">
        <v>0</v>
      </c>
      <c r="AE1052">
        <v>0</v>
      </c>
    </row>
    <row r="1053" spans="1:31">
      <c r="A1053" s="6">
        <v>45277</v>
      </c>
      <c r="B1053" t="s">
        <v>36</v>
      </c>
      <c r="C1053" t="s">
        <v>37</v>
      </c>
      <c r="D1053" t="s">
        <v>38</v>
      </c>
      <c r="E1053" t="s">
        <v>39</v>
      </c>
      <c r="F1053">
        <v>125</v>
      </c>
      <c r="G1053">
        <v>320</v>
      </c>
      <c r="H1053">
        <v>228</v>
      </c>
      <c r="I1053">
        <v>94</v>
      </c>
      <c r="J1053" s="8">
        <v>0.752</v>
      </c>
      <c r="K1053">
        <v>59</v>
      </c>
      <c r="L1053">
        <v>27</v>
      </c>
      <c r="M1053">
        <v>194</v>
      </c>
      <c r="N1053" s="10">
        <v>732.31</v>
      </c>
      <c r="O1053" s="7">
        <v>1</v>
      </c>
      <c r="P1053" s="7">
        <v>28.4</v>
      </c>
      <c r="Q1053">
        <v>6</v>
      </c>
      <c r="R1053" t="s">
        <v>60</v>
      </c>
      <c r="S1053">
        <v>12</v>
      </c>
      <c r="T1053">
        <v>351</v>
      </c>
      <c r="U1053" s="11">
        <v>-0.78183148246802991</v>
      </c>
      <c r="V1053" s="11">
        <v>0.62348980185873337</v>
      </c>
      <c r="W1053" s="11">
        <v>-0.2593382659754056</v>
      </c>
      <c r="X1053" s="11">
        <v>0.96578655188445739</v>
      </c>
      <c r="Y1053">
        <v>1</v>
      </c>
      <c r="Z1053">
        <v>0</v>
      </c>
      <c r="AB1053">
        <v>1</v>
      </c>
      <c r="AC1053">
        <v>0</v>
      </c>
      <c r="AD1053">
        <v>0</v>
      </c>
      <c r="AE1053">
        <v>0</v>
      </c>
    </row>
    <row r="1054" spans="1:31">
      <c r="A1054" s="6">
        <v>45277</v>
      </c>
      <c r="B1054" t="s">
        <v>41</v>
      </c>
      <c r="C1054" t="s">
        <v>42</v>
      </c>
      <c r="D1054" t="s">
        <v>43</v>
      </c>
      <c r="E1054" t="s">
        <v>44</v>
      </c>
      <c r="F1054">
        <v>85</v>
      </c>
      <c r="G1054">
        <v>210</v>
      </c>
      <c r="H1054">
        <v>170</v>
      </c>
      <c r="I1054">
        <v>76</v>
      </c>
      <c r="J1054" s="8">
        <v>0.89411764705882357</v>
      </c>
      <c r="K1054">
        <v>23</v>
      </c>
      <c r="L1054">
        <v>41</v>
      </c>
      <c r="M1054">
        <v>147</v>
      </c>
      <c r="N1054" s="10">
        <v>651.38</v>
      </c>
      <c r="O1054" s="7">
        <v>1</v>
      </c>
      <c r="P1054" s="7">
        <v>28.4</v>
      </c>
      <c r="Q1054">
        <v>6</v>
      </c>
      <c r="R1054" t="s">
        <v>60</v>
      </c>
      <c r="S1054">
        <v>12</v>
      </c>
      <c r="T1054">
        <v>351</v>
      </c>
      <c r="U1054" s="11">
        <v>-0.78183148246802991</v>
      </c>
      <c r="V1054" s="11">
        <v>0.62348980185873337</v>
      </c>
      <c r="W1054" s="11">
        <v>-0.2593382659754056</v>
      </c>
      <c r="X1054" s="11">
        <v>0.96578655188445739</v>
      </c>
      <c r="Y1054">
        <v>1</v>
      </c>
      <c r="Z1054">
        <v>0</v>
      </c>
      <c r="AB1054">
        <v>1</v>
      </c>
      <c r="AC1054">
        <v>0</v>
      </c>
      <c r="AD1054">
        <v>0</v>
      </c>
      <c r="AE1054">
        <v>0</v>
      </c>
    </row>
    <row r="1055" spans="1:31">
      <c r="A1055" s="6">
        <v>45278</v>
      </c>
      <c r="B1055" t="s">
        <v>31</v>
      </c>
      <c r="C1055" t="s">
        <v>32</v>
      </c>
      <c r="D1055" t="s">
        <v>33</v>
      </c>
      <c r="E1055" t="s">
        <v>34</v>
      </c>
      <c r="F1055">
        <v>140</v>
      </c>
      <c r="G1055">
        <v>360</v>
      </c>
      <c r="H1055">
        <v>221</v>
      </c>
      <c r="I1055">
        <v>95</v>
      </c>
      <c r="J1055" s="8">
        <v>0.6785714285714286</v>
      </c>
      <c r="K1055">
        <v>59</v>
      </c>
      <c r="L1055">
        <v>54</v>
      </c>
      <c r="M1055">
        <v>191</v>
      </c>
      <c r="N1055" s="10">
        <v>480.53</v>
      </c>
      <c r="O1055" s="7">
        <v>0.7</v>
      </c>
      <c r="P1055" s="7">
        <v>30</v>
      </c>
      <c r="Q1055">
        <v>0</v>
      </c>
      <c r="R1055" t="s">
        <v>62</v>
      </c>
      <c r="S1055">
        <v>12</v>
      </c>
      <c r="T1055">
        <v>352</v>
      </c>
      <c r="U1055" s="11">
        <v>0</v>
      </c>
      <c r="V1055" s="11">
        <v>1</v>
      </c>
      <c r="W1055" s="11">
        <v>-0.2426868445825954</v>
      </c>
      <c r="X1055" s="11">
        <v>0.9701046827361175</v>
      </c>
      <c r="Y1055">
        <v>0</v>
      </c>
      <c r="Z1055">
        <v>0</v>
      </c>
      <c r="AB1055">
        <v>1</v>
      </c>
      <c r="AC1055">
        <v>0</v>
      </c>
      <c r="AD1055">
        <v>0</v>
      </c>
      <c r="AE1055">
        <v>0</v>
      </c>
    </row>
    <row r="1056" spans="1:31">
      <c r="A1056" s="6">
        <v>45278</v>
      </c>
      <c r="B1056" t="s">
        <v>36</v>
      </c>
      <c r="C1056" t="s">
        <v>37</v>
      </c>
      <c r="D1056" t="s">
        <v>38</v>
      </c>
      <c r="E1056" t="s">
        <v>39</v>
      </c>
      <c r="F1056">
        <v>125</v>
      </c>
      <c r="G1056">
        <v>320</v>
      </c>
      <c r="H1056">
        <v>208</v>
      </c>
      <c r="I1056">
        <v>86</v>
      </c>
      <c r="J1056" s="8">
        <v>0.68799999999999994</v>
      </c>
      <c r="K1056">
        <v>30</v>
      </c>
      <c r="L1056">
        <v>20</v>
      </c>
      <c r="M1056">
        <v>168</v>
      </c>
      <c r="N1056" s="10">
        <v>612.73</v>
      </c>
      <c r="O1056" s="7">
        <v>0.7</v>
      </c>
      <c r="P1056" s="7">
        <v>30</v>
      </c>
      <c r="Q1056">
        <v>0</v>
      </c>
      <c r="R1056" t="s">
        <v>62</v>
      </c>
      <c r="S1056">
        <v>12</v>
      </c>
      <c r="T1056">
        <v>352</v>
      </c>
      <c r="U1056" s="11">
        <v>0</v>
      </c>
      <c r="V1056" s="11">
        <v>1</v>
      </c>
      <c r="W1056" s="11">
        <v>-0.2426868445825954</v>
      </c>
      <c r="X1056" s="11">
        <v>0.9701046827361175</v>
      </c>
      <c r="Y1056">
        <v>0</v>
      </c>
      <c r="Z1056">
        <v>0</v>
      </c>
      <c r="AB1056">
        <v>1</v>
      </c>
      <c r="AC1056">
        <v>0</v>
      </c>
      <c r="AD1056">
        <v>0</v>
      </c>
      <c r="AE1056">
        <v>0</v>
      </c>
    </row>
    <row r="1057" spans="1:31">
      <c r="A1057" s="6">
        <v>45278</v>
      </c>
      <c r="B1057" t="s">
        <v>41</v>
      </c>
      <c r="C1057" t="s">
        <v>42</v>
      </c>
      <c r="D1057" t="s">
        <v>43</v>
      </c>
      <c r="E1057" t="s">
        <v>44</v>
      </c>
      <c r="F1057">
        <v>85</v>
      </c>
      <c r="G1057">
        <v>210</v>
      </c>
      <c r="H1057">
        <v>152</v>
      </c>
      <c r="I1057">
        <v>68</v>
      </c>
      <c r="J1057" s="8">
        <v>0.8</v>
      </c>
      <c r="K1057">
        <v>22</v>
      </c>
      <c r="L1057">
        <v>31</v>
      </c>
      <c r="M1057">
        <v>123</v>
      </c>
      <c r="N1057" s="10">
        <v>569.26</v>
      </c>
      <c r="O1057" s="7">
        <v>0.7</v>
      </c>
      <c r="P1057" s="7">
        <v>30</v>
      </c>
      <c r="Q1057">
        <v>0</v>
      </c>
      <c r="R1057" t="s">
        <v>62</v>
      </c>
      <c r="S1057">
        <v>12</v>
      </c>
      <c r="T1057">
        <v>352</v>
      </c>
      <c r="U1057" s="11">
        <v>0</v>
      </c>
      <c r="V1057" s="11">
        <v>1</v>
      </c>
      <c r="W1057" s="11">
        <v>-0.2426868445825954</v>
      </c>
      <c r="X1057" s="11">
        <v>0.9701046827361175</v>
      </c>
      <c r="Y1057">
        <v>0</v>
      </c>
      <c r="Z1057">
        <v>0</v>
      </c>
      <c r="AB1057">
        <v>1</v>
      </c>
      <c r="AC1057">
        <v>0</v>
      </c>
      <c r="AD1057">
        <v>0</v>
      </c>
      <c r="AE1057">
        <v>0</v>
      </c>
    </row>
    <row r="1058" spans="1:31">
      <c r="A1058" s="6">
        <v>45279</v>
      </c>
      <c r="B1058" t="s">
        <v>31</v>
      </c>
      <c r="C1058" t="s">
        <v>32</v>
      </c>
      <c r="D1058" t="s">
        <v>33</v>
      </c>
      <c r="E1058" t="s">
        <v>34</v>
      </c>
      <c r="F1058">
        <v>140</v>
      </c>
      <c r="G1058">
        <v>360</v>
      </c>
      <c r="H1058">
        <v>213</v>
      </c>
      <c r="I1058">
        <v>90</v>
      </c>
      <c r="J1058" s="8">
        <v>0.6428571428571429</v>
      </c>
      <c r="K1058">
        <v>29</v>
      </c>
      <c r="L1058">
        <v>29</v>
      </c>
      <c r="M1058">
        <v>189</v>
      </c>
      <c r="N1058" s="10">
        <v>464.94</v>
      </c>
      <c r="O1058" s="7">
        <v>1.7</v>
      </c>
      <c r="P1058" s="7">
        <v>30.1</v>
      </c>
      <c r="Q1058">
        <v>1</v>
      </c>
      <c r="R1058" t="s">
        <v>63</v>
      </c>
      <c r="S1058">
        <v>12</v>
      </c>
      <c r="T1058">
        <v>353</v>
      </c>
      <c r="U1058" s="11">
        <v>0.7818314824680298</v>
      </c>
      <c r="V1058" s="11">
        <v>0.62348980185873359</v>
      </c>
      <c r="W1058" s="11">
        <v>-0.22596360824801906</v>
      </c>
      <c r="X1058" s="11">
        <v>0.97413574400467196</v>
      </c>
      <c r="Y1058">
        <v>0</v>
      </c>
      <c r="Z1058">
        <v>0</v>
      </c>
      <c r="AB1058">
        <v>1</v>
      </c>
      <c r="AC1058">
        <v>0</v>
      </c>
      <c r="AD1058">
        <v>0</v>
      </c>
      <c r="AE1058">
        <v>0</v>
      </c>
    </row>
    <row r="1059" spans="1:31">
      <c r="A1059" s="6">
        <v>45279</v>
      </c>
      <c r="B1059" t="s">
        <v>36</v>
      </c>
      <c r="C1059" t="s">
        <v>37</v>
      </c>
      <c r="D1059" t="s">
        <v>38</v>
      </c>
      <c r="E1059" t="s">
        <v>39</v>
      </c>
      <c r="F1059">
        <v>125</v>
      </c>
      <c r="G1059">
        <v>320</v>
      </c>
      <c r="H1059">
        <v>234</v>
      </c>
      <c r="I1059">
        <v>96</v>
      </c>
      <c r="J1059" s="8">
        <v>0.76800000000000002</v>
      </c>
      <c r="K1059">
        <v>60</v>
      </c>
      <c r="L1059">
        <v>23</v>
      </c>
      <c r="M1059">
        <v>188</v>
      </c>
      <c r="N1059" s="10">
        <v>681.04</v>
      </c>
      <c r="O1059" s="7">
        <v>1.7</v>
      </c>
      <c r="P1059" s="7">
        <v>30.1</v>
      </c>
      <c r="Q1059">
        <v>1</v>
      </c>
      <c r="R1059" t="s">
        <v>63</v>
      </c>
      <c r="S1059">
        <v>12</v>
      </c>
      <c r="T1059">
        <v>353</v>
      </c>
      <c r="U1059" s="11">
        <v>0.7818314824680298</v>
      </c>
      <c r="V1059" s="11">
        <v>0.62348980185873359</v>
      </c>
      <c r="W1059" s="11">
        <v>-0.22596360824801906</v>
      </c>
      <c r="X1059" s="11">
        <v>0.97413574400467196</v>
      </c>
      <c r="Y1059">
        <v>0</v>
      </c>
      <c r="Z1059">
        <v>0</v>
      </c>
      <c r="AB1059">
        <v>1</v>
      </c>
      <c r="AC1059">
        <v>0</v>
      </c>
      <c r="AD1059">
        <v>0</v>
      </c>
      <c r="AE1059">
        <v>0</v>
      </c>
    </row>
    <row r="1060" spans="1:31">
      <c r="A1060" s="6">
        <v>45279</v>
      </c>
      <c r="B1060" t="s">
        <v>41</v>
      </c>
      <c r="C1060" t="s">
        <v>42</v>
      </c>
      <c r="D1060" t="s">
        <v>43</v>
      </c>
      <c r="E1060" t="s">
        <v>44</v>
      </c>
      <c r="F1060">
        <v>85</v>
      </c>
      <c r="G1060">
        <v>210</v>
      </c>
      <c r="H1060">
        <v>147</v>
      </c>
      <c r="I1060">
        <v>65</v>
      </c>
      <c r="J1060" s="8">
        <v>0.76470588235294112</v>
      </c>
      <c r="K1060">
        <v>35</v>
      </c>
      <c r="L1060">
        <v>21</v>
      </c>
      <c r="M1060">
        <v>118</v>
      </c>
      <c r="N1060" s="10">
        <v>577.29</v>
      </c>
      <c r="O1060" s="7">
        <v>1.7</v>
      </c>
      <c r="P1060" s="7">
        <v>30.1</v>
      </c>
      <c r="Q1060">
        <v>1</v>
      </c>
      <c r="R1060" t="s">
        <v>63</v>
      </c>
      <c r="S1060">
        <v>12</v>
      </c>
      <c r="T1060">
        <v>353</v>
      </c>
      <c r="U1060" s="11">
        <v>0.7818314824680298</v>
      </c>
      <c r="V1060" s="11">
        <v>0.62348980185873359</v>
      </c>
      <c r="W1060" s="11">
        <v>-0.22596360824801906</v>
      </c>
      <c r="X1060" s="11">
        <v>0.97413574400467196</v>
      </c>
      <c r="Y1060">
        <v>0</v>
      </c>
      <c r="Z1060">
        <v>0</v>
      </c>
      <c r="AB1060">
        <v>1</v>
      </c>
      <c r="AC1060">
        <v>0</v>
      </c>
      <c r="AD1060">
        <v>0</v>
      </c>
      <c r="AE1060">
        <v>0</v>
      </c>
    </row>
    <row r="1061" spans="1:31">
      <c r="A1061" s="6">
        <v>45280</v>
      </c>
      <c r="B1061" t="s">
        <v>31</v>
      </c>
      <c r="C1061" t="s">
        <v>32</v>
      </c>
      <c r="D1061" t="s">
        <v>33</v>
      </c>
      <c r="E1061" t="s">
        <v>34</v>
      </c>
      <c r="F1061">
        <v>140</v>
      </c>
      <c r="G1061">
        <v>360</v>
      </c>
      <c r="H1061">
        <v>192</v>
      </c>
      <c r="I1061">
        <v>79</v>
      </c>
      <c r="J1061" s="8">
        <v>0.56428571428571428</v>
      </c>
      <c r="K1061">
        <v>46</v>
      </c>
      <c r="L1061">
        <v>50</v>
      </c>
      <c r="M1061">
        <v>180</v>
      </c>
      <c r="N1061" s="10">
        <v>421.45</v>
      </c>
      <c r="O1061" s="7">
        <v>1.8</v>
      </c>
      <c r="P1061" s="7">
        <v>27</v>
      </c>
      <c r="Q1061">
        <v>2</v>
      </c>
      <c r="R1061" t="s">
        <v>64</v>
      </c>
      <c r="S1061">
        <v>12</v>
      </c>
      <c r="T1061">
        <v>354</v>
      </c>
      <c r="U1061" s="11">
        <v>0.97492791218182362</v>
      </c>
      <c r="V1061" s="11">
        <v>-0.22252093395631434</v>
      </c>
      <c r="W1061" s="11">
        <v>-0.20917350564635637</v>
      </c>
      <c r="X1061" s="11">
        <v>0.97787854283423858</v>
      </c>
      <c r="Y1061">
        <v>0</v>
      </c>
      <c r="Z1061">
        <v>0</v>
      </c>
      <c r="AB1061">
        <v>1</v>
      </c>
      <c r="AC1061">
        <v>0</v>
      </c>
      <c r="AD1061">
        <v>0</v>
      </c>
      <c r="AE1061">
        <v>0</v>
      </c>
    </row>
    <row r="1062" spans="1:31">
      <c r="A1062" s="6">
        <v>45280</v>
      </c>
      <c r="B1062" t="s">
        <v>36</v>
      </c>
      <c r="C1062" t="s">
        <v>37</v>
      </c>
      <c r="D1062" t="s">
        <v>38</v>
      </c>
      <c r="E1062" t="s">
        <v>39</v>
      </c>
      <c r="F1062">
        <v>125</v>
      </c>
      <c r="G1062">
        <v>320</v>
      </c>
      <c r="H1062">
        <v>224</v>
      </c>
      <c r="I1062">
        <v>92</v>
      </c>
      <c r="J1062" s="8">
        <v>0.73599999999999999</v>
      </c>
      <c r="K1062">
        <v>48</v>
      </c>
      <c r="L1062">
        <v>37</v>
      </c>
      <c r="M1062">
        <v>205</v>
      </c>
      <c r="N1062" s="10">
        <v>680.84</v>
      </c>
      <c r="O1062" s="7">
        <v>1.8</v>
      </c>
      <c r="P1062" s="7">
        <v>27</v>
      </c>
      <c r="Q1062">
        <v>2</v>
      </c>
      <c r="R1062" t="s">
        <v>64</v>
      </c>
      <c r="S1062">
        <v>12</v>
      </c>
      <c r="T1062">
        <v>354</v>
      </c>
      <c r="U1062" s="11">
        <v>0.97492791218182362</v>
      </c>
      <c r="V1062" s="11">
        <v>-0.22252093395631434</v>
      </c>
      <c r="W1062" s="11">
        <v>-0.20917350564635637</v>
      </c>
      <c r="X1062" s="11">
        <v>0.97787854283423858</v>
      </c>
      <c r="Y1062">
        <v>0</v>
      </c>
      <c r="Z1062">
        <v>0</v>
      </c>
      <c r="AB1062">
        <v>1</v>
      </c>
      <c r="AC1062">
        <v>0</v>
      </c>
      <c r="AD1062">
        <v>0</v>
      </c>
      <c r="AE1062">
        <v>0</v>
      </c>
    </row>
    <row r="1063" spans="1:31">
      <c r="A1063" s="6">
        <v>45280</v>
      </c>
      <c r="B1063" t="s">
        <v>41</v>
      </c>
      <c r="C1063" t="s">
        <v>42</v>
      </c>
      <c r="D1063" t="s">
        <v>43</v>
      </c>
      <c r="E1063" t="s">
        <v>44</v>
      </c>
      <c r="F1063">
        <v>85</v>
      </c>
      <c r="G1063">
        <v>210</v>
      </c>
      <c r="H1063">
        <v>156</v>
      </c>
      <c r="I1063">
        <v>71</v>
      </c>
      <c r="J1063" s="8">
        <v>0.83529411764705885</v>
      </c>
      <c r="K1063">
        <v>31</v>
      </c>
      <c r="L1063">
        <v>28</v>
      </c>
      <c r="M1063">
        <v>146</v>
      </c>
      <c r="N1063" s="10">
        <v>538.19000000000005</v>
      </c>
      <c r="O1063" s="7">
        <v>1.8</v>
      </c>
      <c r="P1063" s="7">
        <v>27</v>
      </c>
      <c r="Q1063">
        <v>2</v>
      </c>
      <c r="R1063" t="s">
        <v>64</v>
      </c>
      <c r="S1063">
        <v>12</v>
      </c>
      <c r="T1063">
        <v>354</v>
      </c>
      <c r="U1063" s="11">
        <v>0.97492791218182362</v>
      </c>
      <c r="V1063" s="11">
        <v>-0.22252093395631434</v>
      </c>
      <c r="W1063" s="11">
        <v>-0.20917350564635637</v>
      </c>
      <c r="X1063" s="11">
        <v>0.97787854283423858</v>
      </c>
      <c r="Y1063">
        <v>0</v>
      </c>
      <c r="Z1063">
        <v>0</v>
      </c>
      <c r="AB1063">
        <v>1</v>
      </c>
      <c r="AC1063">
        <v>0</v>
      </c>
      <c r="AD1063">
        <v>0</v>
      </c>
      <c r="AE1063">
        <v>0</v>
      </c>
    </row>
    <row r="1064" spans="1:31">
      <c r="A1064" s="6">
        <v>45281</v>
      </c>
      <c r="B1064" t="s">
        <v>31</v>
      </c>
      <c r="C1064" t="s">
        <v>32</v>
      </c>
      <c r="D1064" t="s">
        <v>33</v>
      </c>
      <c r="E1064" t="s">
        <v>34</v>
      </c>
      <c r="F1064">
        <v>140</v>
      </c>
      <c r="G1064">
        <v>360</v>
      </c>
      <c r="H1064">
        <v>216</v>
      </c>
      <c r="I1064">
        <v>96</v>
      </c>
      <c r="J1064" s="8">
        <v>0.68571428571428572</v>
      </c>
      <c r="K1064">
        <v>44</v>
      </c>
      <c r="L1064">
        <v>23</v>
      </c>
      <c r="M1064">
        <v>197</v>
      </c>
      <c r="N1064" s="10">
        <v>449.42</v>
      </c>
      <c r="O1064" s="7">
        <v>0</v>
      </c>
      <c r="P1064" s="7">
        <v>28.8</v>
      </c>
      <c r="Q1064">
        <v>3</v>
      </c>
      <c r="R1064" t="s">
        <v>65</v>
      </c>
      <c r="S1064">
        <v>12</v>
      </c>
      <c r="T1064">
        <v>355</v>
      </c>
      <c r="U1064" s="11">
        <v>0.43388373911755823</v>
      </c>
      <c r="V1064" s="11">
        <v>-0.90096886790241903</v>
      </c>
      <c r="W1064" s="11">
        <v>-0.19232150523909483</v>
      </c>
      <c r="X1064" s="11">
        <v>0.98133197167042752</v>
      </c>
      <c r="Y1064">
        <v>0</v>
      </c>
      <c r="Z1064">
        <v>0</v>
      </c>
      <c r="AB1064">
        <v>1</v>
      </c>
      <c r="AC1064">
        <v>0</v>
      </c>
      <c r="AD1064">
        <v>0</v>
      </c>
      <c r="AE1064">
        <v>0</v>
      </c>
    </row>
    <row r="1065" spans="1:31">
      <c r="A1065" s="6">
        <v>45281</v>
      </c>
      <c r="B1065" t="s">
        <v>36</v>
      </c>
      <c r="C1065" t="s">
        <v>37</v>
      </c>
      <c r="D1065" t="s">
        <v>38</v>
      </c>
      <c r="E1065" t="s">
        <v>39</v>
      </c>
      <c r="F1065">
        <v>125</v>
      </c>
      <c r="G1065">
        <v>320</v>
      </c>
      <c r="H1065">
        <v>207</v>
      </c>
      <c r="I1065">
        <v>86</v>
      </c>
      <c r="J1065" s="8">
        <v>0.68799999999999994</v>
      </c>
      <c r="K1065">
        <v>49</v>
      </c>
      <c r="L1065">
        <v>22</v>
      </c>
      <c r="M1065">
        <v>168</v>
      </c>
      <c r="N1065" s="10">
        <v>654.22</v>
      </c>
      <c r="O1065" s="7">
        <v>0</v>
      </c>
      <c r="P1065" s="7">
        <v>28.8</v>
      </c>
      <c r="Q1065">
        <v>3</v>
      </c>
      <c r="R1065" t="s">
        <v>65</v>
      </c>
      <c r="S1065">
        <v>12</v>
      </c>
      <c r="T1065">
        <v>355</v>
      </c>
      <c r="U1065" s="11">
        <v>0.43388373911755823</v>
      </c>
      <c r="V1065" s="11">
        <v>-0.90096886790241903</v>
      </c>
      <c r="W1065" s="11">
        <v>-0.19232150523909483</v>
      </c>
      <c r="X1065" s="11">
        <v>0.98133197167042752</v>
      </c>
      <c r="Y1065">
        <v>0</v>
      </c>
      <c r="Z1065">
        <v>0</v>
      </c>
      <c r="AB1065">
        <v>1</v>
      </c>
      <c r="AC1065">
        <v>0</v>
      </c>
      <c r="AD1065">
        <v>0</v>
      </c>
      <c r="AE1065">
        <v>0</v>
      </c>
    </row>
    <row r="1066" spans="1:31">
      <c r="A1066" s="6">
        <v>45281</v>
      </c>
      <c r="B1066" t="s">
        <v>41</v>
      </c>
      <c r="C1066" t="s">
        <v>42</v>
      </c>
      <c r="D1066" t="s">
        <v>43</v>
      </c>
      <c r="E1066" t="s">
        <v>44</v>
      </c>
      <c r="F1066">
        <v>85</v>
      </c>
      <c r="G1066">
        <v>210</v>
      </c>
      <c r="H1066">
        <v>156</v>
      </c>
      <c r="I1066">
        <v>69</v>
      </c>
      <c r="J1066" s="8">
        <v>0.81176470588235294</v>
      </c>
      <c r="K1066">
        <v>23</v>
      </c>
      <c r="L1066">
        <v>40</v>
      </c>
      <c r="M1066">
        <v>129</v>
      </c>
      <c r="N1066" s="10">
        <v>522.41</v>
      </c>
      <c r="O1066" s="7">
        <v>0</v>
      </c>
      <c r="P1066" s="7">
        <v>28.8</v>
      </c>
      <c r="Q1066">
        <v>3</v>
      </c>
      <c r="R1066" t="s">
        <v>65</v>
      </c>
      <c r="S1066">
        <v>12</v>
      </c>
      <c r="T1066">
        <v>355</v>
      </c>
      <c r="U1066" s="11">
        <v>0.43388373911755823</v>
      </c>
      <c r="V1066" s="11">
        <v>-0.90096886790241903</v>
      </c>
      <c r="W1066" s="11">
        <v>-0.19232150523909483</v>
      </c>
      <c r="X1066" s="11">
        <v>0.98133197167042752</v>
      </c>
      <c r="Y1066">
        <v>0</v>
      </c>
      <c r="Z1066">
        <v>0</v>
      </c>
      <c r="AB1066">
        <v>1</v>
      </c>
      <c r="AC1066">
        <v>0</v>
      </c>
      <c r="AD1066">
        <v>0</v>
      </c>
      <c r="AE1066">
        <v>0</v>
      </c>
    </row>
    <row r="1067" spans="1:31">
      <c r="A1067" s="6">
        <v>45282</v>
      </c>
      <c r="B1067" t="s">
        <v>31</v>
      </c>
      <c r="C1067" t="s">
        <v>32</v>
      </c>
      <c r="D1067" t="s">
        <v>33</v>
      </c>
      <c r="E1067" t="s">
        <v>34</v>
      </c>
      <c r="F1067">
        <v>140</v>
      </c>
      <c r="G1067">
        <v>360</v>
      </c>
      <c r="H1067">
        <v>224</v>
      </c>
      <c r="I1067">
        <v>96</v>
      </c>
      <c r="J1067" s="8">
        <v>0.68571428571428572</v>
      </c>
      <c r="K1067">
        <v>44</v>
      </c>
      <c r="L1067">
        <v>56</v>
      </c>
      <c r="M1067">
        <v>204</v>
      </c>
      <c r="N1067" s="10">
        <v>496.81</v>
      </c>
      <c r="O1067" s="7">
        <v>0</v>
      </c>
      <c r="P1067" s="7">
        <v>29.1</v>
      </c>
      <c r="Q1067">
        <v>4</v>
      </c>
      <c r="R1067" t="s">
        <v>66</v>
      </c>
      <c r="S1067">
        <v>12</v>
      </c>
      <c r="T1067">
        <v>356</v>
      </c>
      <c r="U1067" s="11">
        <v>-0.43388373911755801</v>
      </c>
      <c r="V1067" s="11">
        <v>-0.90096886790241915</v>
      </c>
      <c r="W1067" s="11">
        <v>-0.17541259380427843</v>
      </c>
      <c r="X1067" s="11">
        <v>0.98449500858808581</v>
      </c>
      <c r="Y1067">
        <v>0</v>
      </c>
      <c r="Z1067">
        <v>0</v>
      </c>
      <c r="AB1067">
        <v>1</v>
      </c>
      <c r="AC1067">
        <v>0</v>
      </c>
      <c r="AD1067">
        <v>0</v>
      </c>
      <c r="AE1067">
        <v>0</v>
      </c>
    </row>
    <row r="1068" spans="1:31">
      <c r="A1068" s="6">
        <v>45282</v>
      </c>
      <c r="B1068" t="s">
        <v>36</v>
      </c>
      <c r="C1068" t="s">
        <v>37</v>
      </c>
      <c r="D1068" t="s">
        <v>38</v>
      </c>
      <c r="E1068" t="s">
        <v>39</v>
      </c>
      <c r="F1068">
        <v>125</v>
      </c>
      <c r="G1068">
        <v>320</v>
      </c>
      <c r="H1068">
        <v>221</v>
      </c>
      <c r="I1068">
        <v>91</v>
      </c>
      <c r="J1068" s="8">
        <v>0.72799999999999998</v>
      </c>
      <c r="K1068">
        <v>52</v>
      </c>
      <c r="L1068">
        <v>29</v>
      </c>
      <c r="M1068">
        <v>207</v>
      </c>
      <c r="N1068" s="10">
        <v>628.46</v>
      </c>
      <c r="O1068" s="7">
        <v>0</v>
      </c>
      <c r="P1068" s="7">
        <v>29.1</v>
      </c>
      <c r="Q1068">
        <v>4</v>
      </c>
      <c r="R1068" t="s">
        <v>66</v>
      </c>
      <c r="S1068">
        <v>12</v>
      </c>
      <c r="T1068">
        <v>356</v>
      </c>
      <c r="U1068" s="11">
        <v>-0.43388373911755801</v>
      </c>
      <c r="V1068" s="11">
        <v>-0.90096886790241915</v>
      </c>
      <c r="W1068" s="11">
        <v>-0.17541259380427843</v>
      </c>
      <c r="X1068" s="11">
        <v>0.98449500858808581</v>
      </c>
      <c r="Y1068">
        <v>0</v>
      </c>
      <c r="Z1068">
        <v>0</v>
      </c>
      <c r="AB1068">
        <v>1</v>
      </c>
      <c r="AC1068">
        <v>0</v>
      </c>
      <c r="AD1068">
        <v>0</v>
      </c>
      <c r="AE1068">
        <v>0</v>
      </c>
    </row>
    <row r="1069" spans="1:31">
      <c r="A1069" s="6">
        <v>45282</v>
      </c>
      <c r="B1069" t="s">
        <v>41</v>
      </c>
      <c r="C1069" t="s">
        <v>42</v>
      </c>
      <c r="D1069" t="s">
        <v>43</v>
      </c>
      <c r="E1069" t="s">
        <v>44</v>
      </c>
      <c r="F1069">
        <v>85</v>
      </c>
      <c r="G1069">
        <v>210</v>
      </c>
      <c r="H1069">
        <v>149</v>
      </c>
      <c r="I1069">
        <v>69</v>
      </c>
      <c r="J1069" s="8">
        <v>0.81176470588235294</v>
      </c>
      <c r="K1069">
        <v>36</v>
      </c>
      <c r="L1069">
        <v>23</v>
      </c>
      <c r="M1069">
        <v>120</v>
      </c>
      <c r="N1069" s="10">
        <v>604.46</v>
      </c>
      <c r="O1069" s="7">
        <v>0</v>
      </c>
      <c r="P1069" s="7">
        <v>29.1</v>
      </c>
      <c r="Q1069">
        <v>4</v>
      </c>
      <c r="R1069" t="s">
        <v>66</v>
      </c>
      <c r="S1069">
        <v>12</v>
      </c>
      <c r="T1069">
        <v>356</v>
      </c>
      <c r="U1069" s="11">
        <v>-0.43388373911755801</v>
      </c>
      <c r="V1069" s="11">
        <v>-0.90096886790241915</v>
      </c>
      <c r="W1069" s="11">
        <v>-0.17541259380427843</v>
      </c>
      <c r="X1069" s="11">
        <v>0.98449500858808581</v>
      </c>
      <c r="Y1069">
        <v>0</v>
      </c>
      <c r="Z1069">
        <v>0</v>
      </c>
      <c r="AB1069">
        <v>1</v>
      </c>
      <c r="AC1069">
        <v>0</v>
      </c>
      <c r="AD1069">
        <v>0</v>
      </c>
      <c r="AE1069">
        <v>0</v>
      </c>
    </row>
    <row r="1070" spans="1:31">
      <c r="A1070" s="6">
        <v>45283</v>
      </c>
      <c r="B1070" t="s">
        <v>31</v>
      </c>
      <c r="C1070" t="s">
        <v>32</v>
      </c>
      <c r="D1070" t="s">
        <v>33</v>
      </c>
      <c r="E1070" t="s">
        <v>34</v>
      </c>
      <c r="F1070">
        <v>140</v>
      </c>
      <c r="G1070">
        <v>360</v>
      </c>
      <c r="H1070">
        <v>221</v>
      </c>
      <c r="I1070">
        <v>95</v>
      </c>
      <c r="J1070" s="8">
        <v>0.6785714285714286</v>
      </c>
      <c r="K1070">
        <v>29</v>
      </c>
      <c r="L1070">
        <v>56</v>
      </c>
      <c r="M1070">
        <v>193</v>
      </c>
      <c r="N1070" s="10">
        <v>505.71</v>
      </c>
      <c r="O1070" s="7">
        <v>2.4</v>
      </c>
      <c r="P1070" s="7">
        <v>29.3</v>
      </c>
      <c r="Q1070">
        <v>5</v>
      </c>
      <c r="R1070" t="s">
        <v>67</v>
      </c>
      <c r="S1070">
        <v>12</v>
      </c>
      <c r="T1070">
        <v>357</v>
      </c>
      <c r="U1070" s="11">
        <v>-0.97492791218182362</v>
      </c>
      <c r="V1070" s="11">
        <v>-0.22252093395631459</v>
      </c>
      <c r="W1070" s="11">
        <v>-0.15845177496083632</v>
      </c>
      <c r="X1070" s="11">
        <v>0.98736671759370165</v>
      </c>
      <c r="Y1070">
        <v>1</v>
      </c>
      <c r="Z1070">
        <v>0</v>
      </c>
      <c r="AB1070">
        <v>1</v>
      </c>
      <c r="AC1070">
        <v>0</v>
      </c>
      <c r="AD1070">
        <v>0</v>
      </c>
      <c r="AE1070">
        <v>0</v>
      </c>
    </row>
    <row r="1071" spans="1:31">
      <c r="A1071" s="6">
        <v>45283</v>
      </c>
      <c r="B1071" t="s">
        <v>36</v>
      </c>
      <c r="C1071" t="s">
        <v>37</v>
      </c>
      <c r="D1071" t="s">
        <v>38</v>
      </c>
      <c r="E1071" t="s">
        <v>39</v>
      </c>
      <c r="F1071">
        <v>125</v>
      </c>
      <c r="G1071">
        <v>320</v>
      </c>
      <c r="H1071">
        <v>263</v>
      </c>
      <c r="I1071">
        <v>109</v>
      </c>
      <c r="J1071" s="8">
        <v>0.872</v>
      </c>
      <c r="K1071">
        <v>50</v>
      </c>
      <c r="L1071">
        <v>30</v>
      </c>
      <c r="M1071">
        <v>217</v>
      </c>
      <c r="N1071" s="10">
        <v>716.94</v>
      </c>
      <c r="O1071" s="7">
        <v>2.4</v>
      </c>
      <c r="P1071" s="7">
        <v>29.3</v>
      </c>
      <c r="Q1071">
        <v>5</v>
      </c>
      <c r="R1071" t="s">
        <v>67</v>
      </c>
      <c r="S1071">
        <v>12</v>
      </c>
      <c r="T1071">
        <v>357</v>
      </c>
      <c r="U1071" s="11">
        <v>-0.97492791218182362</v>
      </c>
      <c r="V1071" s="11">
        <v>-0.22252093395631459</v>
      </c>
      <c r="W1071" s="11">
        <v>-0.15845177496083632</v>
      </c>
      <c r="X1071" s="11">
        <v>0.98736671759370165</v>
      </c>
      <c r="Y1071">
        <v>1</v>
      </c>
      <c r="Z1071">
        <v>0</v>
      </c>
      <c r="AB1071">
        <v>1</v>
      </c>
      <c r="AC1071">
        <v>0</v>
      </c>
      <c r="AD1071">
        <v>0</v>
      </c>
      <c r="AE1071">
        <v>0</v>
      </c>
    </row>
    <row r="1072" spans="1:31">
      <c r="A1072" s="6">
        <v>45283</v>
      </c>
      <c r="B1072" t="s">
        <v>41</v>
      </c>
      <c r="C1072" t="s">
        <v>42</v>
      </c>
      <c r="D1072" t="s">
        <v>43</v>
      </c>
      <c r="E1072" t="s">
        <v>44</v>
      </c>
      <c r="F1072">
        <v>85</v>
      </c>
      <c r="G1072">
        <v>210</v>
      </c>
      <c r="H1072">
        <v>165</v>
      </c>
      <c r="I1072">
        <v>71</v>
      </c>
      <c r="J1072" s="8">
        <v>0.83529411764705885</v>
      </c>
      <c r="K1072">
        <v>25</v>
      </c>
      <c r="L1072">
        <v>35</v>
      </c>
      <c r="M1072">
        <v>141</v>
      </c>
      <c r="N1072" s="10">
        <v>637.44000000000005</v>
      </c>
      <c r="O1072" s="7">
        <v>2.4</v>
      </c>
      <c r="P1072" s="7">
        <v>29.3</v>
      </c>
      <c r="Q1072">
        <v>5</v>
      </c>
      <c r="R1072" t="s">
        <v>67</v>
      </c>
      <c r="S1072">
        <v>12</v>
      </c>
      <c r="T1072">
        <v>357</v>
      </c>
      <c r="U1072" s="11">
        <v>-0.97492791218182362</v>
      </c>
      <c r="V1072" s="11">
        <v>-0.22252093395631459</v>
      </c>
      <c r="W1072" s="11">
        <v>-0.15845177496083632</v>
      </c>
      <c r="X1072" s="11">
        <v>0.98736671759370165</v>
      </c>
      <c r="Y1072">
        <v>1</v>
      </c>
      <c r="Z1072">
        <v>0</v>
      </c>
      <c r="AB1072">
        <v>1</v>
      </c>
      <c r="AC1072">
        <v>0</v>
      </c>
      <c r="AD1072">
        <v>0</v>
      </c>
      <c r="AE1072">
        <v>0</v>
      </c>
    </row>
    <row r="1073" spans="1:31">
      <c r="A1073" s="6">
        <v>45284</v>
      </c>
      <c r="B1073" t="s">
        <v>31</v>
      </c>
      <c r="C1073" t="s">
        <v>32</v>
      </c>
      <c r="D1073" t="s">
        <v>33</v>
      </c>
      <c r="E1073" t="s">
        <v>34</v>
      </c>
      <c r="F1073">
        <v>140</v>
      </c>
      <c r="G1073">
        <v>360</v>
      </c>
      <c r="H1073">
        <v>235</v>
      </c>
      <c r="I1073">
        <v>101</v>
      </c>
      <c r="J1073" s="8">
        <v>0.72142857142857142</v>
      </c>
      <c r="K1073">
        <v>58</v>
      </c>
      <c r="L1073">
        <v>47</v>
      </c>
      <c r="M1073">
        <v>216</v>
      </c>
      <c r="N1073" s="10">
        <v>551.19000000000005</v>
      </c>
      <c r="O1073" s="7">
        <v>0.7</v>
      </c>
      <c r="P1073" s="7">
        <v>28.1</v>
      </c>
      <c r="Q1073">
        <v>6</v>
      </c>
      <c r="R1073" t="s">
        <v>60</v>
      </c>
      <c r="S1073">
        <v>12</v>
      </c>
      <c r="T1073">
        <v>358</v>
      </c>
      <c r="U1073" s="11">
        <v>-0.78183148246802991</v>
      </c>
      <c r="V1073" s="11">
        <v>0.62348980185873337</v>
      </c>
      <c r="W1073" s="11">
        <v>-0.14144406768794202</v>
      </c>
      <c r="X1073" s="11">
        <v>0.98994624890237792</v>
      </c>
      <c r="Y1073">
        <v>1</v>
      </c>
      <c r="Z1073">
        <v>0</v>
      </c>
      <c r="AB1073">
        <v>1</v>
      </c>
      <c r="AC1073">
        <v>0</v>
      </c>
      <c r="AD1073">
        <v>0</v>
      </c>
      <c r="AE1073">
        <v>0</v>
      </c>
    </row>
    <row r="1074" spans="1:31">
      <c r="A1074" s="6">
        <v>45284</v>
      </c>
      <c r="B1074" t="s">
        <v>36</v>
      </c>
      <c r="C1074" t="s">
        <v>37</v>
      </c>
      <c r="D1074" t="s">
        <v>38</v>
      </c>
      <c r="E1074" t="s">
        <v>39</v>
      </c>
      <c r="F1074">
        <v>125</v>
      </c>
      <c r="G1074">
        <v>320</v>
      </c>
      <c r="H1074">
        <v>268</v>
      </c>
      <c r="I1074">
        <v>111</v>
      </c>
      <c r="J1074" s="8">
        <v>0.88800000000000001</v>
      </c>
      <c r="K1074">
        <v>48</v>
      </c>
      <c r="L1074">
        <v>55</v>
      </c>
      <c r="M1074">
        <v>235</v>
      </c>
      <c r="N1074" s="10">
        <v>728.19</v>
      </c>
      <c r="O1074" s="7">
        <v>0.7</v>
      </c>
      <c r="P1074" s="7">
        <v>28.1</v>
      </c>
      <c r="Q1074">
        <v>6</v>
      </c>
      <c r="R1074" t="s">
        <v>60</v>
      </c>
      <c r="S1074">
        <v>12</v>
      </c>
      <c r="T1074">
        <v>358</v>
      </c>
      <c r="U1074" s="11">
        <v>-0.78183148246802991</v>
      </c>
      <c r="V1074" s="11">
        <v>0.62348980185873337</v>
      </c>
      <c r="W1074" s="11">
        <v>-0.14144406768794202</v>
      </c>
      <c r="X1074" s="11">
        <v>0.98994624890237792</v>
      </c>
      <c r="Y1074">
        <v>1</v>
      </c>
      <c r="Z1074">
        <v>0</v>
      </c>
      <c r="AB1074">
        <v>1</v>
      </c>
      <c r="AC1074">
        <v>0</v>
      </c>
      <c r="AD1074">
        <v>0</v>
      </c>
      <c r="AE1074">
        <v>0</v>
      </c>
    </row>
    <row r="1075" spans="1:31">
      <c r="A1075" s="6">
        <v>45284</v>
      </c>
      <c r="B1075" t="s">
        <v>41</v>
      </c>
      <c r="C1075" t="s">
        <v>42</v>
      </c>
      <c r="D1075" t="s">
        <v>43</v>
      </c>
      <c r="E1075" t="s">
        <v>44</v>
      </c>
      <c r="F1075">
        <v>85</v>
      </c>
      <c r="G1075">
        <v>210</v>
      </c>
      <c r="H1075">
        <v>162</v>
      </c>
      <c r="I1075">
        <v>74</v>
      </c>
      <c r="J1075" s="8">
        <v>0.87058823529411766</v>
      </c>
      <c r="K1075">
        <v>35</v>
      </c>
      <c r="L1075">
        <v>38</v>
      </c>
      <c r="M1075">
        <v>142</v>
      </c>
      <c r="N1075" s="10">
        <v>634.14</v>
      </c>
      <c r="O1075" s="7">
        <v>0.7</v>
      </c>
      <c r="P1075" s="7">
        <v>28.1</v>
      </c>
      <c r="Q1075">
        <v>6</v>
      </c>
      <c r="R1075" t="s">
        <v>60</v>
      </c>
      <c r="S1075">
        <v>12</v>
      </c>
      <c r="T1075">
        <v>358</v>
      </c>
      <c r="U1075" s="11">
        <v>-0.78183148246802991</v>
      </c>
      <c r="V1075" s="11">
        <v>0.62348980185873337</v>
      </c>
      <c r="W1075" s="11">
        <v>-0.14144406768794202</v>
      </c>
      <c r="X1075" s="11">
        <v>0.98994624890237792</v>
      </c>
      <c r="Y1075">
        <v>1</v>
      </c>
      <c r="Z1075">
        <v>0</v>
      </c>
      <c r="AB1075">
        <v>1</v>
      </c>
      <c r="AC1075">
        <v>0</v>
      </c>
      <c r="AD1075">
        <v>0</v>
      </c>
      <c r="AE1075">
        <v>0</v>
      </c>
    </row>
    <row r="1076" spans="1:31">
      <c r="A1076" s="6">
        <v>45285</v>
      </c>
      <c r="B1076" t="s">
        <v>31</v>
      </c>
      <c r="C1076" t="s">
        <v>32</v>
      </c>
      <c r="D1076" t="s">
        <v>33</v>
      </c>
      <c r="E1076" t="s">
        <v>34</v>
      </c>
      <c r="F1076">
        <v>140</v>
      </c>
      <c r="G1076">
        <v>360</v>
      </c>
      <c r="H1076">
        <v>235</v>
      </c>
      <c r="I1076">
        <v>100</v>
      </c>
      <c r="J1076" s="8">
        <v>0.7142857142857143</v>
      </c>
      <c r="K1076">
        <v>38</v>
      </c>
      <c r="L1076">
        <v>48</v>
      </c>
      <c r="M1076">
        <v>192</v>
      </c>
      <c r="N1076" s="10">
        <v>444.1</v>
      </c>
      <c r="O1076" s="7">
        <v>0</v>
      </c>
      <c r="P1076" s="7">
        <v>28.7</v>
      </c>
      <c r="Q1076">
        <v>0</v>
      </c>
      <c r="R1076" t="s">
        <v>62</v>
      </c>
      <c r="S1076">
        <v>12</v>
      </c>
      <c r="T1076">
        <v>359</v>
      </c>
      <c r="U1076" s="11">
        <v>0</v>
      </c>
      <c r="V1076" s="11">
        <v>1</v>
      </c>
      <c r="W1076" s="11">
        <v>-0.12439450483979998</v>
      </c>
      <c r="X1076" s="11">
        <v>0.99223283918930083</v>
      </c>
      <c r="Y1076">
        <v>0</v>
      </c>
      <c r="Z1076">
        <v>1</v>
      </c>
      <c r="AA1076" t="s">
        <v>76</v>
      </c>
      <c r="AB1076">
        <v>1</v>
      </c>
      <c r="AC1076">
        <v>0</v>
      </c>
      <c r="AD1076">
        <v>0</v>
      </c>
      <c r="AE1076">
        <v>0</v>
      </c>
    </row>
    <row r="1077" spans="1:31">
      <c r="A1077" s="6">
        <v>45285</v>
      </c>
      <c r="B1077" t="s">
        <v>36</v>
      </c>
      <c r="C1077" t="s">
        <v>37</v>
      </c>
      <c r="D1077" t="s">
        <v>38</v>
      </c>
      <c r="E1077" t="s">
        <v>39</v>
      </c>
      <c r="F1077">
        <v>125</v>
      </c>
      <c r="G1077">
        <v>320</v>
      </c>
      <c r="H1077">
        <v>229</v>
      </c>
      <c r="I1077">
        <v>97</v>
      </c>
      <c r="J1077" s="8">
        <v>0.77600000000000002</v>
      </c>
      <c r="K1077">
        <v>59</v>
      </c>
      <c r="L1077">
        <v>35</v>
      </c>
      <c r="M1077">
        <v>203</v>
      </c>
      <c r="N1077" s="10">
        <v>658.83</v>
      </c>
      <c r="O1077" s="7">
        <v>0</v>
      </c>
      <c r="P1077" s="7">
        <v>28.7</v>
      </c>
      <c r="Q1077">
        <v>0</v>
      </c>
      <c r="R1077" t="s">
        <v>62</v>
      </c>
      <c r="S1077">
        <v>12</v>
      </c>
      <c r="T1077">
        <v>359</v>
      </c>
      <c r="U1077" s="11">
        <v>0</v>
      </c>
      <c r="V1077" s="11">
        <v>1</v>
      </c>
      <c r="W1077" s="11">
        <v>-0.12439450483979998</v>
      </c>
      <c r="X1077" s="11">
        <v>0.99223283918930083</v>
      </c>
      <c r="Y1077">
        <v>0</v>
      </c>
      <c r="Z1077">
        <v>1</v>
      </c>
      <c r="AA1077" t="s">
        <v>76</v>
      </c>
      <c r="AB1077">
        <v>1</v>
      </c>
      <c r="AC1077">
        <v>0</v>
      </c>
      <c r="AD1077">
        <v>0</v>
      </c>
      <c r="AE1077">
        <v>0</v>
      </c>
    </row>
    <row r="1078" spans="1:31">
      <c r="A1078" s="6">
        <v>45285</v>
      </c>
      <c r="B1078" t="s">
        <v>41</v>
      </c>
      <c r="C1078" t="s">
        <v>42</v>
      </c>
      <c r="D1078" t="s">
        <v>43</v>
      </c>
      <c r="E1078" t="s">
        <v>44</v>
      </c>
      <c r="F1078">
        <v>85</v>
      </c>
      <c r="G1078">
        <v>210</v>
      </c>
      <c r="H1078">
        <v>161</v>
      </c>
      <c r="I1078">
        <v>74</v>
      </c>
      <c r="J1078" s="8">
        <v>0.87058823529411766</v>
      </c>
      <c r="K1078">
        <v>39</v>
      </c>
      <c r="L1078">
        <v>29</v>
      </c>
      <c r="M1078">
        <v>133</v>
      </c>
      <c r="N1078" s="10">
        <v>607.64</v>
      </c>
      <c r="O1078" s="7">
        <v>0</v>
      </c>
      <c r="P1078" s="7">
        <v>28.7</v>
      </c>
      <c r="Q1078">
        <v>0</v>
      </c>
      <c r="R1078" t="s">
        <v>62</v>
      </c>
      <c r="S1078">
        <v>12</v>
      </c>
      <c r="T1078">
        <v>359</v>
      </c>
      <c r="U1078" s="11">
        <v>0</v>
      </c>
      <c r="V1078" s="11">
        <v>1</v>
      </c>
      <c r="W1078" s="11">
        <v>-0.12439450483979998</v>
      </c>
      <c r="X1078" s="11">
        <v>0.99223283918930083</v>
      </c>
      <c r="Y1078">
        <v>0</v>
      </c>
      <c r="Z1078">
        <v>1</v>
      </c>
      <c r="AA1078" t="s">
        <v>76</v>
      </c>
      <c r="AB1078">
        <v>1</v>
      </c>
      <c r="AC1078">
        <v>0</v>
      </c>
      <c r="AD1078">
        <v>0</v>
      </c>
      <c r="AE1078">
        <v>0</v>
      </c>
    </row>
    <row r="1079" spans="1:31">
      <c r="A1079" s="6">
        <v>45286</v>
      </c>
      <c r="B1079" t="s">
        <v>31</v>
      </c>
      <c r="C1079" t="s">
        <v>32</v>
      </c>
      <c r="D1079" t="s">
        <v>33</v>
      </c>
      <c r="E1079" t="s">
        <v>34</v>
      </c>
      <c r="F1079">
        <v>140</v>
      </c>
      <c r="G1079">
        <v>360</v>
      </c>
      <c r="H1079">
        <v>213</v>
      </c>
      <c r="I1079">
        <v>91</v>
      </c>
      <c r="J1079" s="8">
        <v>0.65</v>
      </c>
      <c r="K1079">
        <v>56</v>
      </c>
      <c r="L1079">
        <v>29</v>
      </c>
      <c r="M1079">
        <v>194</v>
      </c>
      <c r="N1079" s="10">
        <v>422.07</v>
      </c>
      <c r="O1079" s="7">
        <v>2</v>
      </c>
      <c r="P1079" s="7">
        <v>26.8</v>
      </c>
      <c r="Q1079">
        <v>1</v>
      </c>
      <c r="R1079" t="s">
        <v>63</v>
      </c>
      <c r="S1079">
        <v>12</v>
      </c>
      <c r="T1079">
        <v>360</v>
      </c>
      <c r="U1079" s="11">
        <v>0.7818314824680298</v>
      </c>
      <c r="V1079" s="11">
        <v>0.62348980185873359</v>
      </c>
      <c r="W1079" s="11">
        <v>-0.10730813165636247</v>
      </c>
      <c r="X1079" s="11">
        <v>0.99422581181561609</v>
      </c>
      <c r="Y1079">
        <v>0</v>
      </c>
      <c r="Z1079">
        <v>0</v>
      </c>
      <c r="AB1079">
        <v>1</v>
      </c>
      <c r="AC1079">
        <v>0</v>
      </c>
      <c r="AD1079">
        <v>0</v>
      </c>
      <c r="AE1079">
        <v>0</v>
      </c>
    </row>
    <row r="1080" spans="1:31">
      <c r="A1080" s="6">
        <v>45286</v>
      </c>
      <c r="B1080" t="s">
        <v>36</v>
      </c>
      <c r="C1080" t="s">
        <v>37</v>
      </c>
      <c r="D1080" t="s">
        <v>38</v>
      </c>
      <c r="E1080" t="s">
        <v>39</v>
      </c>
      <c r="F1080">
        <v>125</v>
      </c>
      <c r="G1080">
        <v>320</v>
      </c>
      <c r="H1080">
        <v>207</v>
      </c>
      <c r="I1080">
        <v>87</v>
      </c>
      <c r="J1080" s="8">
        <v>0.69599999999999995</v>
      </c>
      <c r="K1080">
        <v>22</v>
      </c>
      <c r="L1080">
        <v>50</v>
      </c>
      <c r="M1080">
        <v>191</v>
      </c>
      <c r="N1080" s="10">
        <v>630.82000000000005</v>
      </c>
      <c r="O1080" s="7">
        <v>2</v>
      </c>
      <c r="P1080" s="7">
        <v>26.8</v>
      </c>
      <c r="Q1080">
        <v>1</v>
      </c>
      <c r="R1080" t="s">
        <v>63</v>
      </c>
      <c r="S1080">
        <v>12</v>
      </c>
      <c r="T1080">
        <v>360</v>
      </c>
      <c r="U1080" s="11">
        <v>0.7818314824680298</v>
      </c>
      <c r="V1080" s="11">
        <v>0.62348980185873359</v>
      </c>
      <c r="W1080" s="11">
        <v>-0.10730813165636247</v>
      </c>
      <c r="X1080" s="11">
        <v>0.99422581181561609</v>
      </c>
      <c r="Y1080">
        <v>0</v>
      </c>
      <c r="Z1080">
        <v>0</v>
      </c>
      <c r="AB1080">
        <v>1</v>
      </c>
      <c r="AC1080">
        <v>0</v>
      </c>
      <c r="AD1080">
        <v>0</v>
      </c>
      <c r="AE1080">
        <v>0</v>
      </c>
    </row>
    <row r="1081" spans="1:31">
      <c r="A1081" s="6">
        <v>45286</v>
      </c>
      <c r="B1081" t="s">
        <v>41</v>
      </c>
      <c r="C1081" t="s">
        <v>42</v>
      </c>
      <c r="D1081" t="s">
        <v>43</v>
      </c>
      <c r="E1081" t="s">
        <v>44</v>
      </c>
      <c r="F1081">
        <v>85</v>
      </c>
      <c r="G1081">
        <v>210</v>
      </c>
      <c r="H1081">
        <v>158</v>
      </c>
      <c r="I1081">
        <v>68</v>
      </c>
      <c r="J1081" s="8">
        <v>0.8</v>
      </c>
      <c r="K1081">
        <v>42</v>
      </c>
      <c r="L1081">
        <v>32</v>
      </c>
      <c r="M1081">
        <v>133</v>
      </c>
      <c r="N1081" s="10">
        <v>541.38</v>
      </c>
      <c r="O1081" s="7">
        <v>2</v>
      </c>
      <c r="P1081" s="7">
        <v>26.8</v>
      </c>
      <c r="Q1081">
        <v>1</v>
      </c>
      <c r="R1081" t="s">
        <v>63</v>
      </c>
      <c r="S1081">
        <v>12</v>
      </c>
      <c r="T1081">
        <v>360</v>
      </c>
      <c r="U1081" s="11">
        <v>0.7818314824680298</v>
      </c>
      <c r="V1081" s="11">
        <v>0.62348980185873359</v>
      </c>
      <c r="W1081" s="11">
        <v>-0.10730813165636247</v>
      </c>
      <c r="X1081" s="11">
        <v>0.99422581181561609</v>
      </c>
      <c r="Y1081">
        <v>0</v>
      </c>
      <c r="Z1081">
        <v>0</v>
      </c>
      <c r="AB1081">
        <v>1</v>
      </c>
      <c r="AC1081">
        <v>0</v>
      </c>
      <c r="AD1081">
        <v>0</v>
      </c>
      <c r="AE1081">
        <v>0</v>
      </c>
    </row>
    <row r="1082" spans="1:31">
      <c r="A1082" s="6">
        <v>45287</v>
      </c>
      <c r="B1082" t="s">
        <v>31</v>
      </c>
      <c r="C1082" t="s">
        <v>32</v>
      </c>
      <c r="D1082" t="s">
        <v>33</v>
      </c>
      <c r="E1082" t="s">
        <v>34</v>
      </c>
      <c r="F1082">
        <v>140</v>
      </c>
      <c r="G1082">
        <v>360</v>
      </c>
      <c r="H1082">
        <v>220</v>
      </c>
      <c r="I1082">
        <v>95</v>
      </c>
      <c r="J1082" s="8">
        <v>0.6785714285714286</v>
      </c>
      <c r="K1082">
        <v>46</v>
      </c>
      <c r="L1082">
        <v>57</v>
      </c>
      <c r="M1082">
        <v>180</v>
      </c>
      <c r="N1082" s="10">
        <v>421.63</v>
      </c>
      <c r="O1082" s="7">
        <v>2.9</v>
      </c>
      <c r="P1082" s="7">
        <v>30.2</v>
      </c>
      <c r="Q1082">
        <v>2</v>
      </c>
      <c r="R1082" t="s">
        <v>64</v>
      </c>
      <c r="S1082">
        <v>12</v>
      </c>
      <c r="T1082">
        <v>361</v>
      </c>
      <c r="U1082" s="11">
        <v>0.97492791218182362</v>
      </c>
      <c r="V1082" s="11">
        <v>-0.22252093395631434</v>
      </c>
      <c r="W1082" s="11">
        <v>-9.0190004270345125E-2</v>
      </c>
      <c r="X1082" s="11">
        <v>0.99592457702865989</v>
      </c>
      <c r="Y1082">
        <v>0</v>
      </c>
      <c r="Z1082">
        <v>0</v>
      </c>
      <c r="AB1082">
        <v>1</v>
      </c>
      <c r="AC1082">
        <v>0</v>
      </c>
      <c r="AD1082">
        <v>0</v>
      </c>
      <c r="AE1082">
        <v>0</v>
      </c>
    </row>
    <row r="1083" spans="1:31">
      <c r="A1083" s="6">
        <v>45287</v>
      </c>
      <c r="B1083" t="s">
        <v>36</v>
      </c>
      <c r="C1083" t="s">
        <v>37</v>
      </c>
      <c r="D1083" t="s">
        <v>38</v>
      </c>
      <c r="E1083" t="s">
        <v>39</v>
      </c>
      <c r="F1083">
        <v>125</v>
      </c>
      <c r="G1083">
        <v>320</v>
      </c>
      <c r="H1083">
        <v>237</v>
      </c>
      <c r="I1083">
        <v>97</v>
      </c>
      <c r="J1083" s="8">
        <v>0.77600000000000002</v>
      </c>
      <c r="K1083">
        <v>66</v>
      </c>
      <c r="L1083">
        <v>54</v>
      </c>
      <c r="M1083">
        <v>213</v>
      </c>
      <c r="N1083" s="10">
        <v>629.76</v>
      </c>
      <c r="O1083" s="7">
        <v>2.9</v>
      </c>
      <c r="P1083" s="7">
        <v>30.2</v>
      </c>
      <c r="Q1083">
        <v>2</v>
      </c>
      <c r="R1083" t="s">
        <v>64</v>
      </c>
      <c r="S1083">
        <v>12</v>
      </c>
      <c r="T1083">
        <v>361</v>
      </c>
      <c r="U1083" s="11">
        <v>0.97492791218182362</v>
      </c>
      <c r="V1083" s="11">
        <v>-0.22252093395631434</v>
      </c>
      <c r="W1083" s="11">
        <v>-9.0190004270345125E-2</v>
      </c>
      <c r="X1083" s="11">
        <v>0.99592457702865989</v>
      </c>
      <c r="Y1083">
        <v>0</v>
      </c>
      <c r="Z1083">
        <v>0</v>
      </c>
      <c r="AB1083">
        <v>1</v>
      </c>
      <c r="AC1083">
        <v>0</v>
      </c>
      <c r="AD1083">
        <v>0</v>
      </c>
      <c r="AE1083">
        <v>0</v>
      </c>
    </row>
    <row r="1084" spans="1:31">
      <c r="A1084" s="6">
        <v>45287</v>
      </c>
      <c r="B1084" t="s">
        <v>41</v>
      </c>
      <c r="C1084" t="s">
        <v>42</v>
      </c>
      <c r="D1084" t="s">
        <v>43</v>
      </c>
      <c r="E1084" t="s">
        <v>44</v>
      </c>
      <c r="F1084">
        <v>85</v>
      </c>
      <c r="G1084">
        <v>210</v>
      </c>
      <c r="H1084">
        <v>153</v>
      </c>
      <c r="I1084">
        <v>67</v>
      </c>
      <c r="J1084" s="8">
        <v>0.78823529411764703</v>
      </c>
      <c r="K1084">
        <v>43</v>
      </c>
      <c r="L1084">
        <v>28</v>
      </c>
      <c r="M1084">
        <v>133</v>
      </c>
      <c r="N1084" s="10">
        <v>616.75</v>
      </c>
      <c r="O1084" s="7">
        <v>2.9</v>
      </c>
      <c r="P1084" s="7">
        <v>30.2</v>
      </c>
      <c r="Q1084">
        <v>2</v>
      </c>
      <c r="R1084" t="s">
        <v>64</v>
      </c>
      <c r="S1084">
        <v>12</v>
      </c>
      <c r="T1084">
        <v>361</v>
      </c>
      <c r="U1084" s="11">
        <v>0.97492791218182362</v>
      </c>
      <c r="V1084" s="11">
        <v>-0.22252093395631434</v>
      </c>
      <c r="W1084" s="11">
        <v>-9.0190004270345125E-2</v>
      </c>
      <c r="X1084" s="11">
        <v>0.99592457702865989</v>
      </c>
      <c r="Y1084">
        <v>0</v>
      </c>
      <c r="Z1084">
        <v>0</v>
      </c>
      <c r="AB1084">
        <v>1</v>
      </c>
      <c r="AC1084">
        <v>0</v>
      </c>
      <c r="AD1084">
        <v>0</v>
      </c>
      <c r="AE1084">
        <v>0</v>
      </c>
    </row>
    <row r="1085" spans="1:31">
      <c r="A1085" s="6">
        <v>45288</v>
      </c>
      <c r="B1085" t="s">
        <v>31</v>
      </c>
      <c r="C1085" t="s">
        <v>32</v>
      </c>
      <c r="D1085" t="s">
        <v>33</v>
      </c>
      <c r="E1085" t="s">
        <v>34</v>
      </c>
      <c r="F1085">
        <v>140</v>
      </c>
      <c r="G1085">
        <v>360</v>
      </c>
      <c r="H1085">
        <v>264</v>
      </c>
      <c r="I1085">
        <v>113</v>
      </c>
      <c r="J1085" s="8">
        <v>0.80714285714285716</v>
      </c>
      <c r="K1085">
        <v>56</v>
      </c>
      <c r="L1085">
        <v>28</v>
      </c>
      <c r="M1085">
        <v>216</v>
      </c>
      <c r="N1085" s="10">
        <v>487.04</v>
      </c>
      <c r="O1085" s="7">
        <v>0</v>
      </c>
      <c r="P1085" s="7">
        <v>28.2</v>
      </c>
      <c r="Q1085">
        <v>3</v>
      </c>
      <c r="R1085" t="s">
        <v>65</v>
      </c>
      <c r="S1085">
        <v>12</v>
      </c>
      <c r="T1085">
        <v>362</v>
      </c>
      <c r="U1085" s="11">
        <v>0.43388373911755823</v>
      </c>
      <c r="V1085" s="11">
        <v>-0.90096886790241903</v>
      </c>
      <c r="W1085" s="11">
        <v>-7.3045188211047427E-2</v>
      </c>
      <c r="X1085" s="11">
        <v>0.99732863213647516</v>
      </c>
      <c r="Y1085">
        <v>0</v>
      </c>
      <c r="Z1085">
        <v>0</v>
      </c>
      <c r="AB1085">
        <v>1</v>
      </c>
      <c r="AC1085">
        <v>0</v>
      </c>
      <c r="AD1085">
        <v>1</v>
      </c>
      <c r="AE1085">
        <v>0</v>
      </c>
    </row>
    <row r="1086" spans="1:31">
      <c r="A1086" s="6">
        <v>45288</v>
      </c>
      <c r="B1086" t="s">
        <v>36</v>
      </c>
      <c r="C1086" t="s">
        <v>37</v>
      </c>
      <c r="D1086" t="s">
        <v>38</v>
      </c>
      <c r="E1086" t="s">
        <v>39</v>
      </c>
      <c r="F1086">
        <v>125</v>
      </c>
      <c r="G1086">
        <v>320</v>
      </c>
      <c r="H1086">
        <v>275</v>
      </c>
      <c r="I1086">
        <v>111</v>
      </c>
      <c r="J1086" s="8">
        <v>0.88800000000000001</v>
      </c>
      <c r="K1086">
        <v>44</v>
      </c>
      <c r="L1086">
        <v>42</v>
      </c>
      <c r="M1086">
        <v>242</v>
      </c>
      <c r="N1086" s="10">
        <v>654.73</v>
      </c>
      <c r="O1086" s="7">
        <v>0</v>
      </c>
      <c r="P1086" s="7">
        <v>28.2</v>
      </c>
      <c r="Q1086">
        <v>3</v>
      </c>
      <c r="R1086" t="s">
        <v>65</v>
      </c>
      <c r="S1086">
        <v>12</v>
      </c>
      <c r="T1086">
        <v>362</v>
      </c>
      <c r="U1086" s="11">
        <v>0.43388373911755823</v>
      </c>
      <c r="V1086" s="11">
        <v>-0.90096886790241903</v>
      </c>
      <c r="W1086" s="11">
        <v>-7.3045188211047427E-2</v>
      </c>
      <c r="X1086" s="11">
        <v>0.99732863213647516</v>
      </c>
      <c r="Y1086">
        <v>0</v>
      </c>
      <c r="Z1086">
        <v>0</v>
      </c>
      <c r="AB1086">
        <v>1</v>
      </c>
      <c r="AC1086">
        <v>0</v>
      </c>
      <c r="AD1086">
        <v>1</v>
      </c>
      <c r="AE1086">
        <v>0</v>
      </c>
    </row>
    <row r="1087" spans="1:31">
      <c r="A1087" s="6">
        <v>45288</v>
      </c>
      <c r="B1087" t="s">
        <v>41</v>
      </c>
      <c r="C1087" t="s">
        <v>42</v>
      </c>
      <c r="D1087" t="s">
        <v>43</v>
      </c>
      <c r="E1087" t="s">
        <v>44</v>
      </c>
      <c r="F1087">
        <v>85</v>
      </c>
      <c r="G1087">
        <v>210</v>
      </c>
      <c r="H1087">
        <v>181</v>
      </c>
      <c r="I1087">
        <v>82</v>
      </c>
      <c r="J1087" s="8">
        <v>0.96470588235294119</v>
      </c>
      <c r="K1087">
        <v>44</v>
      </c>
      <c r="L1087">
        <v>36</v>
      </c>
      <c r="M1087">
        <v>169</v>
      </c>
      <c r="N1087" s="10">
        <v>571.36</v>
      </c>
      <c r="O1087" s="7">
        <v>0</v>
      </c>
      <c r="P1087" s="7">
        <v>28.2</v>
      </c>
      <c r="Q1087">
        <v>3</v>
      </c>
      <c r="R1087" t="s">
        <v>65</v>
      </c>
      <c r="S1087">
        <v>12</v>
      </c>
      <c r="T1087">
        <v>362</v>
      </c>
      <c r="U1087" s="11">
        <v>0.43388373911755823</v>
      </c>
      <c r="V1087" s="11">
        <v>-0.90096886790241903</v>
      </c>
      <c r="W1087" s="11">
        <v>-7.3045188211047427E-2</v>
      </c>
      <c r="X1087" s="11">
        <v>0.99732863213647516</v>
      </c>
      <c r="Y1087">
        <v>0</v>
      </c>
      <c r="Z1087">
        <v>0</v>
      </c>
      <c r="AB1087">
        <v>1</v>
      </c>
      <c r="AC1087">
        <v>0</v>
      </c>
      <c r="AD1087">
        <v>1</v>
      </c>
      <c r="AE1087">
        <v>0</v>
      </c>
    </row>
    <row r="1088" spans="1:31">
      <c r="A1088" s="6">
        <v>45289</v>
      </c>
      <c r="B1088" t="s">
        <v>31</v>
      </c>
      <c r="C1088" t="s">
        <v>32</v>
      </c>
      <c r="D1088" t="s">
        <v>33</v>
      </c>
      <c r="E1088" t="s">
        <v>34</v>
      </c>
      <c r="F1088">
        <v>140</v>
      </c>
      <c r="G1088">
        <v>360</v>
      </c>
      <c r="H1088">
        <v>249</v>
      </c>
      <c r="I1088">
        <v>107</v>
      </c>
      <c r="J1088" s="8">
        <v>0.76428571428571423</v>
      </c>
      <c r="K1088">
        <v>53</v>
      </c>
      <c r="L1088">
        <v>33</v>
      </c>
      <c r="M1088">
        <v>228</v>
      </c>
      <c r="N1088" s="10">
        <v>439.25</v>
      </c>
      <c r="O1088" s="7">
        <v>0.8</v>
      </c>
      <c r="P1088" s="7">
        <v>29.3</v>
      </c>
      <c r="Q1088">
        <v>4</v>
      </c>
      <c r="R1088" t="s">
        <v>66</v>
      </c>
      <c r="S1088">
        <v>12</v>
      </c>
      <c r="T1088">
        <v>363</v>
      </c>
      <c r="U1088" s="11">
        <v>-0.43388373911755801</v>
      </c>
      <c r="V1088" s="11">
        <v>-0.90096886790241915</v>
      </c>
      <c r="W1088" s="11">
        <v>-5.5878756905373132E-2</v>
      </c>
      <c r="X1088" s="11">
        <v>0.99843756165656661</v>
      </c>
      <c r="Y1088">
        <v>0</v>
      </c>
      <c r="Z1088">
        <v>0</v>
      </c>
      <c r="AB1088">
        <v>1</v>
      </c>
      <c r="AC1088">
        <v>0</v>
      </c>
      <c r="AD1088">
        <v>1</v>
      </c>
      <c r="AE1088">
        <v>0</v>
      </c>
    </row>
    <row r="1089" spans="1:31">
      <c r="A1089" s="6">
        <v>45289</v>
      </c>
      <c r="B1089" t="s">
        <v>36</v>
      </c>
      <c r="C1089" t="s">
        <v>37</v>
      </c>
      <c r="D1089" t="s">
        <v>38</v>
      </c>
      <c r="E1089" t="s">
        <v>39</v>
      </c>
      <c r="F1089">
        <v>125</v>
      </c>
      <c r="G1089">
        <v>320</v>
      </c>
      <c r="H1089">
        <v>273</v>
      </c>
      <c r="I1089">
        <v>114</v>
      </c>
      <c r="J1089" s="8">
        <v>0.91200000000000003</v>
      </c>
      <c r="K1089">
        <v>67</v>
      </c>
      <c r="L1089">
        <v>50</v>
      </c>
      <c r="M1089">
        <v>220</v>
      </c>
      <c r="N1089" s="10">
        <v>660.59</v>
      </c>
      <c r="O1089" s="7">
        <v>0.8</v>
      </c>
      <c r="P1089" s="7">
        <v>29.3</v>
      </c>
      <c r="Q1089">
        <v>4</v>
      </c>
      <c r="R1089" t="s">
        <v>66</v>
      </c>
      <c r="S1089">
        <v>12</v>
      </c>
      <c r="T1089">
        <v>363</v>
      </c>
      <c r="U1089" s="11">
        <v>-0.43388373911755801</v>
      </c>
      <c r="V1089" s="11">
        <v>-0.90096886790241915</v>
      </c>
      <c r="W1089" s="11">
        <v>-5.5878756905373132E-2</v>
      </c>
      <c r="X1089" s="11">
        <v>0.99843756165656661</v>
      </c>
      <c r="Y1089">
        <v>0</v>
      </c>
      <c r="Z1089">
        <v>0</v>
      </c>
      <c r="AB1089">
        <v>1</v>
      </c>
      <c r="AC1089">
        <v>0</v>
      </c>
      <c r="AD1089">
        <v>1</v>
      </c>
      <c r="AE1089">
        <v>0</v>
      </c>
    </row>
    <row r="1090" spans="1:31">
      <c r="A1090" s="6">
        <v>45289</v>
      </c>
      <c r="B1090" t="s">
        <v>41</v>
      </c>
      <c r="C1090" t="s">
        <v>42</v>
      </c>
      <c r="D1090" t="s">
        <v>43</v>
      </c>
      <c r="E1090" t="s">
        <v>44</v>
      </c>
      <c r="F1090">
        <v>85</v>
      </c>
      <c r="G1090">
        <v>210</v>
      </c>
      <c r="H1090">
        <v>183</v>
      </c>
      <c r="I1090">
        <v>82</v>
      </c>
      <c r="J1090" s="8">
        <v>0.96470588235294119</v>
      </c>
      <c r="K1090">
        <v>39</v>
      </c>
      <c r="L1090">
        <v>46</v>
      </c>
      <c r="M1090">
        <v>155</v>
      </c>
      <c r="N1090" s="10">
        <v>592.37</v>
      </c>
      <c r="O1090" s="7">
        <v>0.8</v>
      </c>
      <c r="P1090" s="7">
        <v>29.3</v>
      </c>
      <c r="Q1090">
        <v>4</v>
      </c>
      <c r="R1090" t="s">
        <v>66</v>
      </c>
      <c r="S1090">
        <v>12</v>
      </c>
      <c r="T1090">
        <v>363</v>
      </c>
      <c r="U1090" s="11">
        <v>-0.43388373911755801</v>
      </c>
      <c r="V1090" s="11">
        <v>-0.90096886790241915</v>
      </c>
      <c r="W1090" s="11">
        <v>-5.5878756905373132E-2</v>
      </c>
      <c r="X1090" s="11">
        <v>0.99843756165656661</v>
      </c>
      <c r="Y1090">
        <v>0</v>
      </c>
      <c r="Z1090">
        <v>0</v>
      </c>
      <c r="AB1090">
        <v>1</v>
      </c>
      <c r="AC1090">
        <v>0</v>
      </c>
      <c r="AD1090">
        <v>1</v>
      </c>
      <c r="AE1090">
        <v>0</v>
      </c>
    </row>
    <row r="1091" spans="1:31">
      <c r="A1091" s="6">
        <v>45290</v>
      </c>
      <c r="B1091" t="s">
        <v>31</v>
      </c>
      <c r="C1091" t="s">
        <v>32</v>
      </c>
      <c r="D1091" t="s">
        <v>33</v>
      </c>
      <c r="E1091" t="s">
        <v>34</v>
      </c>
      <c r="F1091">
        <v>140</v>
      </c>
      <c r="G1091">
        <v>360</v>
      </c>
      <c r="H1091">
        <v>279</v>
      </c>
      <c r="I1091">
        <v>118</v>
      </c>
      <c r="J1091" s="8">
        <v>0.84285714285714286</v>
      </c>
      <c r="K1091">
        <v>78</v>
      </c>
      <c r="L1091">
        <v>53</v>
      </c>
      <c r="M1091">
        <v>253</v>
      </c>
      <c r="N1091" s="10">
        <v>475.38</v>
      </c>
      <c r="O1091" s="7">
        <v>0.5</v>
      </c>
      <c r="P1091" s="7">
        <v>29.1</v>
      </c>
      <c r="Q1091">
        <v>5</v>
      </c>
      <c r="R1091" t="s">
        <v>67</v>
      </c>
      <c r="S1091">
        <v>12</v>
      </c>
      <c r="T1091">
        <v>364</v>
      </c>
      <c r="U1091" s="11">
        <v>-0.97492791218182362</v>
      </c>
      <c r="V1091" s="11">
        <v>-0.22252093395631459</v>
      </c>
      <c r="W1091" s="11">
        <v>-3.8695790176526891E-2</v>
      </c>
      <c r="X1091" s="11">
        <v>0.99925103743884813</v>
      </c>
      <c r="Y1091">
        <v>1</v>
      </c>
      <c r="Z1091">
        <v>0</v>
      </c>
      <c r="AB1091">
        <v>1</v>
      </c>
      <c r="AC1091">
        <v>0</v>
      </c>
      <c r="AD1091">
        <v>1</v>
      </c>
      <c r="AE1091">
        <v>0</v>
      </c>
    </row>
    <row r="1092" spans="1:31">
      <c r="A1092" s="6">
        <v>45290</v>
      </c>
      <c r="B1092" t="s">
        <v>36</v>
      </c>
      <c r="C1092" t="s">
        <v>37</v>
      </c>
      <c r="D1092" t="s">
        <v>38</v>
      </c>
      <c r="E1092" t="s">
        <v>39</v>
      </c>
      <c r="F1092">
        <v>125</v>
      </c>
      <c r="G1092">
        <v>320</v>
      </c>
      <c r="H1092">
        <v>284</v>
      </c>
      <c r="I1092">
        <v>118</v>
      </c>
      <c r="J1092" s="8">
        <v>0.94399999999999995</v>
      </c>
      <c r="K1092">
        <v>68</v>
      </c>
      <c r="L1092">
        <v>58</v>
      </c>
      <c r="M1092">
        <v>235</v>
      </c>
      <c r="N1092" s="10">
        <v>810.06</v>
      </c>
      <c r="O1092" s="7">
        <v>0.5</v>
      </c>
      <c r="P1092" s="7">
        <v>29.1</v>
      </c>
      <c r="Q1092">
        <v>5</v>
      </c>
      <c r="R1092" t="s">
        <v>67</v>
      </c>
      <c r="S1092">
        <v>12</v>
      </c>
      <c r="T1092">
        <v>364</v>
      </c>
      <c r="U1092" s="11">
        <v>-0.97492791218182362</v>
      </c>
      <c r="V1092" s="11">
        <v>-0.22252093395631459</v>
      </c>
      <c r="W1092" s="11">
        <v>-3.8695790176526891E-2</v>
      </c>
      <c r="X1092" s="11">
        <v>0.99925103743884813</v>
      </c>
      <c r="Y1092">
        <v>1</v>
      </c>
      <c r="Z1092">
        <v>0</v>
      </c>
      <c r="AB1092">
        <v>1</v>
      </c>
      <c r="AC1092">
        <v>0</v>
      </c>
      <c r="AD1092">
        <v>1</v>
      </c>
      <c r="AE1092">
        <v>0</v>
      </c>
    </row>
    <row r="1093" spans="1:31">
      <c r="A1093" s="6">
        <v>45290</v>
      </c>
      <c r="B1093" t="s">
        <v>41</v>
      </c>
      <c r="C1093" t="s">
        <v>42</v>
      </c>
      <c r="D1093" t="s">
        <v>43</v>
      </c>
      <c r="E1093" t="s">
        <v>44</v>
      </c>
      <c r="F1093">
        <v>85</v>
      </c>
      <c r="G1093">
        <v>210</v>
      </c>
      <c r="H1093">
        <v>192</v>
      </c>
      <c r="I1093">
        <v>82</v>
      </c>
      <c r="J1093" s="8">
        <v>0.96470588235294119</v>
      </c>
      <c r="K1093">
        <v>58</v>
      </c>
      <c r="L1093">
        <v>38</v>
      </c>
      <c r="M1093">
        <v>168</v>
      </c>
      <c r="N1093" s="10">
        <v>581.64</v>
      </c>
      <c r="O1093" s="7">
        <v>0.5</v>
      </c>
      <c r="P1093" s="7">
        <v>29.1</v>
      </c>
      <c r="Q1093">
        <v>5</v>
      </c>
      <c r="R1093" t="s">
        <v>67</v>
      </c>
      <c r="S1093">
        <v>12</v>
      </c>
      <c r="T1093">
        <v>364</v>
      </c>
      <c r="U1093" s="11">
        <v>-0.97492791218182362</v>
      </c>
      <c r="V1093" s="11">
        <v>-0.22252093395631459</v>
      </c>
      <c r="W1093" s="11">
        <v>-3.8695790176526891E-2</v>
      </c>
      <c r="X1093" s="11">
        <v>0.99925103743884813</v>
      </c>
      <c r="Y1093">
        <v>1</v>
      </c>
      <c r="Z1093">
        <v>0</v>
      </c>
      <c r="AB1093">
        <v>1</v>
      </c>
      <c r="AC1093">
        <v>0</v>
      </c>
      <c r="AD1093">
        <v>1</v>
      </c>
      <c r="AE1093">
        <v>0</v>
      </c>
    </row>
    <row r="1094" spans="1:31">
      <c r="A1094" s="6">
        <v>45291</v>
      </c>
      <c r="B1094" t="s">
        <v>31</v>
      </c>
      <c r="C1094" t="s">
        <v>32</v>
      </c>
      <c r="D1094" t="s">
        <v>33</v>
      </c>
      <c r="E1094" t="s">
        <v>34</v>
      </c>
      <c r="F1094">
        <v>140</v>
      </c>
      <c r="G1094">
        <v>360</v>
      </c>
      <c r="H1094">
        <v>297</v>
      </c>
      <c r="I1094">
        <v>126</v>
      </c>
      <c r="J1094" s="8">
        <v>0.9</v>
      </c>
      <c r="K1094">
        <v>61</v>
      </c>
      <c r="L1094">
        <v>65</v>
      </c>
      <c r="M1094">
        <v>269</v>
      </c>
      <c r="N1094" s="10">
        <v>483.73</v>
      </c>
      <c r="O1094" s="7">
        <v>2.5</v>
      </c>
      <c r="P1094" s="7">
        <v>29.1</v>
      </c>
      <c r="Q1094">
        <v>6</v>
      </c>
      <c r="R1094" t="s">
        <v>60</v>
      </c>
      <c r="S1094">
        <v>12</v>
      </c>
      <c r="T1094">
        <v>365</v>
      </c>
      <c r="U1094" s="11">
        <v>-0.78183148246802991</v>
      </c>
      <c r="V1094" s="11">
        <v>0.62348980185873337</v>
      </c>
      <c r="W1094" s="11">
        <v>-2.1501372740813793E-2</v>
      </c>
      <c r="X1094" s="11">
        <v>0.99976881876274803</v>
      </c>
      <c r="Y1094">
        <v>1</v>
      </c>
      <c r="Z1094">
        <v>0</v>
      </c>
      <c r="AB1094">
        <v>1</v>
      </c>
      <c r="AC1094">
        <v>0</v>
      </c>
      <c r="AD1094">
        <v>1</v>
      </c>
      <c r="AE1094">
        <v>0</v>
      </c>
    </row>
    <row r="1095" spans="1:31">
      <c r="A1095" s="6">
        <v>45291</v>
      </c>
      <c r="B1095" t="s">
        <v>36</v>
      </c>
      <c r="C1095" t="s">
        <v>37</v>
      </c>
      <c r="D1095" t="s">
        <v>38</v>
      </c>
      <c r="E1095" t="s">
        <v>39</v>
      </c>
      <c r="F1095">
        <v>125</v>
      </c>
      <c r="G1095">
        <v>320</v>
      </c>
      <c r="H1095">
        <v>293</v>
      </c>
      <c r="I1095">
        <v>121</v>
      </c>
      <c r="J1095" s="8">
        <v>0.96799999999999997</v>
      </c>
      <c r="K1095">
        <v>69</v>
      </c>
      <c r="L1095">
        <v>74</v>
      </c>
      <c r="M1095">
        <v>234</v>
      </c>
      <c r="N1095" s="10">
        <v>815.93</v>
      </c>
      <c r="O1095" s="7">
        <v>2.5</v>
      </c>
      <c r="P1095" s="7">
        <v>29.1</v>
      </c>
      <c r="Q1095">
        <v>6</v>
      </c>
      <c r="R1095" t="s">
        <v>60</v>
      </c>
      <c r="S1095">
        <v>12</v>
      </c>
      <c r="T1095">
        <v>365</v>
      </c>
      <c r="U1095" s="11">
        <v>-0.78183148246802991</v>
      </c>
      <c r="V1095" s="11">
        <v>0.62348980185873337</v>
      </c>
      <c r="W1095" s="11">
        <v>-2.1501372740813793E-2</v>
      </c>
      <c r="X1095" s="11">
        <v>0.99976881876274803</v>
      </c>
      <c r="Y1095">
        <v>1</v>
      </c>
      <c r="Z1095">
        <v>0</v>
      </c>
      <c r="AB1095">
        <v>1</v>
      </c>
      <c r="AC1095">
        <v>0</v>
      </c>
      <c r="AD1095">
        <v>1</v>
      </c>
      <c r="AE1095">
        <v>0</v>
      </c>
    </row>
    <row r="1096" spans="1:31">
      <c r="A1096" s="6">
        <v>45291</v>
      </c>
      <c r="B1096" t="s">
        <v>41</v>
      </c>
      <c r="C1096" t="s">
        <v>42</v>
      </c>
      <c r="D1096" t="s">
        <v>43</v>
      </c>
      <c r="E1096" t="s">
        <v>44</v>
      </c>
      <c r="F1096">
        <v>85</v>
      </c>
      <c r="G1096">
        <v>210</v>
      </c>
      <c r="H1096">
        <v>179</v>
      </c>
      <c r="I1096">
        <v>82</v>
      </c>
      <c r="J1096" s="8">
        <v>0.96470588235294119</v>
      </c>
      <c r="K1096">
        <v>33</v>
      </c>
      <c r="L1096">
        <v>19</v>
      </c>
      <c r="M1096">
        <v>158</v>
      </c>
      <c r="N1096" s="10">
        <v>663</v>
      </c>
      <c r="O1096" s="7">
        <v>2.5</v>
      </c>
      <c r="P1096" s="7">
        <v>29.1</v>
      </c>
      <c r="Q1096">
        <v>6</v>
      </c>
      <c r="R1096" t="s">
        <v>60</v>
      </c>
      <c r="S1096">
        <v>12</v>
      </c>
      <c r="T1096">
        <v>365</v>
      </c>
      <c r="U1096" s="11">
        <v>-0.78183148246802991</v>
      </c>
      <c r="V1096" s="11">
        <v>0.62348980185873337</v>
      </c>
      <c r="W1096" s="11">
        <v>-2.1501372740813793E-2</v>
      </c>
      <c r="X1096" s="11">
        <v>0.99976881876274803</v>
      </c>
      <c r="Y1096">
        <v>1</v>
      </c>
      <c r="Z1096">
        <v>0</v>
      </c>
      <c r="AB1096">
        <v>1</v>
      </c>
      <c r="AC1096">
        <v>0</v>
      </c>
      <c r="AD1096">
        <v>1</v>
      </c>
      <c r="AE1096">
        <v>0</v>
      </c>
    </row>
    <row r="1097" spans="1:31">
      <c r="A1097" s="6">
        <v>45292</v>
      </c>
      <c r="B1097" t="s">
        <v>31</v>
      </c>
      <c r="C1097" t="s">
        <v>32</v>
      </c>
      <c r="D1097" t="s">
        <v>33</v>
      </c>
      <c r="E1097" t="s">
        <v>34</v>
      </c>
      <c r="F1097">
        <v>140</v>
      </c>
      <c r="G1097">
        <v>360</v>
      </c>
      <c r="H1097">
        <v>289</v>
      </c>
      <c r="I1097">
        <v>122</v>
      </c>
      <c r="J1097" s="8">
        <v>0.87142857142857144</v>
      </c>
      <c r="K1097">
        <v>67</v>
      </c>
      <c r="L1097">
        <v>32</v>
      </c>
      <c r="M1097">
        <v>253</v>
      </c>
      <c r="N1097" s="10">
        <v>489.63</v>
      </c>
      <c r="O1097" s="7">
        <v>0</v>
      </c>
      <c r="P1097" s="7">
        <v>29</v>
      </c>
      <c r="Q1097">
        <v>0</v>
      </c>
      <c r="R1097" t="s">
        <v>62</v>
      </c>
      <c r="S1097">
        <v>1</v>
      </c>
      <c r="T1097">
        <v>1</v>
      </c>
      <c r="U1097" s="11">
        <v>0</v>
      </c>
      <c r="V1097" s="11">
        <v>1</v>
      </c>
      <c r="W1097" s="11">
        <v>0</v>
      </c>
      <c r="X1097" s="11">
        <v>1</v>
      </c>
      <c r="Y1097">
        <v>0</v>
      </c>
      <c r="Z1097">
        <v>1</v>
      </c>
      <c r="AA1097" t="s">
        <v>61</v>
      </c>
      <c r="AB1097">
        <v>1</v>
      </c>
      <c r="AC1097">
        <v>0</v>
      </c>
      <c r="AD1097">
        <v>1</v>
      </c>
      <c r="AE1097">
        <v>0</v>
      </c>
    </row>
    <row r="1098" spans="1:31">
      <c r="A1098" s="6">
        <v>45292</v>
      </c>
      <c r="B1098" t="s">
        <v>36</v>
      </c>
      <c r="C1098" t="s">
        <v>37</v>
      </c>
      <c r="D1098" t="s">
        <v>38</v>
      </c>
      <c r="E1098" t="s">
        <v>39</v>
      </c>
      <c r="F1098">
        <v>125</v>
      </c>
      <c r="G1098">
        <v>320</v>
      </c>
      <c r="H1098">
        <v>290</v>
      </c>
      <c r="I1098">
        <v>121</v>
      </c>
      <c r="J1098" s="8">
        <v>0.96799999999999997</v>
      </c>
      <c r="K1098">
        <v>41</v>
      </c>
      <c r="L1098">
        <v>31</v>
      </c>
      <c r="M1098">
        <v>271</v>
      </c>
      <c r="N1098" s="10">
        <v>690.62</v>
      </c>
      <c r="O1098" s="7">
        <v>0</v>
      </c>
      <c r="P1098" s="7">
        <v>29</v>
      </c>
      <c r="Q1098">
        <v>0</v>
      </c>
      <c r="R1098" t="s">
        <v>62</v>
      </c>
      <c r="S1098">
        <v>1</v>
      </c>
      <c r="T1098">
        <v>1</v>
      </c>
      <c r="U1098" s="11">
        <v>0</v>
      </c>
      <c r="V1098" s="11">
        <v>1</v>
      </c>
      <c r="W1098" s="11">
        <v>0</v>
      </c>
      <c r="X1098" s="11">
        <v>1</v>
      </c>
      <c r="Y1098">
        <v>0</v>
      </c>
      <c r="Z1098">
        <v>1</v>
      </c>
      <c r="AA1098" t="s">
        <v>61</v>
      </c>
      <c r="AB1098">
        <v>1</v>
      </c>
      <c r="AC1098">
        <v>0</v>
      </c>
      <c r="AD1098">
        <v>1</v>
      </c>
      <c r="AE1098">
        <v>0</v>
      </c>
    </row>
    <row r="1099" spans="1:31">
      <c r="A1099" s="6">
        <v>45292</v>
      </c>
      <c r="B1099" t="s">
        <v>41</v>
      </c>
      <c r="C1099" t="s">
        <v>42</v>
      </c>
      <c r="D1099" t="s">
        <v>43</v>
      </c>
      <c r="E1099" t="s">
        <v>44</v>
      </c>
      <c r="F1099">
        <v>85</v>
      </c>
      <c r="G1099">
        <v>210</v>
      </c>
      <c r="H1099">
        <v>186</v>
      </c>
      <c r="I1099">
        <v>82</v>
      </c>
      <c r="J1099" s="8">
        <v>0.96470588235294119</v>
      </c>
      <c r="K1099">
        <v>30</v>
      </c>
      <c r="L1099">
        <v>37</v>
      </c>
      <c r="M1099">
        <v>154</v>
      </c>
      <c r="N1099" s="10">
        <v>547.91999999999996</v>
      </c>
      <c r="O1099" s="7">
        <v>0</v>
      </c>
      <c r="P1099" s="7">
        <v>29</v>
      </c>
      <c r="Q1099">
        <v>0</v>
      </c>
      <c r="R1099" t="s">
        <v>62</v>
      </c>
      <c r="S1099">
        <v>1</v>
      </c>
      <c r="T1099">
        <v>1</v>
      </c>
      <c r="U1099" s="11">
        <v>0</v>
      </c>
      <c r="V1099" s="11">
        <v>1</v>
      </c>
      <c r="W1099" s="11">
        <v>0</v>
      </c>
      <c r="X1099" s="11">
        <v>1</v>
      </c>
      <c r="Y1099">
        <v>0</v>
      </c>
      <c r="Z1099">
        <v>1</v>
      </c>
      <c r="AA1099" t="s">
        <v>61</v>
      </c>
      <c r="AB1099">
        <v>1</v>
      </c>
      <c r="AC1099">
        <v>0</v>
      </c>
      <c r="AD1099">
        <v>1</v>
      </c>
      <c r="AE1099">
        <v>0</v>
      </c>
    </row>
    <row r="1100" spans="1:31">
      <c r="A1100" s="6">
        <v>45293</v>
      </c>
      <c r="B1100" t="s">
        <v>31</v>
      </c>
      <c r="C1100" t="s">
        <v>32</v>
      </c>
      <c r="D1100" t="s">
        <v>33</v>
      </c>
      <c r="E1100" t="s">
        <v>34</v>
      </c>
      <c r="F1100">
        <v>140</v>
      </c>
      <c r="G1100">
        <v>360</v>
      </c>
      <c r="H1100">
        <v>266</v>
      </c>
      <c r="I1100">
        <v>112</v>
      </c>
      <c r="J1100" s="8">
        <v>0.8</v>
      </c>
      <c r="K1100">
        <v>66</v>
      </c>
      <c r="L1100">
        <v>71</v>
      </c>
      <c r="M1100">
        <v>215</v>
      </c>
      <c r="N1100" s="10">
        <v>446.48</v>
      </c>
      <c r="O1100" s="7">
        <v>0.7</v>
      </c>
      <c r="P1100" s="7">
        <v>27.4</v>
      </c>
      <c r="Q1100">
        <v>1</v>
      </c>
      <c r="R1100" t="s">
        <v>63</v>
      </c>
      <c r="S1100">
        <v>1</v>
      </c>
      <c r="T1100">
        <v>2</v>
      </c>
      <c r="U1100" s="11">
        <v>0.7818314824680298</v>
      </c>
      <c r="V1100" s="11">
        <v>0.62348980185873359</v>
      </c>
      <c r="W1100" s="11">
        <v>1.7201575418260506E-2</v>
      </c>
      <c r="X1100" s="11">
        <v>0.99985204195577349</v>
      </c>
      <c r="Y1100">
        <v>0</v>
      </c>
      <c r="Z1100">
        <v>0</v>
      </c>
      <c r="AB1100">
        <v>1</v>
      </c>
      <c r="AC1100">
        <v>0</v>
      </c>
      <c r="AD1100">
        <v>1</v>
      </c>
      <c r="AE1100">
        <v>0</v>
      </c>
    </row>
    <row r="1101" spans="1:31">
      <c r="A1101" s="6">
        <v>45293</v>
      </c>
      <c r="B1101" t="s">
        <v>36</v>
      </c>
      <c r="C1101" t="s">
        <v>37</v>
      </c>
      <c r="D1101" t="s">
        <v>38</v>
      </c>
      <c r="E1101" t="s">
        <v>39</v>
      </c>
      <c r="F1101">
        <v>125</v>
      </c>
      <c r="G1101">
        <v>320</v>
      </c>
      <c r="H1101">
        <v>284</v>
      </c>
      <c r="I1101">
        <v>120</v>
      </c>
      <c r="J1101" s="8">
        <v>0.96</v>
      </c>
      <c r="K1101">
        <v>70</v>
      </c>
      <c r="L1101">
        <v>37</v>
      </c>
      <c r="M1101">
        <v>244</v>
      </c>
      <c r="N1101" s="10">
        <v>683.66</v>
      </c>
      <c r="O1101" s="7">
        <v>0.7</v>
      </c>
      <c r="P1101" s="7">
        <v>27.4</v>
      </c>
      <c r="Q1101">
        <v>1</v>
      </c>
      <c r="R1101" t="s">
        <v>63</v>
      </c>
      <c r="S1101">
        <v>1</v>
      </c>
      <c r="T1101">
        <v>2</v>
      </c>
      <c r="U1101" s="11">
        <v>0.7818314824680298</v>
      </c>
      <c r="V1101" s="11">
        <v>0.62348980185873359</v>
      </c>
      <c r="W1101" s="11">
        <v>1.7201575418260506E-2</v>
      </c>
      <c r="X1101" s="11">
        <v>0.99985204195577349</v>
      </c>
      <c r="Y1101">
        <v>0</v>
      </c>
      <c r="Z1101">
        <v>0</v>
      </c>
      <c r="AB1101">
        <v>1</v>
      </c>
      <c r="AC1101">
        <v>0</v>
      </c>
      <c r="AD1101">
        <v>1</v>
      </c>
      <c r="AE1101">
        <v>0</v>
      </c>
    </row>
    <row r="1102" spans="1:31">
      <c r="A1102" s="6">
        <v>45293</v>
      </c>
      <c r="B1102" t="s">
        <v>41</v>
      </c>
      <c r="C1102" t="s">
        <v>42</v>
      </c>
      <c r="D1102" t="s">
        <v>43</v>
      </c>
      <c r="E1102" t="s">
        <v>44</v>
      </c>
      <c r="F1102">
        <v>85</v>
      </c>
      <c r="G1102">
        <v>210</v>
      </c>
      <c r="H1102">
        <v>180</v>
      </c>
      <c r="I1102">
        <v>82</v>
      </c>
      <c r="J1102" s="8">
        <v>0.96470588235294119</v>
      </c>
      <c r="K1102">
        <v>44</v>
      </c>
      <c r="L1102">
        <v>34</v>
      </c>
      <c r="M1102">
        <v>167</v>
      </c>
      <c r="N1102" s="10">
        <v>546.98</v>
      </c>
      <c r="O1102" s="7">
        <v>0.7</v>
      </c>
      <c r="P1102" s="7">
        <v>27.4</v>
      </c>
      <c r="Q1102">
        <v>1</v>
      </c>
      <c r="R1102" t="s">
        <v>63</v>
      </c>
      <c r="S1102">
        <v>1</v>
      </c>
      <c r="T1102">
        <v>2</v>
      </c>
      <c r="U1102" s="11">
        <v>0.7818314824680298</v>
      </c>
      <c r="V1102" s="11">
        <v>0.62348980185873359</v>
      </c>
      <c r="W1102" s="11">
        <v>1.7201575418260506E-2</v>
      </c>
      <c r="X1102" s="11">
        <v>0.99985204195577349</v>
      </c>
      <c r="Y1102">
        <v>0</v>
      </c>
      <c r="Z1102">
        <v>0</v>
      </c>
      <c r="AB1102">
        <v>1</v>
      </c>
      <c r="AC1102">
        <v>0</v>
      </c>
      <c r="AD1102">
        <v>1</v>
      </c>
      <c r="AE1102">
        <v>0</v>
      </c>
    </row>
    <row r="1103" spans="1:31">
      <c r="A1103" s="6">
        <v>45294</v>
      </c>
      <c r="B1103" t="s">
        <v>31</v>
      </c>
      <c r="C1103" t="s">
        <v>32</v>
      </c>
      <c r="D1103" t="s">
        <v>33</v>
      </c>
      <c r="E1103" t="s">
        <v>34</v>
      </c>
      <c r="F1103">
        <v>140</v>
      </c>
      <c r="G1103">
        <v>360</v>
      </c>
      <c r="H1103">
        <v>221</v>
      </c>
      <c r="I1103">
        <v>93</v>
      </c>
      <c r="J1103" s="8">
        <v>0.66428571428571426</v>
      </c>
      <c r="K1103">
        <v>54</v>
      </c>
      <c r="L1103">
        <v>56</v>
      </c>
      <c r="M1103">
        <v>204</v>
      </c>
      <c r="N1103" s="10">
        <v>487.96</v>
      </c>
      <c r="O1103" s="7">
        <v>18.399999999999999</v>
      </c>
      <c r="P1103" s="7">
        <v>27.6</v>
      </c>
      <c r="Q1103">
        <v>2</v>
      </c>
      <c r="R1103" t="s">
        <v>64</v>
      </c>
      <c r="S1103">
        <v>1</v>
      </c>
      <c r="T1103">
        <v>3</v>
      </c>
      <c r="U1103" s="11">
        <v>0.97492791218182362</v>
      </c>
      <c r="V1103" s="11">
        <v>-0.22252093395631434</v>
      </c>
      <c r="W1103" s="11">
        <v>3.4398060613608013E-2</v>
      </c>
      <c r="X1103" s="11">
        <v>0.99940821160625981</v>
      </c>
      <c r="Y1103">
        <v>0</v>
      </c>
      <c r="Z1103">
        <v>0</v>
      </c>
      <c r="AB1103">
        <v>1</v>
      </c>
      <c r="AC1103">
        <v>0</v>
      </c>
      <c r="AD1103">
        <v>0</v>
      </c>
      <c r="AE1103">
        <v>0</v>
      </c>
    </row>
    <row r="1104" spans="1:31">
      <c r="A1104" s="6">
        <v>45294</v>
      </c>
      <c r="B1104" t="s">
        <v>36</v>
      </c>
      <c r="C1104" t="s">
        <v>37</v>
      </c>
      <c r="D1104" t="s">
        <v>38</v>
      </c>
      <c r="E1104" t="s">
        <v>39</v>
      </c>
      <c r="F1104">
        <v>125</v>
      </c>
      <c r="G1104">
        <v>320</v>
      </c>
      <c r="H1104">
        <v>225</v>
      </c>
      <c r="I1104">
        <v>92</v>
      </c>
      <c r="J1104" s="8">
        <v>0.73599999999999999</v>
      </c>
      <c r="K1104">
        <v>51</v>
      </c>
      <c r="L1104">
        <v>47</v>
      </c>
      <c r="M1104">
        <v>197</v>
      </c>
      <c r="N1104" s="10">
        <v>648.17999999999995</v>
      </c>
      <c r="O1104" s="7">
        <v>18.399999999999999</v>
      </c>
      <c r="P1104" s="7">
        <v>27.6</v>
      </c>
      <c r="Q1104">
        <v>2</v>
      </c>
      <c r="R1104" t="s">
        <v>64</v>
      </c>
      <c r="S1104">
        <v>1</v>
      </c>
      <c r="T1104">
        <v>3</v>
      </c>
      <c r="U1104" s="11">
        <v>0.97492791218182362</v>
      </c>
      <c r="V1104" s="11">
        <v>-0.22252093395631434</v>
      </c>
      <c r="W1104" s="11">
        <v>3.4398060613608013E-2</v>
      </c>
      <c r="X1104" s="11">
        <v>0.99940821160625981</v>
      </c>
      <c r="Y1104">
        <v>0</v>
      </c>
      <c r="Z1104">
        <v>0</v>
      </c>
      <c r="AB1104">
        <v>1</v>
      </c>
      <c r="AC1104">
        <v>0</v>
      </c>
      <c r="AD1104">
        <v>0</v>
      </c>
      <c r="AE1104">
        <v>0</v>
      </c>
    </row>
    <row r="1105" spans="1:31">
      <c r="A1105" s="6">
        <v>45294</v>
      </c>
      <c r="B1105" t="s">
        <v>41</v>
      </c>
      <c r="C1105" t="s">
        <v>42</v>
      </c>
      <c r="D1105" t="s">
        <v>43</v>
      </c>
      <c r="E1105" t="s">
        <v>44</v>
      </c>
      <c r="F1105">
        <v>85</v>
      </c>
      <c r="G1105">
        <v>210</v>
      </c>
      <c r="H1105">
        <v>157</v>
      </c>
      <c r="I1105">
        <v>70</v>
      </c>
      <c r="J1105" s="8">
        <v>0.82352941176470584</v>
      </c>
      <c r="K1105">
        <v>34</v>
      </c>
      <c r="L1105">
        <v>38</v>
      </c>
      <c r="M1105">
        <v>146</v>
      </c>
      <c r="N1105" s="10">
        <v>611.9</v>
      </c>
      <c r="O1105" s="7">
        <v>18.399999999999999</v>
      </c>
      <c r="P1105" s="7">
        <v>27.6</v>
      </c>
      <c r="Q1105">
        <v>2</v>
      </c>
      <c r="R1105" t="s">
        <v>64</v>
      </c>
      <c r="S1105">
        <v>1</v>
      </c>
      <c r="T1105">
        <v>3</v>
      </c>
      <c r="U1105" s="11">
        <v>0.97492791218182362</v>
      </c>
      <c r="V1105" s="11">
        <v>-0.22252093395631434</v>
      </c>
      <c r="W1105" s="11">
        <v>3.4398060613608013E-2</v>
      </c>
      <c r="X1105" s="11">
        <v>0.99940821160625981</v>
      </c>
      <c r="Y1105">
        <v>0</v>
      </c>
      <c r="Z1105">
        <v>0</v>
      </c>
      <c r="AB1105">
        <v>1</v>
      </c>
      <c r="AC1105">
        <v>0</v>
      </c>
      <c r="AD1105">
        <v>0</v>
      </c>
      <c r="AE1105">
        <v>0</v>
      </c>
    </row>
    <row r="1106" spans="1:31">
      <c r="A1106" s="6">
        <v>45295</v>
      </c>
      <c r="B1106" t="s">
        <v>31</v>
      </c>
      <c r="C1106" t="s">
        <v>32</v>
      </c>
      <c r="D1106" t="s">
        <v>33</v>
      </c>
      <c r="E1106" t="s">
        <v>34</v>
      </c>
      <c r="F1106">
        <v>140</v>
      </c>
      <c r="G1106">
        <v>360</v>
      </c>
      <c r="H1106">
        <v>222</v>
      </c>
      <c r="I1106">
        <v>97</v>
      </c>
      <c r="J1106" s="8">
        <v>0.69285714285714284</v>
      </c>
      <c r="K1106">
        <v>47</v>
      </c>
      <c r="L1106">
        <v>56</v>
      </c>
      <c r="M1106">
        <v>194</v>
      </c>
      <c r="N1106" s="10">
        <v>494.78</v>
      </c>
      <c r="O1106" s="7">
        <v>8.5</v>
      </c>
      <c r="P1106" s="7">
        <v>28.6</v>
      </c>
      <c r="Q1106">
        <v>3</v>
      </c>
      <c r="R1106" t="s">
        <v>65</v>
      </c>
      <c r="S1106">
        <v>1</v>
      </c>
      <c r="T1106">
        <v>4</v>
      </c>
      <c r="U1106" s="11">
        <v>0.43388373911755823</v>
      </c>
      <c r="V1106" s="11">
        <v>-0.90096886790241903</v>
      </c>
      <c r="W1106" s="11">
        <v>5.1584366869408364E-2</v>
      </c>
      <c r="X1106" s="11">
        <v>0.99866864028799973</v>
      </c>
      <c r="Y1106">
        <v>0</v>
      </c>
      <c r="Z1106">
        <v>0</v>
      </c>
      <c r="AB1106">
        <v>1</v>
      </c>
      <c r="AC1106">
        <v>0</v>
      </c>
      <c r="AD1106">
        <v>0</v>
      </c>
      <c r="AE1106">
        <v>0</v>
      </c>
    </row>
    <row r="1107" spans="1:31">
      <c r="A1107" s="6">
        <v>45295</v>
      </c>
      <c r="B1107" t="s">
        <v>36</v>
      </c>
      <c r="C1107" t="s">
        <v>37</v>
      </c>
      <c r="D1107" t="s">
        <v>38</v>
      </c>
      <c r="E1107" t="s">
        <v>39</v>
      </c>
      <c r="F1107">
        <v>125</v>
      </c>
      <c r="G1107">
        <v>320</v>
      </c>
      <c r="H1107">
        <v>234</v>
      </c>
      <c r="I1107">
        <v>98</v>
      </c>
      <c r="J1107" s="8">
        <v>0.78400000000000003</v>
      </c>
      <c r="K1107">
        <v>68</v>
      </c>
      <c r="L1107">
        <v>59</v>
      </c>
      <c r="M1107">
        <v>213</v>
      </c>
      <c r="N1107" s="10">
        <v>693.57</v>
      </c>
      <c r="O1107" s="7">
        <v>8.5</v>
      </c>
      <c r="P1107" s="7">
        <v>28.6</v>
      </c>
      <c r="Q1107">
        <v>3</v>
      </c>
      <c r="R1107" t="s">
        <v>65</v>
      </c>
      <c r="S1107">
        <v>1</v>
      </c>
      <c r="T1107">
        <v>4</v>
      </c>
      <c r="U1107" s="11">
        <v>0.43388373911755823</v>
      </c>
      <c r="V1107" s="11">
        <v>-0.90096886790241903</v>
      </c>
      <c r="W1107" s="11">
        <v>5.1584366869408364E-2</v>
      </c>
      <c r="X1107" s="11">
        <v>0.99866864028799973</v>
      </c>
      <c r="Y1107">
        <v>0</v>
      </c>
      <c r="Z1107">
        <v>0</v>
      </c>
      <c r="AB1107">
        <v>1</v>
      </c>
      <c r="AC1107">
        <v>0</v>
      </c>
      <c r="AD1107">
        <v>0</v>
      </c>
      <c r="AE1107">
        <v>0</v>
      </c>
    </row>
    <row r="1108" spans="1:31">
      <c r="A1108" s="6">
        <v>45295</v>
      </c>
      <c r="B1108" t="s">
        <v>41</v>
      </c>
      <c r="C1108" t="s">
        <v>42</v>
      </c>
      <c r="D1108" t="s">
        <v>43</v>
      </c>
      <c r="E1108" t="s">
        <v>44</v>
      </c>
      <c r="F1108">
        <v>85</v>
      </c>
      <c r="G1108">
        <v>210</v>
      </c>
      <c r="H1108">
        <v>170</v>
      </c>
      <c r="I1108">
        <v>73</v>
      </c>
      <c r="J1108" s="8">
        <v>0.85882352941176465</v>
      </c>
      <c r="K1108">
        <v>34</v>
      </c>
      <c r="L1108">
        <v>30</v>
      </c>
      <c r="M1108">
        <v>146</v>
      </c>
      <c r="N1108" s="10">
        <v>600.02</v>
      </c>
      <c r="O1108" s="7">
        <v>8.5</v>
      </c>
      <c r="P1108" s="7">
        <v>28.6</v>
      </c>
      <c r="Q1108">
        <v>3</v>
      </c>
      <c r="R1108" t="s">
        <v>65</v>
      </c>
      <c r="S1108">
        <v>1</v>
      </c>
      <c r="T1108">
        <v>4</v>
      </c>
      <c r="U1108" s="11">
        <v>0.43388373911755823</v>
      </c>
      <c r="V1108" s="11">
        <v>-0.90096886790241903</v>
      </c>
      <c r="W1108" s="11">
        <v>5.1584366869408364E-2</v>
      </c>
      <c r="X1108" s="11">
        <v>0.99866864028799973</v>
      </c>
      <c r="Y1108">
        <v>0</v>
      </c>
      <c r="Z1108">
        <v>0</v>
      </c>
      <c r="AB1108">
        <v>1</v>
      </c>
      <c r="AC1108">
        <v>0</v>
      </c>
      <c r="AD1108">
        <v>0</v>
      </c>
      <c r="AE1108">
        <v>0</v>
      </c>
    </row>
    <row r="1109" spans="1:31">
      <c r="A1109" s="6">
        <v>45296</v>
      </c>
      <c r="B1109" t="s">
        <v>31</v>
      </c>
      <c r="C1109" t="s">
        <v>32</v>
      </c>
      <c r="D1109" t="s">
        <v>33</v>
      </c>
      <c r="E1109" t="s">
        <v>34</v>
      </c>
      <c r="F1109">
        <v>140</v>
      </c>
      <c r="G1109">
        <v>360</v>
      </c>
      <c r="H1109">
        <v>218</v>
      </c>
      <c r="I1109">
        <v>89</v>
      </c>
      <c r="J1109" s="8">
        <v>0.63571428571428568</v>
      </c>
      <c r="K1109">
        <v>33</v>
      </c>
      <c r="L1109">
        <v>57</v>
      </c>
      <c r="M1109">
        <v>182</v>
      </c>
      <c r="N1109" s="10">
        <v>493.69</v>
      </c>
      <c r="O1109" s="7">
        <v>3.9</v>
      </c>
      <c r="P1109" s="7">
        <v>29.4</v>
      </c>
      <c r="Q1109">
        <v>4</v>
      </c>
      <c r="R1109" t="s">
        <v>66</v>
      </c>
      <c r="S1109">
        <v>1</v>
      </c>
      <c r="T1109">
        <v>5</v>
      </c>
      <c r="U1109" s="11">
        <v>-0.43388373911755801</v>
      </c>
      <c r="V1109" s="11">
        <v>-0.90096886790241915</v>
      </c>
      <c r="W1109" s="11">
        <v>6.875540848113941E-2</v>
      </c>
      <c r="X1109" s="11">
        <v>0.99763354685204508</v>
      </c>
      <c r="Y1109">
        <v>0</v>
      </c>
      <c r="Z1109">
        <v>0</v>
      </c>
      <c r="AB1109">
        <v>1</v>
      </c>
      <c r="AC1109">
        <v>0</v>
      </c>
      <c r="AD1109">
        <v>0</v>
      </c>
      <c r="AE1109">
        <v>0</v>
      </c>
    </row>
    <row r="1110" spans="1:31">
      <c r="A1110" s="6">
        <v>45296</v>
      </c>
      <c r="B1110" t="s">
        <v>36</v>
      </c>
      <c r="C1110" t="s">
        <v>37</v>
      </c>
      <c r="D1110" t="s">
        <v>38</v>
      </c>
      <c r="E1110" t="s">
        <v>39</v>
      </c>
      <c r="F1110">
        <v>125</v>
      </c>
      <c r="G1110">
        <v>320</v>
      </c>
      <c r="H1110">
        <v>231</v>
      </c>
      <c r="I1110">
        <v>96</v>
      </c>
      <c r="J1110" s="8">
        <v>0.76800000000000002</v>
      </c>
      <c r="K1110">
        <v>63</v>
      </c>
      <c r="L1110">
        <v>46</v>
      </c>
      <c r="M1110">
        <v>213</v>
      </c>
      <c r="N1110" s="10">
        <v>715.05</v>
      </c>
      <c r="O1110" s="7">
        <v>3.9</v>
      </c>
      <c r="P1110" s="7">
        <v>29.4</v>
      </c>
      <c r="Q1110">
        <v>4</v>
      </c>
      <c r="R1110" t="s">
        <v>66</v>
      </c>
      <c r="S1110">
        <v>1</v>
      </c>
      <c r="T1110">
        <v>5</v>
      </c>
      <c r="U1110" s="11">
        <v>-0.43388373911755801</v>
      </c>
      <c r="V1110" s="11">
        <v>-0.90096886790241915</v>
      </c>
      <c r="W1110" s="11">
        <v>6.875540848113941E-2</v>
      </c>
      <c r="X1110" s="11">
        <v>0.99763354685204508</v>
      </c>
      <c r="Y1110">
        <v>0</v>
      </c>
      <c r="Z1110">
        <v>0</v>
      </c>
      <c r="AB1110">
        <v>1</v>
      </c>
      <c r="AC1110">
        <v>0</v>
      </c>
      <c r="AD1110">
        <v>0</v>
      </c>
      <c r="AE1110">
        <v>0</v>
      </c>
    </row>
    <row r="1111" spans="1:31">
      <c r="A1111" s="6">
        <v>45296</v>
      </c>
      <c r="B1111" t="s">
        <v>41</v>
      </c>
      <c r="C1111" t="s">
        <v>42</v>
      </c>
      <c r="D1111" t="s">
        <v>43</v>
      </c>
      <c r="E1111" t="s">
        <v>44</v>
      </c>
      <c r="F1111">
        <v>85</v>
      </c>
      <c r="G1111">
        <v>210</v>
      </c>
      <c r="H1111">
        <v>152</v>
      </c>
      <c r="I1111">
        <v>67</v>
      </c>
      <c r="J1111" s="8">
        <v>0.78823529411764703</v>
      </c>
      <c r="K1111">
        <v>40</v>
      </c>
      <c r="L1111">
        <v>26</v>
      </c>
      <c r="M1111">
        <v>132</v>
      </c>
      <c r="N1111" s="10">
        <v>621.25</v>
      </c>
      <c r="O1111" s="7">
        <v>3.9</v>
      </c>
      <c r="P1111" s="7">
        <v>29.4</v>
      </c>
      <c r="Q1111">
        <v>4</v>
      </c>
      <c r="R1111" t="s">
        <v>66</v>
      </c>
      <c r="S1111">
        <v>1</v>
      </c>
      <c r="T1111">
        <v>5</v>
      </c>
      <c r="U1111" s="11">
        <v>-0.43388373911755801</v>
      </c>
      <c r="V1111" s="11">
        <v>-0.90096886790241915</v>
      </c>
      <c r="W1111" s="11">
        <v>6.875540848113941E-2</v>
      </c>
      <c r="X1111" s="11">
        <v>0.99763354685204508</v>
      </c>
      <c r="Y1111">
        <v>0</v>
      </c>
      <c r="Z1111">
        <v>0</v>
      </c>
      <c r="AB1111">
        <v>1</v>
      </c>
      <c r="AC1111">
        <v>0</v>
      </c>
      <c r="AD1111">
        <v>0</v>
      </c>
      <c r="AE1111">
        <v>0</v>
      </c>
    </row>
    <row r="1112" spans="1:31">
      <c r="A1112" s="6">
        <v>45297</v>
      </c>
      <c r="B1112" t="s">
        <v>31</v>
      </c>
      <c r="C1112" t="s">
        <v>32</v>
      </c>
      <c r="D1112" t="s">
        <v>33</v>
      </c>
      <c r="E1112" t="s">
        <v>34</v>
      </c>
      <c r="F1112">
        <v>140</v>
      </c>
      <c r="G1112">
        <v>360</v>
      </c>
      <c r="H1112">
        <v>242</v>
      </c>
      <c r="I1112">
        <v>105</v>
      </c>
      <c r="J1112" s="8">
        <v>0.75</v>
      </c>
      <c r="K1112">
        <v>39</v>
      </c>
      <c r="L1112">
        <v>44</v>
      </c>
      <c r="M1112">
        <v>219</v>
      </c>
      <c r="N1112" s="10">
        <v>546.46</v>
      </c>
      <c r="O1112" s="7">
        <v>7.7</v>
      </c>
      <c r="P1112" s="7">
        <v>28.7</v>
      </c>
      <c r="Q1112">
        <v>5</v>
      </c>
      <c r="R1112" t="s">
        <v>67</v>
      </c>
      <c r="S1112">
        <v>1</v>
      </c>
      <c r="T1112">
        <v>6</v>
      </c>
      <c r="U1112" s="11">
        <v>-0.97492791218182362</v>
      </c>
      <c r="V1112" s="11">
        <v>-0.22252093395631459</v>
      </c>
      <c r="W1112" s="11">
        <v>8.5906104261332716E-2</v>
      </c>
      <c r="X1112" s="11">
        <v>0.99630323759919648</v>
      </c>
      <c r="Y1112">
        <v>1</v>
      </c>
      <c r="Z1112">
        <v>0</v>
      </c>
      <c r="AB1112">
        <v>1</v>
      </c>
      <c r="AC1112">
        <v>0</v>
      </c>
      <c r="AD1112">
        <v>0</v>
      </c>
      <c r="AE1112">
        <v>0</v>
      </c>
    </row>
    <row r="1113" spans="1:31">
      <c r="A1113" s="6">
        <v>45297</v>
      </c>
      <c r="B1113" t="s">
        <v>36</v>
      </c>
      <c r="C1113" t="s">
        <v>37</v>
      </c>
      <c r="D1113" t="s">
        <v>38</v>
      </c>
      <c r="E1113" t="s">
        <v>39</v>
      </c>
      <c r="F1113">
        <v>125</v>
      </c>
      <c r="G1113">
        <v>320</v>
      </c>
      <c r="H1113">
        <v>246</v>
      </c>
      <c r="I1113">
        <v>102</v>
      </c>
      <c r="J1113" s="8">
        <v>0.81599999999999995</v>
      </c>
      <c r="K1113">
        <v>50</v>
      </c>
      <c r="L1113">
        <v>39</v>
      </c>
      <c r="M1113">
        <v>229</v>
      </c>
      <c r="N1113" s="10">
        <v>785.13</v>
      </c>
      <c r="O1113" s="7">
        <v>7.7</v>
      </c>
      <c r="P1113" s="7">
        <v>28.7</v>
      </c>
      <c r="Q1113">
        <v>5</v>
      </c>
      <c r="R1113" t="s">
        <v>67</v>
      </c>
      <c r="S1113">
        <v>1</v>
      </c>
      <c r="T1113">
        <v>6</v>
      </c>
      <c r="U1113" s="11">
        <v>-0.97492791218182362</v>
      </c>
      <c r="V1113" s="11">
        <v>-0.22252093395631459</v>
      </c>
      <c r="W1113" s="11">
        <v>8.5906104261332716E-2</v>
      </c>
      <c r="X1113" s="11">
        <v>0.99630323759919648</v>
      </c>
      <c r="Y1113">
        <v>1</v>
      </c>
      <c r="Z1113">
        <v>0</v>
      </c>
      <c r="AB1113">
        <v>1</v>
      </c>
      <c r="AC1113">
        <v>0</v>
      </c>
      <c r="AD1113">
        <v>0</v>
      </c>
      <c r="AE1113">
        <v>0</v>
      </c>
    </row>
    <row r="1114" spans="1:31">
      <c r="A1114" s="6">
        <v>45297</v>
      </c>
      <c r="B1114" t="s">
        <v>41</v>
      </c>
      <c r="C1114" t="s">
        <v>42</v>
      </c>
      <c r="D1114" t="s">
        <v>43</v>
      </c>
      <c r="E1114" t="s">
        <v>44</v>
      </c>
      <c r="F1114">
        <v>85</v>
      </c>
      <c r="G1114">
        <v>210</v>
      </c>
      <c r="H1114">
        <v>178</v>
      </c>
      <c r="I1114">
        <v>81</v>
      </c>
      <c r="J1114" s="8">
        <v>0.95294117647058818</v>
      </c>
      <c r="K1114">
        <v>40</v>
      </c>
      <c r="L1114">
        <v>37</v>
      </c>
      <c r="M1114">
        <v>153</v>
      </c>
      <c r="N1114" s="10">
        <v>622.59</v>
      </c>
      <c r="O1114" s="7">
        <v>7.7</v>
      </c>
      <c r="P1114" s="7">
        <v>28.7</v>
      </c>
      <c r="Q1114">
        <v>5</v>
      </c>
      <c r="R1114" t="s">
        <v>67</v>
      </c>
      <c r="S1114">
        <v>1</v>
      </c>
      <c r="T1114">
        <v>6</v>
      </c>
      <c r="U1114" s="11">
        <v>-0.97492791218182362</v>
      </c>
      <c r="V1114" s="11">
        <v>-0.22252093395631459</v>
      </c>
      <c r="W1114" s="11">
        <v>8.5906104261332716E-2</v>
      </c>
      <c r="X1114" s="11">
        <v>0.99630323759919648</v>
      </c>
      <c r="Y1114">
        <v>1</v>
      </c>
      <c r="Z1114">
        <v>0</v>
      </c>
      <c r="AB1114">
        <v>1</v>
      </c>
      <c r="AC1114">
        <v>0</v>
      </c>
      <c r="AD1114">
        <v>0</v>
      </c>
      <c r="AE1114">
        <v>0</v>
      </c>
    </row>
    <row r="1115" spans="1:31">
      <c r="A1115" s="6">
        <v>45298</v>
      </c>
      <c r="B1115" t="s">
        <v>31</v>
      </c>
      <c r="C1115" t="s">
        <v>32</v>
      </c>
      <c r="D1115" t="s">
        <v>33</v>
      </c>
      <c r="E1115" t="s">
        <v>34</v>
      </c>
      <c r="F1115">
        <v>140</v>
      </c>
      <c r="G1115">
        <v>360</v>
      </c>
      <c r="H1115">
        <v>245</v>
      </c>
      <c r="I1115">
        <v>105</v>
      </c>
      <c r="J1115" s="8">
        <v>0.75</v>
      </c>
      <c r="K1115">
        <v>37</v>
      </c>
      <c r="L1115">
        <v>57</v>
      </c>
      <c r="M1115">
        <v>203</v>
      </c>
      <c r="N1115" s="10">
        <v>567.87</v>
      </c>
      <c r="O1115" s="7">
        <v>0.2</v>
      </c>
      <c r="P1115" s="7">
        <v>28.6</v>
      </c>
      <c r="Q1115">
        <v>6</v>
      </c>
      <c r="R1115" t="s">
        <v>60</v>
      </c>
      <c r="S1115">
        <v>1</v>
      </c>
      <c r="T1115">
        <v>7</v>
      </c>
      <c r="U1115" s="11">
        <v>-0.78183148246802991</v>
      </c>
      <c r="V1115" s="11">
        <v>0.62348980185873337</v>
      </c>
      <c r="W1115" s="11">
        <v>0.10303137904317879</v>
      </c>
      <c r="X1115" s="11">
        <v>0.99467810618936459</v>
      </c>
      <c r="Y1115">
        <v>1</v>
      </c>
      <c r="Z1115">
        <v>0</v>
      </c>
      <c r="AB1115">
        <v>1</v>
      </c>
      <c r="AC1115">
        <v>0</v>
      </c>
      <c r="AD1115">
        <v>0</v>
      </c>
      <c r="AE1115">
        <v>0</v>
      </c>
    </row>
    <row r="1116" spans="1:31">
      <c r="A1116" s="6">
        <v>45298</v>
      </c>
      <c r="B1116" t="s">
        <v>36</v>
      </c>
      <c r="C1116" t="s">
        <v>37</v>
      </c>
      <c r="D1116" t="s">
        <v>38</v>
      </c>
      <c r="E1116" t="s">
        <v>39</v>
      </c>
      <c r="F1116">
        <v>125</v>
      </c>
      <c r="G1116">
        <v>320</v>
      </c>
      <c r="H1116">
        <v>264</v>
      </c>
      <c r="I1116">
        <v>110</v>
      </c>
      <c r="J1116" s="8">
        <v>0.88</v>
      </c>
      <c r="K1116">
        <v>48</v>
      </c>
      <c r="L1116">
        <v>72</v>
      </c>
      <c r="M1116">
        <v>236</v>
      </c>
      <c r="N1116" s="10">
        <v>679.18</v>
      </c>
      <c r="O1116" s="7">
        <v>0.2</v>
      </c>
      <c r="P1116" s="7">
        <v>28.6</v>
      </c>
      <c r="Q1116">
        <v>6</v>
      </c>
      <c r="R1116" t="s">
        <v>60</v>
      </c>
      <c r="S1116">
        <v>1</v>
      </c>
      <c r="T1116">
        <v>7</v>
      </c>
      <c r="U1116" s="11">
        <v>-0.78183148246802991</v>
      </c>
      <c r="V1116" s="11">
        <v>0.62348980185873337</v>
      </c>
      <c r="W1116" s="11">
        <v>0.10303137904317879</v>
      </c>
      <c r="X1116" s="11">
        <v>0.99467810618936459</v>
      </c>
      <c r="Y1116">
        <v>1</v>
      </c>
      <c r="Z1116">
        <v>0</v>
      </c>
      <c r="AB1116">
        <v>1</v>
      </c>
      <c r="AC1116">
        <v>0</v>
      </c>
      <c r="AD1116">
        <v>0</v>
      </c>
      <c r="AE1116">
        <v>0</v>
      </c>
    </row>
    <row r="1117" spans="1:31">
      <c r="A1117" s="6">
        <v>45298</v>
      </c>
      <c r="B1117" t="s">
        <v>41</v>
      </c>
      <c r="C1117" t="s">
        <v>42</v>
      </c>
      <c r="D1117" t="s">
        <v>43</v>
      </c>
      <c r="E1117" t="s">
        <v>44</v>
      </c>
      <c r="F1117">
        <v>85</v>
      </c>
      <c r="G1117">
        <v>210</v>
      </c>
      <c r="H1117">
        <v>175</v>
      </c>
      <c r="I1117">
        <v>78</v>
      </c>
      <c r="J1117" s="8">
        <v>0.91764705882352937</v>
      </c>
      <c r="K1117">
        <v>44</v>
      </c>
      <c r="L1117">
        <v>29</v>
      </c>
      <c r="M1117">
        <v>164</v>
      </c>
      <c r="N1117" s="10">
        <v>702.08</v>
      </c>
      <c r="O1117" s="7">
        <v>0.2</v>
      </c>
      <c r="P1117" s="7">
        <v>28.6</v>
      </c>
      <c r="Q1117">
        <v>6</v>
      </c>
      <c r="R1117" t="s">
        <v>60</v>
      </c>
      <c r="S1117">
        <v>1</v>
      </c>
      <c r="T1117">
        <v>7</v>
      </c>
      <c r="U1117" s="11">
        <v>-0.78183148246802991</v>
      </c>
      <c r="V1117" s="11">
        <v>0.62348980185873337</v>
      </c>
      <c r="W1117" s="11">
        <v>0.10303137904317879</v>
      </c>
      <c r="X1117" s="11">
        <v>0.99467810618936459</v>
      </c>
      <c r="Y1117">
        <v>1</v>
      </c>
      <c r="Z1117">
        <v>0</v>
      </c>
      <c r="AB1117">
        <v>1</v>
      </c>
      <c r="AC1117">
        <v>0</v>
      </c>
      <c r="AD1117">
        <v>0</v>
      </c>
      <c r="AE1117">
        <v>0</v>
      </c>
    </row>
    <row r="1118" spans="1:31">
      <c r="A1118" s="6">
        <v>45299</v>
      </c>
      <c r="B1118" t="s">
        <v>31</v>
      </c>
      <c r="C1118" t="s">
        <v>32</v>
      </c>
      <c r="D1118" t="s">
        <v>33</v>
      </c>
      <c r="E1118" t="s">
        <v>34</v>
      </c>
      <c r="F1118">
        <v>140</v>
      </c>
      <c r="G1118">
        <v>360</v>
      </c>
      <c r="H1118">
        <v>185</v>
      </c>
      <c r="I1118">
        <v>79</v>
      </c>
      <c r="J1118" s="8">
        <v>0.56428571428571428</v>
      </c>
      <c r="K1118">
        <v>26</v>
      </c>
      <c r="L1118">
        <v>37</v>
      </c>
      <c r="M1118">
        <v>168</v>
      </c>
      <c r="N1118" s="10">
        <v>441.77</v>
      </c>
      <c r="O1118" s="7">
        <v>13</v>
      </c>
      <c r="P1118" s="7">
        <v>29.1</v>
      </c>
      <c r="Q1118">
        <v>0</v>
      </c>
      <c r="R1118" t="s">
        <v>62</v>
      </c>
      <c r="S1118">
        <v>1</v>
      </c>
      <c r="T1118">
        <v>8</v>
      </c>
      <c r="U1118" s="11">
        <v>0</v>
      </c>
      <c r="V1118" s="11">
        <v>1</v>
      </c>
      <c r="W1118" s="11">
        <v>0.1201261651823505</v>
      </c>
      <c r="X1118" s="11">
        <v>0.99275863352507931</v>
      </c>
      <c r="Y1118">
        <v>0</v>
      </c>
      <c r="Z1118">
        <v>0</v>
      </c>
      <c r="AB1118">
        <v>1</v>
      </c>
      <c r="AC1118">
        <v>0</v>
      </c>
      <c r="AD1118">
        <v>0</v>
      </c>
      <c r="AE1118">
        <v>0</v>
      </c>
    </row>
    <row r="1119" spans="1:31">
      <c r="A1119" s="6">
        <v>45299</v>
      </c>
      <c r="B1119" t="s">
        <v>36</v>
      </c>
      <c r="C1119" t="s">
        <v>37</v>
      </c>
      <c r="D1119" t="s">
        <v>38</v>
      </c>
      <c r="E1119" t="s">
        <v>39</v>
      </c>
      <c r="F1119">
        <v>125</v>
      </c>
      <c r="G1119">
        <v>320</v>
      </c>
      <c r="H1119">
        <v>218</v>
      </c>
      <c r="I1119">
        <v>90</v>
      </c>
      <c r="J1119" s="8">
        <v>0.72</v>
      </c>
      <c r="K1119">
        <v>35</v>
      </c>
      <c r="L1119">
        <v>55</v>
      </c>
      <c r="M1119">
        <v>193</v>
      </c>
      <c r="N1119" s="10">
        <v>620</v>
      </c>
      <c r="O1119" s="7">
        <v>13</v>
      </c>
      <c r="P1119" s="7">
        <v>29.1</v>
      </c>
      <c r="Q1119">
        <v>0</v>
      </c>
      <c r="R1119" t="s">
        <v>62</v>
      </c>
      <c r="S1119">
        <v>1</v>
      </c>
      <c r="T1119">
        <v>8</v>
      </c>
      <c r="U1119" s="11">
        <v>0</v>
      </c>
      <c r="V1119" s="11">
        <v>1</v>
      </c>
      <c r="W1119" s="11">
        <v>0.1201261651823505</v>
      </c>
      <c r="X1119" s="11">
        <v>0.99275863352507931</v>
      </c>
      <c r="Y1119">
        <v>0</v>
      </c>
      <c r="Z1119">
        <v>0</v>
      </c>
      <c r="AB1119">
        <v>1</v>
      </c>
      <c r="AC1119">
        <v>0</v>
      </c>
      <c r="AD1119">
        <v>0</v>
      </c>
      <c r="AE1119">
        <v>0</v>
      </c>
    </row>
    <row r="1120" spans="1:31">
      <c r="A1120" s="6">
        <v>45299</v>
      </c>
      <c r="B1120" t="s">
        <v>41</v>
      </c>
      <c r="C1120" t="s">
        <v>42</v>
      </c>
      <c r="D1120" t="s">
        <v>43</v>
      </c>
      <c r="E1120" t="s">
        <v>44</v>
      </c>
      <c r="F1120">
        <v>85</v>
      </c>
      <c r="G1120">
        <v>210</v>
      </c>
      <c r="H1120">
        <v>154</v>
      </c>
      <c r="I1120">
        <v>70</v>
      </c>
      <c r="J1120" s="8">
        <v>0.82352941176470584</v>
      </c>
      <c r="K1120">
        <v>21</v>
      </c>
      <c r="L1120">
        <v>20</v>
      </c>
      <c r="M1120">
        <v>124</v>
      </c>
      <c r="N1120" s="10">
        <v>625.32000000000005</v>
      </c>
      <c r="O1120" s="7">
        <v>13</v>
      </c>
      <c r="P1120" s="7">
        <v>29.1</v>
      </c>
      <c r="Q1120">
        <v>0</v>
      </c>
      <c r="R1120" t="s">
        <v>62</v>
      </c>
      <c r="S1120">
        <v>1</v>
      </c>
      <c r="T1120">
        <v>8</v>
      </c>
      <c r="U1120" s="11">
        <v>0</v>
      </c>
      <c r="V1120" s="11">
        <v>1</v>
      </c>
      <c r="W1120" s="11">
        <v>0.1201261651823505</v>
      </c>
      <c r="X1120" s="11">
        <v>0.99275863352507931</v>
      </c>
      <c r="Y1120">
        <v>0</v>
      </c>
      <c r="Z1120">
        <v>0</v>
      </c>
      <c r="AB1120">
        <v>1</v>
      </c>
      <c r="AC1120">
        <v>0</v>
      </c>
      <c r="AD1120">
        <v>0</v>
      </c>
      <c r="AE1120">
        <v>0</v>
      </c>
    </row>
    <row r="1121" spans="1:31">
      <c r="A1121" s="6">
        <v>45300</v>
      </c>
      <c r="B1121" t="s">
        <v>31</v>
      </c>
      <c r="C1121" t="s">
        <v>32</v>
      </c>
      <c r="D1121" t="s">
        <v>33</v>
      </c>
      <c r="E1121" t="s">
        <v>34</v>
      </c>
      <c r="F1121">
        <v>140</v>
      </c>
      <c r="G1121">
        <v>360</v>
      </c>
      <c r="H1121">
        <v>209</v>
      </c>
      <c r="I1121">
        <v>90</v>
      </c>
      <c r="J1121" s="8">
        <v>0.6428571428571429</v>
      </c>
      <c r="K1121">
        <v>39</v>
      </c>
      <c r="L1121">
        <v>46</v>
      </c>
      <c r="M1121">
        <v>171</v>
      </c>
      <c r="N1121" s="10">
        <v>436.16</v>
      </c>
      <c r="O1121" s="7">
        <v>0</v>
      </c>
      <c r="P1121" s="7">
        <v>27.9</v>
      </c>
      <c r="Q1121">
        <v>1</v>
      </c>
      <c r="R1121" t="s">
        <v>63</v>
      </c>
      <c r="S1121">
        <v>1</v>
      </c>
      <c r="T1121">
        <v>9</v>
      </c>
      <c r="U1121" s="11">
        <v>0.7818314824680298</v>
      </c>
      <c r="V1121" s="11">
        <v>0.62348980185873359</v>
      </c>
      <c r="W1121" s="11">
        <v>0.13718540405660057</v>
      </c>
      <c r="X1121" s="11">
        <v>0.99054538760918331</v>
      </c>
      <c r="Y1121">
        <v>0</v>
      </c>
      <c r="Z1121">
        <v>0</v>
      </c>
      <c r="AB1121">
        <v>1</v>
      </c>
      <c r="AC1121">
        <v>0</v>
      </c>
      <c r="AD1121">
        <v>0</v>
      </c>
      <c r="AE1121">
        <v>0</v>
      </c>
    </row>
    <row r="1122" spans="1:31">
      <c r="A1122" s="6">
        <v>45300</v>
      </c>
      <c r="B1122" t="s">
        <v>36</v>
      </c>
      <c r="C1122" t="s">
        <v>37</v>
      </c>
      <c r="D1122" t="s">
        <v>38</v>
      </c>
      <c r="E1122" t="s">
        <v>39</v>
      </c>
      <c r="F1122">
        <v>125</v>
      </c>
      <c r="G1122">
        <v>320</v>
      </c>
      <c r="H1122">
        <v>210</v>
      </c>
      <c r="I1122">
        <v>88</v>
      </c>
      <c r="J1122" s="8">
        <v>0.70399999999999996</v>
      </c>
      <c r="K1122">
        <v>55</v>
      </c>
      <c r="L1122">
        <v>38</v>
      </c>
      <c r="M1122">
        <v>180</v>
      </c>
      <c r="N1122" s="10">
        <v>723.12</v>
      </c>
      <c r="O1122" s="7">
        <v>0</v>
      </c>
      <c r="P1122" s="7">
        <v>27.9</v>
      </c>
      <c r="Q1122">
        <v>1</v>
      </c>
      <c r="R1122" t="s">
        <v>63</v>
      </c>
      <c r="S1122">
        <v>1</v>
      </c>
      <c r="T1122">
        <v>9</v>
      </c>
      <c r="U1122" s="11">
        <v>0.7818314824680298</v>
      </c>
      <c r="V1122" s="11">
        <v>0.62348980185873359</v>
      </c>
      <c r="W1122" s="11">
        <v>0.13718540405660057</v>
      </c>
      <c r="X1122" s="11">
        <v>0.99054538760918331</v>
      </c>
      <c r="Y1122">
        <v>0</v>
      </c>
      <c r="Z1122">
        <v>0</v>
      </c>
      <c r="AB1122">
        <v>1</v>
      </c>
      <c r="AC1122">
        <v>0</v>
      </c>
      <c r="AD1122">
        <v>0</v>
      </c>
      <c r="AE1122">
        <v>0</v>
      </c>
    </row>
    <row r="1123" spans="1:31">
      <c r="A1123" s="6">
        <v>45300</v>
      </c>
      <c r="B1123" t="s">
        <v>41</v>
      </c>
      <c r="C1123" t="s">
        <v>42</v>
      </c>
      <c r="D1123" t="s">
        <v>43</v>
      </c>
      <c r="E1123" t="s">
        <v>44</v>
      </c>
      <c r="F1123">
        <v>85</v>
      </c>
      <c r="G1123">
        <v>210</v>
      </c>
      <c r="H1123">
        <v>155</v>
      </c>
      <c r="I1123">
        <v>73</v>
      </c>
      <c r="J1123" s="8">
        <v>0.85882352941176465</v>
      </c>
      <c r="K1123">
        <v>22</v>
      </c>
      <c r="L1123">
        <v>29</v>
      </c>
      <c r="M1123">
        <v>145</v>
      </c>
      <c r="N1123" s="10">
        <v>585.99</v>
      </c>
      <c r="O1123" s="7">
        <v>0</v>
      </c>
      <c r="P1123" s="7">
        <v>27.9</v>
      </c>
      <c r="Q1123">
        <v>1</v>
      </c>
      <c r="R1123" t="s">
        <v>63</v>
      </c>
      <c r="S1123">
        <v>1</v>
      </c>
      <c r="T1123">
        <v>9</v>
      </c>
      <c r="U1123" s="11">
        <v>0.7818314824680298</v>
      </c>
      <c r="V1123" s="11">
        <v>0.62348980185873359</v>
      </c>
      <c r="W1123" s="11">
        <v>0.13718540405660057</v>
      </c>
      <c r="X1123" s="11">
        <v>0.99054538760918331</v>
      </c>
      <c r="Y1123">
        <v>0</v>
      </c>
      <c r="Z1123">
        <v>0</v>
      </c>
      <c r="AB1123">
        <v>1</v>
      </c>
      <c r="AC1123">
        <v>0</v>
      </c>
      <c r="AD1123">
        <v>0</v>
      </c>
      <c r="AE1123">
        <v>0</v>
      </c>
    </row>
    <row r="1124" spans="1:31">
      <c r="A1124" s="6">
        <v>45301</v>
      </c>
      <c r="B1124" t="s">
        <v>31</v>
      </c>
      <c r="C1124" t="s">
        <v>32</v>
      </c>
      <c r="D1124" t="s">
        <v>33</v>
      </c>
      <c r="E1124" t="s">
        <v>34</v>
      </c>
      <c r="F1124">
        <v>140</v>
      </c>
      <c r="G1124">
        <v>360</v>
      </c>
      <c r="H1124">
        <v>235</v>
      </c>
      <c r="I1124">
        <v>99</v>
      </c>
      <c r="J1124" s="8">
        <v>0.70714285714285718</v>
      </c>
      <c r="K1124">
        <v>38</v>
      </c>
      <c r="L1124">
        <v>57</v>
      </c>
      <c r="M1124">
        <v>195</v>
      </c>
      <c r="N1124" s="10">
        <v>457.82</v>
      </c>
      <c r="O1124" s="7">
        <v>3.2</v>
      </c>
      <c r="P1124" s="7">
        <v>27.8</v>
      </c>
      <c r="Q1124">
        <v>2</v>
      </c>
      <c r="R1124" t="s">
        <v>64</v>
      </c>
      <c r="S1124">
        <v>1</v>
      </c>
      <c r="T1124">
        <v>10</v>
      </c>
      <c r="U1124" s="11">
        <v>0.97492791218182362</v>
      </c>
      <c r="V1124" s="11">
        <v>-0.22252093395631434</v>
      </c>
      <c r="W1124" s="11">
        <v>0.15420404756268941</v>
      </c>
      <c r="X1124" s="11">
        <v>0.98803902337675098</v>
      </c>
      <c r="Y1124">
        <v>0</v>
      </c>
      <c r="Z1124">
        <v>0</v>
      </c>
      <c r="AB1124">
        <v>1</v>
      </c>
      <c r="AC1124">
        <v>0</v>
      </c>
      <c r="AD1124">
        <v>0</v>
      </c>
      <c r="AE1124">
        <v>0</v>
      </c>
    </row>
    <row r="1125" spans="1:31">
      <c r="A1125" s="6">
        <v>45301</v>
      </c>
      <c r="B1125" t="s">
        <v>36</v>
      </c>
      <c r="C1125" t="s">
        <v>37</v>
      </c>
      <c r="D1125" t="s">
        <v>38</v>
      </c>
      <c r="E1125" t="s">
        <v>39</v>
      </c>
      <c r="F1125">
        <v>125</v>
      </c>
      <c r="G1125">
        <v>320</v>
      </c>
      <c r="H1125">
        <v>218</v>
      </c>
      <c r="I1125">
        <v>93</v>
      </c>
      <c r="J1125" s="8">
        <v>0.74399999999999999</v>
      </c>
      <c r="K1125">
        <v>52</v>
      </c>
      <c r="L1125">
        <v>27</v>
      </c>
      <c r="M1125">
        <v>187</v>
      </c>
      <c r="N1125" s="10">
        <v>655.39</v>
      </c>
      <c r="O1125" s="7">
        <v>3.2</v>
      </c>
      <c r="P1125" s="7">
        <v>27.8</v>
      </c>
      <c r="Q1125">
        <v>2</v>
      </c>
      <c r="R1125" t="s">
        <v>64</v>
      </c>
      <c r="S1125">
        <v>1</v>
      </c>
      <c r="T1125">
        <v>10</v>
      </c>
      <c r="U1125" s="11">
        <v>0.97492791218182362</v>
      </c>
      <c r="V1125" s="11">
        <v>-0.22252093395631434</v>
      </c>
      <c r="W1125" s="11">
        <v>0.15420404756268941</v>
      </c>
      <c r="X1125" s="11">
        <v>0.98803902337675098</v>
      </c>
      <c r="Y1125">
        <v>0</v>
      </c>
      <c r="Z1125">
        <v>0</v>
      </c>
      <c r="AB1125">
        <v>1</v>
      </c>
      <c r="AC1125">
        <v>0</v>
      </c>
      <c r="AD1125">
        <v>0</v>
      </c>
      <c r="AE1125">
        <v>0</v>
      </c>
    </row>
    <row r="1126" spans="1:31">
      <c r="A1126" s="6">
        <v>45301</v>
      </c>
      <c r="B1126" t="s">
        <v>41</v>
      </c>
      <c r="C1126" t="s">
        <v>42</v>
      </c>
      <c r="D1126" t="s">
        <v>43</v>
      </c>
      <c r="E1126" t="s">
        <v>44</v>
      </c>
      <c r="F1126">
        <v>85</v>
      </c>
      <c r="G1126">
        <v>210</v>
      </c>
      <c r="H1126">
        <v>147</v>
      </c>
      <c r="I1126">
        <v>66</v>
      </c>
      <c r="J1126" s="8">
        <v>0.77647058823529413</v>
      </c>
      <c r="K1126">
        <v>23</v>
      </c>
      <c r="L1126">
        <v>33</v>
      </c>
      <c r="M1126">
        <v>133</v>
      </c>
      <c r="N1126" s="10">
        <v>617.13</v>
      </c>
      <c r="O1126" s="7">
        <v>3.2</v>
      </c>
      <c r="P1126" s="7">
        <v>27.8</v>
      </c>
      <c r="Q1126">
        <v>2</v>
      </c>
      <c r="R1126" t="s">
        <v>64</v>
      </c>
      <c r="S1126">
        <v>1</v>
      </c>
      <c r="T1126">
        <v>10</v>
      </c>
      <c r="U1126" s="11">
        <v>0.97492791218182362</v>
      </c>
      <c r="V1126" s="11">
        <v>-0.22252093395631434</v>
      </c>
      <c r="W1126" s="11">
        <v>0.15420404756268941</v>
      </c>
      <c r="X1126" s="11">
        <v>0.98803902337675098</v>
      </c>
      <c r="Y1126">
        <v>0</v>
      </c>
      <c r="Z1126">
        <v>0</v>
      </c>
      <c r="AB1126">
        <v>1</v>
      </c>
      <c r="AC1126">
        <v>0</v>
      </c>
      <c r="AD1126">
        <v>0</v>
      </c>
      <c r="AE1126">
        <v>0</v>
      </c>
    </row>
    <row r="1127" spans="1:31">
      <c r="A1127" s="6">
        <v>45302</v>
      </c>
      <c r="B1127" t="s">
        <v>31</v>
      </c>
      <c r="C1127" t="s">
        <v>32</v>
      </c>
      <c r="D1127" t="s">
        <v>33</v>
      </c>
      <c r="E1127" t="s">
        <v>34</v>
      </c>
      <c r="F1127">
        <v>140</v>
      </c>
      <c r="G1127">
        <v>360</v>
      </c>
      <c r="H1127">
        <v>222</v>
      </c>
      <c r="I1127">
        <v>96</v>
      </c>
      <c r="J1127" s="8">
        <v>0.68571428571428572</v>
      </c>
      <c r="K1127">
        <v>60</v>
      </c>
      <c r="L1127">
        <v>36</v>
      </c>
      <c r="M1127">
        <v>183</v>
      </c>
      <c r="N1127" s="10">
        <v>492.17</v>
      </c>
      <c r="O1127" s="7">
        <v>0</v>
      </c>
      <c r="P1127" s="7">
        <v>28.8</v>
      </c>
      <c r="Q1127">
        <v>3</v>
      </c>
      <c r="R1127" t="s">
        <v>65</v>
      </c>
      <c r="S1127">
        <v>1</v>
      </c>
      <c r="T1127">
        <v>11</v>
      </c>
      <c r="U1127" s="11">
        <v>0.43388373911755823</v>
      </c>
      <c r="V1127" s="11">
        <v>-0.90096886790241903</v>
      </c>
      <c r="W1127" s="11">
        <v>0.17117705961019986</v>
      </c>
      <c r="X1127" s="11">
        <v>0.98524028250128204</v>
      </c>
      <c r="Y1127">
        <v>0</v>
      </c>
      <c r="Z1127">
        <v>0</v>
      </c>
      <c r="AB1127">
        <v>1</v>
      </c>
      <c r="AC1127">
        <v>0</v>
      </c>
      <c r="AD1127">
        <v>0</v>
      </c>
      <c r="AE1127">
        <v>0</v>
      </c>
    </row>
    <row r="1128" spans="1:31">
      <c r="A1128" s="6">
        <v>45302</v>
      </c>
      <c r="B1128" t="s">
        <v>36</v>
      </c>
      <c r="C1128" t="s">
        <v>37</v>
      </c>
      <c r="D1128" t="s">
        <v>38</v>
      </c>
      <c r="E1128" t="s">
        <v>39</v>
      </c>
      <c r="F1128">
        <v>125</v>
      </c>
      <c r="G1128">
        <v>320</v>
      </c>
      <c r="H1128">
        <v>220</v>
      </c>
      <c r="I1128">
        <v>93</v>
      </c>
      <c r="J1128" s="8">
        <v>0.74399999999999999</v>
      </c>
      <c r="K1128">
        <v>51</v>
      </c>
      <c r="L1128">
        <v>46</v>
      </c>
      <c r="M1128">
        <v>205</v>
      </c>
      <c r="N1128" s="10">
        <v>696.11</v>
      </c>
      <c r="O1128" s="7">
        <v>0</v>
      </c>
      <c r="P1128" s="7">
        <v>28.8</v>
      </c>
      <c r="Q1128">
        <v>3</v>
      </c>
      <c r="R1128" t="s">
        <v>65</v>
      </c>
      <c r="S1128">
        <v>1</v>
      </c>
      <c r="T1128">
        <v>11</v>
      </c>
      <c r="U1128" s="11">
        <v>0.43388373911755823</v>
      </c>
      <c r="V1128" s="11">
        <v>-0.90096886790241903</v>
      </c>
      <c r="W1128" s="11">
        <v>0.17117705961019986</v>
      </c>
      <c r="X1128" s="11">
        <v>0.98524028250128204</v>
      </c>
      <c r="Y1128">
        <v>0</v>
      </c>
      <c r="Z1128">
        <v>0</v>
      </c>
      <c r="AB1128">
        <v>1</v>
      </c>
      <c r="AC1128">
        <v>0</v>
      </c>
      <c r="AD1128">
        <v>0</v>
      </c>
      <c r="AE1128">
        <v>0</v>
      </c>
    </row>
    <row r="1129" spans="1:31">
      <c r="A1129" s="6">
        <v>45302</v>
      </c>
      <c r="B1129" t="s">
        <v>41</v>
      </c>
      <c r="C1129" t="s">
        <v>42</v>
      </c>
      <c r="D1129" t="s">
        <v>43</v>
      </c>
      <c r="E1129" t="s">
        <v>44</v>
      </c>
      <c r="F1129">
        <v>85</v>
      </c>
      <c r="G1129">
        <v>210</v>
      </c>
      <c r="H1129">
        <v>160</v>
      </c>
      <c r="I1129">
        <v>72</v>
      </c>
      <c r="J1129" s="8">
        <v>0.84705882352941175</v>
      </c>
      <c r="K1129">
        <v>21</v>
      </c>
      <c r="L1129">
        <v>19</v>
      </c>
      <c r="M1129">
        <v>131</v>
      </c>
      <c r="N1129" s="10">
        <v>583.71</v>
      </c>
      <c r="O1129" s="7">
        <v>0</v>
      </c>
      <c r="P1129" s="7">
        <v>28.8</v>
      </c>
      <c r="Q1129">
        <v>3</v>
      </c>
      <c r="R1129" t="s">
        <v>65</v>
      </c>
      <c r="S1129">
        <v>1</v>
      </c>
      <c r="T1129">
        <v>11</v>
      </c>
      <c r="U1129" s="11">
        <v>0.43388373911755823</v>
      </c>
      <c r="V1129" s="11">
        <v>-0.90096886790241903</v>
      </c>
      <c r="W1129" s="11">
        <v>0.17117705961019986</v>
      </c>
      <c r="X1129" s="11">
        <v>0.98524028250128204</v>
      </c>
      <c r="Y1129">
        <v>0</v>
      </c>
      <c r="Z1129">
        <v>0</v>
      </c>
      <c r="AB1129">
        <v>1</v>
      </c>
      <c r="AC1129">
        <v>0</v>
      </c>
      <c r="AD1129">
        <v>0</v>
      </c>
      <c r="AE1129">
        <v>0</v>
      </c>
    </row>
    <row r="1130" spans="1:31">
      <c r="A1130" s="6">
        <v>45303</v>
      </c>
      <c r="B1130" t="s">
        <v>31</v>
      </c>
      <c r="C1130" t="s">
        <v>32</v>
      </c>
      <c r="D1130" t="s">
        <v>33</v>
      </c>
      <c r="E1130" t="s">
        <v>34</v>
      </c>
      <c r="F1130">
        <v>140</v>
      </c>
      <c r="G1130">
        <v>360</v>
      </c>
      <c r="H1130">
        <v>227</v>
      </c>
      <c r="I1130">
        <v>98</v>
      </c>
      <c r="J1130" s="8">
        <v>0.7</v>
      </c>
      <c r="K1130">
        <v>55</v>
      </c>
      <c r="L1130">
        <v>24</v>
      </c>
      <c r="M1130">
        <v>186</v>
      </c>
      <c r="N1130" s="10">
        <v>480.89</v>
      </c>
      <c r="O1130" s="7">
        <v>2.5</v>
      </c>
      <c r="P1130" s="7">
        <v>29.9</v>
      </c>
      <c r="Q1130">
        <v>4</v>
      </c>
      <c r="R1130" t="s">
        <v>66</v>
      </c>
      <c r="S1130">
        <v>1</v>
      </c>
      <c r="T1130">
        <v>12</v>
      </c>
      <c r="U1130" s="11">
        <v>-0.43388373911755801</v>
      </c>
      <c r="V1130" s="11">
        <v>-0.90096886790241915</v>
      </c>
      <c r="W1130" s="11">
        <v>0.18809941761179758</v>
      </c>
      <c r="X1130" s="11">
        <v>0.98214999317522911</v>
      </c>
      <c r="Y1130">
        <v>0</v>
      </c>
      <c r="Z1130">
        <v>0</v>
      </c>
      <c r="AB1130">
        <v>1</v>
      </c>
      <c r="AC1130">
        <v>0</v>
      </c>
      <c r="AD1130">
        <v>0</v>
      </c>
      <c r="AE1130">
        <v>0</v>
      </c>
    </row>
    <row r="1131" spans="1:31">
      <c r="A1131" s="6">
        <v>45303</v>
      </c>
      <c r="B1131" t="s">
        <v>36</v>
      </c>
      <c r="C1131" t="s">
        <v>37</v>
      </c>
      <c r="D1131" t="s">
        <v>38</v>
      </c>
      <c r="E1131" t="s">
        <v>39</v>
      </c>
      <c r="F1131">
        <v>125</v>
      </c>
      <c r="G1131">
        <v>320</v>
      </c>
      <c r="H1131">
        <v>237</v>
      </c>
      <c r="I1131">
        <v>99</v>
      </c>
      <c r="J1131" s="8">
        <v>0.79200000000000004</v>
      </c>
      <c r="K1131">
        <v>52</v>
      </c>
      <c r="L1131">
        <v>24</v>
      </c>
      <c r="M1131">
        <v>192</v>
      </c>
      <c r="N1131" s="10">
        <v>710.16</v>
      </c>
      <c r="O1131" s="7">
        <v>2.5</v>
      </c>
      <c r="P1131" s="7">
        <v>29.9</v>
      </c>
      <c r="Q1131">
        <v>4</v>
      </c>
      <c r="R1131" t="s">
        <v>66</v>
      </c>
      <c r="S1131">
        <v>1</v>
      </c>
      <c r="T1131">
        <v>12</v>
      </c>
      <c r="U1131" s="11">
        <v>-0.43388373911755801</v>
      </c>
      <c r="V1131" s="11">
        <v>-0.90096886790241915</v>
      </c>
      <c r="W1131" s="11">
        <v>0.18809941761179758</v>
      </c>
      <c r="X1131" s="11">
        <v>0.98214999317522911</v>
      </c>
      <c r="Y1131">
        <v>0</v>
      </c>
      <c r="Z1131">
        <v>0</v>
      </c>
      <c r="AB1131">
        <v>1</v>
      </c>
      <c r="AC1131">
        <v>0</v>
      </c>
      <c r="AD1131">
        <v>0</v>
      </c>
      <c r="AE1131">
        <v>0</v>
      </c>
    </row>
    <row r="1132" spans="1:31">
      <c r="A1132" s="6">
        <v>45303</v>
      </c>
      <c r="B1132" t="s">
        <v>41</v>
      </c>
      <c r="C1132" t="s">
        <v>42</v>
      </c>
      <c r="D1132" t="s">
        <v>43</v>
      </c>
      <c r="E1132" t="s">
        <v>44</v>
      </c>
      <c r="F1132">
        <v>85</v>
      </c>
      <c r="G1132">
        <v>210</v>
      </c>
      <c r="H1132">
        <v>153</v>
      </c>
      <c r="I1132">
        <v>68</v>
      </c>
      <c r="J1132" s="8">
        <v>0.8</v>
      </c>
      <c r="K1132">
        <v>39</v>
      </c>
      <c r="L1132">
        <v>33</v>
      </c>
      <c r="M1132">
        <v>125</v>
      </c>
      <c r="N1132" s="10">
        <v>522.08000000000004</v>
      </c>
      <c r="O1132" s="7">
        <v>2.5</v>
      </c>
      <c r="P1132" s="7">
        <v>29.9</v>
      </c>
      <c r="Q1132">
        <v>4</v>
      </c>
      <c r="R1132" t="s">
        <v>66</v>
      </c>
      <c r="S1132">
        <v>1</v>
      </c>
      <c r="T1132">
        <v>12</v>
      </c>
      <c r="U1132" s="11">
        <v>-0.43388373911755801</v>
      </c>
      <c r="V1132" s="11">
        <v>-0.90096886790241915</v>
      </c>
      <c r="W1132" s="11">
        <v>0.18809941761179758</v>
      </c>
      <c r="X1132" s="11">
        <v>0.98214999317522911</v>
      </c>
      <c r="Y1132">
        <v>0</v>
      </c>
      <c r="Z1132">
        <v>0</v>
      </c>
      <c r="AB1132">
        <v>1</v>
      </c>
      <c r="AC1132">
        <v>0</v>
      </c>
      <c r="AD1132">
        <v>0</v>
      </c>
      <c r="AE1132">
        <v>0</v>
      </c>
    </row>
    <row r="1133" spans="1:31">
      <c r="A1133" s="6">
        <v>45304</v>
      </c>
      <c r="B1133" t="s">
        <v>31</v>
      </c>
      <c r="C1133" t="s">
        <v>32</v>
      </c>
      <c r="D1133" t="s">
        <v>33</v>
      </c>
      <c r="E1133" t="s">
        <v>34</v>
      </c>
      <c r="F1133">
        <v>140</v>
      </c>
      <c r="G1133">
        <v>360</v>
      </c>
      <c r="H1133">
        <v>255</v>
      </c>
      <c r="I1133">
        <v>107</v>
      </c>
      <c r="J1133" s="8">
        <v>0.76428571428571423</v>
      </c>
      <c r="K1133">
        <v>45</v>
      </c>
      <c r="L1133">
        <v>59</v>
      </c>
      <c r="M1133">
        <v>226</v>
      </c>
      <c r="N1133" s="10">
        <v>528.77</v>
      </c>
      <c r="O1133" s="7">
        <v>4.4000000000000004</v>
      </c>
      <c r="P1133" s="7">
        <v>28.7</v>
      </c>
      <c r="Q1133">
        <v>5</v>
      </c>
      <c r="R1133" t="s">
        <v>67</v>
      </c>
      <c r="S1133">
        <v>1</v>
      </c>
      <c r="T1133">
        <v>13</v>
      </c>
      <c r="U1133" s="11">
        <v>-0.97492791218182362</v>
      </c>
      <c r="V1133" s="11">
        <v>-0.22252093395631459</v>
      </c>
      <c r="W1133" s="11">
        <v>0.20496611396949532</v>
      </c>
      <c r="X1133" s="11">
        <v>0.97876906986492163</v>
      </c>
      <c r="Y1133">
        <v>1</v>
      </c>
      <c r="Z1133">
        <v>0</v>
      </c>
      <c r="AB1133">
        <v>1</v>
      </c>
      <c r="AC1133">
        <v>0</v>
      </c>
      <c r="AD1133">
        <v>0</v>
      </c>
      <c r="AE1133">
        <v>0</v>
      </c>
    </row>
    <row r="1134" spans="1:31">
      <c r="A1134" s="6">
        <v>45304</v>
      </c>
      <c r="B1134" t="s">
        <v>36</v>
      </c>
      <c r="C1134" t="s">
        <v>37</v>
      </c>
      <c r="D1134" t="s">
        <v>38</v>
      </c>
      <c r="E1134" t="s">
        <v>39</v>
      </c>
      <c r="F1134">
        <v>125</v>
      </c>
      <c r="G1134">
        <v>320</v>
      </c>
      <c r="H1134">
        <v>264</v>
      </c>
      <c r="I1134">
        <v>110</v>
      </c>
      <c r="J1134" s="8">
        <v>0.88</v>
      </c>
      <c r="K1134">
        <v>36</v>
      </c>
      <c r="L1134">
        <v>42</v>
      </c>
      <c r="M1134">
        <v>244</v>
      </c>
      <c r="N1134" s="10">
        <v>708.15</v>
      </c>
      <c r="O1134" s="7">
        <v>4.4000000000000004</v>
      </c>
      <c r="P1134" s="7">
        <v>28.7</v>
      </c>
      <c r="Q1134">
        <v>5</v>
      </c>
      <c r="R1134" t="s">
        <v>67</v>
      </c>
      <c r="S1134">
        <v>1</v>
      </c>
      <c r="T1134">
        <v>13</v>
      </c>
      <c r="U1134" s="11">
        <v>-0.97492791218182362</v>
      </c>
      <c r="V1134" s="11">
        <v>-0.22252093395631459</v>
      </c>
      <c r="W1134" s="11">
        <v>0.20496611396949532</v>
      </c>
      <c r="X1134" s="11">
        <v>0.97876906986492163</v>
      </c>
      <c r="Y1134">
        <v>1</v>
      </c>
      <c r="Z1134">
        <v>0</v>
      </c>
      <c r="AB1134">
        <v>1</v>
      </c>
      <c r="AC1134">
        <v>0</v>
      </c>
      <c r="AD1134">
        <v>0</v>
      </c>
      <c r="AE1134">
        <v>0</v>
      </c>
    </row>
    <row r="1135" spans="1:31">
      <c r="A1135" s="6">
        <v>45304</v>
      </c>
      <c r="B1135" t="s">
        <v>41</v>
      </c>
      <c r="C1135" t="s">
        <v>42</v>
      </c>
      <c r="D1135" t="s">
        <v>43</v>
      </c>
      <c r="E1135" t="s">
        <v>44</v>
      </c>
      <c r="F1135">
        <v>85</v>
      </c>
      <c r="G1135">
        <v>210</v>
      </c>
      <c r="H1135">
        <v>184</v>
      </c>
      <c r="I1135">
        <v>82</v>
      </c>
      <c r="J1135" s="8">
        <v>0.96470588235294119</v>
      </c>
      <c r="K1135">
        <v>46</v>
      </c>
      <c r="L1135">
        <v>22</v>
      </c>
      <c r="M1135">
        <v>172</v>
      </c>
      <c r="N1135" s="10">
        <v>580.41999999999996</v>
      </c>
      <c r="O1135" s="7">
        <v>4.4000000000000004</v>
      </c>
      <c r="P1135" s="7">
        <v>28.7</v>
      </c>
      <c r="Q1135">
        <v>5</v>
      </c>
      <c r="R1135" t="s">
        <v>67</v>
      </c>
      <c r="S1135">
        <v>1</v>
      </c>
      <c r="T1135">
        <v>13</v>
      </c>
      <c r="U1135" s="11">
        <v>-0.97492791218182362</v>
      </c>
      <c r="V1135" s="11">
        <v>-0.22252093395631459</v>
      </c>
      <c r="W1135" s="11">
        <v>0.20496611396949532</v>
      </c>
      <c r="X1135" s="11">
        <v>0.97876906986492163</v>
      </c>
      <c r="Y1135">
        <v>1</v>
      </c>
      <c r="Z1135">
        <v>0</v>
      </c>
      <c r="AB1135">
        <v>1</v>
      </c>
      <c r="AC1135">
        <v>0</v>
      </c>
      <c r="AD1135">
        <v>0</v>
      </c>
      <c r="AE1135">
        <v>0</v>
      </c>
    </row>
    <row r="1136" spans="1:31">
      <c r="A1136" s="6">
        <v>45305</v>
      </c>
      <c r="B1136" t="s">
        <v>31</v>
      </c>
      <c r="C1136" t="s">
        <v>32</v>
      </c>
      <c r="D1136" t="s">
        <v>33</v>
      </c>
      <c r="E1136" t="s">
        <v>34</v>
      </c>
      <c r="F1136">
        <v>140</v>
      </c>
      <c r="G1136">
        <v>360</v>
      </c>
      <c r="H1136">
        <v>257</v>
      </c>
      <c r="I1136">
        <v>110</v>
      </c>
      <c r="J1136" s="8">
        <v>0.7857142857142857</v>
      </c>
      <c r="K1136">
        <v>58</v>
      </c>
      <c r="L1136">
        <v>37</v>
      </c>
      <c r="M1136">
        <v>228</v>
      </c>
      <c r="N1136" s="10">
        <v>549.33000000000004</v>
      </c>
      <c r="O1136" s="7">
        <v>0</v>
      </c>
      <c r="P1136" s="7">
        <v>28.4</v>
      </c>
      <c r="Q1136">
        <v>6</v>
      </c>
      <c r="R1136" t="s">
        <v>60</v>
      </c>
      <c r="S1136">
        <v>1</v>
      </c>
      <c r="T1136">
        <v>14</v>
      </c>
      <c r="U1136" s="11">
        <v>-0.78183148246802991</v>
      </c>
      <c r="V1136" s="11">
        <v>0.62348980185873337</v>
      </c>
      <c r="W1136" s="11">
        <v>0.22177215755648186</v>
      </c>
      <c r="X1136" s="11">
        <v>0.97509851303996098</v>
      </c>
      <c r="Y1136">
        <v>1</v>
      </c>
      <c r="Z1136">
        <v>0</v>
      </c>
      <c r="AB1136">
        <v>1</v>
      </c>
      <c r="AC1136">
        <v>0</v>
      </c>
      <c r="AD1136">
        <v>0</v>
      </c>
      <c r="AE1136">
        <v>0</v>
      </c>
    </row>
    <row r="1137" spans="1:31">
      <c r="A1137" s="6">
        <v>45305</v>
      </c>
      <c r="B1137" t="s">
        <v>36</v>
      </c>
      <c r="C1137" t="s">
        <v>37</v>
      </c>
      <c r="D1137" t="s">
        <v>38</v>
      </c>
      <c r="E1137" t="s">
        <v>39</v>
      </c>
      <c r="F1137">
        <v>125</v>
      </c>
      <c r="G1137">
        <v>320</v>
      </c>
      <c r="H1137">
        <v>245</v>
      </c>
      <c r="I1137">
        <v>105</v>
      </c>
      <c r="J1137" s="8">
        <v>0.84</v>
      </c>
      <c r="K1137">
        <v>48</v>
      </c>
      <c r="L1137">
        <v>45</v>
      </c>
      <c r="M1137">
        <v>222</v>
      </c>
      <c r="N1137" s="10">
        <v>735.8</v>
      </c>
      <c r="O1137" s="7">
        <v>0</v>
      </c>
      <c r="P1137" s="7">
        <v>28.4</v>
      </c>
      <c r="Q1137">
        <v>6</v>
      </c>
      <c r="R1137" t="s">
        <v>60</v>
      </c>
      <c r="S1137">
        <v>1</v>
      </c>
      <c r="T1137">
        <v>14</v>
      </c>
      <c r="U1137" s="11">
        <v>-0.78183148246802991</v>
      </c>
      <c r="V1137" s="11">
        <v>0.62348980185873337</v>
      </c>
      <c r="W1137" s="11">
        <v>0.22177215755648186</v>
      </c>
      <c r="X1137" s="11">
        <v>0.97509851303996098</v>
      </c>
      <c r="Y1137">
        <v>1</v>
      </c>
      <c r="Z1137">
        <v>0</v>
      </c>
      <c r="AB1137">
        <v>1</v>
      </c>
      <c r="AC1137">
        <v>0</v>
      </c>
      <c r="AD1137">
        <v>0</v>
      </c>
      <c r="AE1137">
        <v>0</v>
      </c>
    </row>
    <row r="1138" spans="1:31">
      <c r="A1138" s="6">
        <v>45305</v>
      </c>
      <c r="B1138" t="s">
        <v>41</v>
      </c>
      <c r="C1138" t="s">
        <v>42</v>
      </c>
      <c r="D1138" t="s">
        <v>43</v>
      </c>
      <c r="E1138" t="s">
        <v>44</v>
      </c>
      <c r="F1138">
        <v>85</v>
      </c>
      <c r="G1138">
        <v>210</v>
      </c>
      <c r="H1138">
        <v>193</v>
      </c>
      <c r="I1138">
        <v>82</v>
      </c>
      <c r="J1138" s="8">
        <v>0.96470588235294119</v>
      </c>
      <c r="K1138">
        <v>52</v>
      </c>
      <c r="L1138">
        <v>36</v>
      </c>
      <c r="M1138">
        <v>170</v>
      </c>
      <c r="N1138" s="10">
        <v>657.38</v>
      </c>
      <c r="O1138" s="7">
        <v>0</v>
      </c>
      <c r="P1138" s="7">
        <v>28.4</v>
      </c>
      <c r="Q1138">
        <v>6</v>
      </c>
      <c r="R1138" t="s">
        <v>60</v>
      </c>
      <c r="S1138">
        <v>1</v>
      </c>
      <c r="T1138">
        <v>14</v>
      </c>
      <c r="U1138" s="11">
        <v>-0.78183148246802991</v>
      </c>
      <c r="V1138" s="11">
        <v>0.62348980185873337</v>
      </c>
      <c r="W1138" s="11">
        <v>0.22177215755648186</v>
      </c>
      <c r="X1138" s="11">
        <v>0.97509851303996098</v>
      </c>
      <c r="Y1138">
        <v>1</v>
      </c>
      <c r="Z1138">
        <v>0</v>
      </c>
      <c r="AB1138">
        <v>1</v>
      </c>
      <c r="AC1138">
        <v>0</v>
      </c>
      <c r="AD1138">
        <v>0</v>
      </c>
      <c r="AE1138">
        <v>0</v>
      </c>
    </row>
    <row r="1139" spans="1:31">
      <c r="A1139" s="6">
        <v>45306</v>
      </c>
      <c r="B1139" t="s">
        <v>31</v>
      </c>
      <c r="C1139" t="s">
        <v>32</v>
      </c>
      <c r="D1139" t="s">
        <v>33</v>
      </c>
      <c r="E1139" t="s">
        <v>34</v>
      </c>
      <c r="F1139">
        <v>140</v>
      </c>
      <c r="G1139">
        <v>360</v>
      </c>
      <c r="H1139">
        <v>233</v>
      </c>
      <c r="I1139">
        <v>99</v>
      </c>
      <c r="J1139" s="8">
        <v>0.70714285714285718</v>
      </c>
      <c r="K1139">
        <v>47</v>
      </c>
      <c r="L1139">
        <v>64</v>
      </c>
      <c r="M1139">
        <v>218</v>
      </c>
      <c r="N1139" s="10">
        <v>443.31</v>
      </c>
      <c r="O1139" s="7">
        <v>7.2</v>
      </c>
      <c r="P1139" s="7">
        <v>29</v>
      </c>
      <c r="Q1139">
        <v>0</v>
      </c>
      <c r="R1139" t="s">
        <v>62</v>
      </c>
      <c r="S1139">
        <v>1</v>
      </c>
      <c r="T1139">
        <v>15</v>
      </c>
      <c r="U1139" s="11">
        <v>0</v>
      </c>
      <c r="V1139" s="11">
        <v>1</v>
      </c>
      <c r="W1139" s="11">
        <v>0.23851257519407648</v>
      </c>
      <c r="X1139" s="11">
        <v>0.97113940887716532</v>
      </c>
      <c r="Y1139">
        <v>0</v>
      </c>
      <c r="Z1139">
        <v>0</v>
      </c>
      <c r="AB1139">
        <v>1</v>
      </c>
      <c r="AC1139">
        <v>0</v>
      </c>
      <c r="AD1139">
        <v>0</v>
      </c>
      <c r="AE1139">
        <v>0</v>
      </c>
    </row>
    <row r="1140" spans="1:31">
      <c r="A1140" s="6">
        <v>45306</v>
      </c>
      <c r="B1140" t="s">
        <v>36</v>
      </c>
      <c r="C1140" t="s">
        <v>37</v>
      </c>
      <c r="D1140" t="s">
        <v>38</v>
      </c>
      <c r="E1140" t="s">
        <v>39</v>
      </c>
      <c r="F1140">
        <v>125</v>
      </c>
      <c r="G1140">
        <v>320</v>
      </c>
      <c r="H1140">
        <v>238</v>
      </c>
      <c r="I1140">
        <v>100</v>
      </c>
      <c r="J1140" s="8">
        <v>0.8</v>
      </c>
      <c r="K1140">
        <v>53</v>
      </c>
      <c r="L1140">
        <v>32</v>
      </c>
      <c r="M1140">
        <v>203</v>
      </c>
      <c r="N1140" s="10">
        <v>709.6</v>
      </c>
      <c r="O1140" s="7">
        <v>7.2</v>
      </c>
      <c r="P1140" s="7">
        <v>29</v>
      </c>
      <c r="Q1140">
        <v>0</v>
      </c>
      <c r="R1140" t="s">
        <v>62</v>
      </c>
      <c r="S1140">
        <v>1</v>
      </c>
      <c r="T1140">
        <v>15</v>
      </c>
      <c r="U1140" s="11">
        <v>0</v>
      </c>
      <c r="V1140" s="11">
        <v>1</v>
      </c>
      <c r="W1140" s="11">
        <v>0.23851257519407648</v>
      </c>
      <c r="X1140" s="11">
        <v>0.97113940887716532</v>
      </c>
      <c r="Y1140">
        <v>0</v>
      </c>
      <c r="Z1140">
        <v>0</v>
      </c>
      <c r="AB1140">
        <v>1</v>
      </c>
      <c r="AC1140">
        <v>0</v>
      </c>
      <c r="AD1140">
        <v>0</v>
      </c>
      <c r="AE1140">
        <v>0</v>
      </c>
    </row>
    <row r="1141" spans="1:31">
      <c r="A1141" s="6">
        <v>45306</v>
      </c>
      <c r="B1141" t="s">
        <v>41</v>
      </c>
      <c r="C1141" t="s">
        <v>42</v>
      </c>
      <c r="D1141" t="s">
        <v>43</v>
      </c>
      <c r="E1141" t="s">
        <v>44</v>
      </c>
      <c r="F1141">
        <v>85</v>
      </c>
      <c r="G1141">
        <v>210</v>
      </c>
      <c r="H1141">
        <v>166</v>
      </c>
      <c r="I1141">
        <v>71</v>
      </c>
      <c r="J1141" s="8">
        <v>0.83529411764705885</v>
      </c>
      <c r="K1141">
        <v>27</v>
      </c>
      <c r="L1141">
        <v>30</v>
      </c>
      <c r="M1141">
        <v>147</v>
      </c>
      <c r="N1141" s="10">
        <v>623</v>
      </c>
      <c r="O1141" s="7">
        <v>7.2</v>
      </c>
      <c r="P1141" s="7">
        <v>29</v>
      </c>
      <c r="Q1141">
        <v>0</v>
      </c>
      <c r="R1141" t="s">
        <v>62</v>
      </c>
      <c r="S1141">
        <v>1</v>
      </c>
      <c r="T1141">
        <v>15</v>
      </c>
      <c r="U1141" s="11">
        <v>0</v>
      </c>
      <c r="V1141" s="11">
        <v>1</v>
      </c>
      <c r="W1141" s="11">
        <v>0.23851257519407648</v>
      </c>
      <c r="X1141" s="11">
        <v>0.97113940887716532</v>
      </c>
      <c r="Y1141">
        <v>0</v>
      </c>
      <c r="Z1141">
        <v>0</v>
      </c>
      <c r="AB1141">
        <v>1</v>
      </c>
      <c r="AC1141">
        <v>0</v>
      </c>
      <c r="AD1141">
        <v>0</v>
      </c>
      <c r="AE1141">
        <v>0</v>
      </c>
    </row>
    <row r="1142" spans="1:31">
      <c r="A1142" s="6">
        <v>45307</v>
      </c>
      <c r="B1142" t="s">
        <v>31</v>
      </c>
      <c r="C1142" t="s">
        <v>32</v>
      </c>
      <c r="D1142" t="s">
        <v>33</v>
      </c>
      <c r="E1142" t="s">
        <v>34</v>
      </c>
      <c r="F1142">
        <v>140</v>
      </c>
      <c r="G1142">
        <v>360</v>
      </c>
      <c r="H1142">
        <v>230</v>
      </c>
      <c r="I1142">
        <v>99</v>
      </c>
      <c r="J1142" s="8">
        <v>0.70714285714285718</v>
      </c>
      <c r="K1142">
        <v>52</v>
      </c>
      <c r="L1142">
        <v>47</v>
      </c>
      <c r="M1142">
        <v>190</v>
      </c>
      <c r="N1142" s="10">
        <v>450.32</v>
      </c>
      <c r="O1142" s="7">
        <v>0</v>
      </c>
      <c r="P1142" s="7">
        <v>28.6</v>
      </c>
      <c r="Q1142">
        <v>1</v>
      </c>
      <c r="R1142" t="s">
        <v>63</v>
      </c>
      <c r="S1142">
        <v>1</v>
      </c>
      <c r="T1142">
        <v>16</v>
      </c>
      <c r="U1142" s="11">
        <v>0.7818314824680298</v>
      </c>
      <c r="V1142" s="11">
        <v>0.62348980185873359</v>
      </c>
      <c r="W1142" s="11">
        <v>0.25518241312337281</v>
      </c>
      <c r="X1142" s="11">
        <v>0.96689292893915213</v>
      </c>
      <c r="Y1142">
        <v>0</v>
      </c>
      <c r="Z1142">
        <v>0</v>
      </c>
      <c r="AB1142">
        <v>1</v>
      </c>
      <c r="AC1142">
        <v>0</v>
      </c>
      <c r="AD1142">
        <v>0</v>
      </c>
      <c r="AE1142">
        <v>0</v>
      </c>
    </row>
    <row r="1143" spans="1:31">
      <c r="A1143" s="6">
        <v>45307</v>
      </c>
      <c r="B1143" t="s">
        <v>36</v>
      </c>
      <c r="C1143" t="s">
        <v>37</v>
      </c>
      <c r="D1143" t="s">
        <v>38</v>
      </c>
      <c r="E1143" t="s">
        <v>39</v>
      </c>
      <c r="F1143">
        <v>125</v>
      </c>
      <c r="G1143">
        <v>320</v>
      </c>
      <c r="H1143">
        <v>216</v>
      </c>
      <c r="I1143">
        <v>92</v>
      </c>
      <c r="J1143" s="8">
        <v>0.73599999999999999</v>
      </c>
      <c r="K1143">
        <v>26</v>
      </c>
      <c r="L1143">
        <v>47</v>
      </c>
      <c r="M1143">
        <v>176</v>
      </c>
      <c r="N1143" s="10">
        <v>629.84</v>
      </c>
      <c r="O1143" s="7">
        <v>0</v>
      </c>
      <c r="P1143" s="7">
        <v>28.6</v>
      </c>
      <c r="Q1143">
        <v>1</v>
      </c>
      <c r="R1143" t="s">
        <v>63</v>
      </c>
      <c r="S1143">
        <v>1</v>
      </c>
      <c r="T1143">
        <v>16</v>
      </c>
      <c r="U1143" s="11">
        <v>0.7818314824680298</v>
      </c>
      <c r="V1143" s="11">
        <v>0.62348980185873359</v>
      </c>
      <c r="W1143" s="11">
        <v>0.25518241312337281</v>
      </c>
      <c r="X1143" s="11">
        <v>0.96689292893915213</v>
      </c>
      <c r="Y1143">
        <v>0</v>
      </c>
      <c r="Z1143">
        <v>0</v>
      </c>
      <c r="AB1143">
        <v>1</v>
      </c>
      <c r="AC1143">
        <v>0</v>
      </c>
      <c r="AD1143">
        <v>0</v>
      </c>
      <c r="AE1143">
        <v>0</v>
      </c>
    </row>
    <row r="1144" spans="1:31">
      <c r="A1144" s="6">
        <v>45307</v>
      </c>
      <c r="B1144" t="s">
        <v>41</v>
      </c>
      <c r="C1144" t="s">
        <v>42</v>
      </c>
      <c r="D1144" t="s">
        <v>43</v>
      </c>
      <c r="E1144" t="s">
        <v>44</v>
      </c>
      <c r="F1144">
        <v>85</v>
      </c>
      <c r="G1144">
        <v>210</v>
      </c>
      <c r="H1144">
        <v>140</v>
      </c>
      <c r="I1144">
        <v>64</v>
      </c>
      <c r="J1144" s="8">
        <v>0.75294117647058822</v>
      </c>
      <c r="K1144">
        <v>33</v>
      </c>
      <c r="L1144">
        <v>25</v>
      </c>
      <c r="M1144">
        <v>130</v>
      </c>
      <c r="N1144" s="10">
        <v>529.32000000000005</v>
      </c>
      <c r="O1144" s="7">
        <v>0</v>
      </c>
      <c r="P1144" s="7">
        <v>28.6</v>
      </c>
      <c r="Q1144">
        <v>1</v>
      </c>
      <c r="R1144" t="s">
        <v>63</v>
      </c>
      <c r="S1144">
        <v>1</v>
      </c>
      <c r="T1144">
        <v>16</v>
      </c>
      <c r="U1144" s="11">
        <v>0.7818314824680298</v>
      </c>
      <c r="V1144" s="11">
        <v>0.62348980185873359</v>
      </c>
      <c r="W1144" s="11">
        <v>0.25518241312337281</v>
      </c>
      <c r="X1144" s="11">
        <v>0.96689292893915213</v>
      </c>
      <c r="Y1144">
        <v>0</v>
      </c>
      <c r="Z1144">
        <v>0</v>
      </c>
      <c r="AB1144">
        <v>1</v>
      </c>
      <c r="AC1144">
        <v>0</v>
      </c>
      <c r="AD1144">
        <v>0</v>
      </c>
      <c r="AE1144">
        <v>0</v>
      </c>
    </row>
    <row r="1145" spans="1:31">
      <c r="A1145" s="6">
        <v>45308</v>
      </c>
      <c r="B1145" t="s">
        <v>31</v>
      </c>
      <c r="C1145" t="s">
        <v>32</v>
      </c>
      <c r="D1145" t="s">
        <v>33</v>
      </c>
      <c r="E1145" t="s">
        <v>34</v>
      </c>
      <c r="F1145">
        <v>140</v>
      </c>
      <c r="G1145">
        <v>360</v>
      </c>
      <c r="H1145">
        <v>217</v>
      </c>
      <c r="I1145">
        <v>95</v>
      </c>
      <c r="J1145" s="8">
        <v>0.6785714285714286</v>
      </c>
      <c r="K1145">
        <v>52</v>
      </c>
      <c r="L1145">
        <v>31</v>
      </c>
      <c r="M1145">
        <v>196</v>
      </c>
      <c r="N1145" s="10">
        <v>462.77</v>
      </c>
      <c r="O1145" s="7">
        <v>9.6</v>
      </c>
      <c r="P1145" s="7">
        <v>27.7</v>
      </c>
      <c r="Q1145">
        <v>2</v>
      </c>
      <c r="R1145" t="s">
        <v>64</v>
      </c>
      <c r="S1145">
        <v>1</v>
      </c>
      <c r="T1145">
        <v>17</v>
      </c>
      <c r="U1145" s="11">
        <v>0.97492791218182362</v>
      </c>
      <c r="V1145" s="11">
        <v>-0.22252093395631434</v>
      </c>
      <c r="W1145" s="11">
        <v>0.2717767384711357</v>
      </c>
      <c r="X1145" s="11">
        <v>0.96236032982765451</v>
      </c>
      <c r="Y1145">
        <v>0</v>
      </c>
      <c r="Z1145">
        <v>0</v>
      </c>
      <c r="AB1145">
        <v>1</v>
      </c>
      <c r="AC1145">
        <v>0</v>
      </c>
      <c r="AD1145">
        <v>0</v>
      </c>
      <c r="AE1145">
        <v>0</v>
      </c>
    </row>
    <row r="1146" spans="1:31">
      <c r="A1146" s="6">
        <v>45308</v>
      </c>
      <c r="B1146" t="s">
        <v>36</v>
      </c>
      <c r="C1146" t="s">
        <v>37</v>
      </c>
      <c r="D1146" t="s">
        <v>38</v>
      </c>
      <c r="E1146" t="s">
        <v>39</v>
      </c>
      <c r="F1146">
        <v>125</v>
      </c>
      <c r="G1146">
        <v>320</v>
      </c>
      <c r="H1146">
        <v>195</v>
      </c>
      <c r="I1146">
        <v>84</v>
      </c>
      <c r="J1146" s="8">
        <v>0.67200000000000004</v>
      </c>
      <c r="K1146">
        <v>39</v>
      </c>
      <c r="L1146">
        <v>25</v>
      </c>
      <c r="M1146">
        <v>182</v>
      </c>
      <c r="N1146" s="10">
        <v>607.53</v>
      </c>
      <c r="O1146" s="7">
        <v>9.6</v>
      </c>
      <c r="P1146" s="7">
        <v>27.7</v>
      </c>
      <c r="Q1146">
        <v>2</v>
      </c>
      <c r="R1146" t="s">
        <v>64</v>
      </c>
      <c r="S1146">
        <v>1</v>
      </c>
      <c r="T1146">
        <v>17</v>
      </c>
      <c r="U1146" s="11">
        <v>0.97492791218182362</v>
      </c>
      <c r="V1146" s="11">
        <v>-0.22252093395631434</v>
      </c>
      <c r="W1146" s="11">
        <v>0.2717767384711357</v>
      </c>
      <c r="X1146" s="11">
        <v>0.96236032982765451</v>
      </c>
      <c r="Y1146">
        <v>0</v>
      </c>
      <c r="Z1146">
        <v>0</v>
      </c>
      <c r="AB1146">
        <v>1</v>
      </c>
      <c r="AC1146">
        <v>0</v>
      </c>
      <c r="AD1146">
        <v>0</v>
      </c>
      <c r="AE1146">
        <v>0</v>
      </c>
    </row>
    <row r="1147" spans="1:31">
      <c r="A1147" s="6">
        <v>45308</v>
      </c>
      <c r="B1147" t="s">
        <v>41</v>
      </c>
      <c r="C1147" t="s">
        <v>42</v>
      </c>
      <c r="D1147" t="s">
        <v>43</v>
      </c>
      <c r="E1147" t="s">
        <v>44</v>
      </c>
      <c r="F1147">
        <v>85</v>
      </c>
      <c r="G1147">
        <v>210</v>
      </c>
      <c r="H1147">
        <v>158</v>
      </c>
      <c r="I1147">
        <v>72</v>
      </c>
      <c r="J1147" s="8">
        <v>0.84705882352941175</v>
      </c>
      <c r="K1147">
        <v>32</v>
      </c>
      <c r="L1147">
        <v>36</v>
      </c>
      <c r="M1147">
        <v>139</v>
      </c>
      <c r="N1147" s="10">
        <v>604.04</v>
      </c>
      <c r="O1147" s="7">
        <v>9.6</v>
      </c>
      <c r="P1147" s="7">
        <v>27.7</v>
      </c>
      <c r="Q1147">
        <v>2</v>
      </c>
      <c r="R1147" t="s">
        <v>64</v>
      </c>
      <c r="S1147">
        <v>1</v>
      </c>
      <c r="T1147">
        <v>17</v>
      </c>
      <c r="U1147" s="11">
        <v>0.97492791218182362</v>
      </c>
      <c r="V1147" s="11">
        <v>-0.22252093395631434</v>
      </c>
      <c r="W1147" s="11">
        <v>0.2717767384711357</v>
      </c>
      <c r="X1147" s="11">
        <v>0.96236032982765451</v>
      </c>
      <c r="Y1147">
        <v>0</v>
      </c>
      <c r="Z1147">
        <v>0</v>
      </c>
      <c r="AB1147">
        <v>1</v>
      </c>
      <c r="AC1147">
        <v>0</v>
      </c>
      <c r="AD1147">
        <v>0</v>
      </c>
      <c r="AE1147">
        <v>0</v>
      </c>
    </row>
    <row r="1148" spans="1:31">
      <c r="A1148" s="6">
        <v>45309</v>
      </c>
      <c r="B1148" t="s">
        <v>31</v>
      </c>
      <c r="C1148" t="s">
        <v>32</v>
      </c>
      <c r="D1148" t="s">
        <v>33</v>
      </c>
      <c r="E1148" t="s">
        <v>34</v>
      </c>
      <c r="F1148">
        <v>140</v>
      </c>
      <c r="G1148">
        <v>360</v>
      </c>
      <c r="H1148">
        <v>216</v>
      </c>
      <c r="I1148">
        <v>89</v>
      </c>
      <c r="J1148" s="8">
        <v>0.63571428571428568</v>
      </c>
      <c r="K1148">
        <v>49</v>
      </c>
      <c r="L1148">
        <v>35</v>
      </c>
      <c r="M1148">
        <v>173</v>
      </c>
      <c r="N1148" s="10">
        <v>427.75</v>
      </c>
      <c r="O1148" s="7">
        <v>6.1</v>
      </c>
      <c r="P1148" s="7">
        <v>28.7</v>
      </c>
      <c r="Q1148">
        <v>3</v>
      </c>
      <c r="R1148" t="s">
        <v>65</v>
      </c>
      <c r="S1148">
        <v>1</v>
      </c>
      <c r="T1148">
        <v>18</v>
      </c>
      <c r="U1148" s="11">
        <v>0.43388373911755823</v>
      </c>
      <c r="V1148" s="11">
        <v>-0.90096886790241903</v>
      </c>
      <c r="W1148" s="11">
        <v>0.28829064070951771</v>
      </c>
      <c r="X1148" s="11">
        <v>0.9575429528116719</v>
      </c>
      <c r="Y1148">
        <v>0</v>
      </c>
      <c r="Z1148">
        <v>0</v>
      </c>
      <c r="AB1148">
        <v>1</v>
      </c>
      <c r="AC1148">
        <v>0</v>
      </c>
      <c r="AD1148">
        <v>0</v>
      </c>
      <c r="AE1148">
        <v>0</v>
      </c>
    </row>
    <row r="1149" spans="1:31">
      <c r="A1149" s="6">
        <v>45309</v>
      </c>
      <c r="B1149" t="s">
        <v>36</v>
      </c>
      <c r="C1149" t="s">
        <v>37</v>
      </c>
      <c r="D1149" t="s">
        <v>38</v>
      </c>
      <c r="E1149" t="s">
        <v>39</v>
      </c>
      <c r="F1149">
        <v>125</v>
      </c>
      <c r="G1149">
        <v>320</v>
      </c>
      <c r="H1149">
        <v>213</v>
      </c>
      <c r="I1149">
        <v>90</v>
      </c>
      <c r="J1149" s="8">
        <v>0.72</v>
      </c>
      <c r="K1149">
        <v>45</v>
      </c>
      <c r="L1149">
        <v>40</v>
      </c>
      <c r="M1149">
        <v>198</v>
      </c>
      <c r="N1149" s="10">
        <v>730.44</v>
      </c>
      <c r="O1149" s="7">
        <v>6.1</v>
      </c>
      <c r="P1149" s="7">
        <v>28.7</v>
      </c>
      <c r="Q1149">
        <v>3</v>
      </c>
      <c r="R1149" t="s">
        <v>65</v>
      </c>
      <c r="S1149">
        <v>1</v>
      </c>
      <c r="T1149">
        <v>18</v>
      </c>
      <c r="U1149" s="11">
        <v>0.43388373911755823</v>
      </c>
      <c r="V1149" s="11">
        <v>-0.90096886790241903</v>
      </c>
      <c r="W1149" s="11">
        <v>0.28829064070951771</v>
      </c>
      <c r="X1149" s="11">
        <v>0.9575429528116719</v>
      </c>
      <c r="Y1149">
        <v>0</v>
      </c>
      <c r="Z1149">
        <v>0</v>
      </c>
      <c r="AB1149">
        <v>1</v>
      </c>
      <c r="AC1149">
        <v>0</v>
      </c>
      <c r="AD1149">
        <v>0</v>
      </c>
      <c r="AE1149">
        <v>0</v>
      </c>
    </row>
    <row r="1150" spans="1:31">
      <c r="A1150" s="6">
        <v>45309</v>
      </c>
      <c r="B1150" t="s">
        <v>41</v>
      </c>
      <c r="C1150" t="s">
        <v>42</v>
      </c>
      <c r="D1150" t="s">
        <v>43</v>
      </c>
      <c r="E1150" t="s">
        <v>44</v>
      </c>
      <c r="F1150">
        <v>85</v>
      </c>
      <c r="G1150">
        <v>210</v>
      </c>
      <c r="H1150">
        <v>165</v>
      </c>
      <c r="I1150">
        <v>72</v>
      </c>
      <c r="J1150" s="8">
        <v>0.84705882352941175</v>
      </c>
      <c r="K1150">
        <v>38</v>
      </c>
      <c r="L1150">
        <v>17</v>
      </c>
      <c r="M1150">
        <v>139</v>
      </c>
      <c r="N1150" s="10">
        <v>604.48</v>
      </c>
      <c r="O1150" s="7">
        <v>6.1</v>
      </c>
      <c r="P1150" s="7">
        <v>28.7</v>
      </c>
      <c r="Q1150">
        <v>3</v>
      </c>
      <c r="R1150" t="s">
        <v>65</v>
      </c>
      <c r="S1150">
        <v>1</v>
      </c>
      <c r="T1150">
        <v>18</v>
      </c>
      <c r="U1150" s="11">
        <v>0.43388373911755823</v>
      </c>
      <c r="V1150" s="11">
        <v>-0.90096886790241903</v>
      </c>
      <c r="W1150" s="11">
        <v>0.28829064070951771</v>
      </c>
      <c r="X1150" s="11">
        <v>0.9575429528116719</v>
      </c>
      <c r="Y1150">
        <v>0</v>
      </c>
      <c r="Z1150">
        <v>0</v>
      </c>
      <c r="AB1150">
        <v>1</v>
      </c>
      <c r="AC1150">
        <v>0</v>
      </c>
      <c r="AD1150">
        <v>0</v>
      </c>
      <c r="AE1150">
        <v>0</v>
      </c>
    </row>
    <row r="1151" spans="1:31">
      <c r="A1151" s="6">
        <v>45310</v>
      </c>
      <c r="B1151" t="s">
        <v>31</v>
      </c>
      <c r="C1151" t="s">
        <v>32</v>
      </c>
      <c r="D1151" t="s">
        <v>33</v>
      </c>
      <c r="E1151" t="s">
        <v>34</v>
      </c>
      <c r="F1151">
        <v>140</v>
      </c>
      <c r="G1151">
        <v>360</v>
      </c>
      <c r="H1151">
        <v>219</v>
      </c>
      <c r="I1151">
        <v>92</v>
      </c>
      <c r="J1151" s="8">
        <v>0.65714285714285714</v>
      </c>
      <c r="K1151">
        <v>28</v>
      </c>
      <c r="L1151">
        <v>44</v>
      </c>
      <c r="M1151">
        <v>186</v>
      </c>
      <c r="N1151" s="10">
        <v>451</v>
      </c>
      <c r="O1151" s="7">
        <v>6.8</v>
      </c>
      <c r="P1151" s="7">
        <v>27.6</v>
      </c>
      <c r="Q1151">
        <v>4</v>
      </c>
      <c r="R1151" t="s">
        <v>66</v>
      </c>
      <c r="S1151">
        <v>1</v>
      </c>
      <c r="T1151">
        <v>19</v>
      </c>
      <c r="U1151" s="11">
        <v>-0.43388373911755801</v>
      </c>
      <c r="V1151" s="11">
        <v>-0.90096886790241915</v>
      </c>
      <c r="W1151" s="11">
        <v>0.30471923310916338</v>
      </c>
      <c r="X1151" s="11">
        <v>0.95244222343056761</v>
      </c>
      <c r="Y1151">
        <v>0</v>
      </c>
      <c r="Z1151">
        <v>0</v>
      </c>
      <c r="AB1151">
        <v>1</v>
      </c>
      <c r="AC1151">
        <v>0</v>
      </c>
      <c r="AD1151">
        <v>0</v>
      </c>
      <c r="AE1151">
        <v>0</v>
      </c>
    </row>
    <row r="1152" spans="1:31">
      <c r="A1152" s="6">
        <v>45310</v>
      </c>
      <c r="B1152" t="s">
        <v>36</v>
      </c>
      <c r="C1152" t="s">
        <v>37</v>
      </c>
      <c r="D1152" t="s">
        <v>38</v>
      </c>
      <c r="E1152" t="s">
        <v>39</v>
      </c>
      <c r="F1152">
        <v>125</v>
      </c>
      <c r="G1152">
        <v>320</v>
      </c>
      <c r="H1152">
        <v>222</v>
      </c>
      <c r="I1152">
        <v>94</v>
      </c>
      <c r="J1152" s="8">
        <v>0.752</v>
      </c>
      <c r="K1152">
        <v>27</v>
      </c>
      <c r="L1152">
        <v>30</v>
      </c>
      <c r="M1152">
        <v>198</v>
      </c>
      <c r="N1152" s="10">
        <v>667.22</v>
      </c>
      <c r="O1152" s="7">
        <v>6.8</v>
      </c>
      <c r="P1152" s="7">
        <v>27.6</v>
      </c>
      <c r="Q1152">
        <v>4</v>
      </c>
      <c r="R1152" t="s">
        <v>66</v>
      </c>
      <c r="S1152">
        <v>1</v>
      </c>
      <c r="T1152">
        <v>19</v>
      </c>
      <c r="U1152" s="11">
        <v>-0.43388373911755801</v>
      </c>
      <c r="V1152" s="11">
        <v>-0.90096886790241915</v>
      </c>
      <c r="W1152" s="11">
        <v>0.30471923310916338</v>
      </c>
      <c r="X1152" s="11">
        <v>0.95244222343056761</v>
      </c>
      <c r="Y1152">
        <v>0</v>
      </c>
      <c r="Z1152">
        <v>0</v>
      </c>
      <c r="AB1152">
        <v>1</v>
      </c>
      <c r="AC1152">
        <v>0</v>
      </c>
      <c r="AD1152">
        <v>0</v>
      </c>
      <c r="AE1152">
        <v>0</v>
      </c>
    </row>
    <row r="1153" spans="1:31">
      <c r="A1153" s="6">
        <v>45310</v>
      </c>
      <c r="B1153" t="s">
        <v>41</v>
      </c>
      <c r="C1153" t="s">
        <v>42</v>
      </c>
      <c r="D1153" t="s">
        <v>43</v>
      </c>
      <c r="E1153" t="s">
        <v>44</v>
      </c>
      <c r="F1153">
        <v>85</v>
      </c>
      <c r="G1153">
        <v>210</v>
      </c>
      <c r="H1153">
        <v>172</v>
      </c>
      <c r="I1153">
        <v>74</v>
      </c>
      <c r="J1153" s="8">
        <v>0.87058823529411766</v>
      </c>
      <c r="K1153">
        <v>45</v>
      </c>
      <c r="L1153">
        <v>20</v>
      </c>
      <c r="M1153">
        <v>141</v>
      </c>
      <c r="N1153" s="10">
        <v>581.91999999999996</v>
      </c>
      <c r="O1153" s="7">
        <v>6.8</v>
      </c>
      <c r="P1153" s="7">
        <v>27.6</v>
      </c>
      <c r="Q1153">
        <v>4</v>
      </c>
      <c r="R1153" t="s">
        <v>66</v>
      </c>
      <c r="S1153">
        <v>1</v>
      </c>
      <c r="T1153">
        <v>19</v>
      </c>
      <c r="U1153" s="11">
        <v>-0.43388373911755801</v>
      </c>
      <c r="V1153" s="11">
        <v>-0.90096886790241915</v>
      </c>
      <c r="W1153" s="11">
        <v>0.30471923310916338</v>
      </c>
      <c r="X1153" s="11">
        <v>0.95244222343056761</v>
      </c>
      <c r="Y1153">
        <v>0</v>
      </c>
      <c r="Z1153">
        <v>0</v>
      </c>
      <c r="AB1153">
        <v>1</v>
      </c>
      <c r="AC1153">
        <v>0</v>
      </c>
      <c r="AD1153">
        <v>0</v>
      </c>
      <c r="AE1153">
        <v>0</v>
      </c>
    </row>
    <row r="1154" spans="1:31">
      <c r="A1154" s="6">
        <v>45311</v>
      </c>
      <c r="B1154" t="s">
        <v>31</v>
      </c>
      <c r="C1154" t="s">
        <v>32</v>
      </c>
      <c r="D1154" t="s">
        <v>33</v>
      </c>
      <c r="E1154" t="s">
        <v>34</v>
      </c>
      <c r="F1154">
        <v>140</v>
      </c>
      <c r="G1154">
        <v>360</v>
      </c>
      <c r="H1154">
        <v>262</v>
      </c>
      <c r="I1154">
        <v>111</v>
      </c>
      <c r="J1154" s="8">
        <v>0.79285714285714282</v>
      </c>
      <c r="K1154">
        <v>49</v>
      </c>
      <c r="L1154">
        <v>37</v>
      </c>
      <c r="M1154">
        <v>243</v>
      </c>
      <c r="N1154" s="10">
        <v>521.08000000000004</v>
      </c>
      <c r="O1154" s="7">
        <v>0</v>
      </c>
      <c r="P1154" s="7">
        <v>29.1</v>
      </c>
      <c r="Q1154">
        <v>5</v>
      </c>
      <c r="R1154" t="s">
        <v>67</v>
      </c>
      <c r="S1154">
        <v>1</v>
      </c>
      <c r="T1154">
        <v>20</v>
      </c>
      <c r="U1154" s="11">
        <v>-0.97492791218182362</v>
      </c>
      <c r="V1154" s="11">
        <v>-0.22252093395631459</v>
      </c>
      <c r="W1154" s="11">
        <v>0.32105765418527099</v>
      </c>
      <c r="X1154" s="11">
        <v>0.94705965107222834</v>
      </c>
      <c r="Y1154">
        <v>1</v>
      </c>
      <c r="Z1154">
        <v>0</v>
      </c>
      <c r="AB1154">
        <v>1</v>
      </c>
      <c r="AC1154">
        <v>0</v>
      </c>
      <c r="AD1154">
        <v>0</v>
      </c>
      <c r="AE1154">
        <v>0</v>
      </c>
    </row>
    <row r="1155" spans="1:31">
      <c r="A1155" s="6">
        <v>45311</v>
      </c>
      <c r="B1155" t="s">
        <v>36</v>
      </c>
      <c r="C1155" t="s">
        <v>37</v>
      </c>
      <c r="D1155" t="s">
        <v>38</v>
      </c>
      <c r="E1155" t="s">
        <v>39</v>
      </c>
      <c r="F1155">
        <v>125</v>
      </c>
      <c r="G1155">
        <v>320</v>
      </c>
      <c r="H1155">
        <v>263</v>
      </c>
      <c r="I1155">
        <v>108</v>
      </c>
      <c r="J1155" s="8">
        <v>0.86399999999999999</v>
      </c>
      <c r="K1155">
        <v>56</v>
      </c>
      <c r="L1155">
        <v>67</v>
      </c>
      <c r="M1155">
        <v>246</v>
      </c>
      <c r="N1155" s="10">
        <v>726.89</v>
      </c>
      <c r="O1155" s="7">
        <v>0</v>
      </c>
      <c r="P1155" s="7">
        <v>29.1</v>
      </c>
      <c r="Q1155">
        <v>5</v>
      </c>
      <c r="R1155" t="s">
        <v>67</v>
      </c>
      <c r="S1155">
        <v>1</v>
      </c>
      <c r="T1155">
        <v>20</v>
      </c>
      <c r="U1155" s="11">
        <v>-0.97492791218182362</v>
      </c>
      <c r="V1155" s="11">
        <v>-0.22252093395631459</v>
      </c>
      <c r="W1155" s="11">
        <v>0.32105765418527099</v>
      </c>
      <c r="X1155" s="11">
        <v>0.94705965107222834</v>
      </c>
      <c r="Y1155">
        <v>1</v>
      </c>
      <c r="Z1155">
        <v>0</v>
      </c>
      <c r="AB1155">
        <v>1</v>
      </c>
      <c r="AC1155">
        <v>0</v>
      </c>
      <c r="AD1155">
        <v>0</v>
      </c>
      <c r="AE1155">
        <v>0</v>
      </c>
    </row>
    <row r="1156" spans="1:31">
      <c r="A1156" s="6">
        <v>45311</v>
      </c>
      <c r="B1156" t="s">
        <v>41</v>
      </c>
      <c r="C1156" t="s">
        <v>42</v>
      </c>
      <c r="D1156" t="s">
        <v>43</v>
      </c>
      <c r="E1156" t="s">
        <v>44</v>
      </c>
      <c r="F1156">
        <v>85</v>
      </c>
      <c r="G1156">
        <v>210</v>
      </c>
      <c r="H1156">
        <v>173</v>
      </c>
      <c r="I1156">
        <v>79</v>
      </c>
      <c r="J1156" s="8">
        <v>0.92941176470588238</v>
      </c>
      <c r="K1156">
        <v>26</v>
      </c>
      <c r="L1156">
        <v>45</v>
      </c>
      <c r="M1156">
        <v>145</v>
      </c>
      <c r="N1156" s="10">
        <v>653.4</v>
      </c>
      <c r="O1156" s="7">
        <v>0</v>
      </c>
      <c r="P1156" s="7">
        <v>29.1</v>
      </c>
      <c r="Q1156">
        <v>5</v>
      </c>
      <c r="R1156" t="s">
        <v>67</v>
      </c>
      <c r="S1156">
        <v>1</v>
      </c>
      <c r="T1156">
        <v>20</v>
      </c>
      <c r="U1156" s="11">
        <v>-0.97492791218182362</v>
      </c>
      <c r="V1156" s="11">
        <v>-0.22252093395631459</v>
      </c>
      <c r="W1156" s="11">
        <v>0.32105765418527099</v>
      </c>
      <c r="X1156" s="11">
        <v>0.94705965107222834</v>
      </c>
      <c r="Y1156">
        <v>1</v>
      </c>
      <c r="Z1156">
        <v>0</v>
      </c>
      <c r="AB1156">
        <v>1</v>
      </c>
      <c r="AC1156">
        <v>0</v>
      </c>
      <c r="AD1156">
        <v>0</v>
      </c>
      <c r="AE1156">
        <v>0</v>
      </c>
    </row>
    <row r="1157" spans="1:31">
      <c r="A1157" s="6">
        <v>45312</v>
      </c>
      <c r="B1157" t="s">
        <v>31</v>
      </c>
      <c r="C1157" t="s">
        <v>32</v>
      </c>
      <c r="D1157" t="s">
        <v>33</v>
      </c>
      <c r="E1157" t="s">
        <v>34</v>
      </c>
      <c r="F1157">
        <v>140</v>
      </c>
      <c r="G1157">
        <v>360</v>
      </c>
      <c r="H1157">
        <v>251</v>
      </c>
      <c r="I1157">
        <v>107</v>
      </c>
      <c r="J1157" s="8">
        <v>0.76428571428571423</v>
      </c>
      <c r="K1157">
        <v>38</v>
      </c>
      <c r="L1157">
        <v>29</v>
      </c>
      <c r="M1157">
        <v>222</v>
      </c>
      <c r="N1157" s="10">
        <v>565.16</v>
      </c>
      <c r="O1157" s="7">
        <v>9.6999999999999993</v>
      </c>
      <c r="P1157" s="7">
        <v>28.4</v>
      </c>
      <c r="Q1157">
        <v>6</v>
      </c>
      <c r="R1157" t="s">
        <v>60</v>
      </c>
      <c r="S1157">
        <v>1</v>
      </c>
      <c r="T1157">
        <v>21</v>
      </c>
      <c r="U1157" s="11">
        <v>-0.78183148246802991</v>
      </c>
      <c r="V1157" s="11">
        <v>0.62348980185873337</v>
      </c>
      <c r="W1157" s="11">
        <v>0.33730106913618418</v>
      </c>
      <c r="X1157" s="11">
        <v>0.94139682852641215</v>
      </c>
      <c r="Y1157">
        <v>1</v>
      </c>
      <c r="Z1157">
        <v>0</v>
      </c>
      <c r="AB1157">
        <v>1</v>
      </c>
      <c r="AC1157">
        <v>0</v>
      </c>
      <c r="AD1157">
        <v>0</v>
      </c>
      <c r="AE1157">
        <v>0</v>
      </c>
    </row>
    <row r="1158" spans="1:31">
      <c r="A1158" s="6">
        <v>45312</v>
      </c>
      <c r="B1158" t="s">
        <v>36</v>
      </c>
      <c r="C1158" t="s">
        <v>37</v>
      </c>
      <c r="D1158" t="s">
        <v>38</v>
      </c>
      <c r="E1158" t="s">
        <v>39</v>
      </c>
      <c r="F1158">
        <v>125</v>
      </c>
      <c r="G1158">
        <v>320</v>
      </c>
      <c r="H1158">
        <v>283</v>
      </c>
      <c r="I1158">
        <v>115</v>
      </c>
      <c r="J1158" s="8">
        <v>0.92</v>
      </c>
      <c r="K1158">
        <v>50</v>
      </c>
      <c r="L1158">
        <v>68</v>
      </c>
      <c r="M1158">
        <v>261</v>
      </c>
      <c r="N1158" s="10">
        <v>781.03</v>
      </c>
      <c r="O1158" s="7">
        <v>9.6999999999999993</v>
      </c>
      <c r="P1158" s="7">
        <v>28.4</v>
      </c>
      <c r="Q1158">
        <v>6</v>
      </c>
      <c r="R1158" t="s">
        <v>60</v>
      </c>
      <c r="S1158">
        <v>1</v>
      </c>
      <c r="T1158">
        <v>21</v>
      </c>
      <c r="U1158" s="11">
        <v>-0.78183148246802991</v>
      </c>
      <c r="V1158" s="11">
        <v>0.62348980185873337</v>
      </c>
      <c r="W1158" s="11">
        <v>0.33730106913618418</v>
      </c>
      <c r="X1158" s="11">
        <v>0.94139682852641215</v>
      </c>
      <c r="Y1158">
        <v>1</v>
      </c>
      <c r="Z1158">
        <v>0</v>
      </c>
      <c r="AB1158">
        <v>1</v>
      </c>
      <c r="AC1158">
        <v>0</v>
      </c>
      <c r="AD1158">
        <v>0</v>
      </c>
      <c r="AE1158">
        <v>0</v>
      </c>
    </row>
    <row r="1159" spans="1:31">
      <c r="A1159" s="6">
        <v>45312</v>
      </c>
      <c r="B1159" t="s">
        <v>41</v>
      </c>
      <c r="C1159" t="s">
        <v>42</v>
      </c>
      <c r="D1159" t="s">
        <v>43</v>
      </c>
      <c r="E1159" t="s">
        <v>44</v>
      </c>
      <c r="F1159">
        <v>85</v>
      </c>
      <c r="G1159">
        <v>210</v>
      </c>
      <c r="H1159">
        <v>185</v>
      </c>
      <c r="I1159">
        <v>82</v>
      </c>
      <c r="J1159" s="8">
        <v>0.96470588235294119</v>
      </c>
      <c r="K1159">
        <v>30</v>
      </c>
      <c r="L1159">
        <v>31</v>
      </c>
      <c r="M1159">
        <v>152</v>
      </c>
      <c r="N1159" s="10">
        <v>661.65</v>
      </c>
      <c r="O1159" s="7">
        <v>9.6999999999999993</v>
      </c>
      <c r="P1159" s="7">
        <v>28.4</v>
      </c>
      <c r="Q1159">
        <v>6</v>
      </c>
      <c r="R1159" t="s">
        <v>60</v>
      </c>
      <c r="S1159">
        <v>1</v>
      </c>
      <c r="T1159">
        <v>21</v>
      </c>
      <c r="U1159" s="11">
        <v>-0.78183148246802991</v>
      </c>
      <c r="V1159" s="11">
        <v>0.62348980185873337</v>
      </c>
      <c r="W1159" s="11">
        <v>0.33730106913618418</v>
      </c>
      <c r="X1159" s="11">
        <v>0.94139682852641215</v>
      </c>
      <c r="Y1159">
        <v>1</v>
      </c>
      <c r="Z1159">
        <v>0</v>
      </c>
      <c r="AB1159">
        <v>1</v>
      </c>
      <c r="AC1159">
        <v>0</v>
      </c>
      <c r="AD1159">
        <v>0</v>
      </c>
      <c r="AE1159">
        <v>0</v>
      </c>
    </row>
    <row r="1160" spans="1:31">
      <c r="A1160" s="6">
        <v>45313</v>
      </c>
      <c r="B1160" t="s">
        <v>31</v>
      </c>
      <c r="C1160" t="s">
        <v>32</v>
      </c>
      <c r="D1160" t="s">
        <v>33</v>
      </c>
      <c r="E1160" t="s">
        <v>34</v>
      </c>
      <c r="F1160">
        <v>140</v>
      </c>
      <c r="G1160">
        <v>360</v>
      </c>
      <c r="H1160">
        <v>219</v>
      </c>
      <c r="I1160">
        <v>93</v>
      </c>
      <c r="J1160" s="8">
        <v>0.66428571428571426</v>
      </c>
      <c r="K1160">
        <v>45</v>
      </c>
      <c r="L1160">
        <v>22</v>
      </c>
      <c r="M1160">
        <v>196</v>
      </c>
      <c r="N1160" s="10">
        <v>440.76</v>
      </c>
      <c r="O1160" s="7">
        <v>4.2</v>
      </c>
      <c r="P1160" s="7">
        <v>27.7</v>
      </c>
      <c r="Q1160">
        <v>0</v>
      </c>
      <c r="R1160" t="s">
        <v>62</v>
      </c>
      <c r="S1160">
        <v>1</v>
      </c>
      <c r="T1160">
        <v>22</v>
      </c>
      <c r="U1160" s="11">
        <v>0</v>
      </c>
      <c r="V1160" s="11">
        <v>1</v>
      </c>
      <c r="W1160" s="11">
        <v>0.35344467127408769</v>
      </c>
      <c r="X1160" s="11">
        <v>0.93545543151341637</v>
      </c>
      <c r="Y1160">
        <v>0</v>
      </c>
      <c r="Z1160">
        <v>0</v>
      </c>
      <c r="AB1160">
        <v>1</v>
      </c>
      <c r="AC1160">
        <v>0</v>
      </c>
      <c r="AD1160">
        <v>0</v>
      </c>
      <c r="AE1160">
        <v>0</v>
      </c>
    </row>
    <row r="1161" spans="1:31">
      <c r="A1161" s="6">
        <v>45313</v>
      </c>
      <c r="B1161" t="s">
        <v>36</v>
      </c>
      <c r="C1161" t="s">
        <v>37</v>
      </c>
      <c r="D1161" t="s">
        <v>38</v>
      </c>
      <c r="E1161" t="s">
        <v>39</v>
      </c>
      <c r="F1161">
        <v>125</v>
      </c>
      <c r="G1161">
        <v>320</v>
      </c>
      <c r="H1161">
        <v>215</v>
      </c>
      <c r="I1161">
        <v>92</v>
      </c>
      <c r="J1161" s="8">
        <v>0.73599999999999999</v>
      </c>
      <c r="K1161">
        <v>28</v>
      </c>
      <c r="L1161">
        <v>39</v>
      </c>
      <c r="M1161">
        <v>188</v>
      </c>
      <c r="N1161" s="10">
        <v>702.84</v>
      </c>
      <c r="O1161" s="7">
        <v>4.2</v>
      </c>
      <c r="P1161" s="7">
        <v>27.7</v>
      </c>
      <c r="Q1161">
        <v>0</v>
      </c>
      <c r="R1161" t="s">
        <v>62</v>
      </c>
      <c r="S1161">
        <v>1</v>
      </c>
      <c r="T1161">
        <v>22</v>
      </c>
      <c r="U1161" s="11">
        <v>0</v>
      </c>
      <c r="V1161" s="11">
        <v>1</v>
      </c>
      <c r="W1161" s="11">
        <v>0.35344467127408769</v>
      </c>
      <c r="X1161" s="11">
        <v>0.93545543151341637</v>
      </c>
      <c r="Y1161">
        <v>0</v>
      </c>
      <c r="Z1161">
        <v>0</v>
      </c>
      <c r="AB1161">
        <v>1</v>
      </c>
      <c r="AC1161">
        <v>0</v>
      </c>
      <c r="AD1161">
        <v>0</v>
      </c>
      <c r="AE1161">
        <v>0</v>
      </c>
    </row>
    <row r="1162" spans="1:31">
      <c r="A1162" s="6">
        <v>45313</v>
      </c>
      <c r="B1162" t="s">
        <v>41</v>
      </c>
      <c r="C1162" t="s">
        <v>42</v>
      </c>
      <c r="D1162" t="s">
        <v>43</v>
      </c>
      <c r="E1162" t="s">
        <v>44</v>
      </c>
      <c r="F1162">
        <v>85</v>
      </c>
      <c r="G1162">
        <v>210</v>
      </c>
      <c r="H1162">
        <v>169</v>
      </c>
      <c r="I1162">
        <v>75</v>
      </c>
      <c r="J1162" s="8">
        <v>0.88235294117647056</v>
      </c>
      <c r="K1162">
        <v>22</v>
      </c>
      <c r="L1162">
        <v>26</v>
      </c>
      <c r="M1162">
        <v>146</v>
      </c>
      <c r="N1162" s="10">
        <v>537.54999999999995</v>
      </c>
      <c r="O1162" s="7">
        <v>4.2</v>
      </c>
      <c r="P1162" s="7">
        <v>27.7</v>
      </c>
      <c r="Q1162">
        <v>0</v>
      </c>
      <c r="R1162" t="s">
        <v>62</v>
      </c>
      <c r="S1162">
        <v>1</v>
      </c>
      <c r="T1162">
        <v>22</v>
      </c>
      <c r="U1162" s="11">
        <v>0</v>
      </c>
      <c r="V1162" s="11">
        <v>1</v>
      </c>
      <c r="W1162" s="11">
        <v>0.35344467127408769</v>
      </c>
      <c r="X1162" s="11">
        <v>0.93545543151341637</v>
      </c>
      <c r="Y1162">
        <v>0</v>
      </c>
      <c r="Z1162">
        <v>0</v>
      </c>
      <c r="AB1162">
        <v>1</v>
      </c>
      <c r="AC1162">
        <v>0</v>
      </c>
      <c r="AD1162">
        <v>0</v>
      </c>
      <c r="AE1162">
        <v>0</v>
      </c>
    </row>
    <row r="1163" spans="1:31">
      <c r="A1163" s="6">
        <v>45314</v>
      </c>
      <c r="B1163" t="s">
        <v>31</v>
      </c>
      <c r="C1163" t="s">
        <v>32</v>
      </c>
      <c r="D1163" t="s">
        <v>33</v>
      </c>
      <c r="E1163" t="s">
        <v>34</v>
      </c>
      <c r="F1163">
        <v>140</v>
      </c>
      <c r="G1163">
        <v>360</v>
      </c>
      <c r="H1163">
        <v>253</v>
      </c>
      <c r="I1163">
        <v>105</v>
      </c>
      <c r="J1163" s="8">
        <v>0.75</v>
      </c>
      <c r="K1163">
        <v>55</v>
      </c>
      <c r="L1163">
        <v>55</v>
      </c>
      <c r="M1163">
        <v>231</v>
      </c>
      <c r="N1163" s="10">
        <v>483.78</v>
      </c>
      <c r="O1163" s="7">
        <v>0</v>
      </c>
      <c r="P1163" s="7">
        <v>27.9</v>
      </c>
      <c r="Q1163">
        <v>1</v>
      </c>
      <c r="R1163" t="s">
        <v>63</v>
      </c>
      <c r="S1163">
        <v>1</v>
      </c>
      <c r="T1163">
        <v>23</v>
      </c>
      <c r="U1163" s="11">
        <v>0.7818314824680298</v>
      </c>
      <c r="V1163" s="11">
        <v>0.62348980185873359</v>
      </c>
      <c r="W1163" s="11">
        <v>0.36948368344738308</v>
      </c>
      <c r="X1163" s="11">
        <v>0.92923721818820515</v>
      </c>
      <c r="Y1163">
        <v>0</v>
      </c>
      <c r="Z1163">
        <v>0</v>
      </c>
      <c r="AB1163">
        <v>1</v>
      </c>
      <c r="AC1163">
        <v>0</v>
      </c>
      <c r="AD1163">
        <v>0</v>
      </c>
      <c r="AE1163">
        <v>0</v>
      </c>
    </row>
    <row r="1164" spans="1:31">
      <c r="A1164" s="6">
        <v>45314</v>
      </c>
      <c r="B1164" t="s">
        <v>36</v>
      </c>
      <c r="C1164" t="s">
        <v>37</v>
      </c>
      <c r="D1164" t="s">
        <v>38</v>
      </c>
      <c r="E1164" t="s">
        <v>39</v>
      </c>
      <c r="F1164">
        <v>125</v>
      </c>
      <c r="G1164">
        <v>320</v>
      </c>
      <c r="H1164">
        <v>236</v>
      </c>
      <c r="I1164">
        <v>97</v>
      </c>
      <c r="J1164" s="8">
        <v>0.77600000000000002</v>
      </c>
      <c r="K1164">
        <v>39</v>
      </c>
      <c r="L1164">
        <v>42</v>
      </c>
      <c r="M1164">
        <v>210</v>
      </c>
      <c r="N1164" s="10">
        <v>720.54</v>
      </c>
      <c r="O1164" s="7">
        <v>0</v>
      </c>
      <c r="P1164" s="7">
        <v>27.9</v>
      </c>
      <c r="Q1164">
        <v>1</v>
      </c>
      <c r="R1164" t="s">
        <v>63</v>
      </c>
      <c r="S1164">
        <v>1</v>
      </c>
      <c r="T1164">
        <v>23</v>
      </c>
      <c r="U1164" s="11">
        <v>0.7818314824680298</v>
      </c>
      <c r="V1164" s="11">
        <v>0.62348980185873359</v>
      </c>
      <c r="W1164" s="11">
        <v>0.36948368344738308</v>
      </c>
      <c r="X1164" s="11">
        <v>0.92923721818820515</v>
      </c>
      <c r="Y1164">
        <v>0</v>
      </c>
      <c r="Z1164">
        <v>0</v>
      </c>
      <c r="AB1164">
        <v>1</v>
      </c>
      <c r="AC1164">
        <v>0</v>
      </c>
      <c r="AD1164">
        <v>0</v>
      </c>
      <c r="AE1164">
        <v>0</v>
      </c>
    </row>
    <row r="1165" spans="1:31">
      <c r="A1165" s="6">
        <v>45314</v>
      </c>
      <c r="B1165" t="s">
        <v>41</v>
      </c>
      <c r="C1165" t="s">
        <v>42</v>
      </c>
      <c r="D1165" t="s">
        <v>43</v>
      </c>
      <c r="E1165" t="s">
        <v>44</v>
      </c>
      <c r="F1165">
        <v>85</v>
      </c>
      <c r="G1165">
        <v>210</v>
      </c>
      <c r="H1165">
        <v>161</v>
      </c>
      <c r="I1165">
        <v>73</v>
      </c>
      <c r="J1165" s="8">
        <v>0.85882352941176465</v>
      </c>
      <c r="K1165">
        <v>33</v>
      </c>
      <c r="L1165">
        <v>41</v>
      </c>
      <c r="M1165">
        <v>135</v>
      </c>
      <c r="N1165" s="10">
        <v>562.03</v>
      </c>
      <c r="O1165" s="7">
        <v>0</v>
      </c>
      <c r="P1165" s="7">
        <v>27.9</v>
      </c>
      <c r="Q1165">
        <v>1</v>
      </c>
      <c r="R1165" t="s">
        <v>63</v>
      </c>
      <c r="S1165">
        <v>1</v>
      </c>
      <c r="T1165">
        <v>23</v>
      </c>
      <c r="U1165" s="11">
        <v>0.7818314824680298</v>
      </c>
      <c r="V1165" s="11">
        <v>0.62348980185873359</v>
      </c>
      <c r="W1165" s="11">
        <v>0.36948368344738308</v>
      </c>
      <c r="X1165" s="11">
        <v>0.92923721818820515</v>
      </c>
      <c r="Y1165">
        <v>0</v>
      </c>
      <c r="Z1165">
        <v>0</v>
      </c>
      <c r="AB1165">
        <v>1</v>
      </c>
      <c r="AC1165">
        <v>0</v>
      </c>
      <c r="AD1165">
        <v>0</v>
      </c>
      <c r="AE1165">
        <v>0</v>
      </c>
    </row>
    <row r="1166" spans="1:31">
      <c r="A1166" s="6">
        <v>45315</v>
      </c>
      <c r="B1166" t="s">
        <v>31</v>
      </c>
      <c r="C1166" t="s">
        <v>32</v>
      </c>
      <c r="D1166" t="s">
        <v>33</v>
      </c>
      <c r="E1166" t="s">
        <v>34</v>
      </c>
      <c r="F1166">
        <v>140</v>
      </c>
      <c r="G1166">
        <v>360</v>
      </c>
      <c r="H1166">
        <v>223</v>
      </c>
      <c r="I1166">
        <v>97</v>
      </c>
      <c r="J1166" s="8">
        <v>0.69285714285714284</v>
      </c>
      <c r="K1166">
        <v>28</v>
      </c>
      <c r="L1166">
        <v>46</v>
      </c>
      <c r="M1166">
        <v>192</v>
      </c>
      <c r="N1166" s="10">
        <v>469.42</v>
      </c>
      <c r="O1166" s="7">
        <v>7.4</v>
      </c>
      <c r="P1166" s="7">
        <v>27.6</v>
      </c>
      <c r="Q1166">
        <v>2</v>
      </c>
      <c r="R1166" t="s">
        <v>64</v>
      </c>
      <c r="S1166">
        <v>1</v>
      </c>
      <c r="T1166">
        <v>24</v>
      </c>
      <c r="U1166" s="11">
        <v>0.97492791218182362</v>
      </c>
      <c r="V1166" s="11">
        <v>-0.22252093395631434</v>
      </c>
      <c r="W1166" s="11">
        <v>0.38541335945432564</v>
      </c>
      <c r="X1166" s="11">
        <v>0.92274402862014271</v>
      </c>
      <c r="Y1166">
        <v>0</v>
      </c>
      <c r="Z1166">
        <v>0</v>
      </c>
      <c r="AB1166">
        <v>1</v>
      </c>
      <c r="AC1166">
        <v>0</v>
      </c>
      <c r="AD1166">
        <v>0</v>
      </c>
      <c r="AE1166">
        <v>0</v>
      </c>
    </row>
    <row r="1167" spans="1:31">
      <c r="A1167" s="6">
        <v>45315</v>
      </c>
      <c r="B1167" t="s">
        <v>36</v>
      </c>
      <c r="C1167" t="s">
        <v>37</v>
      </c>
      <c r="D1167" t="s">
        <v>38</v>
      </c>
      <c r="E1167" t="s">
        <v>39</v>
      </c>
      <c r="F1167">
        <v>125</v>
      </c>
      <c r="G1167">
        <v>320</v>
      </c>
      <c r="H1167">
        <v>218</v>
      </c>
      <c r="I1167">
        <v>90</v>
      </c>
      <c r="J1167" s="8">
        <v>0.72</v>
      </c>
      <c r="K1167">
        <v>25</v>
      </c>
      <c r="L1167">
        <v>53</v>
      </c>
      <c r="M1167">
        <v>184</v>
      </c>
      <c r="N1167" s="10">
        <v>661.24</v>
      </c>
      <c r="O1167" s="7">
        <v>7.4</v>
      </c>
      <c r="P1167" s="7">
        <v>27.6</v>
      </c>
      <c r="Q1167">
        <v>2</v>
      </c>
      <c r="R1167" t="s">
        <v>64</v>
      </c>
      <c r="S1167">
        <v>1</v>
      </c>
      <c r="T1167">
        <v>24</v>
      </c>
      <c r="U1167" s="11">
        <v>0.97492791218182362</v>
      </c>
      <c r="V1167" s="11">
        <v>-0.22252093395631434</v>
      </c>
      <c r="W1167" s="11">
        <v>0.38541335945432564</v>
      </c>
      <c r="X1167" s="11">
        <v>0.92274402862014271</v>
      </c>
      <c r="Y1167">
        <v>0</v>
      </c>
      <c r="Z1167">
        <v>0</v>
      </c>
      <c r="AB1167">
        <v>1</v>
      </c>
      <c r="AC1167">
        <v>0</v>
      </c>
      <c r="AD1167">
        <v>0</v>
      </c>
      <c r="AE1167">
        <v>0</v>
      </c>
    </row>
    <row r="1168" spans="1:31">
      <c r="A1168" s="6">
        <v>45315</v>
      </c>
      <c r="B1168" t="s">
        <v>41</v>
      </c>
      <c r="C1168" t="s">
        <v>42</v>
      </c>
      <c r="D1168" t="s">
        <v>43</v>
      </c>
      <c r="E1168" t="s">
        <v>44</v>
      </c>
      <c r="F1168">
        <v>85</v>
      </c>
      <c r="G1168">
        <v>210</v>
      </c>
      <c r="H1168">
        <v>161</v>
      </c>
      <c r="I1168">
        <v>72</v>
      </c>
      <c r="J1168" s="8">
        <v>0.84705882352941175</v>
      </c>
      <c r="K1168">
        <v>42</v>
      </c>
      <c r="L1168">
        <v>26</v>
      </c>
      <c r="M1168">
        <v>147</v>
      </c>
      <c r="N1168" s="10">
        <v>614.04</v>
      </c>
      <c r="O1168" s="7">
        <v>7.4</v>
      </c>
      <c r="P1168" s="7">
        <v>27.6</v>
      </c>
      <c r="Q1168">
        <v>2</v>
      </c>
      <c r="R1168" t="s">
        <v>64</v>
      </c>
      <c r="S1168">
        <v>1</v>
      </c>
      <c r="T1168">
        <v>24</v>
      </c>
      <c r="U1168" s="11">
        <v>0.97492791218182362</v>
      </c>
      <c r="V1168" s="11">
        <v>-0.22252093395631434</v>
      </c>
      <c r="W1168" s="11">
        <v>0.38541335945432564</v>
      </c>
      <c r="X1168" s="11">
        <v>0.92274402862014271</v>
      </c>
      <c r="Y1168">
        <v>0</v>
      </c>
      <c r="Z1168">
        <v>0</v>
      </c>
      <c r="AB1168">
        <v>1</v>
      </c>
      <c r="AC1168">
        <v>0</v>
      </c>
      <c r="AD1168">
        <v>0</v>
      </c>
      <c r="AE1168">
        <v>0</v>
      </c>
    </row>
    <row r="1169" spans="1:31">
      <c r="A1169" s="6">
        <v>45316</v>
      </c>
      <c r="B1169" t="s">
        <v>31</v>
      </c>
      <c r="C1169" t="s">
        <v>32</v>
      </c>
      <c r="D1169" t="s">
        <v>33</v>
      </c>
      <c r="E1169" t="s">
        <v>34</v>
      </c>
      <c r="F1169">
        <v>140</v>
      </c>
      <c r="G1169">
        <v>360</v>
      </c>
      <c r="H1169">
        <v>235</v>
      </c>
      <c r="I1169">
        <v>103</v>
      </c>
      <c r="J1169" s="8">
        <v>0.73571428571428577</v>
      </c>
      <c r="K1169">
        <v>48</v>
      </c>
      <c r="L1169">
        <v>53</v>
      </c>
      <c r="M1169">
        <v>197</v>
      </c>
      <c r="N1169" s="10">
        <v>418.13</v>
      </c>
      <c r="O1169" s="7">
        <v>12.5</v>
      </c>
      <c r="P1169" s="7">
        <v>27.3</v>
      </c>
      <c r="Q1169">
        <v>3</v>
      </c>
      <c r="R1169" t="s">
        <v>65</v>
      </c>
      <c r="S1169">
        <v>1</v>
      </c>
      <c r="T1169">
        <v>25</v>
      </c>
      <c r="U1169" s="11">
        <v>0.43388373911755823</v>
      </c>
      <c r="V1169" s="11">
        <v>-0.90096886790241903</v>
      </c>
      <c r="W1169" s="11">
        <v>0.40122898544750091</v>
      </c>
      <c r="X1169" s="11">
        <v>0.91597778424848775</v>
      </c>
      <c r="Y1169">
        <v>0</v>
      </c>
      <c r="Z1169">
        <v>0</v>
      </c>
      <c r="AB1169">
        <v>1</v>
      </c>
      <c r="AC1169">
        <v>0</v>
      </c>
      <c r="AD1169">
        <v>0</v>
      </c>
      <c r="AE1169">
        <v>0</v>
      </c>
    </row>
    <row r="1170" spans="1:31">
      <c r="A1170" s="6">
        <v>45316</v>
      </c>
      <c r="B1170" t="s">
        <v>36</v>
      </c>
      <c r="C1170" t="s">
        <v>37</v>
      </c>
      <c r="D1170" t="s">
        <v>38</v>
      </c>
      <c r="E1170" t="s">
        <v>39</v>
      </c>
      <c r="F1170">
        <v>125</v>
      </c>
      <c r="G1170">
        <v>320</v>
      </c>
      <c r="H1170">
        <v>232</v>
      </c>
      <c r="I1170">
        <v>96</v>
      </c>
      <c r="J1170" s="8">
        <v>0.76800000000000002</v>
      </c>
      <c r="K1170">
        <v>50</v>
      </c>
      <c r="L1170">
        <v>61</v>
      </c>
      <c r="M1170">
        <v>207</v>
      </c>
      <c r="N1170" s="10">
        <v>707.65</v>
      </c>
      <c r="O1170" s="7">
        <v>12.5</v>
      </c>
      <c r="P1170" s="7">
        <v>27.3</v>
      </c>
      <c r="Q1170">
        <v>3</v>
      </c>
      <c r="R1170" t="s">
        <v>65</v>
      </c>
      <c r="S1170">
        <v>1</v>
      </c>
      <c r="T1170">
        <v>25</v>
      </c>
      <c r="U1170" s="11">
        <v>0.43388373911755823</v>
      </c>
      <c r="V1170" s="11">
        <v>-0.90096886790241903</v>
      </c>
      <c r="W1170" s="11">
        <v>0.40122898544750091</v>
      </c>
      <c r="X1170" s="11">
        <v>0.91597778424848775</v>
      </c>
      <c r="Y1170">
        <v>0</v>
      </c>
      <c r="Z1170">
        <v>0</v>
      </c>
      <c r="AB1170">
        <v>1</v>
      </c>
      <c r="AC1170">
        <v>0</v>
      </c>
      <c r="AD1170">
        <v>0</v>
      </c>
      <c r="AE1170">
        <v>0</v>
      </c>
    </row>
    <row r="1171" spans="1:31">
      <c r="A1171" s="6">
        <v>45316</v>
      </c>
      <c r="B1171" t="s">
        <v>41</v>
      </c>
      <c r="C1171" t="s">
        <v>42</v>
      </c>
      <c r="D1171" t="s">
        <v>43</v>
      </c>
      <c r="E1171" t="s">
        <v>44</v>
      </c>
      <c r="F1171">
        <v>85</v>
      </c>
      <c r="G1171">
        <v>210</v>
      </c>
      <c r="H1171">
        <v>152</v>
      </c>
      <c r="I1171">
        <v>69</v>
      </c>
      <c r="J1171" s="8">
        <v>0.81176470588235294</v>
      </c>
      <c r="K1171">
        <v>31</v>
      </c>
      <c r="L1171">
        <v>28</v>
      </c>
      <c r="M1171">
        <v>128</v>
      </c>
      <c r="N1171" s="10">
        <v>590.87</v>
      </c>
      <c r="O1171" s="7">
        <v>12.5</v>
      </c>
      <c r="P1171" s="7">
        <v>27.3</v>
      </c>
      <c r="Q1171">
        <v>3</v>
      </c>
      <c r="R1171" t="s">
        <v>65</v>
      </c>
      <c r="S1171">
        <v>1</v>
      </c>
      <c r="T1171">
        <v>25</v>
      </c>
      <c r="U1171" s="11">
        <v>0.43388373911755823</v>
      </c>
      <c r="V1171" s="11">
        <v>-0.90096886790241903</v>
      </c>
      <c r="W1171" s="11">
        <v>0.40122898544750091</v>
      </c>
      <c r="X1171" s="11">
        <v>0.91597778424848775</v>
      </c>
      <c r="Y1171">
        <v>0</v>
      </c>
      <c r="Z1171">
        <v>0</v>
      </c>
      <c r="AB1171">
        <v>1</v>
      </c>
      <c r="AC1171">
        <v>0</v>
      </c>
      <c r="AD1171">
        <v>0</v>
      </c>
      <c r="AE1171">
        <v>0</v>
      </c>
    </row>
    <row r="1172" spans="1:31">
      <c r="A1172" s="6">
        <v>45317</v>
      </c>
      <c r="B1172" t="s">
        <v>31</v>
      </c>
      <c r="C1172" t="s">
        <v>32</v>
      </c>
      <c r="D1172" t="s">
        <v>33</v>
      </c>
      <c r="E1172" t="s">
        <v>34</v>
      </c>
      <c r="F1172">
        <v>140</v>
      </c>
      <c r="G1172">
        <v>360</v>
      </c>
      <c r="H1172">
        <v>219</v>
      </c>
      <c r="I1172">
        <v>93</v>
      </c>
      <c r="J1172" s="8">
        <v>0.66428571428571426</v>
      </c>
      <c r="K1172">
        <v>41</v>
      </c>
      <c r="L1172">
        <v>52</v>
      </c>
      <c r="M1172">
        <v>190</v>
      </c>
      <c r="N1172" s="10">
        <v>502.6</v>
      </c>
      <c r="O1172" s="7">
        <v>0</v>
      </c>
      <c r="P1172" s="7">
        <v>26.8</v>
      </c>
      <c r="Q1172">
        <v>4</v>
      </c>
      <c r="R1172" t="s">
        <v>66</v>
      </c>
      <c r="S1172">
        <v>1</v>
      </c>
      <c r="T1172">
        <v>26</v>
      </c>
      <c r="U1172" s="11">
        <v>-0.43388373911755801</v>
      </c>
      <c r="V1172" s="11">
        <v>-0.90096886790241915</v>
      </c>
      <c r="W1172" s="11">
        <v>0.41692588132872871</v>
      </c>
      <c r="X1172" s="11">
        <v>0.90894048731380805</v>
      </c>
      <c r="Y1172">
        <v>0</v>
      </c>
      <c r="Z1172">
        <v>0</v>
      </c>
      <c r="AB1172">
        <v>1</v>
      </c>
      <c r="AC1172">
        <v>0</v>
      </c>
      <c r="AD1172">
        <v>0</v>
      </c>
      <c r="AE1172">
        <v>0</v>
      </c>
    </row>
    <row r="1173" spans="1:31">
      <c r="A1173" s="6">
        <v>45317</v>
      </c>
      <c r="B1173" t="s">
        <v>36</v>
      </c>
      <c r="C1173" t="s">
        <v>37</v>
      </c>
      <c r="D1173" t="s">
        <v>38</v>
      </c>
      <c r="E1173" t="s">
        <v>39</v>
      </c>
      <c r="F1173">
        <v>125</v>
      </c>
      <c r="G1173">
        <v>320</v>
      </c>
      <c r="H1173">
        <v>217</v>
      </c>
      <c r="I1173">
        <v>93</v>
      </c>
      <c r="J1173" s="8">
        <v>0.74399999999999999</v>
      </c>
      <c r="K1173">
        <v>55</v>
      </c>
      <c r="L1173">
        <v>42</v>
      </c>
      <c r="M1173">
        <v>178</v>
      </c>
      <c r="N1173" s="10">
        <v>613.91999999999996</v>
      </c>
      <c r="O1173" s="7">
        <v>0</v>
      </c>
      <c r="P1173" s="7">
        <v>26.8</v>
      </c>
      <c r="Q1173">
        <v>4</v>
      </c>
      <c r="R1173" t="s">
        <v>66</v>
      </c>
      <c r="S1173">
        <v>1</v>
      </c>
      <c r="T1173">
        <v>26</v>
      </c>
      <c r="U1173" s="11">
        <v>-0.43388373911755801</v>
      </c>
      <c r="V1173" s="11">
        <v>-0.90096886790241915</v>
      </c>
      <c r="W1173" s="11">
        <v>0.41692588132872871</v>
      </c>
      <c r="X1173" s="11">
        <v>0.90894048731380805</v>
      </c>
      <c r="Y1173">
        <v>0</v>
      </c>
      <c r="Z1173">
        <v>0</v>
      </c>
      <c r="AB1173">
        <v>1</v>
      </c>
      <c r="AC1173">
        <v>0</v>
      </c>
      <c r="AD1173">
        <v>0</v>
      </c>
      <c r="AE1173">
        <v>0</v>
      </c>
    </row>
    <row r="1174" spans="1:31">
      <c r="A1174" s="6">
        <v>45317</v>
      </c>
      <c r="B1174" t="s">
        <v>41</v>
      </c>
      <c r="C1174" t="s">
        <v>42</v>
      </c>
      <c r="D1174" t="s">
        <v>43</v>
      </c>
      <c r="E1174" t="s">
        <v>44</v>
      </c>
      <c r="F1174">
        <v>85</v>
      </c>
      <c r="G1174">
        <v>210</v>
      </c>
      <c r="H1174">
        <v>164</v>
      </c>
      <c r="I1174">
        <v>70</v>
      </c>
      <c r="J1174" s="8">
        <v>0.82352941176470584</v>
      </c>
      <c r="K1174">
        <v>30</v>
      </c>
      <c r="L1174">
        <v>39</v>
      </c>
      <c r="M1174">
        <v>150</v>
      </c>
      <c r="N1174" s="10">
        <v>598.69000000000005</v>
      </c>
      <c r="O1174" s="7">
        <v>0</v>
      </c>
      <c r="P1174" s="7">
        <v>26.8</v>
      </c>
      <c r="Q1174">
        <v>4</v>
      </c>
      <c r="R1174" t="s">
        <v>66</v>
      </c>
      <c r="S1174">
        <v>1</v>
      </c>
      <c r="T1174">
        <v>26</v>
      </c>
      <c r="U1174" s="11">
        <v>-0.43388373911755801</v>
      </c>
      <c r="V1174" s="11">
        <v>-0.90096886790241915</v>
      </c>
      <c r="W1174" s="11">
        <v>0.41692588132872871</v>
      </c>
      <c r="X1174" s="11">
        <v>0.90894048731380805</v>
      </c>
      <c r="Y1174">
        <v>0</v>
      </c>
      <c r="Z1174">
        <v>0</v>
      </c>
      <c r="AB1174">
        <v>1</v>
      </c>
      <c r="AC1174">
        <v>0</v>
      </c>
      <c r="AD1174">
        <v>0</v>
      </c>
      <c r="AE1174">
        <v>0</v>
      </c>
    </row>
    <row r="1175" spans="1:31">
      <c r="A1175" s="6">
        <v>45318</v>
      </c>
      <c r="B1175" t="s">
        <v>31</v>
      </c>
      <c r="C1175" t="s">
        <v>32</v>
      </c>
      <c r="D1175" t="s">
        <v>33</v>
      </c>
      <c r="E1175" t="s">
        <v>34</v>
      </c>
      <c r="F1175">
        <v>140</v>
      </c>
      <c r="G1175">
        <v>360</v>
      </c>
      <c r="H1175">
        <v>253</v>
      </c>
      <c r="I1175">
        <v>109</v>
      </c>
      <c r="J1175" s="8">
        <v>0.77857142857142858</v>
      </c>
      <c r="K1175">
        <v>45</v>
      </c>
      <c r="L1175">
        <v>51</v>
      </c>
      <c r="M1175">
        <v>237</v>
      </c>
      <c r="N1175" s="10">
        <v>521.59</v>
      </c>
      <c r="O1175" s="7">
        <v>3.6</v>
      </c>
      <c r="P1175" s="7">
        <v>28.9</v>
      </c>
      <c r="Q1175">
        <v>5</v>
      </c>
      <c r="R1175" t="s">
        <v>67</v>
      </c>
      <c r="S1175">
        <v>1</v>
      </c>
      <c r="T1175">
        <v>27</v>
      </c>
      <c r="U1175" s="11">
        <v>-0.97492791218182362</v>
      </c>
      <c r="V1175" s="11">
        <v>-0.22252093395631459</v>
      </c>
      <c r="W1175" s="11">
        <v>0.43249940213397881</v>
      </c>
      <c r="X1175" s="11">
        <v>0.90163422026548601</v>
      </c>
      <c r="Y1175">
        <v>1</v>
      </c>
      <c r="Z1175">
        <v>0</v>
      </c>
      <c r="AB1175">
        <v>1</v>
      </c>
      <c r="AC1175">
        <v>0</v>
      </c>
      <c r="AD1175">
        <v>0</v>
      </c>
      <c r="AE1175">
        <v>0</v>
      </c>
    </row>
    <row r="1176" spans="1:31">
      <c r="A1176" s="6">
        <v>45318</v>
      </c>
      <c r="B1176" t="s">
        <v>36</v>
      </c>
      <c r="C1176" t="s">
        <v>37</v>
      </c>
      <c r="D1176" t="s">
        <v>38</v>
      </c>
      <c r="E1176" t="s">
        <v>39</v>
      </c>
      <c r="F1176">
        <v>125</v>
      </c>
      <c r="G1176">
        <v>320</v>
      </c>
      <c r="H1176">
        <v>268</v>
      </c>
      <c r="I1176">
        <v>111</v>
      </c>
      <c r="J1176" s="8">
        <v>0.88800000000000001</v>
      </c>
      <c r="K1176">
        <v>31</v>
      </c>
      <c r="L1176">
        <v>33</v>
      </c>
      <c r="M1176">
        <v>218</v>
      </c>
      <c r="N1176" s="10">
        <v>804.84</v>
      </c>
      <c r="O1176" s="7">
        <v>3.6</v>
      </c>
      <c r="P1176" s="7">
        <v>28.9</v>
      </c>
      <c r="Q1176">
        <v>5</v>
      </c>
      <c r="R1176" t="s">
        <v>67</v>
      </c>
      <c r="S1176">
        <v>1</v>
      </c>
      <c r="T1176">
        <v>27</v>
      </c>
      <c r="U1176" s="11">
        <v>-0.97492791218182362</v>
      </c>
      <c r="V1176" s="11">
        <v>-0.22252093395631459</v>
      </c>
      <c r="W1176" s="11">
        <v>0.43249940213397881</v>
      </c>
      <c r="X1176" s="11">
        <v>0.90163422026548601</v>
      </c>
      <c r="Y1176">
        <v>1</v>
      </c>
      <c r="Z1176">
        <v>0</v>
      </c>
      <c r="AB1176">
        <v>1</v>
      </c>
      <c r="AC1176">
        <v>0</v>
      </c>
      <c r="AD1176">
        <v>0</v>
      </c>
      <c r="AE1176">
        <v>0</v>
      </c>
    </row>
    <row r="1177" spans="1:31">
      <c r="A1177" s="6">
        <v>45318</v>
      </c>
      <c r="B1177" t="s">
        <v>41</v>
      </c>
      <c r="C1177" t="s">
        <v>42</v>
      </c>
      <c r="D1177" t="s">
        <v>43</v>
      </c>
      <c r="E1177" t="s">
        <v>44</v>
      </c>
      <c r="F1177">
        <v>85</v>
      </c>
      <c r="G1177">
        <v>210</v>
      </c>
      <c r="H1177">
        <v>181</v>
      </c>
      <c r="I1177">
        <v>81</v>
      </c>
      <c r="J1177" s="8">
        <v>0.95294117647058818</v>
      </c>
      <c r="K1177">
        <v>23</v>
      </c>
      <c r="L1177">
        <v>32</v>
      </c>
      <c r="M1177">
        <v>148</v>
      </c>
      <c r="N1177" s="10">
        <v>674.26</v>
      </c>
      <c r="O1177" s="7">
        <v>3.6</v>
      </c>
      <c r="P1177" s="7">
        <v>28.9</v>
      </c>
      <c r="Q1177">
        <v>5</v>
      </c>
      <c r="R1177" t="s">
        <v>67</v>
      </c>
      <c r="S1177">
        <v>1</v>
      </c>
      <c r="T1177">
        <v>27</v>
      </c>
      <c r="U1177" s="11">
        <v>-0.97492791218182362</v>
      </c>
      <c r="V1177" s="11">
        <v>-0.22252093395631459</v>
      </c>
      <c r="W1177" s="11">
        <v>0.43249940213397881</v>
      </c>
      <c r="X1177" s="11">
        <v>0.90163422026548601</v>
      </c>
      <c r="Y1177">
        <v>1</v>
      </c>
      <c r="Z1177">
        <v>0</v>
      </c>
      <c r="AB1177">
        <v>1</v>
      </c>
      <c r="AC1177">
        <v>0</v>
      </c>
      <c r="AD1177">
        <v>0</v>
      </c>
      <c r="AE1177">
        <v>0</v>
      </c>
    </row>
    <row r="1178" spans="1:31">
      <c r="A1178" s="6">
        <v>45319</v>
      </c>
      <c r="B1178" t="s">
        <v>31</v>
      </c>
      <c r="C1178" t="s">
        <v>32</v>
      </c>
      <c r="D1178" t="s">
        <v>33</v>
      </c>
      <c r="E1178" t="s">
        <v>34</v>
      </c>
      <c r="F1178">
        <v>140</v>
      </c>
      <c r="G1178">
        <v>360</v>
      </c>
      <c r="H1178">
        <v>261</v>
      </c>
      <c r="I1178">
        <v>112</v>
      </c>
      <c r="J1178" s="8">
        <v>0.8</v>
      </c>
      <c r="K1178">
        <v>46</v>
      </c>
      <c r="L1178">
        <v>69</v>
      </c>
      <c r="M1178">
        <v>242</v>
      </c>
      <c r="N1178" s="10">
        <v>479.57</v>
      </c>
      <c r="O1178" s="7">
        <v>0</v>
      </c>
      <c r="P1178" s="7">
        <v>28</v>
      </c>
      <c r="Q1178">
        <v>6</v>
      </c>
      <c r="R1178" t="s">
        <v>60</v>
      </c>
      <c r="S1178">
        <v>1</v>
      </c>
      <c r="T1178">
        <v>28</v>
      </c>
      <c r="U1178" s="11">
        <v>-0.78183148246802991</v>
      </c>
      <c r="V1178" s="11">
        <v>0.62348980185873337</v>
      </c>
      <c r="W1178" s="11">
        <v>0.44794493940789115</v>
      </c>
      <c r="X1178" s="11">
        <v>0.89406114514548762</v>
      </c>
      <c r="Y1178">
        <v>1</v>
      </c>
      <c r="Z1178">
        <v>0</v>
      </c>
      <c r="AB1178">
        <v>1</v>
      </c>
      <c r="AC1178">
        <v>0</v>
      </c>
      <c r="AD1178">
        <v>0</v>
      </c>
      <c r="AE1178">
        <v>0</v>
      </c>
    </row>
    <row r="1179" spans="1:31">
      <c r="A1179" s="6">
        <v>45319</v>
      </c>
      <c r="B1179" t="s">
        <v>36</v>
      </c>
      <c r="C1179" t="s">
        <v>37</v>
      </c>
      <c r="D1179" t="s">
        <v>38</v>
      </c>
      <c r="E1179" t="s">
        <v>39</v>
      </c>
      <c r="F1179">
        <v>125</v>
      </c>
      <c r="G1179">
        <v>320</v>
      </c>
      <c r="H1179">
        <v>244</v>
      </c>
      <c r="I1179">
        <v>105</v>
      </c>
      <c r="J1179" s="8">
        <v>0.84</v>
      </c>
      <c r="K1179">
        <v>62</v>
      </c>
      <c r="L1179">
        <v>49</v>
      </c>
      <c r="M1179">
        <v>202</v>
      </c>
      <c r="N1179" s="10">
        <v>755.91</v>
      </c>
      <c r="O1179" s="7">
        <v>0</v>
      </c>
      <c r="P1179" s="7">
        <v>28</v>
      </c>
      <c r="Q1179">
        <v>6</v>
      </c>
      <c r="R1179" t="s">
        <v>60</v>
      </c>
      <c r="S1179">
        <v>1</v>
      </c>
      <c r="T1179">
        <v>28</v>
      </c>
      <c r="U1179" s="11">
        <v>-0.78183148246802991</v>
      </c>
      <c r="V1179" s="11">
        <v>0.62348980185873337</v>
      </c>
      <c r="W1179" s="11">
        <v>0.44794493940789115</v>
      </c>
      <c r="X1179" s="11">
        <v>0.89406114514548762</v>
      </c>
      <c r="Y1179">
        <v>1</v>
      </c>
      <c r="Z1179">
        <v>0</v>
      </c>
      <c r="AB1179">
        <v>1</v>
      </c>
      <c r="AC1179">
        <v>0</v>
      </c>
      <c r="AD1179">
        <v>0</v>
      </c>
      <c r="AE1179">
        <v>0</v>
      </c>
    </row>
    <row r="1180" spans="1:31">
      <c r="A1180" s="6">
        <v>45319</v>
      </c>
      <c r="B1180" t="s">
        <v>41</v>
      </c>
      <c r="C1180" t="s">
        <v>42</v>
      </c>
      <c r="D1180" t="s">
        <v>43</v>
      </c>
      <c r="E1180" t="s">
        <v>44</v>
      </c>
      <c r="F1180">
        <v>85</v>
      </c>
      <c r="G1180">
        <v>210</v>
      </c>
      <c r="H1180">
        <v>179</v>
      </c>
      <c r="I1180">
        <v>80</v>
      </c>
      <c r="J1180" s="8">
        <v>0.94117647058823528</v>
      </c>
      <c r="K1180">
        <v>19</v>
      </c>
      <c r="L1180">
        <v>46</v>
      </c>
      <c r="M1180">
        <v>165</v>
      </c>
      <c r="N1180" s="10">
        <v>584.62</v>
      </c>
      <c r="O1180" s="7">
        <v>0</v>
      </c>
      <c r="P1180" s="7">
        <v>28</v>
      </c>
      <c r="Q1180">
        <v>6</v>
      </c>
      <c r="R1180" t="s">
        <v>60</v>
      </c>
      <c r="S1180">
        <v>1</v>
      </c>
      <c r="T1180">
        <v>28</v>
      </c>
      <c r="U1180" s="11">
        <v>-0.78183148246802991</v>
      </c>
      <c r="V1180" s="11">
        <v>0.62348980185873337</v>
      </c>
      <c r="W1180" s="11">
        <v>0.44794493940789115</v>
      </c>
      <c r="X1180" s="11">
        <v>0.89406114514548762</v>
      </c>
      <c r="Y1180">
        <v>1</v>
      </c>
      <c r="Z1180">
        <v>0</v>
      </c>
      <c r="AB1180">
        <v>1</v>
      </c>
      <c r="AC1180">
        <v>0</v>
      </c>
      <c r="AD1180">
        <v>0</v>
      </c>
      <c r="AE1180">
        <v>0</v>
      </c>
    </row>
    <row r="1181" spans="1:31">
      <c r="A1181" s="6">
        <v>45320</v>
      </c>
      <c r="B1181" t="s">
        <v>31</v>
      </c>
      <c r="C1181" t="s">
        <v>32</v>
      </c>
      <c r="D1181" t="s">
        <v>33</v>
      </c>
      <c r="E1181" t="s">
        <v>34</v>
      </c>
      <c r="F1181">
        <v>140</v>
      </c>
      <c r="G1181">
        <v>360</v>
      </c>
      <c r="H1181">
        <v>243</v>
      </c>
      <c r="I1181">
        <v>100</v>
      </c>
      <c r="J1181" s="8">
        <v>0.7142857142857143</v>
      </c>
      <c r="K1181">
        <v>61</v>
      </c>
      <c r="L1181">
        <v>29</v>
      </c>
      <c r="M1181">
        <v>216</v>
      </c>
      <c r="N1181" s="10">
        <v>492.74</v>
      </c>
      <c r="O1181" s="7">
        <v>0</v>
      </c>
      <c r="P1181" s="7">
        <v>28.1</v>
      </c>
      <c r="Q1181">
        <v>0</v>
      </c>
      <c r="R1181" t="s">
        <v>62</v>
      </c>
      <c r="S1181">
        <v>1</v>
      </c>
      <c r="T1181">
        <v>29</v>
      </c>
      <c r="U1181" s="11">
        <v>0</v>
      </c>
      <c r="V1181" s="11">
        <v>1</v>
      </c>
      <c r="W1181" s="11">
        <v>0.46325792256749171</v>
      </c>
      <c r="X1181" s="11">
        <v>0.88622350294857999</v>
      </c>
      <c r="Y1181">
        <v>0</v>
      </c>
      <c r="Z1181">
        <v>0</v>
      </c>
      <c r="AB1181">
        <v>1</v>
      </c>
      <c r="AC1181">
        <v>0</v>
      </c>
      <c r="AD1181">
        <v>0</v>
      </c>
      <c r="AE1181">
        <v>0</v>
      </c>
    </row>
    <row r="1182" spans="1:31">
      <c r="A1182" s="6">
        <v>45320</v>
      </c>
      <c r="B1182" t="s">
        <v>36</v>
      </c>
      <c r="C1182" t="s">
        <v>37</v>
      </c>
      <c r="D1182" t="s">
        <v>38</v>
      </c>
      <c r="E1182" t="s">
        <v>39</v>
      </c>
      <c r="F1182">
        <v>125</v>
      </c>
      <c r="G1182">
        <v>320</v>
      </c>
      <c r="H1182">
        <v>207</v>
      </c>
      <c r="I1182">
        <v>86</v>
      </c>
      <c r="J1182" s="8">
        <v>0.68799999999999994</v>
      </c>
      <c r="K1182">
        <v>32</v>
      </c>
      <c r="L1182">
        <v>41</v>
      </c>
      <c r="M1182">
        <v>168</v>
      </c>
      <c r="N1182" s="10">
        <v>723.89</v>
      </c>
      <c r="O1182" s="7">
        <v>0</v>
      </c>
      <c r="P1182" s="7">
        <v>28.1</v>
      </c>
      <c r="Q1182">
        <v>0</v>
      </c>
      <c r="R1182" t="s">
        <v>62</v>
      </c>
      <c r="S1182">
        <v>1</v>
      </c>
      <c r="T1182">
        <v>29</v>
      </c>
      <c r="U1182" s="11">
        <v>0</v>
      </c>
      <c r="V1182" s="11">
        <v>1</v>
      </c>
      <c r="W1182" s="11">
        <v>0.46325792256749171</v>
      </c>
      <c r="X1182" s="11">
        <v>0.88622350294857999</v>
      </c>
      <c r="Y1182">
        <v>0</v>
      </c>
      <c r="Z1182">
        <v>0</v>
      </c>
      <c r="AB1182">
        <v>1</v>
      </c>
      <c r="AC1182">
        <v>0</v>
      </c>
      <c r="AD1182">
        <v>0</v>
      </c>
      <c r="AE1182">
        <v>0</v>
      </c>
    </row>
    <row r="1183" spans="1:31">
      <c r="A1183" s="6">
        <v>45320</v>
      </c>
      <c r="B1183" t="s">
        <v>41</v>
      </c>
      <c r="C1183" t="s">
        <v>42</v>
      </c>
      <c r="D1183" t="s">
        <v>43</v>
      </c>
      <c r="E1183" t="s">
        <v>44</v>
      </c>
      <c r="F1183">
        <v>85</v>
      </c>
      <c r="G1183">
        <v>210</v>
      </c>
      <c r="H1183">
        <v>151</v>
      </c>
      <c r="I1183">
        <v>70</v>
      </c>
      <c r="J1183" s="8">
        <v>0.82352941176470584</v>
      </c>
      <c r="K1183">
        <v>22</v>
      </c>
      <c r="L1183">
        <v>21</v>
      </c>
      <c r="M1183">
        <v>122</v>
      </c>
      <c r="N1183" s="10">
        <v>561.16</v>
      </c>
      <c r="O1183" s="7">
        <v>0</v>
      </c>
      <c r="P1183" s="7">
        <v>28.1</v>
      </c>
      <c r="Q1183">
        <v>0</v>
      </c>
      <c r="R1183" t="s">
        <v>62</v>
      </c>
      <c r="S1183">
        <v>1</v>
      </c>
      <c r="T1183">
        <v>29</v>
      </c>
      <c r="U1183" s="11">
        <v>0</v>
      </c>
      <c r="V1183" s="11">
        <v>1</v>
      </c>
      <c r="W1183" s="11">
        <v>0.46325792256749171</v>
      </c>
      <c r="X1183" s="11">
        <v>0.88622350294857999</v>
      </c>
      <c r="Y1183">
        <v>0</v>
      </c>
      <c r="Z1183">
        <v>0</v>
      </c>
      <c r="AB1183">
        <v>1</v>
      </c>
      <c r="AC1183">
        <v>0</v>
      </c>
      <c r="AD1183">
        <v>0</v>
      </c>
      <c r="AE1183">
        <v>0</v>
      </c>
    </row>
    <row r="1184" spans="1:31">
      <c r="A1184" s="6">
        <v>45321</v>
      </c>
      <c r="B1184" t="s">
        <v>31</v>
      </c>
      <c r="C1184" t="s">
        <v>32</v>
      </c>
      <c r="D1184" t="s">
        <v>33</v>
      </c>
      <c r="E1184" t="s">
        <v>34</v>
      </c>
      <c r="F1184">
        <v>140</v>
      </c>
      <c r="G1184">
        <v>360</v>
      </c>
      <c r="H1184">
        <v>219</v>
      </c>
      <c r="I1184">
        <v>94</v>
      </c>
      <c r="J1184" s="8">
        <v>0.67142857142857137</v>
      </c>
      <c r="K1184">
        <v>37</v>
      </c>
      <c r="L1184">
        <v>49</v>
      </c>
      <c r="M1184">
        <v>205</v>
      </c>
      <c r="N1184" s="10">
        <v>453.54</v>
      </c>
      <c r="O1184" s="7">
        <v>6.9</v>
      </c>
      <c r="P1184" s="7">
        <v>28</v>
      </c>
      <c r="Q1184">
        <v>1</v>
      </c>
      <c r="R1184" t="s">
        <v>63</v>
      </c>
      <c r="S1184">
        <v>1</v>
      </c>
      <c r="T1184">
        <v>30</v>
      </c>
      <c r="U1184" s="11">
        <v>0.7818314824680298</v>
      </c>
      <c r="V1184" s="11">
        <v>0.62348980185873359</v>
      </c>
      <c r="W1184" s="11">
        <v>0.47843382025470121</v>
      </c>
      <c r="X1184" s="11">
        <v>0.87812361295918484</v>
      </c>
      <c r="Y1184">
        <v>0</v>
      </c>
      <c r="Z1184">
        <v>0</v>
      </c>
      <c r="AB1184">
        <v>1</v>
      </c>
      <c r="AC1184">
        <v>0</v>
      </c>
      <c r="AD1184">
        <v>0</v>
      </c>
      <c r="AE1184">
        <v>0</v>
      </c>
    </row>
    <row r="1185" spans="1:31">
      <c r="A1185" s="6">
        <v>45321</v>
      </c>
      <c r="B1185" t="s">
        <v>36</v>
      </c>
      <c r="C1185" t="s">
        <v>37</v>
      </c>
      <c r="D1185" t="s">
        <v>38</v>
      </c>
      <c r="E1185" t="s">
        <v>39</v>
      </c>
      <c r="F1185">
        <v>125</v>
      </c>
      <c r="G1185">
        <v>320</v>
      </c>
      <c r="H1185">
        <v>205</v>
      </c>
      <c r="I1185">
        <v>84</v>
      </c>
      <c r="J1185" s="8">
        <v>0.67200000000000004</v>
      </c>
      <c r="K1185">
        <v>33</v>
      </c>
      <c r="L1185">
        <v>28</v>
      </c>
      <c r="M1185">
        <v>191</v>
      </c>
      <c r="N1185" s="10">
        <v>623.24</v>
      </c>
      <c r="O1185" s="7">
        <v>6.9</v>
      </c>
      <c r="P1185" s="7">
        <v>28</v>
      </c>
      <c r="Q1185">
        <v>1</v>
      </c>
      <c r="R1185" t="s">
        <v>63</v>
      </c>
      <c r="S1185">
        <v>1</v>
      </c>
      <c r="T1185">
        <v>30</v>
      </c>
      <c r="U1185" s="11">
        <v>0.7818314824680298</v>
      </c>
      <c r="V1185" s="11">
        <v>0.62348980185873359</v>
      </c>
      <c r="W1185" s="11">
        <v>0.47843382025470121</v>
      </c>
      <c r="X1185" s="11">
        <v>0.87812361295918484</v>
      </c>
      <c r="Y1185">
        <v>0</v>
      </c>
      <c r="Z1185">
        <v>0</v>
      </c>
      <c r="AB1185">
        <v>1</v>
      </c>
      <c r="AC1185">
        <v>0</v>
      </c>
      <c r="AD1185">
        <v>0</v>
      </c>
      <c r="AE1185">
        <v>0</v>
      </c>
    </row>
    <row r="1186" spans="1:31">
      <c r="A1186" s="6">
        <v>45321</v>
      </c>
      <c r="B1186" t="s">
        <v>41</v>
      </c>
      <c r="C1186" t="s">
        <v>42</v>
      </c>
      <c r="D1186" t="s">
        <v>43</v>
      </c>
      <c r="E1186" t="s">
        <v>44</v>
      </c>
      <c r="F1186">
        <v>85</v>
      </c>
      <c r="G1186">
        <v>210</v>
      </c>
      <c r="H1186">
        <v>153</v>
      </c>
      <c r="I1186">
        <v>70</v>
      </c>
      <c r="J1186" s="8">
        <v>0.82352941176470584</v>
      </c>
      <c r="K1186">
        <v>33</v>
      </c>
      <c r="L1186">
        <v>21</v>
      </c>
      <c r="M1186">
        <v>125</v>
      </c>
      <c r="N1186" s="10">
        <v>547.03</v>
      </c>
      <c r="O1186" s="7">
        <v>6.9</v>
      </c>
      <c r="P1186" s="7">
        <v>28</v>
      </c>
      <c r="Q1186">
        <v>1</v>
      </c>
      <c r="R1186" t="s">
        <v>63</v>
      </c>
      <c r="S1186">
        <v>1</v>
      </c>
      <c r="T1186">
        <v>30</v>
      </c>
      <c r="U1186" s="11">
        <v>0.7818314824680298</v>
      </c>
      <c r="V1186" s="11">
        <v>0.62348980185873359</v>
      </c>
      <c r="W1186" s="11">
        <v>0.47843382025470121</v>
      </c>
      <c r="X1186" s="11">
        <v>0.87812361295918484</v>
      </c>
      <c r="Y1186">
        <v>0</v>
      </c>
      <c r="Z1186">
        <v>0</v>
      </c>
      <c r="AB1186">
        <v>1</v>
      </c>
      <c r="AC1186">
        <v>0</v>
      </c>
      <c r="AD1186">
        <v>0</v>
      </c>
      <c r="AE1186">
        <v>0</v>
      </c>
    </row>
    <row r="1187" spans="1:31">
      <c r="A1187" s="6">
        <v>45322</v>
      </c>
      <c r="B1187" t="s">
        <v>31</v>
      </c>
      <c r="C1187" t="s">
        <v>32</v>
      </c>
      <c r="D1187" t="s">
        <v>33</v>
      </c>
      <c r="E1187" t="s">
        <v>34</v>
      </c>
      <c r="F1187">
        <v>140</v>
      </c>
      <c r="G1187">
        <v>360</v>
      </c>
      <c r="H1187">
        <v>204</v>
      </c>
      <c r="I1187">
        <v>86</v>
      </c>
      <c r="J1187" s="8">
        <v>0.61428571428571432</v>
      </c>
      <c r="K1187">
        <v>50</v>
      </c>
      <c r="L1187">
        <v>31</v>
      </c>
      <c r="M1187">
        <v>169</v>
      </c>
      <c r="N1187" s="10">
        <v>479.2</v>
      </c>
      <c r="O1187" s="7">
        <v>0.8</v>
      </c>
      <c r="P1187" s="7">
        <v>27.6</v>
      </c>
      <c r="Q1187">
        <v>2</v>
      </c>
      <c r="R1187" t="s">
        <v>64</v>
      </c>
      <c r="S1187">
        <v>1</v>
      </c>
      <c r="T1187">
        <v>31</v>
      </c>
      <c r="U1187" s="11">
        <v>0.97492791218182362</v>
      </c>
      <c r="V1187" s="11">
        <v>-0.22252093395631434</v>
      </c>
      <c r="W1187" s="11">
        <v>0.49346814167723735</v>
      </c>
      <c r="X1187" s="11">
        <v>0.86976387206506456</v>
      </c>
      <c r="Y1187">
        <v>0</v>
      </c>
      <c r="Z1187">
        <v>0</v>
      </c>
      <c r="AB1187">
        <v>1</v>
      </c>
      <c r="AC1187">
        <v>0</v>
      </c>
      <c r="AD1187">
        <v>0</v>
      </c>
      <c r="AE1187">
        <v>0</v>
      </c>
    </row>
    <row r="1188" spans="1:31">
      <c r="A1188" s="6">
        <v>45322</v>
      </c>
      <c r="B1188" t="s">
        <v>36</v>
      </c>
      <c r="C1188" t="s">
        <v>37</v>
      </c>
      <c r="D1188" t="s">
        <v>38</v>
      </c>
      <c r="E1188" t="s">
        <v>39</v>
      </c>
      <c r="F1188">
        <v>125</v>
      </c>
      <c r="G1188">
        <v>320</v>
      </c>
      <c r="H1188">
        <v>232</v>
      </c>
      <c r="I1188">
        <v>95</v>
      </c>
      <c r="J1188" s="8">
        <v>0.76</v>
      </c>
      <c r="K1188">
        <v>50</v>
      </c>
      <c r="L1188">
        <v>63</v>
      </c>
      <c r="M1188">
        <v>192</v>
      </c>
      <c r="N1188" s="10">
        <v>734.93</v>
      </c>
      <c r="O1188" s="7">
        <v>0.8</v>
      </c>
      <c r="P1188" s="7">
        <v>27.6</v>
      </c>
      <c r="Q1188">
        <v>2</v>
      </c>
      <c r="R1188" t="s">
        <v>64</v>
      </c>
      <c r="S1188">
        <v>1</v>
      </c>
      <c r="T1188">
        <v>31</v>
      </c>
      <c r="U1188" s="11">
        <v>0.97492791218182362</v>
      </c>
      <c r="V1188" s="11">
        <v>-0.22252093395631434</v>
      </c>
      <c r="W1188" s="11">
        <v>0.49346814167723735</v>
      </c>
      <c r="X1188" s="11">
        <v>0.86976387206506456</v>
      </c>
      <c r="Y1188">
        <v>0</v>
      </c>
      <c r="Z1188">
        <v>0</v>
      </c>
      <c r="AB1188">
        <v>1</v>
      </c>
      <c r="AC1188">
        <v>0</v>
      </c>
      <c r="AD1188">
        <v>0</v>
      </c>
      <c r="AE1188">
        <v>0</v>
      </c>
    </row>
    <row r="1189" spans="1:31">
      <c r="A1189" s="6">
        <v>45322</v>
      </c>
      <c r="B1189" t="s">
        <v>41</v>
      </c>
      <c r="C1189" t="s">
        <v>42</v>
      </c>
      <c r="D1189" t="s">
        <v>43</v>
      </c>
      <c r="E1189" t="s">
        <v>44</v>
      </c>
      <c r="F1189">
        <v>85</v>
      </c>
      <c r="G1189">
        <v>210</v>
      </c>
      <c r="H1189">
        <v>165</v>
      </c>
      <c r="I1189">
        <v>73</v>
      </c>
      <c r="J1189" s="8">
        <v>0.85882352941176465</v>
      </c>
      <c r="K1189">
        <v>30</v>
      </c>
      <c r="L1189">
        <v>41</v>
      </c>
      <c r="M1189">
        <v>144</v>
      </c>
      <c r="N1189" s="10">
        <v>529.29</v>
      </c>
      <c r="O1189" s="7">
        <v>0.8</v>
      </c>
      <c r="P1189" s="7">
        <v>27.6</v>
      </c>
      <c r="Q1189">
        <v>2</v>
      </c>
      <c r="R1189" t="s">
        <v>64</v>
      </c>
      <c r="S1189">
        <v>1</v>
      </c>
      <c r="T1189">
        <v>31</v>
      </c>
      <c r="U1189" s="11">
        <v>0.97492791218182362</v>
      </c>
      <c r="V1189" s="11">
        <v>-0.22252093395631434</v>
      </c>
      <c r="W1189" s="11">
        <v>0.49346814167723735</v>
      </c>
      <c r="X1189" s="11">
        <v>0.86976387206506456</v>
      </c>
      <c r="Y1189">
        <v>0</v>
      </c>
      <c r="Z1189">
        <v>0</v>
      </c>
      <c r="AB1189">
        <v>1</v>
      </c>
      <c r="AC1189">
        <v>0</v>
      </c>
      <c r="AD1189">
        <v>0</v>
      </c>
      <c r="AE1189">
        <v>0</v>
      </c>
    </row>
    <row r="1190" spans="1:31">
      <c r="A1190" s="6">
        <v>45323</v>
      </c>
      <c r="B1190" t="s">
        <v>31</v>
      </c>
      <c r="C1190" t="s">
        <v>32</v>
      </c>
      <c r="D1190" t="s">
        <v>33</v>
      </c>
      <c r="E1190" t="s">
        <v>34</v>
      </c>
      <c r="F1190">
        <v>140</v>
      </c>
      <c r="G1190">
        <v>360</v>
      </c>
      <c r="H1190">
        <v>189</v>
      </c>
      <c r="I1190">
        <v>82</v>
      </c>
      <c r="J1190" s="8">
        <v>0.58571428571428574</v>
      </c>
      <c r="K1190">
        <v>21</v>
      </c>
      <c r="L1190">
        <v>39</v>
      </c>
      <c r="M1190">
        <v>172</v>
      </c>
      <c r="N1190" s="10">
        <v>402.06</v>
      </c>
      <c r="O1190" s="7">
        <v>6.9</v>
      </c>
      <c r="P1190" s="7">
        <v>28.2</v>
      </c>
      <c r="Q1190">
        <v>3</v>
      </c>
      <c r="R1190" t="s">
        <v>65</v>
      </c>
      <c r="S1190">
        <v>2</v>
      </c>
      <c r="T1190">
        <v>32</v>
      </c>
      <c r="U1190" s="11">
        <v>0.43388373911755823</v>
      </c>
      <c r="V1190" s="11">
        <v>-0.90096886790241903</v>
      </c>
      <c r="W1190" s="11">
        <v>0.50835643793751217</v>
      </c>
      <c r="X1190" s="11">
        <v>0.86114675404804519</v>
      </c>
      <c r="Y1190">
        <v>0</v>
      </c>
      <c r="Z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6">
        <v>45323</v>
      </c>
      <c r="B1191" t="s">
        <v>36</v>
      </c>
      <c r="C1191" t="s">
        <v>37</v>
      </c>
      <c r="D1191" t="s">
        <v>38</v>
      </c>
      <c r="E1191" t="s">
        <v>39</v>
      </c>
      <c r="F1191">
        <v>125</v>
      </c>
      <c r="G1191">
        <v>320</v>
      </c>
      <c r="H1191">
        <v>188</v>
      </c>
      <c r="I1191">
        <v>77</v>
      </c>
      <c r="J1191" s="8">
        <v>0.61599999999999999</v>
      </c>
      <c r="K1191">
        <v>44</v>
      </c>
      <c r="L1191">
        <v>46</v>
      </c>
      <c r="M1191">
        <v>154</v>
      </c>
      <c r="N1191" s="10">
        <v>674.72</v>
      </c>
      <c r="O1191" s="7">
        <v>6.9</v>
      </c>
      <c r="P1191" s="7">
        <v>28.2</v>
      </c>
      <c r="Q1191">
        <v>3</v>
      </c>
      <c r="R1191" t="s">
        <v>65</v>
      </c>
      <c r="S1191">
        <v>2</v>
      </c>
      <c r="T1191">
        <v>32</v>
      </c>
      <c r="U1191" s="11">
        <v>0.43388373911755823</v>
      </c>
      <c r="V1191" s="11">
        <v>-0.90096886790241903</v>
      </c>
      <c r="W1191" s="11">
        <v>0.50835643793751217</v>
      </c>
      <c r="X1191" s="11">
        <v>0.86114675404804519</v>
      </c>
      <c r="Y1191">
        <v>0</v>
      </c>
      <c r="Z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6">
        <v>45323</v>
      </c>
      <c r="B1192" t="s">
        <v>41</v>
      </c>
      <c r="C1192" t="s">
        <v>42</v>
      </c>
      <c r="D1192" t="s">
        <v>43</v>
      </c>
      <c r="E1192" t="s">
        <v>44</v>
      </c>
      <c r="F1192">
        <v>85</v>
      </c>
      <c r="G1192">
        <v>210</v>
      </c>
      <c r="H1192">
        <v>112</v>
      </c>
      <c r="I1192">
        <v>51</v>
      </c>
      <c r="J1192" s="8">
        <v>0.6</v>
      </c>
      <c r="K1192">
        <v>34</v>
      </c>
      <c r="L1192">
        <v>27</v>
      </c>
      <c r="M1192">
        <v>93</v>
      </c>
      <c r="N1192" s="10">
        <v>569.01</v>
      </c>
      <c r="O1192" s="7">
        <v>6.9</v>
      </c>
      <c r="P1192" s="7">
        <v>28.2</v>
      </c>
      <c r="Q1192">
        <v>3</v>
      </c>
      <c r="R1192" t="s">
        <v>65</v>
      </c>
      <c r="S1192">
        <v>2</v>
      </c>
      <c r="T1192">
        <v>32</v>
      </c>
      <c r="U1192" s="11">
        <v>0.43388373911755823</v>
      </c>
      <c r="V1192" s="11">
        <v>-0.90096886790241903</v>
      </c>
      <c r="W1192" s="11">
        <v>0.50835643793751217</v>
      </c>
      <c r="X1192" s="11">
        <v>0.86114675404804519</v>
      </c>
      <c r="Y1192">
        <v>0</v>
      </c>
      <c r="Z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6">
        <v>45324</v>
      </c>
      <c r="B1193" t="s">
        <v>31</v>
      </c>
      <c r="C1193" t="s">
        <v>32</v>
      </c>
      <c r="D1193" t="s">
        <v>33</v>
      </c>
      <c r="E1193" t="s">
        <v>34</v>
      </c>
      <c r="F1193">
        <v>140</v>
      </c>
      <c r="G1193">
        <v>360</v>
      </c>
      <c r="H1193">
        <v>198</v>
      </c>
      <c r="I1193">
        <v>84</v>
      </c>
      <c r="J1193" s="8">
        <v>0.6</v>
      </c>
      <c r="K1193">
        <v>54</v>
      </c>
      <c r="L1193">
        <v>32</v>
      </c>
      <c r="M1193">
        <v>167</v>
      </c>
      <c r="N1193" s="10">
        <v>464.52</v>
      </c>
      <c r="O1193" s="7">
        <v>5.8</v>
      </c>
      <c r="P1193" s="7">
        <v>30.1</v>
      </c>
      <c r="Q1193">
        <v>4</v>
      </c>
      <c r="R1193" t="s">
        <v>66</v>
      </c>
      <c r="S1193">
        <v>2</v>
      </c>
      <c r="T1193">
        <v>33</v>
      </c>
      <c r="U1193" s="11">
        <v>-0.43388373911755801</v>
      </c>
      <c r="V1193" s="11">
        <v>-0.90096886790241915</v>
      </c>
      <c r="W1193" s="11">
        <v>0.52309430334913265</v>
      </c>
      <c r="X1193" s="11">
        <v>0.85227480885198381</v>
      </c>
      <c r="Y1193">
        <v>0</v>
      </c>
      <c r="Z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6">
        <v>45324</v>
      </c>
      <c r="B1194" t="s">
        <v>36</v>
      </c>
      <c r="C1194" t="s">
        <v>37</v>
      </c>
      <c r="D1194" t="s">
        <v>38</v>
      </c>
      <c r="E1194" t="s">
        <v>39</v>
      </c>
      <c r="F1194">
        <v>125</v>
      </c>
      <c r="G1194">
        <v>320</v>
      </c>
      <c r="H1194">
        <v>181</v>
      </c>
      <c r="I1194">
        <v>75</v>
      </c>
      <c r="J1194" s="8">
        <v>0.6</v>
      </c>
      <c r="K1194">
        <v>38</v>
      </c>
      <c r="L1194">
        <v>46</v>
      </c>
      <c r="M1194">
        <v>163</v>
      </c>
      <c r="N1194" s="10">
        <v>624.39</v>
      </c>
      <c r="O1194" s="7">
        <v>5.8</v>
      </c>
      <c r="P1194" s="7">
        <v>30.1</v>
      </c>
      <c r="Q1194">
        <v>4</v>
      </c>
      <c r="R1194" t="s">
        <v>66</v>
      </c>
      <c r="S1194">
        <v>2</v>
      </c>
      <c r="T1194">
        <v>33</v>
      </c>
      <c r="U1194" s="11">
        <v>-0.43388373911755801</v>
      </c>
      <c r="V1194" s="11">
        <v>-0.90096886790241915</v>
      </c>
      <c r="W1194" s="11">
        <v>0.52309430334913265</v>
      </c>
      <c r="X1194" s="11">
        <v>0.85227480885198381</v>
      </c>
      <c r="Y1194">
        <v>0</v>
      </c>
      <c r="Z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6">
        <v>45324</v>
      </c>
      <c r="B1195" t="s">
        <v>41</v>
      </c>
      <c r="C1195" t="s">
        <v>42</v>
      </c>
      <c r="D1195" t="s">
        <v>43</v>
      </c>
      <c r="E1195" t="s">
        <v>44</v>
      </c>
      <c r="F1195">
        <v>85</v>
      </c>
      <c r="G1195">
        <v>210</v>
      </c>
      <c r="H1195">
        <v>124</v>
      </c>
      <c r="I1195">
        <v>57</v>
      </c>
      <c r="J1195" s="8">
        <v>0.6705882352941176</v>
      </c>
      <c r="K1195">
        <v>25</v>
      </c>
      <c r="L1195">
        <v>29</v>
      </c>
      <c r="M1195">
        <v>112</v>
      </c>
      <c r="N1195" s="10">
        <v>581.54999999999995</v>
      </c>
      <c r="O1195" s="7">
        <v>5.8</v>
      </c>
      <c r="P1195" s="7">
        <v>30.1</v>
      </c>
      <c r="Q1195">
        <v>4</v>
      </c>
      <c r="R1195" t="s">
        <v>66</v>
      </c>
      <c r="S1195">
        <v>2</v>
      </c>
      <c r="T1195">
        <v>33</v>
      </c>
      <c r="U1195" s="11">
        <v>-0.43388373911755801</v>
      </c>
      <c r="V1195" s="11">
        <v>-0.90096886790241915</v>
      </c>
      <c r="W1195" s="11">
        <v>0.52309430334913265</v>
      </c>
      <c r="X1195" s="11">
        <v>0.85227480885198381</v>
      </c>
      <c r="Y1195">
        <v>0</v>
      </c>
      <c r="Z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6">
        <v>45325</v>
      </c>
      <c r="B1196" t="s">
        <v>31</v>
      </c>
      <c r="C1196" t="s">
        <v>32</v>
      </c>
      <c r="D1196" t="s">
        <v>33</v>
      </c>
      <c r="E1196" t="s">
        <v>34</v>
      </c>
      <c r="F1196">
        <v>140</v>
      </c>
      <c r="G1196">
        <v>360</v>
      </c>
      <c r="H1196">
        <v>215</v>
      </c>
      <c r="I1196">
        <v>90</v>
      </c>
      <c r="J1196" s="8">
        <v>0.6428571428571429</v>
      </c>
      <c r="K1196">
        <v>49</v>
      </c>
      <c r="L1196">
        <v>60</v>
      </c>
      <c r="M1196">
        <v>198</v>
      </c>
      <c r="N1196" s="10">
        <v>479.1</v>
      </c>
      <c r="O1196" s="7">
        <v>0</v>
      </c>
      <c r="P1196" s="7">
        <v>28</v>
      </c>
      <c r="Q1196">
        <v>5</v>
      </c>
      <c r="R1196" t="s">
        <v>67</v>
      </c>
      <c r="S1196">
        <v>2</v>
      </c>
      <c r="T1196">
        <v>34</v>
      </c>
      <c r="U1196" s="11">
        <v>-0.97492791218182362</v>
      </c>
      <c r="V1196" s="11">
        <v>-0.22252093395631459</v>
      </c>
      <c r="W1196" s="11">
        <v>0.53767737674061411</v>
      </c>
      <c r="X1196" s="11">
        <v>0.84315066182819998</v>
      </c>
      <c r="Y1196">
        <v>1</v>
      </c>
      <c r="Z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6">
        <v>45325</v>
      </c>
      <c r="B1197" t="s">
        <v>36</v>
      </c>
      <c r="C1197" t="s">
        <v>37</v>
      </c>
      <c r="D1197" t="s">
        <v>38</v>
      </c>
      <c r="E1197" t="s">
        <v>39</v>
      </c>
      <c r="F1197">
        <v>125</v>
      </c>
      <c r="G1197">
        <v>320</v>
      </c>
      <c r="H1197">
        <v>202</v>
      </c>
      <c r="I1197">
        <v>83</v>
      </c>
      <c r="J1197" s="8">
        <v>0.66400000000000003</v>
      </c>
      <c r="K1197">
        <v>32</v>
      </c>
      <c r="L1197">
        <v>32</v>
      </c>
      <c r="M1197">
        <v>175</v>
      </c>
      <c r="N1197" s="10">
        <v>676.21</v>
      </c>
      <c r="O1197" s="7">
        <v>0</v>
      </c>
      <c r="P1197" s="7">
        <v>28</v>
      </c>
      <c r="Q1197">
        <v>5</v>
      </c>
      <c r="R1197" t="s">
        <v>67</v>
      </c>
      <c r="S1197">
        <v>2</v>
      </c>
      <c r="T1197">
        <v>34</v>
      </c>
      <c r="U1197" s="11">
        <v>-0.97492791218182362</v>
      </c>
      <c r="V1197" s="11">
        <v>-0.22252093395631459</v>
      </c>
      <c r="W1197" s="11">
        <v>0.53767737674061411</v>
      </c>
      <c r="X1197" s="11">
        <v>0.84315066182819998</v>
      </c>
      <c r="Y1197">
        <v>1</v>
      </c>
      <c r="Z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6">
        <v>45325</v>
      </c>
      <c r="B1198" t="s">
        <v>41</v>
      </c>
      <c r="C1198" t="s">
        <v>42</v>
      </c>
      <c r="D1198" t="s">
        <v>43</v>
      </c>
      <c r="E1198" t="s">
        <v>44</v>
      </c>
      <c r="F1198">
        <v>85</v>
      </c>
      <c r="G1198">
        <v>210</v>
      </c>
      <c r="H1198">
        <v>151</v>
      </c>
      <c r="I1198">
        <v>68</v>
      </c>
      <c r="J1198" s="8">
        <v>0.8</v>
      </c>
      <c r="K1198">
        <v>34</v>
      </c>
      <c r="L1198">
        <v>29</v>
      </c>
      <c r="M1198">
        <v>122</v>
      </c>
      <c r="N1198" s="10">
        <v>550.91</v>
      </c>
      <c r="O1198" s="7">
        <v>0</v>
      </c>
      <c r="P1198" s="7">
        <v>28</v>
      </c>
      <c r="Q1198">
        <v>5</v>
      </c>
      <c r="R1198" t="s">
        <v>67</v>
      </c>
      <c r="S1198">
        <v>2</v>
      </c>
      <c r="T1198">
        <v>34</v>
      </c>
      <c r="U1198" s="11">
        <v>-0.97492791218182362</v>
      </c>
      <c r="V1198" s="11">
        <v>-0.22252093395631459</v>
      </c>
      <c r="W1198" s="11">
        <v>0.53767737674061411</v>
      </c>
      <c r="X1198" s="11">
        <v>0.84315066182819998</v>
      </c>
      <c r="Y1198">
        <v>1</v>
      </c>
      <c r="Z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6">
        <v>45326</v>
      </c>
      <c r="B1199" t="s">
        <v>31</v>
      </c>
      <c r="C1199" t="s">
        <v>32</v>
      </c>
      <c r="D1199" t="s">
        <v>33</v>
      </c>
      <c r="E1199" t="s">
        <v>34</v>
      </c>
      <c r="F1199">
        <v>140</v>
      </c>
      <c r="G1199">
        <v>360</v>
      </c>
      <c r="H1199">
        <v>230</v>
      </c>
      <c r="I1199">
        <v>99</v>
      </c>
      <c r="J1199" s="8">
        <v>0.70714285714285718</v>
      </c>
      <c r="K1199">
        <v>31</v>
      </c>
      <c r="L1199">
        <v>35</v>
      </c>
      <c r="M1199">
        <v>190</v>
      </c>
      <c r="N1199" s="10">
        <v>525.41</v>
      </c>
      <c r="O1199" s="7">
        <v>10.3</v>
      </c>
      <c r="P1199" s="7">
        <v>28.3</v>
      </c>
      <c r="Q1199">
        <v>6</v>
      </c>
      <c r="R1199" t="s">
        <v>60</v>
      </c>
      <c r="S1199">
        <v>2</v>
      </c>
      <c r="T1199">
        <v>35</v>
      </c>
      <c r="U1199" s="11">
        <v>-0.78183148246802991</v>
      </c>
      <c r="V1199" s="11">
        <v>0.62348980185873337</v>
      </c>
      <c r="W1199" s="11">
        <v>0.55210134274592082</v>
      </c>
      <c r="X1199" s="11">
        <v>0.83377701295859152</v>
      </c>
      <c r="Y1199">
        <v>1</v>
      </c>
      <c r="Z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6">
        <v>45326</v>
      </c>
      <c r="B1200" t="s">
        <v>36</v>
      </c>
      <c r="C1200" t="s">
        <v>37</v>
      </c>
      <c r="D1200" t="s">
        <v>38</v>
      </c>
      <c r="E1200" t="s">
        <v>39</v>
      </c>
      <c r="F1200">
        <v>125</v>
      </c>
      <c r="G1200">
        <v>320</v>
      </c>
      <c r="H1200">
        <v>198</v>
      </c>
      <c r="I1200">
        <v>85</v>
      </c>
      <c r="J1200" s="8">
        <v>0.68</v>
      </c>
      <c r="K1200">
        <v>38</v>
      </c>
      <c r="L1200">
        <v>34</v>
      </c>
      <c r="M1200">
        <v>173</v>
      </c>
      <c r="N1200" s="10">
        <v>736.7</v>
      </c>
      <c r="O1200" s="7">
        <v>10.3</v>
      </c>
      <c r="P1200" s="7">
        <v>28.3</v>
      </c>
      <c r="Q1200">
        <v>6</v>
      </c>
      <c r="R1200" t="s">
        <v>60</v>
      </c>
      <c r="S1200">
        <v>2</v>
      </c>
      <c r="T1200">
        <v>35</v>
      </c>
      <c r="U1200" s="11">
        <v>-0.78183148246802991</v>
      </c>
      <c r="V1200" s="11">
        <v>0.62348980185873337</v>
      </c>
      <c r="W1200" s="11">
        <v>0.55210134274592082</v>
      </c>
      <c r="X1200" s="11">
        <v>0.83377701295859152</v>
      </c>
      <c r="Y1200">
        <v>1</v>
      </c>
      <c r="Z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6">
        <v>45326</v>
      </c>
      <c r="B1201" t="s">
        <v>41</v>
      </c>
      <c r="C1201" t="s">
        <v>42</v>
      </c>
      <c r="D1201" t="s">
        <v>43</v>
      </c>
      <c r="E1201" t="s">
        <v>44</v>
      </c>
      <c r="F1201">
        <v>85</v>
      </c>
      <c r="G1201">
        <v>210</v>
      </c>
      <c r="H1201">
        <v>173</v>
      </c>
      <c r="I1201">
        <v>78</v>
      </c>
      <c r="J1201" s="8">
        <v>0.91764705882352937</v>
      </c>
      <c r="K1201">
        <v>38</v>
      </c>
      <c r="L1201">
        <v>32</v>
      </c>
      <c r="M1201">
        <v>160</v>
      </c>
      <c r="N1201" s="10">
        <v>579.04</v>
      </c>
      <c r="O1201" s="7">
        <v>10.3</v>
      </c>
      <c r="P1201" s="7">
        <v>28.3</v>
      </c>
      <c r="Q1201">
        <v>6</v>
      </c>
      <c r="R1201" t="s">
        <v>60</v>
      </c>
      <c r="S1201">
        <v>2</v>
      </c>
      <c r="T1201">
        <v>35</v>
      </c>
      <c r="U1201" s="11">
        <v>-0.78183148246802991</v>
      </c>
      <c r="V1201" s="11">
        <v>0.62348980185873337</v>
      </c>
      <c r="W1201" s="11">
        <v>0.55210134274592082</v>
      </c>
      <c r="X1201" s="11">
        <v>0.83377701295859152</v>
      </c>
      <c r="Y1201">
        <v>1</v>
      </c>
      <c r="Z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6">
        <v>45327</v>
      </c>
      <c r="B1202" t="s">
        <v>31</v>
      </c>
      <c r="C1202" t="s">
        <v>32</v>
      </c>
      <c r="D1202" t="s">
        <v>33</v>
      </c>
      <c r="E1202" t="s">
        <v>34</v>
      </c>
      <c r="F1202">
        <v>140</v>
      </c>
      <c r="G1202">
        <v>360</v>
      </c>
      <c r="H1202">
        <v>219</v>
      </c>
      <c r="I1202">
        <v>93</v>
      </c>
      <c r="J1202" s="8">
        <v>0.66428571428571426</v>
      </c>
      <c r="K1202">
        <v>61</v>
      </c>
      <c r="L1202">
        <v>45</v>
      </c>
      <c r="M1202">
        <v>195</v>
      </c>
      <c r="N1202" s="10">
        <v>430.3</v>
      </c>
      <c r="O1202" s="7">
        <v>0</v>
      </c>
      <c r="P1202" s="7">
        <v>28.1</v>
      </c>
      <c r="Q1202">
        <v>0</v>
      </c>
      <c r="R1202" t="s">
        <v>62</v>
      </c>
      <c r="S1202">
        <v>2</v>
      </c>
      <c r="T1202">
        <v>36</v>
      </c>
      <c r="U1202" s="11">
        <v>0</v>
      </c>
      <c r="V1202" s="11">
        <v>1</v>
      </c>
      <c r="W1202" s="11">
        <v>0.56636193308145244</v>
      </c>
      <c r="X1202" s="11">
        <v>0.82415663605666634</v>
      </c>
      <c r="Y1202">
        <v>0</v>
      </c>
      <c r="Z1202">
        <v>0</v>
      </c>
      <c r="AB1202">
        <v>0</v>
      </c>
      <c r="AC1202">
        <v>0</v>
      </c>
      <c r="AD1202">
        <v>0</v>
      </c>
      <c r="AE1202">
        <v>0</v>
      </c>
    </row>
    <row r="1203" spans="1:31">
      <c r="A1203" s="6">
        <v>45327</v>
      </c>
      <c r="B1203" t="s">
        <v>36</v>
      </c>
      <c r="C1203" t="s">
        <v>37</v>
      </c>
      <c r="D1203" t="s">
        <v>38</v>
      </c>
      <c r="E1203" t="s">
        <v>39</v>
      </c>
      <c r="F1203">
        <v>125</v>
      </c>
      <c r="G1203">
        <v>320</v>
      </c>
      <c r="H1203">
        <v>183</v>
      </c>
      <c r="I1203">
        <v>76</v>
      </c>
      <c r="J1203" s="8">
        <v>0.60799999999999998</v>
      </c>
      <c r="K1203">
        <v>37</v>
      </c>
      <c r="L1203">
        <v>35</v>
      </c>
      <c r="M1203">
        <v>155</v>
      </c>
      <c r="N1203" s="10">
        <v>682.07</v>
      </c>
      <c r="O1203" s="7">
        <v>0</v>
      </c>
      <c r="P1203" s="7">
        <v>28.1</v>
      </c>
      <c r="Q1203">
        <v>0</v>
      </c>
      <c r="R1203" t="s">
        <v>62</v>
      </c>
      <c r="S1203">
        <v>2</v>
      </c>
      <c r="T1203">
        <v>36</v>
      </c>
      <c r="U1203" s="11">
        <v>0</v>
      </c>
      <c r="V1203" s="11">
        <v>1</v>
      </c>
      <c r="W1203" s="11">
        <v>0.56636193308145244</v>
      </c>
      <c r="X1203" s="11">
        <v>0.82415663605666634</v>
      </c>
      <c r="Y1203">
        <v>0</v>
      </c>
      <c r="Z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6">
        <v>45327</v>
      </c>
      <c r="B1204" t="s">
        <v>41</v>
      </c>
      <c r="C1204" t="s">
        <v>42</v>
      </c>
      <c r="D1204" t="s">
        <v>43</v>
      </c>
      <c r="E1204" t="s">
        <v>44</v>
      </c>
      <c r="F1204">
        <v>85</v>
      </c>
      <c r="G1204">
        <v>210</v>
      </c>
      <c r="H1204">
        <v>127</v>
      </c>
      <c r="I1204">
        <v>56</v>
      </c>
      <c r="J1204" s="8">
        <v>0.6588235294117647</v>
      </c>
      <c r="K1204">
        <v>29</v>
      </c>
      <c r="L1204">
        <v>23</v>
      </c>
      <c r="M1204">
        <v>111</v>
      </c>
      <c r="N1204" s="10">
        <v>533.35</v>
      </c>
      <c r="O1204" s="7">
        <v>0</v>
      </c>
      <c r="P1204" s="7">
        <v>28.1</v>
      </c>
      <c r="Q1204">
        <v>0</v>
      </c>
      <c r="R1204" t="s">
        <v>62</v>
      </c>
      <c r="S1204">
        <v>2</v>
      </c>
      <c r="T1204">
        <v>36</v>
      </c>
      <c r="U1204" s="11">
        <v>0</v>
      </c>
      <c r="V1204" s="11">
        <v>1</v>
      </c>
      <c r="W1204" s="11">
        <v>0.56636193308145244</v>
      </c>
      <c r="X1204" s="11">
        <v>0.82415663605666634</v>
      </c>
      <c r="Y1204">
        <v>0</v>
      </c>
      <c r="Z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6">
        <v>45328</v>
      </c>
      <c r="B1205" t="s">
        <v>31</v>
      </c>
      <c r="C1205" t="s">
        <v>32</v>
      </c>
      <c r="D1205" t="s">
        <v>33</v>
      </c>
      <c r="E1205" t="s">
        <v>34</v>
      </c>
      <c r="F1205">
        <v>140</v>
      </c>
      <c r="G1205">
        <v>360</v>
      </c>
      <c r="H1205">
        <v>197</v>
      </c>
      <c r="I1205">
        <v>83</v>
      </c>
      <c r="J1205" s="8">
        <v>0.59285714285714286</v>
      </c>
      <c r="K1205">
        <v>27</v>
      </c>
      <c r="L1205">
        <v>47</v>
      </c>
      <c r="M1205">
        <v>162</v>
      </c>
      <c r="N1205" s="10">
        <v>426.31</v>
      </c>
      <c r="O1205" s="7">
        <v>15.4</v>
      </c>
      <c r="P1205" s="7">
        <v>28</v>
      </c>
      <c r="Q1205">
        <v>1</v>
      </c>
      <c r="R1205" t="s">
        <v>63</v>
      </c>
      <c r="S1205">
        <v>2</v>
      </c>
      <c r="T1205">
        <v>37</v>
      </c>
      <c r="U1205" s="11">
        <v>0.7818314824680298</v>
      </c>
      <c r="V1205" s="11">
        <v>0.62348980185873359</v>
      </c>
      <c r="W1205" s="11">
        <v>0.58045492780909802</v>
      </c>
      <c r="X1205" s="11">
        <v>0.81429237794672671</v>
      </c>
      <c r="Y1205">
        <v>0</v>
      </c>
      <c r="Z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6">
        <v>45328</v>
      </c>
      <c r="B1206" t="s">
        <v>36</v>
      </c>
      <c r="C1206" t="s">
        <v>37</v>
      </c>
      <c r="D1206" t="s">
        <v>38</v>
      </c>
      <c r="E1206" t="s">
        <v>39</v>
      </c>
      <c r="F1206">
        <v>125</v>
      </c>
      <c r="G1206">
        <v>320</v>
      </c>
      <c r="H1206">
        <v>187</v>
      </c>
      <c r="I1206">
        <v>76</v>
      </c>
      <c r="J1206" s="8">
        <v>0.60799999999999998</v>
      </c>
      <c r="K1206">
        <v>41</v>
      </c>
      <c r="L1206">
        <v>37</v>
      </c>
      <c r="M1206">
        <v>158</v>
      </c>
      <c r="N1206" s="10">
        <v>659.17</v>
      </c>
      <c r="O1206" s="7">
        <v>15.4</v>
      </c>
      <c r="P1206" s="7">
        <v>28</v>
      </c>
      <c r="Q1206">
        <v>1</v>
      </c>
      <c r="R1206" t="s">
        <v>63</v>
      </c>
      <c r="S1206">
        <v>2</v>
      </c>
      <c r="T1206">
        <v>37</v>
      </c>
      <c r="U1206" s="11">
        <v>0.7818314824680298</v>
      </c>
      <c r="V1206" s="11">
        <v>0.62348980185873359</v>
      </c>
      <c r="W1206" s="11">
        <v>0.58045492780909802</v>
      </c>
      <c r="X1206" s="11">
        <v>0.81429237794672671</v>
      </c>
      <c r="Y1206">
        <v>0</v>
      </c>
      <c r="Z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6">
        <v>45328</v>
      </c>
      <c r="B1207" t="s">
        <v>41</v>
      </c>
      <c r="C1207" t="s">
        <v>42</v>
      </c>
      <c r="D1207" t="s">
        <v>43</v>
      </c>
      <c r="E1207" t="s">
        <v>44</v>
      </c>
      <c r="F1207">
        <v>85</v>
      </c>
      <c r="G1207">
        <v>210</v>
      </c>
      <c r="H1207">
        <v>133</v>
      </c>
      <c r="I1207">
        <v>60</v>
      </c>
      <c r="J1207" s="8">
        <v>0.70588235294117652</v>
      </c>
      <c r="K1207">
        <v>30</v>
      </c>
      <c r="L1207">
        <v>19</v>
      </c>
      <c r="M1207">
        <v>117</v>
      </c>
      <c r="N1207" s="10">
        <v>522.45000000000005</v>
      </c>
      <c r="O1207" s="7">
        <v>15.4</v>
      </c>
      <c r="P1207" s="7">
        <v>28</v>
      </c>
      <c r="Q1207">
        <v>1</v>
      </c>
      <c r="R1207" t="s">
        <v>63</v>
      </c>
      <c r="S1207">
        <v>2</v>
      </c>
      <c r="T1207">
        <v>37</v>
      </c>
      <c r="U1207" s="11">
        <v>0.7818314824680298</v>
      </c>
      <c r="V1207" s="11">
        <v>0.62348980185873359</v>
      </c>
      <c r="W1207" s="11">
        <v>0.58045492780909802</v>
      </c>
      <c r="X1207" s="11">
        <v>0.81429237794672671</v>
      </c>
      <c r="Y1207">
        <v>0</v>
      </c>
      <c r="Z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6">
        <v>45329</v>
      </c>
      <c r="B1208" t="s">
        <v>31</v>
      </c>
      <c r="C1208" t="s">
        <v>32</v>
      </c>
      <c r="D1208" t="s">
        <v>33</v>
      </c>
      <c r="E1208" t="s">
        <v>34</v>
      </c>
      <c r="F1208">
        <v>140</v>
      </c>
      <c r="G1208">
        <v>360</v>
      </c>
      <c r="H1208">
        <v>221</v>
      </c>
      <c r="I1208">
        <v>92</v>
      </c>
      <c r="J1208" s="8">
        <v>0.65714285714285714</v>
      </c>
      <c r="K1208">
        <v>35</v>
      </c>
      <c r="L1208">
        <v>29</v>
      </c>
      <c r="M1208">
        <v>185</v>
      </c>
      <c r="N1208" s="10">
        <v>464.86</v>
      </c>
      <c r="O1208" s="7">
        <v>0</v>
      </c>
      <c r="P1208" s="7">
        <v>28.2</v>
      </c>
      <c r="Q1208">
        <v>2</v>
      </c>
      <c r="R1208" t="s">
        <v>64</v>
      </c>
      <c r="S1208">
        <v>2</v>
      </c>
      <c r="T1208">
        <v>38</v>
      </c>
      <c r="U1208" s="11">
        <v>0.97492791218182362</v>
      </c>
      <c r="V1208" s="11">
        <v>-0.22252093395631434</v>
      </c>
      <c r="W1208" s="11">
        <v>0.59437615658498311</v>
      </c>
      <c r="X1208" s="11">
        <v>0.80418715762144799</v>
      </c>
      <c r="Y1208">
        <v>0</v>
      </c>
      <c r="Z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6">
        <v>45329</v>
      </c>
      <c r="B1209" t="s">
        <v>36</v>
      </c>
      <c r="C1209" t="s">
        <v>37</v>
      </c>
      <c r="D1209" t="s">
        <v>38</v>
      </c>
      <c r="E1209" t="s">
        <v>39</v>
      </c>
      <c r="F1209">
        <v>125</v>
      </c>
      <c r="G1209">
        <v>320</v>
      </c>
      <c r="H1209">
        <v>170</v>
      </c>
      <c r="I1209">
        <v>71</v>
      </c>
      <c r="J1209" s="8">
        <v>0.56799999999999995</v>
      </c>
      <c r="K1209">
        <v>23</v>
      </c>
      <c r="L1209">
        <v>38</v>
      </c>
      <c r="M1209">
        <v>150</v>
      </c>
      <c r="N1209" s="10">
        <v>636.14</v>
      </c>
      <c r="O1209" s="7">
        <v>0</v>
      </c>
      <c r="P1209" s="7">
        <v>28.2</v>
      </c>
      <c r="Q1209">
        <v>2</v>
      </c>
      <c r="R1209" t="s">
        <v>64</v>
      </c>
      <c r="S1209">
        <v>2</v>
      </c>
      <c r="T1209">
        <v>38</v>
      </c>
      <c r="U1209" s="11">
        <v>0.97492791218182362</v>
      </c>
      <c r="V1209" s="11">
        <v>-0.22252093395631434</v>
      </c>
      <c r="W1209" s="11">
        <v>0.59437615658498311</v>
      </c>
      <c r="X1209" s="11">
        <v>0.80418715762144799</v>
      </c>
      <c r="Y1209">
        <v>0</v>
      </c>
      <c r="Z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6">
        <v>45329</v>
      </c>
      <c r="B1210" t="s">
        <v>41</v>
      </c>
      <c r="C1210" t="s">
        <v>42</v>
      </c>
      <c r="D1210" t="s">
        <v>43</v>
      </c>
      <c r="E1210" t="s">
        <v>44</v>
      </c>
      <c r="F1210">
        <v>85</v>
      </c>
      <c r="G1210">
        <v>210</v>
      </c>
      <c r="H1210">
        <v>137</v>
      </c>
      <c r="I1210">
        <v>62</v>
      </c>
      <c r="J1210" s="8">
        <v>0.72941176470588232</v>
      </c>
      <c r="K1210">
        <v>29</v>
      </c>
      <c r="L1210">
        <v>21</v>
      </c>
      <c r="M1210">
        <v>128</v>
      </c>
      <c r="N1210" s="10">
        <v>545.42999999999995</v>
      </c>
      <c r="O1210" s="7">
        <v>0</v>
      </c>
      <c r="P1210" s="7">
        <v>28.2</v>
      </c>
      <c r="Q1210">
        <v>2</v>
      </c>
      <c r="R1210" t="s">
        <v>64</v>
      </c>
      <c r="S1210">
        <v>2</v>
      </c>
      <c r="T1210">
        <v>38</v>
      </c>
      <c r="U1210" s="11">
        <v>0.97492791218182362</v>
      </c>
      <c r="V1210" s="11">
        <v>-0.22252093395631434</v>
      </c>
      <c r="W1210" s="11">
        <v>0.59437615658498311</v>
      </c>
      <c r="X1210" s="11">
        <v>0.80418715762144799</v>
      </c>
      <c r="Y1210">
        <v>0</v>
      </c>
      <c r="Z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6">
        <v>45330</v>
      </c>
      <c r="B1211" t="s">
        <v>31</v>
      </c>
      <c r="C1211" t="s">
        <v>32</v>
      </c>
      <c r="D1211" t="s">
        <v>33</v>
      </c>
      <c r="E1211" t="s">
        <v>34</v>
      </c>
      <c r="F1211">
        <v>140</v>
      </c>
      <c r="G1211">
        <v>360</v>
      </c>
      <c r="H1211">
        <v>205</v>
      </c>
      <c r="I1211">
        <v>87</v>
      </c>
      <c r="J1211" s="8">
        <v>0.62142857142857144</v>
      </c>
      <c r="K1211">
        <v>52</v>
      </c>
      <c r="L1211">
        <v>49</v>
      </c>
      <c r="M1211">
        <v>168</v>
      </c>
      <c r="N1211" s="10">
        <v>447.8</v>
      </c>
      <c r="O1211" s="7">
        <v>0</v>
      </c>
      <c r="P1211" s="7">
        <v>27.8</v>
      </c>
      <c r="Q1211">
        <v>3</v>
      </c>
      <c r="R1211" t="s">
        <v>65</v>
      </c>
      <c r="S1211">
        <v>2</v>
      </c>
      <c r="T1211">
        <v>39</v>
      </c>
      <c r="U1211" s="11">
        <v>0.43388373911755823</v>
      </c>
      <c r="V1211" s="11">
        <v>-0.90096886790241903</v>
      </c>
      <c r="W1211" s="11">
        <v>0.60812149989354181</v>
      </c>
      <c r="X1211" s="11">
        <v>0.79384396537810187</v>
      </c>
      <c r="Y1211">
        <v>0</v>
      </c>
      <c r="Z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6">
        <v>45330</v>
      </c>
      <c r="B1212" t="s">
        <v>36</v>
      </c>
      <c r="C1212" t="s">
        <v>37</v>
      </c>
      <c r="D1212" t="s">
        <v>38</v>
      </c>
      <c r="E1212" t="s">
        <v>39</v>
      </c>
      <c r="F1212">
        <v>125</v>
      </c>
      <c r="G1212">
        <v>320</v>
      </c>
      <c r="H1212">
        <v>186</v>
      </c>
      <c r="I1212">
        <v>79</v>
      </c>
      <c r="J1212" s="8">
        <v>0.63200000000000001</v>
      </c>
      <c r="K1212">
        <v>26</v>
      </c>
      <c r="L1212">
        <v>36</v>
      </c>
      <c r="M1212">
        <v>159</v>
      </c>
      <c r="N1212" s="10">
        <v>565.25</v>
      </c>
      <c r="O1212" s="7">
        <v>0</v>
      </c>
      <c r="P1212" s="7">
        <v>27.8</v>
      </c>
      <c r="Q1212">
        <v>3</v>
      </c>
      <c r="R1212" t="s">
        <v>65</v>
      </c>
      <c r="S1212">
        <v>2</v>
      </c>
      <c r="T1212">
        <v>39</v>
      </c>
      <c r="U1212" s="11">
        <v>0.43388373911755823</v>
      </c>
      <c r="V1212" s="11">
        <v>-0.90096886790241903</v>
      </c>
      <c r="W1212" s="11">
        <v>0.60812149989354181</v>
      </c>
      <c r="X1212" s="11">
        <v>0.79384396537810187</v>
      </c>
      <c r="Y1212">
        <v>0</v>
      </c>
      <c r="Z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6">
        <v>45330</v>
      </c>
      <c r="B1213" t="s">
        <v>41</v>
      </c>
      <c r="C1213" t="s">
        <v>42</v>
      </c>
      <c r="D1213" t="s">
        <v>43</v>
      </c>
      <c r="E1213" t="s">
        <v>44</v>
      </c>
      <c r="F1213">
        <v>85</v>
      </c>
      <c r="G1213">
        <v>210</v>
      </c>
      <c r="H1213">
        <v>117</v>
      </c>
      <c r="I1213">
        <v>57</v>
      </c>
      <c r="J1213" s="8">
        <v>0.6705882352941176</v>
      </c>
      <c r="K1213">
        <v>24</v>
      </c>
      <c r="L1213">
        <v>23</v>
      </c>
      <c r="M1213">
        <v>106</v>
      </c>
      <c r="N1213" s="10">
        <v>542.05999999999995</v>
      </c>
      <c r="O1213" s="7">
        <v>0</v>
      </c>
      <c r="P1213" s="7">
        <v>27.8</v>
      </c>
      <c r="Q1213">
        <v>3</v>
      </c>
      <c r="R1213" t="s">
        <v>65</v>
      </c>
      <c r="S1213">
        <v>2</v>
      </c>
      <c r="T1213">
        <v>39</v>
      </c>
      <c r="U1213" s="11">
        <v>0.43388373911755823</v>
      </c>
      <c r="V1213" s="11">
        <v>-0.90096886790241903</v>
      </c>
      <c r="W1213" s="11">
        <v>0.60812149989354181</v>
      </c>
      <c r="X1213" s="11">
        <v>0.79384396537810187</v>
      </c>
      <c r="Y1213">
        <v>0</v>
      </c>
      <c r="Z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6">
        <v>45331</v>
      </c>
      <c r="B1214" t="s">
        <v>31</v>
      </c>
      <c r="C1214" t="s">
        <v>32</v>
      </c>
      <c r="D1214" t="s">
        <v>33</v>
      </c>
      <c r="E1214" t="s">
        <v>34</v>
      </c>
      <c r="F1214">
        <v>140</v>
      </c>
      <c r="G1214">
        <v>360</v>
      </c>
      <c r="H1214">
        <v>211</v>
      </c>
      <c r="I1214">
        <v>90</v>
      </c>
      <c r="J1214" s="8">
        <v>0.6428571428571429</v>
      </c>
      <c r="K1214">
        <v>29</v>
      </c>
      <c r="L1214">
        <v>29</v>
      </c>
      <c r="M1214">
        <v>169</v>
      </c>
      <c r="N1214" s="10">
        <v>488.57</v>
      </c>
      <c r="O1214" s="7">
        <v>2.2999999999999998</v>
      </c>
      <c r="P1214" s="7">
        <v>28</v>
      </c>
      <c r="Q1214">
        <v>4</v>
      </c>
      <c r="R1214" t="s">
        <v>66</v>
      </c>
      <c r="S1214">
        <v>2</v>
      </c>
      <c r="T1214">
        <v>40</v>
      </c>
      <c r="U1214" s="11">
        <v>-0.43388373911755801</v>
      </c>
      <c r="V1214" s="11">
        <v>-0.90096886790241915</v>
      </c>
      <c r="W1214" s="11">
        <v>0.62168689026654789</v>
      </c>
      <c r="X1214" s="11">
        <v>0.78326586193367909</v>
      </c>
      <c r="Y1214">
        <v>0</v>
      </c>
      <c r="Z1214">
        <v>0</v>
      </c>
      <c r="AB1214">
        <v>0</v>
      </c>
      <c r="AC1214">
        <v>1</v>
      </c>
      <c r="AD1214">
        <v>0</v>
      </c>
      <c r="AE1214">
        <v>0</v>
      </c>
    </row>
    <row r="1215" spans="1:31">
      <c r="A1215" s="6">
        <v>45331</v>
      </c>
      <c r="B1215" t="s">
        <v>36</v>
      </c>
      <c r="C1215" t="s">
        <v>37</v>
      </c>
      <c r="D1215" t="s">
        <v>38</v>
      </c>
      <c r="E1215" t="s">
        <v>39</v>
      </c>
      <c r="F1215">
        <v>125</v>
      </c>
      <c r="G1215">
        <v>320</v>
      </c>
      <c r="H1215">
        <v>206</v>
      </c>
      <c r="I1215">
        <v>86</v>
      </c>
      <c r="J1215" s="8">
        <v>0.68799999999999994</v>
      </c>
      <c r="K1215">
        <v>47</v>
      </c>
      <c r="L1215">
        <v>46</v>
      </c>
      <c r="M1215">
        <v>166</v>
      </c>
      <c r="N1215" s="10">
        <v>648.73</v>
      </c>
      <c r="O1215" s="7">
        <v>2.2999999999999998</v>
      </c>
      <c r="P1215" s="7">
        <v>28</v>
      </c>
      <c r="Q1215">
        <v>4</v>
      </c>
      <c r="R1215" t="s">
        <v>66</v>
      </c>
      <c r="S1215">
        <v>2</v>
      </c>
      <c r="T1215">
        <v>40</v>
      </c>
      <c r="U1215" s="11">
        <v>-0.43388373911755801</v>
      </c>
      <c r="V1215" s="11">
        <v>-0.90096886790241915</v>
      </c>
      <c r="W1215" s="11">
        <v>0.62168689026654789</v>
      </c>
      <c r="X1215" s="11">
        <v>0.78326586193367909</v>
      </c>
      <c r="Y1215">
        <v>0</v>
      </c>
      <c r="Z1215">
        <v>0</v>
      </c>
      <c r="AB1215">
        <v>0</v>
      </c>
      <c r="AC1215">
        <v>1</v>
      </c>
      <c r="AD1215">
        <v>0</v>
      </c>
      <c r="AE1215">
        <v>0</v>
      </c>
    </row>
    <row r="1216" spans="1:31">
      <c r="A1216" s="6">
        <v>45331</v>
      </c>
      <c r="B1216" t="s">
        <v>41</v>
      </c>
      <c r="C1216" t="s">
        <v>42</v>
      </c>
      <c r="D1216" t="s">
        <v>43</v>
      </c>
      <c r="E1216" t="s">
        <v>44</v>
      </c>
      <c r="F1216">
        <v>85</v>
      </c>
      <c r="G1216">
        <v>210</v>
      </c>
      <c r="H1216">
        <v>143</v>
      </c>
      <c r="I1216">
        <v>64</v>
      </c>
      <c r="J1216" s="8">
        <v>0.75294117647058822</v>
      </c>
      <c r="K1216">
        <v>23</v>
      </c>
      <c r="L1216">
        <v>34</v>
      </c>
      <c r="M1216">
        <v>123</v>
      </c>
      <c r="N1216" s="10">
        <v>624.01</v>
      </c>
      <c r="O1216" s="7">
        <v>2.2999999999999998</v>
      </c>
      <c r="P1216" s="7">
        <v>28</v>
      </c>
      <c r="Q1216">
        <v>4</v>
      </c>
      <c r="R1216" t="s">
        <v>66</v>
      </c>
      <c r="S1216">
        <v>2</v>
      </c>
      <c r="T1216">
        <v>40</v>
      </c>
      <c r="U1216" s="11">
        <v>-0.43388373911755801</v>
      </c>
      <c r="V1216" s="11">
        <v>-0.90096886790241915</v>
      </c>
      <c r="W1216" s="11">
        <v>0.62168689026654789</v>
      </c>
      <c r="X1216" s="11">
        <v>0.78326586193367909</v>
      </c>
      <c r="Y1216">
        <v>0</v>
      </c>
      <c r="Z1216">
        <v>0</v>
      </c>
      <c r="AB1216">
        <v>0</v>
      </c>
      <c r="AC1216">
        <v>1</v>
      </c>
      <c r="AD1216">
        <v>0</v>
      </c>
      <c r="AE1216">
        <v>0</v>
      </c>
    </row>
    <row r="1217" spans="1:31">
      <c r="A1217" s="6">
        <v>45332</v>
      </c>
      <c r="B1217" t="s">
        <v>31</v>
      </c>
      <c r="C1217" t="s">
        <v>32</v>
      </c>
      <c r="D1217" t="s">
        <v>33</v>
      </c>
      <c r="E1217" t="s">
        <v>34</v>
      </c>
      <c r="F1217">
        <v>140</v>
      </c>
      <c r="G1217">
        <v>360</v>
      </c>
      <c r="H1217">
        <v>237</v>
      </c>
      <c r="I1217">
        <v>102</v>
      </c>
      <c r="J1217" s="8">
        <v>0.72857142857142854</v>
      </c>
      <c r="K1217">
        <v>32</v>
      </c>
      <c r="L1217">
        <v>25</v>
      </c>
      <c r="M1217">
        <v>217</v>
      </c>
      <c r="N1217" s="10">
        <v>497.35</v>
      </c>
      <c r="O1217" s="7">
        <v>20.8</v>
      </c>
      <c r="P1217" s="7">
        <v>27.7</v>
      </c>
      <c r="Q1217">
        <v>5</v>
      </c>
      <c r="R1217" t="s">
        <v>67</v>
      </c>
      <c r="S1217">
        <v>2</v>
      </c>
      <c r="T1217">
        <v>41</v>
      </c>
      <c r="U1217" s="11">
        <v>-0.97492791218182362</v>
      </c>
      <c r="V1217" s="11">
        <v>-0.22252093395631459</v>
      </c>
      <c r="W1217" s="11">
        <v>0.63506831348674375</v>
      </c>
      <c r="X1217" s="11">
        <v>0.77245597751917416</v>
      </c>
      <c r="Y1217">
        <v>1</v>
      </c>
      <c r="Z1217">
        <v>0</v>
      </c>
      <c r="AB1217">
        <v>0</v>
      </c>
      <c r="AC1217">
        <v>1</v>
      </c>
      <c r="AD1217">
        <v>0</v>
      </c>
      <c r="AE1217">
        <v>0</v>
      </c>
    </row>
    <row r="1218" spans="1:31">
      <c r="A1218" s="6">
        <v>45332</v>
      </c>
      <c r="B1218" t="s">
        <v>36</v>
      </c>
      <c r="C1218" t="s">
        <v>37</v>
      </c>
      <c r="D1218" t="s">
        <v>38</v>
      </c>
      <c r="E1218" t="s">
        <v>39</v>
      </c>
      <c r="F1218">
        <v>125</v>
      </c>
      <c r="G1218">
        <v>320</v>
      </c>
      <c r="H1218">
        <v>225</v>
      </c>
      <c r="I1218">
        <v>94</v>
      </c>
      <c r="J1218" s="8">
        <v>0.752</v>
      </c>
      <c r="K1218">
        <v>42</v>
      </c>
      <c r="L1218">
        <v>55</v>
      </c>
      <c r="M1218">
        <v>184</v>
      </c>
      <c r="N1218" s="10">
        <v>741.05</v>
      </c>
      <c r="O1218" s="7">
        <v>20.8</v>
      </c>
      <c r="P1218" s="7">
        <v>27.7</v>
      </c>
      <c r="Q1218">
        <v>5</v>
      </c>
      <c r="R1218" t="s">
        <v>67</v>
      </c>
      <c r="S1218">
        <v>2</v>
      </c>
      <c r="T1218">
        <v>41</v>
      </c>
      <c r="U1218" s="11">
        <v>-0.97492791218182362</v>
      </c>
      <c r="V1218" s="11">
        <v>-0.22252093395631459</v>
      </c>
      <c r="W1218" s="11">
        <v>0.63506831348674375</v>
      </c>
      <c r="X1218" s="11">
        <v>0.77245597751917416</v>
      </c>
      <c r="Y1218">
        <v>1</v>
      </c>
      <c r="Z1218">
        <v>0</v>
      </c>
      <c r="AB1218">
        <v>0</v>
      </c>
      <c r="AC1218">
        <v>1</v>
      </c>
      <c r="AD1218">
        <v>0</v>
      </c>
      <c r="AE1218">
        <v>0</v>
      </c>
    </row>
    <row r="1219" spans="1:31">
      <c r="A1219" s="6">
        <v>45332</v>
      </c>
      <c r="B1219" t="s">
        <v>41</v>
      </c>
      <c r="C1219" t="s">
        <v>42</v>
      </c>
      <c r="D1219" t="s">
        <v>43</v>
      </c>
      <c r="E1219" t="s">
        <v>44</v>
      </c>
      <c r="F1219">
        <v>85</v>
      </c>
      <c r="G1219">
        <v>210</v>
      </c>
      <c r="H1219">
        <v>182</v>
      </c>
      <c r="I1219">
        <v>78</v>
      </c>
      <c r="J1219" s="8">
        <v>0.91764705882352937</v>
      </c>
      <c r="K1219">
        <v>47</v>
      </c>
      <c r="L1219">
        <v>46</v>
      </c>
      <c r="M1219">
        <v>161</v>
      </c>
      <c r="N1219" s="10">
        <v>682.71</v>
      </c>
      <c r="O1219" s="7">
        <v>20.8</v>
      </c>
      <c r="P1219" s="7">
        <v>27.7</v>
      </c>
      <c r="Q1219">
        <v>5</v>
      </c>
      <c r="R1219" t="s">
        <v>67</v>
      </c>
      <c r="S1219">
        <v>2</v>
      </c>
      <c r="T1219">
        <v>41</v>
      </c>
      <c r="U1219" s="11">
        <v>-0.97492791218182362</v>
      </c>
      <c r="V1219" s="11">
        <v>-0.22252093395631459</v>
      </c>
      <c r="W1219" s="11">
        <v>0.63506831348674375</v>
      </c>
      <c r="X1219" s="11">
        <v>0.77245597751917416</v>
      </c>
      <c r="Y1219">
        <v>1</v>
      </c>
      <c r="Z1219">
        <v>0</v>
      </c>
      <c r="AB1219">
        <v>0</v>
      </c>
      <c r="AC1219">
        <v>1</v>
      </c>
      <c r="AD1219">
        <v>0</v>
      </c>
      <c r="AE1219">
        <v>0</v>
      </c>
    </row>
    <row r="1220" spans="1:31">
      <c r="A1220" s="6">
        <v>45333</v>
      </c>
      <c r="B1220" t="s">
        <v>31</v>
      </c>
      <c r="C1220" t="s">
        <v>32</v>
      </c>
      <c r="D1220" t="s">
        <v>33</v>
      </c>
      <c r="E1220" t="s">
        <v>34</v>
      </c>
      <c r="F1220">
        <v>140</v>
      </c>
      <c r="G1220">
        <v>360</v>
      </c>
      <c r="H1220">
        <v>251</v>
      </c>
      <c r="I1220">
        <v>108</v>
      </c>
      <c r="J1220" s="8">
        <v>0.77142857142857146</v>
      </c>
      <c r="K1220">
        <v>49</v>
      </c>
      <c r="L1220">
        <v>55</v>
      </c>
      <c r="M1220">
        <v>230</v>
      </c>
      <c r="N1220" s="10">
        <v>496.83</v>
      </c>
      <c r="O1220" s="7">
        <v>2.5</v>
      </c>
      <c r="P1220" s="7">
        <v>27.1</v>
      </c>
      <c r="Q1220">
        <v>6</v>
      </c>
      <c r="R1220" t="s">
        <v>60</v>
      </c>
      <c r="S1220">
        <v>2</v>
      </c>
      <c r="T1220">
        <v>42</v>
      </c>
      <c r="U1220" s="11">
        <v>-0.78183148246802991</v>
      </c>
      <c r="V1220" s="11">
        <v>0.62348980185873337</v>
      </c>
      <c r="W1220" s="11">
        <v>0.64826180977571224</v>
      </c>
      <c r="X1220" s="11">
        <v>0.76141751095329968</v>
      </c>
      <c r="Y1220">
        <v>1</v>
      </c>
      <c r="Z1220">
        <v>0</v>
      </c>
      <c r="AB1220">
        <v>0</v>
      </c>
      <c r="AC1220">
        <v>1</v>
      </c>
      <c r="AD1220">
        <v>0</v>
      </c>
      <c r="AE1220">
        <v>0</v>
      </c>
    </row>
    <row r="1221" spans="1:31">
      <c r="A1221" s="6">
        <v>45333</v>
      </c>
      <c r="B1221" t="s">
        <v>36</v>
      </c>
      <c r="C1221" t="s">
        <v>37</v>
      </c>
      <c r="D1221" t="s">
        <v>38</v>
      </c>
      <c r="E1221" t="s">
        <v>39</v>
      </c>
      <c r="F1221">
        <v>125</v>
      </c>
      <c r="G1221">
        <v>320</v>
      </c>
      <c r="H1221">
        <v>235</v>
      </c>
      <c r="I1221">
        <v>96</v>
      </c>
      <c r="J1221" s="8">
        <v>0.76800000000000002</v>
      </c>
      <c r="K1221">
        <v>62</v>
      </c>
      <c r="L1221">
        <v>42</v>
      </c>
      <c r="M1221">
        <v>201</v>
      </c>
      <c r="N1221" s="10">
        <v>823.39</v>
      </c>
      <c r="O1221" s="7">
        <v>2.5</v>
      </c>
      <c r="P1221" s="7">
        <v>27.1</v>
      </c>
      <c r="Q1221">
        <v>6</v>
      </c>
      <c r="R1221" t="s">
        <v>60</v>
      </c>
      <c r="S1221">
        <v>2</v>
      </c>
      <c r="T1221">
        <v>42</v>
      </c>
      <c r="U1221" s="11">
        <v>-0.78183148246802991</v>
      </c>
      <c r="V1221" s="11">
        <v>0.62348980185873337</v>
      </c>
      <c r="W1221" s="11">
        <v>0.64826180977571224</v>
      </c>
      <c r="X1221" s="11">
        <v>0.76141751095329968</v>
      </c>
      <c r="Y1221">
        <v>1</v>
      </c>
      <c r="Z1221">
        <v>0</v>
      </c>
      <c r="AB1221">
        <v>0</v>
      </c>
      <c r="AC1221">
        <v>1</v>
      </c>
      <c r="AD1221">
        <v>0</v>
      </c>
      <c r="AE1221">
        <v>0</v>
      </c>
    </row>
    <row r="1222" spans="1:31">
      <c r="A1222" s="6">
        <v>45333</v>
      </c>
      <c r="B1222" t="s">
        <v>41</v>
      </c>
      <c r="C1222" t="s">
        <v>42</v>
      </c>
      <c r="D1222" t="s">
        <v>43</v>
      </c>
      <c r="E1222" t="s">
        <v>44</v>
      </c>
      <c r="F1222">
        <v>85</v>
      </c>
      <c r="G1222">
        <v>210</v>
      </c>
      <c r="H1222">
        <v>153</v>
      </c>
      <c r="I1222">
        <v>68</v>
      </c>
      <c r="J1222" s="8">
        <v>0.8</v>
      </c>
      <c r="K1222">
        <v>15</v>
      </c>
      <c r="L1222">
        <v>21</v>
      </c>
      <c r="M1222">
        <v>138</v>
      </c>
      <c r="N1222" s="10">
        <v>609.30999999999995</v>
      </c>
      <c r="O1222" s="7">
        <v>2.5</v>
      </c>
      <c r="P1222" s="7">
        <v>27.1</v>
      </c>
      <c r="Q1222">
        <v>6</v>
      </c>
      <c r="R1222" t="s">
        <v>60</v>
      </c>
      <c r="S1222">
        <v>2</v>
      </c>
      <c r="T1222">
        <v>42</v>
      </c>
      <c r="U1222" s="11">
        <v>-0.78183148246802991</v>
      </c>
      <c r="V1222" s="11">
        <v>0.62348980185873337</v>
      </c>
      <c r="W1222" s="11">
        <v>0.64826180977571224</v>
      </c>
      <c r="X1222" s="11">
        <v>0.76141751095329968</v>
      </c>
      <c r="Y1222">
        <v>1</v>
      </c>
      <c r="Z1222">
        <v>0</v>
      </c>
      <c r="AB1222">
        <v>0</v>
      </c>
      <c r="AC1222">
        <v>1</v>
      </c>
      <c r="AD1222">
        <v>0</v>
      </c>
      <c r="AE1222">
        <v>0</v>
      </c>
    </row>
    <row r="1223" spans="1:31">
      <c r="A1223" s="6">
        <v>45334</v>
      </c>
      <c r="B1223" t="s">
        <v>31</v>
      </c>
      <c r="C1223" t="s">
        <v>32</v>
      </c>
      <c r="D1223" t="s">
        <v>33</v>
      </c>
      <c r="E1223" t="s">
        <v>34</v>
      </c>
      <c r="F1223">
        <v>140</v>
      </c>
      <c r="G1223">
        <v>360</v>
      </c>
      <c r="H1223">
        <v>214</v>
      </c>
      <c r="I1223">
        <v>91</v>
      </c>
      <c r="J1223" s="8">
        <v>0.65</v>
      </c>
      <c r="K1223">
        <v>51</v>
      </c>
      <c r="L1223">
        <v>32</v>
      </c>
      <c r="M1223">
        <v>176</v>
      </c>
      <c r="N1223" s="10">
        <v>503.99</v>
      </c>
      <c r="O1223" s="7">
        <v>0.8</v>
      </c>
      <c r="P1223" s="7">
        <v>27.7</v>
      </c>
      <c r="Q1223">
        <v>0</v>
      </c>
      <c r="R1223" t="s">
        <v>62</v>
      </c>
      <c r="S1223">
        <v>2</v>
      </c>
      <c r="T1223">
        <v>43</v>
      </c>
      <c r="U1223" s="11">
        <v>0</v>
      </c>
      <c r="V1223" s="11">
        <v>1</v>
      </c>
      <c r="W1223" s="11">
        <v>0.66126347496563864</v>
      </c>
      <c r="X1223" s="11">
        <v>0.75015372869590424</v>
      </c>
      <c r="Y1223">
        <v>0</v>
      </c>
      <c r="Z1223">
        <v>0</v>
      </c>
      <c r="AB1223">
        <v>0</v>
      </c>
      <c r="AC1223">
        <v>1</v>
      </c>
      <c r="AD1223">
        <v>0</v>
      </c>
      <c r="AE1223">
        <v>0</v>
      </c>
    </row>
    <row r="1224" spans="1:31">
      <c r="A1224" s="6">
        <v>45334</v>
      </c>
      <c r="B1224" t="s">
        <v>36</v>
      </c>
      <c r="C1224" t="s">
        <v>37</v>
      </c>
      <c r="D1224" t="s">
        <v>38</v>
      </c>
      <c r="E1224" t="s">
        <v>39</v>
      </c>
      <c r="F1224">
        <v>125</v>
      </c>
      <c r="G1224">
        <v>320</v>
      </c>
      <c r="H1224">
        <v>224</v>
      </c>
      <c r="I1224">
        <v>93</v>
      </c>
      <c r="J1224" s="8">
        <v>0.74399999999999999</v>
      </c>
      <c r="K1224">
        <v>49</v>
      </c>
      <c r="L1224">
        <v>51</v>
      </c>
      <c r="M1224">
        <v>196</v>
      </c>
      <c r="N1224" s="10">
        <v>647.69000000000005</v>
      </c>
      <c r="O1224" s="7">
        <v>0.8</v>
      </c>
      <c r="P1224" s="7">
        <v>27.7</v>
      </c>
      <c r="Q1224">
        <v>0</v>
      </c>
      <c r="R1224" t="s">
        <v>62</v>
      </c>
      <c r="S1224">
        <v>2</v>
      </c>
      <c r="T1224">
        <v>43</v>
      </c>
      <c r="U1224" s="11">
        <v>0</v>
      </c>
      <c r="V1224" s="11">
        <v>1</v>
      </c>
      <c r="W1224" s="11">
        <v>0.66126347496563864</v>
      </c>
      <c r="X1224" s="11">
        <v>0.75015372869590424</v>
      </c>
      <c r="Y1224">
        <v>0</v>
      </c>
      <c r="Z1224">
        <v>0</v>
      </c>
      <c r="AB1224">
        <v>0</v>
      </c>
      <c r="AC1224">
        <v>1</v>
      </c>
      <c r="AD1224">
        <v>0</v>
      </c>
      <c r="AE1224">
        <v>0</v>
      </c>
    </row>
    <row r="1225" spans="1:31">
      <c r="A1225" s="6">
        <v>45334</v>
      </c>
      <c r="B1225" t="s">
        <v>41</v>
      </c>
      <c r="C1225" t="s">
        <v>42</v>
      </c>
      <c r="D1225" t="s">
        <v>43</v>
      </c>
      <c r="E1225" t="s">
        <v>44</v>
      </c>
      <c r="F1225">
        <v>85</v>
      </c>
      <c r="G1225">
        <v>210</v>
      </c>
      <c r="H1225">
        <v>141</v>
      </c>
      <c r="I1225">
        <v>61</v>
      </c>
      <c r="J1225" s="8">
        <v>0.71764705882352942</v>
      </c>
      <c r="K1225">
        <v>31</v>
      </c>
      <c r="L1225">
        <v>20</v>
      </c>
      <c r="M1225">
        <v>113</v>
      </c>
      <c r="N1225" s="10">
        <v>554.98</v>
      </c>
      <c r="O1225" s="7">
        <v>0.8</v>
      </c>
      <c r="P1225" s="7">
        <v>27.7</v>
      </c>
      <c r="Q1225">
        <v>0</v>
      </c>
      <c r="R1225" t="s">
        <v>62</v>
      </c>
      <c r="S1225">
        <v>2</v>
      </c>
      <c r="T1225">
        <v>43</v>
      </c>
      <c r="U1225" s="11">
        <v>0</v>
      </c>
      <c r="V1225" s="11">
        <v>1</v>
      </c>
      <c r="W1225" s="11">
        <v>0.66126347496563864</v>
      </c>
      <c r="X1225" s="11">
        <v>0.75015372869590424</v>
      </c>
      <c r="Y1225">
        <v>0</v>
      </c>
      <c r="Z1225">
        <v>0</v>
      </c>
      <c r="AB1225">
        <v>0</v>
      </c>
      <c r="AC1225">
        <v>1</v>
      </c>
      <c r="AD1225">
        <v>0</v>
      </c>
      <c r="AE1225">
        <v>0</v>
      </c>
    </row>
    <row r="1226" spans="1:31">
      <c r="A1226" s="6">
        <v>45335</v>
      </c>
      <c r="B1226" t="s">
        <v>31</v>
      </c>
      <c r="C1226" t="s">
        <v>32</v>
      </c>
      <c r="D1226" t="s">
        <v>33</v>
      </c>
      <c r="E1226" t="s">
        <v>34</v>
      </c>
      <c r="F1226">
        <v>140</v>
      </c>
      <c r="G1226">
        <v>360</v>
      </c>
      <c r="H1226">
        <v>233</v>
      </c>
      <c r="I1226">
        <v>100</v>
      </c>
      <c r="J1226" s="8">
        <v>0.7142857142857143</v>
      </c>
      <c r="K1226">
        <v>25</v>
      </c>
      <c r="L1226">
        <v>29</v>
      </c>
      <c r="M1226">
        <v>217</v>
      </c>
      <c r="N1226" s="10">
        <v>465.33</v>
      </c>
      <c r="O1226" s="7">
        <v>0.3</v>
      </c>
      <c r="P1226" s="7">
        <v>28.8</v>
      </c>
      <c r="Q1226">
        <v>1</v>
      </c>
      <c r="R1226" t="s">
        <v>63</v>
      </c>
      <c r="S1226">
        <v>2</v>
      </c>
      <c r="T1226">
        <v>44</v>
      </c>
      <c r="U1226" s="11">
        <v>0.7818314824680298</v>
      </c>
      <c r="V1226" s="11">
        <v>0.62348980185873359</v>
      </c>
      <c r="W1226" s="11">
        <v>0.67406946165461612</v>
      </c>
      <c r="X1226" s="11">
        <v>0.73866796388137479</v>
      </c>
      <c r="Y1226">
        <v>0</v>
      </c>
      <c r="Z1226">
        <v>0</v>
      </c>
      <c r="AB1226">
        <v>0</v>
      </c>
      <c r="AC1226">
        <v>1</v>
      </c>
      <c r="AD1226">
        <v>0</v>
      </c>
      <c r="AE1226">
        <v>0</v>
      </c>
    </row>
    <row r="1227" spans="1:31">
      <c r="A1227" s="6">
        <v>45335</v>
      </c>
      <c r="B1227" t="s">
        <v>36</v>
      </c>
      <c r="C1227" t="s">
        <v>37</v>
      </c>
      <c r="D1227" t="s">
        <v>38</v>
      </c>
      <c r="E1227" t="s">
        <v>39</v>
      </c>
      <c r="F1227">
        <v>125</v>
      </c>
      <c r="G1227">
        <v>320</v>
      </c>
      <c r="H1227">
        <v>191</v>
      </c>
      <c r="I1227">
        <v>80</v>
      </c>
      <c r="J1227" s="8">
        <v>0.64</v>
      </c>
      <c r="K1227">
        <v>46</v>
      </c>
      <c r="L1227">
        <v>26</v>
      </c>
      <c r="M1227">
        <v>164</v>
      </c>
      <c r="N1227" s="10">
        <v>616.71</v>
      </c>
      <c r="O1227" s="7">
        <v>0.3</v>
      </c>
      <c r="P1227" s="7">
        <v>28.8</v>
      </c>
      <c r="Q1227">
        <v>1</v>
      </c>
      <c r="R1227" t="s">
        <v>63</v>
      </c>
      <c r="S1227">
        <v>2</v>
      </c>
      <c r="T1227">
        <v>44</v>
      </c>
      <c r="U1227" s="11">
        <v>0.7818314824680298</v>
      </c>
      <c r="V1227" s="11">
        <v>0.62348980185873359</v>
      </c>
      <c r="W1227" s="11">
        <v>0.67406946165461612</v>
      </c>
      <c r="X1227" s="11">
        <v>0.73866796388137479</v>
      </c>
      <c r="Y1227">
        <v>0</v>
      </c>
      <c r="Z1227">
        <v>0</v>
      </c>
      <c r="AB1227">
        <v>0</v>
      </c>
      <c r="AC1227">
        <v>1</v>
      </c>
      <c r="AD1227">
        <v>0</v>
      </c>
      <c r="AE1227">
        <v>0</v>
      </c>
    </row>
    <row r="1228" spans="1:31">
      <c r="A1228" s="6">
        <v>45335</v>
      </c>
      <c r="B1228" t="s">
        <v>41</v>
      </c>
      <c r="C1228" t="s">
        <v>42</v>
      </c>
      <c r="D1228" t="s">
        <v>43</v>
      </c>
      <c r="E1228" t="s">
        <v>44</v>
      </c>
      <c r="F1228">
        <v>85</v>
      </c>
      <c r="G1228">
        <v>210</v>
      </c>
      <c r="H1228">
        <v>141</v>
      </c>
      <c r="I1228">
        <v>62</v>
      </c>
      <c r="J1228" s="8">
        <v>0.72941176470588232</v>
      </c>
      <c r="K1228">
        <v>25</v>
      </c>
      <c r="L1228">
        <v>25</v>
      </c>
      <c r="M1228">
        <v>119</v>
      </c>
      <c r="N1228" s="10">
        <v>543.66</v>
      </c>
      <c r="O1228" s="7">
        <v>0.3</v>
      </c>
      <c r="P1228" s="7">
        <v>28.8</v>
      </c>
      <c r="Q1228">
        <v>1</v>
      </c>
      <c r="R1228" t="s">
        <v>63</v>
      </c>
      <c r="S1228">
        <v>2</v>
      </c>
      <c r="T1228">
        <v>44</v>
      </c>
      <c r="U1228" s="11">
        <v>0.7818314824680298</v>
      </c>
      <c r="V1228" s="11">
        <v>0.62348980185873359</v>
      </c>
      <c r="W1228" s="11">
        <v>0.67406946165461612</v>
      </c>
      <c r="X1228" s="11">
        <v>0.73866796388137479</v>
      </c>
      <c r="Y1228">
        <v>0</v>
      </c>
      <c r="Z1228">
        <v>0</v>
      </c>
      <c r="AB1228">
        <v>0</v>
      </c>
      <c r="AC1228">
        <v>1</v>
      </c>
      <c r="AD1228">
        <v>0</v>
      </c>
      <c r="AE1228">
        <v>0</v>
      </c>
    </row>
    <row r="1229" spans="1:31">
      <c r="A1229" s="6">
        <v>45336</v>
      </c>
      <c r="B1229" t="s">
        <v>31</v>
      </c>
      <c r="C1229" t="s">
        <v>32</v>
      </c>
      <c r="D1229" t="s">
        <v>33</v>
      </c>
      <c r="E1229" t="s">
        <v>34</v>
      </c>
      <c r="F1229">
        <v>140</v>
      </c>
      <c r="G1229">
        <v>360</v>
      </c>
      <c r="H1229">
        <v>198</v>
      </c>
      <c r="I1229">
        <v>82</v>
      </c>
      <c r="J1229" s="8">
        <v>0.58571428571428574</v>
      </c>
      <c r="K1229">
        <v>33</v>
      </c>
      <c r="L1229">
        <v>48</v>
      </c>
      <c r="M1229">
        <v>180</v>
      </c>
      <c r="N1229" s="10">
        <v>397.31</v>
      </c>
      <c r="O1229" s="7">
        <v>11</v>
      </c>
      <c r="P1229" s="7">
        <v>28.2</v>
      </c>
      <c r="Q1229">
        <v>2</v>
      </c>
      <c r="R1229" t="s">
        <v>64</v>
      </c>
      <c r="S1229">
        <v>2</v>
      </c>
      <c r="T1229">
        <v>45</v>
      </c>
      <c r="U1229" s="11">
        <v>0.97492791218182362</v>
      </c>
      <c r="V1229" s="11">
        <v>-0.22252093395631434</v>
      </c>
      <c r="W1229" s="11">
        <v>0.68667598034515531</v>
      </c>
      <c r="X1229" s="11">
        <v>0.72696361533230802</v>
      </c>
      <c r="Y1229">
        <v>0</v>
      </c>
      <c r="Z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6">
        <v>45336</v>
      </c>
      <c r="B1230" t="s">
        <v>36</v>
      </c>
      <c r="C1230" t="s">
        <v>37</v>
      </c>
      <c r="D1230" t="s">
        <v>38</v>
      </c>
      <c r="E1230" t="s">
        <v>39</v>
      </c>
      <c r="F1230">
        <v>125</v>
      </c>
      <c r="G1230">
        <v>320</v>
      </c>
      <c r="H1230">
        <v>165</v>
      </c>
      <c r="I1230">
        <v>71</v>
      </c>
      <c r="J1230" s="8">
        <v>0.56799999999999995</v>
      </c>
      <c r="K1230">
        <v>23</v>
      </c>
      <c r="L1230">
        <v>37</v>
      </c>
      <c r="M1230">
        <v>144</v>
      </c>
      <c r="N1230" s="10">
        <v>673.47</v>
      </c>
      <c r="O1230" s="7">
        <v>11</v>
      </c>
      <c r="P1230" s="7">
        <v>28.2</v>
      </c>
      <c r="Q1230">
        <v>2</v>
      </c>
      <c r="R1230" t="s">
        <v>64</v>
      </c>
      <c r="S1230">
        <v>2</v>
      </c>
      <c r="T1230">
        <v>45</v>
      </c>
      <c r="U1230" s="11">
        <v>0.97492791218182362</v>
      </c>
      <c r="V1230" s="11">
        <v>-0.22252093395631434</v>
      </c>
      <c r="W1230" s="11">
        <v>0.68667598034515531</v>
      </c>
      <c r="X1230" s="11">
        <v>0.72696361533230802</v>
      </c>
      <c r="Y1230">
        <v>0</v>
      </c>
      <c r="Z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6">
        <v>45336</v>
      </c>
      <c r="B1231" t="s">
        <v>41</v>
      </c>
      <c r="C1231" t="s">
        <v>42</v>
      </c>
      <c r="D1231" t="s">
        <v>43</v>
      </c>
      <c r="E1231" t="s">
        <v>44</v>
      </c>
      <c r="F1231">
        <v>85</v>
      </c>
      <c r="G1231">
        <v>210</v>
      </c>
      <c r="H1231">
        <v>142</v>
      </c>
      <c r="I1231">
        <v>61</v>
      </c>
      <c r="J1231" s="8">
        <v>0.71764705882352942</v>
      </c>
      <c r="K1231">
        <v>24</v>
      </c>
      <c r="L1231">
        <v>33</v>
      </c>
      <c r="M1231">
        <v>123</v>
      </c>
      <c r="N1231" s="10">
        <v>513.77</v>
      </c>
      <c r="O1231" s="7">
        <v>11</v>
      </c>
      <c r="P1231" s="7">
        <v>28.2</v>
      </c>
      <c r="Q1231">
        <v>2</v>
      </c>
      <c r="R1231" t="s">
        <v>64</v>
      </c>
      <c r="S1231">
        <v>2</v>
      </c>
      <c r="T1231">
        <v>45</v>
      </c>
      <c r="U1231" s="11">
        <v>0.97492791218182362</v>
      </c>
      <c r="V1231" s="11">
        <v>-0.22252093395631434</v>
      </c>
      <c r="W1231" s="11">
        <v>0.68667598034515531</v>
      </c>
      <c r="X1231" s="11">
        <v>0.72696361533230802</v>
      </c>
      <c r="Y1231">
        <v>0</v>
      </c>
      <c r="Z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6">
        <v>45337</v>
      </c>
      <c r="B1232" t="s">
        <v>31</v>
      </c>
      <c r="C1232" t="s">
        <v>32</v>
      </c>
      <c r="D1232" t="s">
        <v>33</v>
      </c>
      <c r="E1232" t="s">
        <v>34</v>
      </c>
      <c r="F1232">
        <v>140</v>
      </c>
      <c r="G1232">
        <v>360</v>
      </c>
      <c r="H1232">
        <v>221</v>
      </c>
      <c r="I1232">
        <v>96</v>
      </c>
      <c r="J1232" s="8">
        <v>0.68571428571428572</v>
      </c>
      <c r="K1232">
        <v>43</v>
      </c>
      <c r="L1232">
        <v>27</v>
      </c>
      <c r="M1232">
        <v>202</v>
      </c>
      <c r="N1232" s="10">
        <v>454.65</v>
      </c>
      <c r="O1232" s="7">
        <v>5.9</v>
      </c>
      <c r="P1232" s="7">
        <v>26.4</v>
      </c>
      <c r="Q1232">
        <v>3</v>
      </c>
      <c r="R1232" t="s">
        <v>65</v>
      </c>
      <c r="S1232">
        <v>2</v>
      </c>
      <c r="T1232">
        <v>46</v>
      </c>
      <c r="U1232" s="11">
        <v>0.43388373911755823</v>
      </c>
      <c r="V1232" s="11">
        <v>-0.90096886790241903</v>
      </c>
      <c r="W1232" s="11">
        <v>0.69907930056555623</v>
      </c>
      <c r="X1232" s="11">
        <v>0.71504414655374438</v>
      </c>
      <c r="Y1232">
        <v>0</v>
      </c>
      <c r="Z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6">
        <v>45337</v>
      </c>
      <c r="B1233" t="s">
        <v>36</v>
      </c>
      <c r="C1233" t="s">
        <v>37</v>
      </c>
      <c r="D1233" t="s">
        <v>38</v>
      </c>
      <c r="E1233" t="s">
        <v>39</v>
      </c>
      <c r="F1233">
        <v>125</v>
      </c>
      <c r="G1233">
        <v>320</v>
      </c>
      <c r="H1233">
        <v>168</v>
      </c>
      <c r="I1233">
        <v>71</v>
      </c>
      <c r="J1233" s="8">
        <v>0.56799999999999995</v>
      </c>
      <c r="K1233">
        <v>42</v>
      </c>
      <c r="L1233">
        <v>44</v>
      </c>
      <c r="M1233">
        <v>146</v>
      </c>
      <c r="N1233" s="10">
        <v>629.69000000000005</v>
      </c>
      <c r="O1233" s="7">
        <v>5.9</v>
      </c>
      <c r="P1233" s="7">
        <v>26.4</v>
      </c>
      <c r="Q1233">
        <v>3</v>
      </c>
      <c r="R1233" t="s">
        <v>65</v>
      </c>
      <c r="S1233">
        <v>2</v>
      </c>
      <c r="T1233">
        <v>46</v>
      </c>
      <c r="U1233" s="11">
        <v>0.43388373911755823</v>
      </c>
      <c r="V1233" s="11">
        <v>-0.90096886790241903</v>
      </c>
      <c r="W1233" s="11">
        <v>0.69907930056555623</v>
      </c>
      <c r="X1233" s="11">
        <v>0.71504414655374438</v>
      </c>
      <c r="Y1233">
        <v>0</v>
      </c>
      <c r="Z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6">
        <v>45337</v>
      </c>
      <c r="B1234" t="s">
        <v>41</v>
      </c>
      <c r="C1234" t="s">
        <v>42</v>
      </c>
      <c r="D1234" t="s">
        <v>43</v>
      </c>
      <c r="E1234" t="s">
        <v>44</v>
      </c>
      <c r="F1234">
        <v>85</v>
      </c>
      <c r="G1234">
        <v>210</v>
      </c>
      <c r="H1234">
        <v>120</v>
      </c>
      <c r="I1234">
        <v>56</v>
      </c>
      <c r="J1234" s="8">
        <v>0.6588235294117647</v>
      </c>
      <c r="K1234">
        <v>21</v>
      </c>
      <c r="L1234">
        <v>22</v>
      </c>
      <c r="M1234">
        <v>104</v>
      </c>
      <c r="N1234" s="10">
        <v>495.99</v>
      </c>
      <c r="O1234" s="7">
        <v>5.9</v>
      </c>
      <c r="P1234" s="7">
        <v>26.4</v>
      </c>
      <c r="Q1234">
        <v>3</v>
      </c>
      <c r="R1234" t="s">
        <v>65</v>
      </c>
      <c r="S1234">
        <v>2</v>
      </c>
      <c r="T1234">
        <v>46</v>
      </c>
      <c r="U1234" s="11">
        <v>0.43388373911755823</v>
      </c>
      <c r="V1234" s="11">
        <v>-0.90096886790241903</v>
      </c>
      <c r="W1234" s="11">
        <v>0.69907930056555623</v>
      </c>
      <c r="X1234" s="11">
        <v>0.71504414655374438</v>
      </c>
      <c r="Y1234">
        <v>0</v>
      </c>
      <c r="Z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6">
        <v>45338</v>
      </c>
      <c r="B1235" t="s">
        <v>31</v>
      </c>
      <c r="C1235" t="s">
        <v>32</v>
      </c>
      <c r="D1235" t="s">
        <v>33</v>
      </c>
      <c r="E1235" t="s">
        <v>34</v>
      </c>
      <c r="F1235">
        <v>140</v>
      </c>
      <c r="G1235">
        <v>360</v>
      </c>
      <c r="H1235">
        <v>202</v>
      </c>
      <c r="I1235">
        <v>86</v>
      </c>
      <c r="J1235" s="8">
        <v>0.61428571428571432</v>
      </c>
      <c r="K1235">
        <v>47</v>
      </c>
      <c r="L1235">
        <v>22</v>
      </c>
      <c r="M1235">
        <v>188</v>
      </c>
      <c r="N1235" s="10">
        <v>459.15</v>
      </c>
      <c r="O1235" s="7">
        <v>0</v>
      </c>
      <c r="P1235" s="7">
        <v>29.2</v>
      </c>
      <c r="Q1235">
        <v>4</v>
      </c>
      <c r="R1235" t="s">
        <v>66</v>
      </c>
      <c r="S1235">
        <v>2</v>
      </c>
      <c r="T1235">
        <v>47</v>
      </c>
      <c r="U1235" s="11">
        <v>-0.43388373911755801</v>
      </c>
      <c r="V1235" s="11">
        <v>-0.90096886790241915</v>
      </c>
      <c r="W1235" s="11">
        <v>0.71127575197381521</v>
      </c>
      <c r="X1235" s="11">
        <v>0.70291308470826153</v>
      </c>
      <c r="Y1235">
        <v>0</v>
      </c>
      <c r="Z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6">
        <v>45338</v>
      </c>
      <c r="B1236" t="s">
        <v>36</v>
      </c>
      <c r="C1236" t="s">
        <v>37</v>
      </c>
      <c r="D1236" t="s">
        <v>38</v>
      </c>
      <c r="E1236" t="s">
        <v>39</v>
      </c>
      <c r="F1236">
        <v>125</v>
      </c>
      <c r="G1236">
        <v>320</v>
      </c>
      <c r="H1236">
        <v>178</v>
      </c>
      <c r="I1236">
        <v>75</v>
      </c>
      <c r="J1236" s="8">
        <v>0.6</v>
      </c>
      <c r="K1236">
        <v>26</v>
      </c>
      <c r="L1236">
        <v>29</v>
      </c>
      <c r="M1236">
        <v>148</v>
      </c>
      <c r="N1236" s="10">
        <v>681.82</v>
      </c>
      <c r="O1236" s="7">
        <v>0</v>
      </c>
      <c r="P1236" s="7">
        <v>29.2</v>
      </c>
      <c r="Q1236">
        <v>4</v>
      </c>
      <c r="R1236" t="s">
        <v>66</v>
      </c>
      <c r="S1236">
        <v>2</v>
      </c>
      <c r="T1236">
        <v>47</v>
      </c>
      <c r="U1236" s="11">
        <v>-0.43388373911755801</v>
      </c>
      <c r="V1236" s="11">
        <v>-0.90096886790241915</v>
      </c>
      <c r="W1236" s="11">
        <v>0.71127575197381521</v>
      </c>
      <c r="X1236" s="11">
        <v>0.70291308470826153</v>
      </c>
      <c r="Y1236">
        <v>0</v>
      </c>
      <c r="Z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6">
        <v>45338</v>
      </c>
      <c r="B1237" t="s">
        <v>41</v>
      </c>
      <c r="C1237" t="s">
        <v>42</v>
      </c>
      <c r="D1237" t="s">
        <v>43</v>
      </c>
      <c r="E1237" t="s">
        <v>44</v>
      </c>
      <c r="F1237">
        <v>85</v>
      </c>
      <c r="G1237">
        <v>210</v>
      </c>
      <c r="H1237">
        <v>132</v>
      </c>
      <c r="I1237">
        <v>58</v>
      </c>
      <c r="J1237" s="8">
        <v>0.68235294117647061</v>
      </c>
      <c r="K1237">
        <v>19</v>
      </c>
      <c r="L1237">
        <v>31</v>
      </c>
      <c r="M1237">
        <v>112</v>
      </c>
      <c r="N1237" s="10">
        <v>569.01</v>
      </c>
      <c r="O1237" s="7">
        <v>0</v>
      </c>
      <c r="P1237" s="7">
        <v>29.2</v>
      </c>
      <c r="Q1237">
        <v>4</v>
      </c>
      <c r="R1237" t="s">
        <v>66</v>
      </c>
      <c r="S1237">
        <v>2</v>
      </c>
      <c r="T1237">
        <v>47</v>
      </c>
      <c r="U1237" s="11">
        <v>-0.43388373911755801</v>
      </c>
      <c r="V1237" s="11">
        <v>-0.90096886790241915</v>
      </c>
      <c r="W1237" s="11">
        <v>0.71127575197381521</v>
      </c>
      <c r="X1237" s="11">
        <v>0.70291308470826153</v>
      </c>
      <c r="Y1237">
        <v>0</v>
      </c>
      <c r="Z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6">
        <v>45339</v>
      </c>
      <c r="B1238" t="s">
        <v>31</v>
      </c>
      <c r="C1238" t="s">
        <v>32</v>
      </c>
      <c r="D1238" t="s">
        <v>33</v>
      </c>
      <c r="E1238" t="s">
        <v>34</v>
      </c>
      <c r="F1238">
        <v>140</v>
      </c>
      <c r="G1238">
        <v>360</v>
      </c>
      <c r="H1238">
        <v>231</v>
      </c>
      <c r="I1238">
        <v>100</v>
      </c>
      <c r="J1238" s="8">
        <v>0.7142857142857143</v>
      </c>
      <c r="K1238">
        <v>32</v>
      </c>
      <c r="L1238">
        <v>58</v>
      </c>
      <c r="M1238">
        <v>196</v>
      </c>
      <c r="N1238" s="10">
        <v>488.22</v>
      </c>
      <c r="O1238" s="7">
        <v>4.0999999999999996</v>
      </c>
      <c r="P1238" s="7">
        <v>28.4</v>
      </c>
      <c r="Q1238">
        <v>5</v>
      </c>
      <c r="R1238" t="s">
        <v>67</v>
      </c>
      <c r="S1238">
        <v>2</v>
      </c>
      <c r="T1238">
        <v>48</v>
      </c>
      <c r="U1238" s="11">
        <v>-0.97492791218182362</v>
      </c>
      <c r="V1238" s="11">
        <v>-0.22252093395631459</v>
      </c>
      <c r="W1238" s="11">
        <v>0.72326172544373879</v>
      </c>
      <c r="X1238" s="11">
        <v>0.69057401957222941</v>
      </c>
      <c r="Y1238">
        <v>1</v>
      </c>
      <c r="Z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6">
        <v>45339</v>
      </c>
      <c r="B1239" t="s">
        <v>36</v>
      </c>
      <c r="C1239" t="s">
        <v>37</v>
      </c>
      <c r="D1239" t="s">
        <v>38</v>
      </c>
      <c r="E1239" t="s">
        <v>39</v>
      </c>
      <c r="F1239">
        <v>125</v>
      </c>
      <c r="G1239">
        <v>320</v>
      </c>
      <c r="H1239">
        <v>198</v>
      </c>
      <c r="I1239">
        <v>83</v>
      </c>
      <c r="J1239" s="8">
        <v>0.66400000000000003</v>
      </c>
      <c r="K1239">
        <v>37</v>
      </c>
      <c r="L1239">
        <v>29</v>
      </c>
      <c r="M1239">
        <v>172</v>
      </c>
      <c r="N1239" s="10">
        <v>730.65</v>
      </c>
      <c r="O1239" s="7">
        <v>4.0999999999999996</v>
      </c>
      <c r="P1239" s="7">
        <v>28.4</v>
      </c>
      <c r="Q1239">
        <v>5</v>
      </c>
      <c r="R1239" t="s">
        <v>67</v>
      </c>
      <c r="S1239">
        <v>2</v>
      </c>
      <c r="T1239">
        <v>48</v>
      </c>
      <c r="U1239" s="11">
        <v>-0.97492791218182362</v>
      </c>
      <c r="V1239" s="11">
        <v>-0.22252093395631459</v>
      </c>
      <c r="W1239" s="11">
        <v>0.72326172544373879</v>
      </c>
      <c r="X1239" s="11">
        <v>0.69057401957222941</v>
      </c>
      <c r="Y1239">
        <v>1</v>
      </c>
      <c r="Z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6">
        <v>45339</v>
      </c>
      <c r="B1240" t="s">
        <v>41</v>
      </c>
      <c r="C1240" t="s">
        <v>42</v>
      </c>
      <c r="D1240" t="s">
        <v>43</v>
      </c>
      <c r="E1240" t="s">
        <v>44</v>
      </c>
      <c r="F1240">
        <v>85</v>
      </c>
      <c r="G1240">
        <v>210</v>
      </c>
      <c r="H1240">
        <v>137</v>
      </c>
      <c r="I1240">
        <v>62</v>
      </c>
      <c r="J1240" s="8">
        <v>0.72941176470588232</v>
      </c>
      <c r="K1240">
        <v>23</v>
      </c>
      <c r="L1240">
        <v>22</v>
      </c>
      <c r="M1240">
        <v>126</v>
      </c>
      <c r="N1240" s="10">
        <v>606.48</v>
      </c>
      <c r="O1240" s="7">
        <v>4.0999999999999996</v>
      </c>
      <c r="P1240" s="7">
        <v>28.4</v>
      </c>
      <c r="Q1240">
        <v>5</v>
      </c>
      <c r="R1240" t="s">
        <v>67</v>
      </c>
      <c r="S1240">
        <v>2</v>
      </c>
      <c r="T1240">
        <v>48</v>
      </c>
      <c r="U1240" s="11">
        <v>-0.97492791218182362</v>
      </c>
      <c r="V1240" s="11">
        <v>-0.22252093395631459</v>
      </c>
      <c r="W1240" s="11">
        <v>0.72326172544373879</v>
      </c>
      <c r="X1240" s="11">
        <v>0.69057401957222941</v>
      </c>
      <c r="Y1240">
        <v>1</v>
      </c>
      <c r="Z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6">
        <v>45340</v>
      </c>
      <c r="B1241" t="s">
        <v>31</v>
      </c>
      <c r="C1241" t="s">
        <v>32</v>
      </c>
      <c r="D1241" t="s">
        <v>33</v>
      </c>
      <c r="E1241" t="s">
        <v>34</v>
      </c>
      <c r="F1241">
        <v>140</v>
      </c>
      <c r="G1241">
        <v>360</v>
      </c>
      <c r="H1241">
        <v>236</v>
      </c>
      <c r="I1241">
        <v>99</v>
      </c>
      <c r="J1241" s="8">
        <v>0.70714285714285718</v>
      </c>
      <c r="K1241">
        <v>32</v>
      </c>
      <c r="L1241">
        <v>28</v>
      </c>
      <c r="M1241">
        <v>211</v>
      </c>
      <c r="N1241" s="10">
        <v>452.94</v>
      </c>
      <c r="O1241" s="7">
        <v>0</v>
      </c>
      <c r="P1241" s="7">
        <v>29.2</v>
      </c>
      <c r="Q1241">
        <v>6</v>
      </c>
      <c r="R1241" t="s">
        <v>60</v>
      </c>
      <c r="S1241">
        <v>2</v>
      </c>
      <c r="T1241">
        <v>49</v>
      </c>
      <c r="U1241" s="11">
        <v>-0.78183148246802991</v>
      </c>
      <c r="V1241" s="11">
        <v>0.62348980185873337</v>
      </c>
      <c r="W1241" s="11">
        <v>0.73503367413294118</v>
      </c>
      <c r="X1241" s="11">
        <v>0.67803060247353819</v>
      </c>
      <c r="Y1241">
        <v>1</v>
      </c>
      <c r="Z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6">
        <v>45340</v>
      </c>
      <c r="B1242" t="s">
        <v>36</v>
      </c>
      <c r="C1242" t="s">
        <v>37</v>
      </c>
      <c r="D1242" t="s">
        <v>38</v>
      </c>
      <c r="E1242" t="s">
        <v>39</v>
      </c>
      <c r="F1242">
        <v>125</v>
      </c>
      <c r="G1242">
        <v>320</v>
      </c>
      <c r="H1242">
        <v>202</v>
      </c>
      <c r="I1242">
        <v>83</v>
      </c>
      <c r="J1242" s="8">
        <v>0.66400000000000003</v>
      </c>
      <c r="K1242">
        <v>38</v>
      </c>
      <c r="L1242">
        <v>49</v>
      </c>
      <c r="M1242">
        <v>175</v>
      </c>
      <c r="N1242" s="10">
        <v>730.04</v>
      </c>
      <c r="O1242" s="7">
        <v>0</v>
      </c>
      <c r="P1242" s="7">
        <v>29.2</v>
      </c>
      <c r="Q1242">
        <v>6</v>
      </c>
      <c r="R1242" t="s">
        <v>60</v>
      </c>
      <c r="S1242">
        <v>2</v>
      </c>
      <c r="T1242">
        <v>49</v>
      </c>
      <c r="U1242" s="11">
        <v>-0.78183148246802991</v>
      </c>
      <c r="V1242" s="11">
        <v>0.62348980185873337</v>
      </c>
      <c r="W1242" s="11">
        <v>0.73503367413294118</v>
      </c>
      <c r="X1242" s="11">
        <v>0.67803060247353819</v>
      </c>
      <c r="Y1242">
        <v>1</v>
      </c>
      <c r="Z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6">
        <v>45340</v>
      </c>
      <c r="B1243" t="s">
        <v>41</v>
      </c>
      <c r="C1243" t="s">
        <v>42</v>
      </c>
      <c r="D1243" t="s">
        <v>43</v>
      </c>
      <c r="E1243" t="s">
        <v>44</v>
      </c>
      <c r="F1243">
        <v>85</v>
      </c>
      <c r="G1243">
        <v>210</v>
      </c>
      <c r="H1243">
        <v>133</v>
      </c>
      <c r="I1243">
        <v>59</v>
      </c>
      <c r="J1243" s="8">
        <v>0.69411764705882351</v>
      </c>
      <c r="K1243">
        <v>29</v>
      </c>
      <c r="L1243">
        <v>36</v>
      </c>
      <c r="M1243">
        <v>111</v>
      </c>
      <c r="N1243" s="10">
        <v>556.67999999999995</v>
      </c>
      <c r="O1243" s="7">
        <v>0</v>
      </c>
      <c r="P1243" s="7">
        <v>29.2</v>
      </c>
      <c r="Q1243">
        <v>6</v>
      </c>
      <c r="R1243" t="s">
        <v>60</v>
      </c>
      <c r="S1243">
        <v>2</v>
      </c>
      <c r="T1243">
        <v>49</v>
      </c>
      <c r="U1243" s="11">
        <v>-0.78183148246802991</v>
      </c>
      <c r="V1243" s="11">
        <v>0.62348980185873337</v>
      </c>
      <c r="W1243" s="11">
        <v>0.73503367413294118</v>
      </c>
      <c r="X1243" s="11">
        <v>0.67803060247353819</v>
      </c>
      <c r="Y1243">
        <v>1</v>
      </c>
      <c r="Z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6">
        <v>45341</v>
      </c>
      <c r="B1244" t="s">
        <v>31</v>
      </c>
      <c r="C1244" t="s">
        <v>32</v>
      </c>
      <c r="D1244" t="s">
        <v>33</v>
      </c>
      <c r="E1244" t="s">
        <v>34</v>
      </c>
      <c r="F1244">
        <v>140</v>
      </c>
      <c r="G1244">
        <v>360</v>
      </c>
      <c r="H1244">
        <v>182</v>
      </c>
      <c r="I1244">
        <v>80</v>
      </c>
      <c r="J1244" s="8">
        <v>0.5714285714285714</v>
      </c>
      <c r="K1244">
        <v>35</v>
      </c>
      <c r="L1244">
        <v>27</v>
      </c>
      <c r="M1244">
        <v>147</v>
      </c>
      <c r="N1244" s="10">
        <v>389.94</v>
      </c>
      <c r="O1244" s="7">
        <v>0</v>
      </c>
      <c r="P1244" s="7">
        <v>27.8</v>
      </c>
      <c r="Q1244">
        <v>0</v>
      </c>
      <c r="R1244" t="s">
        <v>62</v>
      </c>
      <c r="S1244">
        <v>2</v>
      </c>
      <c r="T1244">
        <v>50</v>
      </c>
      <c r="U1244" s="11">
        <v>0</v>
      </c>
      <c r="V1244" s="11">
        <v>1</v>
      </c>
      <c r="W1244" s="11">
        <v>0.74658811453241303</v>
      </c>
      <c r="X1244" s="11">
        <v>0.66528654521111164</v>
      </c>
      <c r="Y1244">
        <v>0</v>
      </c>
      <c r="Z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6">
        <v>45341</v>
      </c>
      <c r="B1245" t="s">
        <v>36</v>
      </c>
      <c r="C1245" t="s">
        <v>37</v>
      </c>
      <c r="D1245" t="s">
        <v>38</v>
      </c>
      <c r="E1245" t="s">
        <v>39</v>
      </c>
      <c r="F1245">
        <v>125</v>
      </c>
      <c r="G1245">
        <v>320</v>
      </c>
      <c r="H1245">
        <v>149</v>
      </c>
      <c r="I1245">
        <v>62</v>
      </c>
      <c r="J1245" s="8">
        <v>0.496</v>
      </c>
      <c r="K1245">
        <v>36</v>
      </c>
      <c r="L1245">
        <v>19</v>
      </c>
      <c r="M1245">
        <v>132</v>
      </c>
      <c r="N1245" s="10">
        <v>587.69000000000005</v>
      </c>
      <c r="O1245" s="7">
        <v>0</v>
      </c>
      <c r="P1245" s="7">
        <v>27.8</v>
      </c>
      <c r="Q1245">
        <v>0</v>
      </c>
      <c r="R1245" t="s">
        <v>62</v>
      </c>
      <c r="S1245">
        <v>2</v>
      </c>
      <c r="T1245">
        <v>50</v>
      </c>
      <c r="U1245" s="11">
        <v>0</v>
      </c>
      <c r="V1245" s="11">
        <v>1</v>
      </c>
      <c r="W1245" s="11">
        <v>0.74658811453241303</v>
      </c>
      <c r="X1245" s="11">
        <v>0.66528654521111164</v>
      </c>
      <c r="Y1245">
        <v>0</v>
      </c>
      <c r="Z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6">
        <v>45341</v>
      </c>
      <c r="B1246" t="s">
        <v>41</v>
      </c>
      <c r="C1246" t="s">
        <v>42</v>
      </c>
      <c r="D1246" t="s">
        <v>43</v>
      </c>
      <c r="E1246" t="s">
        <v>44</v>
      </c>
      <c r="F1246">
        <v>85</v>
      </c>
      <c r="G1246">
        <v>210</v>
      </c>
      <c r="H1246">
        <v>121</v>
      </c>
      <c r="I1246">
        <v>54</v>
      </c>
      <c r="J1246" s="8">
        <v>0.63529411764705879</v>
      </c>
      <c r="K1246">
        <v>17</v>
      </c>
      <c r="L1246">
        <v>30</v>
      </c>
      <c r="M1246">
        <v>109</v>
      </c>
      <c r="N1246" s="10">
        <v>482.79</v>
      </c>
      <c r="O1246" s="7">
        <v>0</v>
      </c>
      <c r="P1246" s="7">
        <v>27.8</v>
      </c>
      <c r="Q1246">
        <v>0</v>
      </c>
      <c r="R1246" t="s">
        <v>62</v>
      </c>
      <c r="S1246">
        <v>2</v>
      </c>
      <c r="T1246">
        <v>50</v>
      </c>
      <c r="U1246" s="11">
        <v>0</v>
      </c>
      <c r="V1246" s="11">
        <v>1</v>
      </c>
      <c r="W1246" s="11">
        <v>0.74658811453241303</v>
      </c>
      <c r="X1246" s="11">
        <v>0.66528654521111164</v>
      </c>
      <c r="Y1246">
        <v>0</v>
      </c>
      <c r="Z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6">
        <v>45342</v>
      </c>
      <c r="B1247" t="s">
        <v>31</v>
      </c>
      <c r="C1247" t="s">
        <v>32</v>
      </c>
      <c r="D1247" t="s">
        <v>33</v>
      </c>
      <c r="E1247" t="s">
        <v>34</v>
      </c>
      <c r="F1247">
        <v>140</v>
      </c>
      <c r="G1247">
        <v>360</v>
      </c>
      <c r="H1247">
        <v>195</v>
      </c>
      <c r="I1247">
        <v>80</v>
      </c>
      <c r="J1247" s="8">
        <v>0.5714285714285714</v>
      </c>
      <c r="K1247">
        <v>30</v>
      </c>
      <c r="L1247">
        <v>28</v>
      </c>
      <c r="M1247">
        <v>165</v>
      </c>
      <c r="N1247" s="10">
        <v>460.16</v>
      </c>
      <c r="O1247" s="7">
        <v>5.8</v>
      </c>
      <c r="P1247" s="7">
        <v>27.1</v>
      </c>
      <c r="Q1247">
        <v>1</v>
      </c>
      <c r="R1247" t="s">
        <v>63</v>
      </c>
      <c r="S1247">
        <v>2</v>
      </c>
      <c r="T1247">
        <v>51</v>
      </c>
      <c r="U1247" s="11">
        <v>0.7818314824680298</v>
      </c>
      <c r="V1247" s="11">
        <v>0.62348980185873359</v>
      </c>
      <c r="W1247" s="11">
        <v>0.75792162749734715</v>
      </c>
      <c r="X1247" s="11">
        <v>0.65234561895652565</v>
      </c>
      <c r="Y1247">
        <v>0</v>
      </c>
      <c r="Z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6">
        <v>45342</v>
      </c>
      <c r="B1248" t="s">
        <v>36</v>
      </c>
      <c r="C1248" t="s">
        <v>37</v>
      </c>
      <c r="D1248" t="s">
        <v>38</v>
      </c>
      <c r="E1248" t="s">
        <v>39</v>
      </c>
      <c r="F1248">
        <v>125</v>
      </c>
      <c r="G1248">
        <v>320</v>
      </c>
      <c r="H1248">
        <v>160</v>
      </c>
      <c r="I1248">
        <v>67</v>
      </c>
      <c r="J1248" s="8">
        <v>0.53600000000000003</v>
      </c>
      <c r="K1248">
        <v>31</v>
      </c>
      <c r="L1248">
        <v>28</v>
      </c>
      <c r="M1248">
        <v>144</v>
      </c>
      <c r="N1248" s="10">
        <v>566.23</v>
      </c>
      <c r="O1248" s="7">
        <v>5.8</v>
      </c>
      <c r="P1248" s="7">
        <v>27.1</v>
      </c>
      <c r="Q1248">
        <v>1</v>
      </c>
      <c r="R1248" t="s">
        <v>63</v>
      </c>
      <c r="S1248">
        <v>2</v>
      </c>
      <c r="T1248">
        <v>51</v>
      </c>
      <c r="U1248" s="11">
        <v>0.7818314824680298</v>
      </c>
      <c r="V1248" s="11">
        <v>0.62348980185873359</v>
      </c>
      <c r="W1248" s="11">
        <v>0.75792162749734715</v>
      </c>
      <c r="X1248" s="11">
        <v>0.65234561895652565</v>
      </c>
      <c r="Y1248">
        <v>0</v>
      </c>
      <c r="Z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6">
        <v>45342</v>
      </c>
      <c r="B1249" t="s">
        <v>41</v>
      </c>
      <c r="C1249" t="s">
        <v>42</v>
      </c>
      <c r="D1249" t="s">
        <v>43</v>
      </c>
      <c r="E1249" t="s">
        <v>44</v>
      </c>
      <c r="F1249">
        <v>85</v>
      </c>
      <c r="G1249">
        <v>210</v>
      </c>
      <c r="H1249">
        <v>121</v>
      </c>
      <c r="I1249">
        <v>55</v>
      </c>
      <c r="J1249" s="8">
        <v>0.6470588235294118</v>
      </c>
      <c r="K1249">
        <v>21</v>
      </c>
      <c r="L1249">
        <v>18</v>
      </c>
      <c r="M1249">
        <v>102</v>
      </c>
      <c r="N1249" s="10">
        <v>559.73</v>
      </c>
      <c r="O1249" s="7">
        <v>5.8</v>
      </c>
      <c r="P1249" s="7">
        <v>27.1</v>
      </c>
      <c r="Q1249">
        <v>1</v>
      </c>
      <c r="R1249" t="s">
        <v>63</v>
      </c>
      <c r="S1249">
        <v>2</v>
      </c>
      <c r="T1249">
        <v>51</v>
      </c>
      <c r="U1249" s="11">
        <v>0.7818314824680298</v>
      </c>
      <c r="V1249" s="11">
        <v>0.62348980185873359</v>
      </c>
      <c r="W1249" s="11">
        <v>0.75792162749734715</v>
      </c>
      <c r="X1249" s="11">
        <v>0.65234561895652565</v>
      </c>
      <c r="Y1249">
        <v>0</v>
      </c>
      <c r="Z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6">
        <v>45343</v>
      </c>
      <c r="B1250" t="s">
        <v>31</v>
      </c>
      <c r="C1250" t="s">
        <v>32</v>
      </c>
      <c r="D1250" t="s">
        <v>33</v>
      </c>
      <c r="E1250" t="s">
        <v>34</v>
      </c>
      <c r="F1250">
        <v>140</v>
      </c>
      <c r="G1250">
        <v>360</v>
      </c>
      <c r="H1250">
        <v>196</v>
      </c>
      <c r="I1250">
        <v>82</v>
      </c>
      <c r="J1250" s="8">
        <v>0.58571428571428574</v>
      </c>
      <c r="K1250">
        <v>38</v>
      </c>
      <c r="L1250">
        <v>25</v>
      </c>
      <c r="M1250">
        <v>164</v>
      </c>
      <c r="N1250" s="10">
        <v>398.66</v>
      </c>
      <c r="O1250" s="7">
        <v>6.3</v>
      </c>
      <c r="P1250" s="7">
        <v>26.5</v>
      </c>
      <c r="Q1250">
        <v>2</v>
      </c>
      <c r="R1250" t="s">
        <v>64</v>
      </c>
      <c r="S1250">
        <v>2</v>
      </c>
      <c r="T1250">
        <v>52</v>
      </c>
      <c r="U1250" s="11">
        <v>0.97492791218182362</v>
      </c>
      <c r="V1250" s="11">
        <v>-0.22252093395631434</v>
      </c>
      <c r="W1250" s="11">
        <v>0.76903085925891812</v>
      </c>
      <c r="X1250" s="11">
        <v>0.63921165313805883</v>
      </c>
      <c r="Y1250">
        <v>0</v>
      </c>
      <c r="Z1250">
        <v>0</v>
      </c>
      <c r="AB1250">
        <v>0</v>
      </c>
      <c r="AC1250">
        <v>0</v>
      </c>
      <c r="AD1250">
        <v>0</v>
      </c>
      <c r="AE1250">
        <v>0</v>
      </c>
    </row>
    <row r="1251" spans="1:31">
      <c r="A1251" s="6">
        <v>45343</v>
      </c>
      <c r="B1251" t="s">
        <v>36</v>
      </c>
      <c r="C1251" t="s">
        <v>37</v>
      </c>
      <c r="D1251" t="s">
        <v>38</v>
      </c>
      <c r="E1251" t="s">
        <v>39</v>
      </c>
      <c r="F1251">
        <v>125</v>
      </c>
      <c r="G1251">
        <v>320</v>
      </c>
      <c r="H1251">
        <v>153</v>
      </c>
      <c r="I1251">
        <v>67</v>
      </c>
      <c r="J1251" s="8">
        <v>0.53600000000000003</v>
      </c>
      <c r="K1251">
        <v>33</v>
      </c>
      <c r="L1251">
        <v>22</v>
      </c>
      <c r="M1251">
        <v>143</v>
      </c>
      <c r="N1251" s="10">
        <v>572.29999999999995</v>
      </c>
      <c r="O1251" s="7">
        <v>6.3</v>
      </c>
      <c r="P1251" s="7">
        <v>26.5</v>
      </c>
      <c r="Q1251">
        <v>2</v>
      </c>
      <c r="R1251" t="s">
        <v>64</v>
      </c>
      <c r="S1251">
        <v>2</v>
      </c>
      <c r="T1251">
        <v>52</v>
      </c>
      <c r="U1251" s="11">
        <v>0.97492791218182362</v>
      </c>
      <c r="V1251" s="11">
        <v>-0.22252093395631434</v>
      </c>
      <c r="W1251" s="11">
        <v>0.76903085925891812</v>
      </c>
      <c r="X1251" s="11">
        <v>0.63921165313805883</v>
      </c>
      <c r="Y1251">
        <v>0</v>
      </c>
      <c r="Z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6">
        <v>45343</v>
      </c>
      <c r="B1252" t="s">
        <v>41</v>
      </c>
      <c r="C1252" t="s">
        <v>42</v>
      </c>
      <c r="D1252" t="s">
        <v>43</v>
      </c>
      <c r="E1252" t="s">
        <v>44</v>
      </c>
      <c r="F1252">
        <v>85</v>
      </c>
      <c r="G1252">
        <v>210</v>
      </c>
      <c r="H1252">
        <v>113</v>
      </c>
      <c r="I1252">
        <v>50</v>
      </c>
      <c r="J1252" s="8">
        <v>0.58823529411764708</v>
      </c>
      <c r="K1252">
        <v>26</v>
      </c>
      <c r="L1252">
        <v>23</v>
      </c>
      <c r="M1252">
        <v>101</v>
      </c>
      <c r="N1252" s="10">
        <v>557.47</v>
      </c>
      <c r="O1252" s="7">
        <v>6.3</v>
      </c>
      <c r="P1252" s="7">
        <v>26.5</v>
      </c>
      <c r="Q1252">
        <v>2</v>
      </c>
      <c r="R1252" t="s">
        <v>64</v>
      </c>
      <c r="S1252">
        <v>2</v>
      </c>
      <c r="T1252">
        <v>52</v>
      </c>
      <c r="U1252" s="11">
        <v>0.97492791218182362</v>
      </c>
      <c r="V1252" s="11">
        <v>-0.22252093395631434</v>
      </c>
      <c r="W1252" s="11">
        <v>0.76903085925891812</v>
      </c>
      <c r="X1252" s="11">
        <v>0.63921165313805883</v>
      </c>
      <c r="Y1252">
        <v>0</v>
      </c>
      <c r="Z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6">
        <v>45344</v>
      </c>
      <c r="B1253" t="s">
        <v>31</v>
      </c>
      <c r="C1253" t="s">
        <v>32</v>
      </c>
      <c r="D1253" t="s">
        <v>33</v>
      </c>
      <c r="E1253" t="s">
        <v>34</v>
      </c>
      <c r="F1253">
        <v>140</v>
      </c>
      <c r="G1253">
        <v>360</v>
      </c>
      <c r="H1253">
        <v>168</v>
      </c>
      <c r="I1253">
        <v>74</v>
      </c>
      <c r="J1253" s="8">
        <v>0.52857142857142858</v>
      </c>
      <c r="K1253">
        <v>40</v>
      </c>
      <c r="L1253">
        <v>21</v>
      </c>
      <c r="M1253">
        <v>141</v>
      </c>
      <c r="N1253" s="10">
        <v>415.71</v>
      </c>
      <c r="O1253" s="7">
        <v>8.9</v>
      </c>
      <c r="P1253" s="7">
        <v>27.4</v>
      </c>
      <c r="Q1253">
        <v>3</v>
      </c>
      <c r="R1253" t="s">
        <v>65</v>
      </c>
      <c r="S1253">
        <v>2</v>
      </c>
      <c r="T1253">
        <v>53</v>
      </c>
      <c r="U1253" s="11">
        <v>0.43388373911755823</v>
      </c>
      <c r="V1253" s="11">
        <v>-0.90096886790241903</v>
      </c>
      <c r="W1253" s="11">
        <v>0.77991252241671771</v>
      </c>
      <c r="X1253" s="11">
        <v>0.6258885343075018</v>
      </c>
      <c r="Y1253">
        <v>0</v>
      </c>
      <c r="Z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6">
        <v>45344</v>
      </c>
      <c r="B1254" t="s">
        <v>36</v>
      </c>
      <c r="C1254" t="s">
        <v>37</v>
      </c>
      <c r="D1254" t="s">
        <v>38</v>
      </c>
      <c r="E1254" t="s">
        <v>39</v>
      </c>
      <c r="F1254">
        <v>125</v>
      </c>
      <c r="G1254">
        <v>320</v>
      </c>
      <c r="H1254">
        <v>171</v>
      </c>
      <c r="I1254">
        <v>72</v>
      </c>
      <c r="J1254" s="8">
        <v>0.57599999999999996</v>
      </c>
      <c r="K1254">
        <v>47</v>
      </c>
      <c r="L1254">
        <v>30</v>
      </c>
      <c r="M1254">
        <v>145</v>
      </c>
      <c r="N1254" s="10">
        <v>602.13</v>
      </c>
      <c r="O1254" s="7">
        <v>8.9</v>
      </c>
      <c r="P1254" s="7">
        <v>27.4</v>
      </c>
      <c r="Q1254">
        <v>3</v>
      </c>
      <c r="R1254" t="s">
        <v>65</v>
      </c>
      <c r="S1254">
        <v>2</v>
      </c>
      <c r="T1254">
        <v>53</v>
      </c>
      <c r="U1254" s="11">
        <v>0.43388373911755823</v>
      </c>
      <c r="V1254" s="11">
        <v>-0.90096886790241903</v>
      </c>
      <c r="W1254" s="11">
        <v>0.77991252241671771</v>
      </c>
      <c r="X1254" s="11">
        <v>0.6258885343075018</v>
      </c>
      <c r="Y1254">
        <v>0</v>
      </c>
      <c r="Z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6">
        <v>45344</v>
      </c>
      <c r="B1255" t="s">
        <v>41</v>
      </c>
      <c r="C1255" t="s">
        <v>42</v>
      </c>
      <c r="D1255" t="s">
        <v>43</v>
      </c>
      <c r="E1255" t="s">
        <v>44</v>
      </c>
      <c r="F1255">
        <v>85</v>
      </c>
      <c r="G1255">
        <v>210</v>
      </c>
      <c r="H1255">
        <v>120</v>
      </c>
      <c r="I1255">
        <v>54</v>
      </c>
      <c r="J1255" s="8">
        <v>0.63529411764705879</v>
      </c>
      <c r="K1255">
        <v>24</v>
      </c>
      <c r="L1255">
        <v>24</v>
      </c>
      <c r="M1255">
        <v>104</v>
      </c>
      <c r="N1255" s="10">
        <v>510.16</v>
      </c>
      <c r="O1255" s="7">
        <v>8.9</v>
      </c>
      <c r="P1255" s="7">
        <v>27.4</v>
      </c>
      <c r="Q1255">
        <v>3</v>
      </c>
      <c r="R1255" t="s">
        <v>65</v>
      </c>
      <c r="S1255">
        <v>2</v>
      </c>
      <c r="T1255">
        <v>53</v>
      </c>
      <c r="U1255" s="11">
        <v>0.43388373911755823</v>
      </c>
      <c r="V1255" s="11">
        <v>-0.90096886790241903</v>
      </c>
      <c r="W1255" s="11">
        <v>0.77991252241671771</v>
      </c>
      <c r="X1255" s="11">
        <v>0.6258885343075018</v>
      </c>
      <c r="Y1255">
        <v>0</v>
      </c>
      <c r="Z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6">
        <v>45345</v>
      </c>
      <c r="B1256" t="s">
        <v>31</v>
      </c>
      <c r="C1256" t="s">
        <v>32</v>
      </c>
      <c r="D1256" t="s">
        <v>33</v>
      </c>
      <c r="E1256" t="s">
        <v>34</v>
      </c>
      <c r="F1256">
        <v>140</v>
      </c>
      <c r="G1256">
        <v>360</v>
      </c>
      <c r="H1256">
        <v>184</v>
      </c>
      <c r="I1256">
        <v>78</v>
      </c>
      <c r="J1256" s="8">
        <v>0.55714285714285716</v>
      </c>
      <c r="K1256">
        <v>34</v>
      </c>
      <c r="L1256">
        <v>27</v>
      </c>
      <c r="M1256">
        <v>164</v>
      </c>
      <c r="N1256" s="10">
        <v>459.11</v>
      </c>
      <c r="O1256" s="7">
        <v>6.6</v>
      </c>
      <c r="P1256" s="7">
        <v>26.1</v>
      </c>
      <c r="Q1256">
        <v>4</v>
      </c>
      <c r="R1256" t="s">
        <v>66</v>
      </c>
      <c r="S1256">
        <v>2</v>
      </c>
      <c r="T1256">
        <v>54</v>
      </c>
      <c r="U1256" s="11">
        <v>-0.43388373911755801</v>
      </c>
      <c r="V1256" s="11">
        <v>-0.90096886790241915</v>
      </c>
      <c r="W1256" s="11">
        <v>0.7905633969115482</v>
      </c>
      <c r="X1256" s="11">
        <v>0.61238020499006496</v>
      </c>
      <c r="Y1256">
        <v>0</v>
      </c>
      <c r="Z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6">
        <v>45345</v>
      </c>
      <c r="B1257" t="s">
        <v>36</v>
      </c>
      <c r="C1257" t="s">
        <v>37</v>
      </c>
      <c r="D1257" t="s">
        <v>38</v>
      </c>
      <c r="E1257" t="s">
        <v>39</v>
      </c>
      <c r="F1257">
        <v>125</v>
      </c>
      <c r="G1257">
        <v>320</v>
      </c>
      <c r="H1257">
        <v>165</v>
      </c>
      <c r="I1257">
        <v>71</v>
      </c>
      <c r="J1257" s="8">
        <v>0.56799999999999995</v>
      </c>
      <c r="K1257">
        <v>23</v>
      </c>
      <c r="L1257">
        <v>28</v>
      </c>
      <c r="M1257">
        <v>153</v>
      </c>
      <c r="N1257" s="10">
        <v>667.39</v>
      </c>
      <c r="O1257" s="7">
        <v>6.6</v>
      </c>
      <c r="P1257" s="7">
        <v>26.1</v>
      </c>
      <c r="Q1257">
        <v>4</v>
      </c>
      <c r="R1257" t="s">
        <v>66</v>
      </c>
      <c r="S1257">
        <v>2</v>
      </c>
      <c r="T1257">
        <v>54</v>
      </c>
      <c r="U1257" s="11">
        <v>-0.43388373911755801</v>
      </c>
      <c r="V1257" s="11">
        <v>-0.90096886790241915</v>
      </c>
      <c r="W1257" s="11">
        <v>0.7905633969115482</v>
      </c>
      <c r="X1257" s="11">
        <v>0.61238020499006496</v>
      </c>
      <c r="Y1257">
        <v>0</v>
      </c>
      <c r="Z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6">
        <v>45345</v>
      </c>
      <c r="B1258" t="s">
        <v>41</v>
      </c>
      <c r="C1258" t="s">
        <v>42</v>
      </c>
      <c r="D1258" t="s">
        <v>43</v>
      </c>
      <c r="E1258" t="s">
        <v>44</v>
      </c>
      <c r="F1258">
        <v>85</v>
      </c>
      <c r="G1258">
        <v>210</v>
      </c>
      <c r="H1258">
        <v>95</v>
      </c>
      <c r="I1258">
        <v>46</v>
      </c>
      <c r="J1258" s="8">
        <v>0.54117647058823526</v>
      </c>
      <c r="K1258">
        <v>20</v>
      </c>
      <c r="L1258">
        <v>18</v>
      </c>
      <c r="M1258">
        <v>78</v>
      </c>
      <c r="N1258" s="10">
        <v>480.02</v>
      </c>
      <c r="O1258" s="7">
        <v>6.6</v>
      </c>
      <c r="P1258" s="7">
        <v>26.1</v>
      </c>
      <c r="Q1258">
        <v>4</v>
      </c>
      <c r="R1258" t="s">
        <v>66</v>
      </c>
      <c r="S1258">
        <v>2</v>
      </c>
      <c r="T1258">
        <v>54</v>
      </c>
      <c r="U1258" s="11">
        <v>-0.43388373911755801</v>
      </c>
      <c r="V1258" s="11">
        <v>-0.90096886790241915</v>
      </c>
      <c r="W1258" s="11">
        <v>0.7905633969115482</v>
      </c>
      <c r="X1258" s="11">
        <v>0.61238020499006496</v>
      </c>
      <c r="Y1258">
        <v>0</v>
      </c>
      <c r="Z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6">
        <v>45346</v>
      </c>
      <c r="B1259" t="s">
        <v>31</v>
      </c>
      <c r="C1259" t="s">
        <v>32</v>
      </c>
      <c r="D1259" t="s">
        <v>33</v>
      </c>
      <c r="E1259" t="s">
        <v>34</v>
      </c>
      <c r="F1259">
        <v>140</v>
      </c>
      <c r="G1259">
        <v>360</v>
      </c>
      <c r="H1259">
        <v>218</v>
      </c>
      <c r="I1259">
        <v>92</v>
      </c>
      <c r="J1259" s="8">
        <v>0.65714285714285714</v>
      </c>
      <c r="K1259">
        <v>36</v>
      </c>
      <c r="L1259">
        <v>30</v>
      </c>
      <c r="M1259">
        <v>176</v>
      </c>
      <c r="N1259" s="10">
        <v>509.53</v>
      </c>
      <c r="O1259" s="7">
        <v>2.7</v>
      </c>
      <c r="P1259" s="7">
        <v>28.2</v>
      </c>
      <c r="Q1259">
        <v>5</v>
      </c>
      <c r="R1259" t="s">
        <v>67</v>
      </c>
      <c r="S1259">
        <v>2</v>
      </c>
      <c r="T1259">
        <v>55</v>
      </c>
      <c r="U1259" s="11">
        <v>-0.97492791218182362</v>
      </c>
      <c r="V1259" s="11">
        <v>-0.22252093395631459</v>
      </c>
      <c r="W1259" s="11">
        <v>0.80098033097829047</v>
      </c>
      <c r="X1259" s="11">
        <v>0.59869066251772141</v>
      </c>
      <c r="Y1259">
        <v>1</v>
      </c>
      <c r="Z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6">
        <v>45346</v>
      </c>
      <c r="B1260" t="s">
        <v>36</v>
      </c>
      <c r="C1260" t="s">
        <v>37</v>
      </c>
      <c r="D1260" t="s">
        <v>38</v>
      </c>
      <c r="E1260" t="s">
        <v>39</v>
      </c>
      <c r="F1260">
        <v>125</v>
      </c>
      <c r="G1260">
        <v>320</v>
      </c>
      <c r="H1260">
        <v>204</v>
      </c>
      <c r="I1260">
        <v>86</v>
      </c>
      <c r="J1260" s="8">
        <v>0.68799999999999994</v>
      </c>
      <c r="K1260">
        <v>30</v>
      </c>
      <c r="L1260">
        <v>55</v>
      </c>
      <c r="M1260">
        <v>170</v>
      </c>
      <c r="N1260" s="10">
        <v>630</v>
      </c>
      <c r="O1260" s="7">
        <v>2.7</v>
      </c>
      <c r="P1260" s="7">
        <v>28.2</v>
      </c>
      <c r="Q1260">
        <v>5</v>
      </c>
      <c r="R1260" t="s">
        <v>67</v>
      </c>
      <c r="S1260">
        <v>2</v>
      </c>
      <c r="T1260">
        <v>55</v>
      </c>
      <c r="U1260" s="11">
        <v>-0.97492791218182362</v>
      </c>
      <c r="V1260" s="11">
        <v>-0.22252093395631459</v>
      </c>
      <c r="W1260" s="11">
        <v>0.80098033097829047</v>
      </c>
      <c r="X1260" s="11">
        <v>0.59869066251772141</v>
      </c>
      <c r="Y1260">
        <v>1</v>
      </c>
      <c r="Z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6">
        <v>45346</v>
      </c>
      <c r="B1261" t="s">
        <v>41</v>
      </c>
      <c r="C1261" t="s">
        <v>42</v>
      </c>
      <c r="D1261" t="s">
        <v>43</v>
      </c>
      <c r="E1261" t="s">
        <v>44</v>
      </c>
      <c r="F1261">
        <v>85</v>
      </c>
      <c r="G1261">
        <v>210</v>
      </c>
      <c r="H1261">
        <v>151</v>
      </c>
      <c r="I1261">
        <v>70</v>
      </c>
      <c r="J1261" s="8">
        <v>0.82352941176470584</v>
      </c>
      <c r="K1261">
        <v>38</v>
      </c>
      <c r="L1261">
        <v>28</v>
      </c>
      <c r="M1261">
        <v>138</v>
      </c>
      <c r="N1261" s="10">
        <v>539.1</v>
      </c>
      <c r="O1261" s="7">
        <v>2.7</v>
      </c>
      <c r="P1261" s="7">
        <v>28.2</v>
      </c>
      <c r="Q1261">
        <v>5</v>
      </c>
      <c r="R1261" t="s">
        <v>67</v>
      </c>
      <c r="S1261">
        <v>2</v>
      </c>
      <c r="T1261">
        <v>55</v>
      </c>
      <c r="U1261" s="11">
        <v>-0.97492791218182362</v>
      </c>
      <c r="V1261" s="11">
        <v>-0.22252093395631459</v>
      </c>
      <c r="W1261" s="11">
        <v>0.80098033097829047</v>
      </c>
      <c r="X1261" s="11">
        <v>0.59869066251772141</v>
      </c>
      <c r="Y1261">
        <v>1</v>
      </c>
      <c r="Z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6">
        <v>45347</v>
      </c>
      <c r="B1262" t="s">
        <v>31</v>
      </c>
      <c r="C1262" t="s">
        <v>32</v>
      </c>
      <c r="D1262" t="s">
        <v>33</v>
      </c>
      <c r="E1262" t="s">
        <v>34</v>
      </c>
      <c r="F1262">
        <v>140</v>
      </c>
      <c r="G1262">
        <v>360</v>
      </c>
      <c r="H1262">
        <v>197</v>
      </c>
      <c r="I1262">
        <v>86</v>
      </c>
      <c r="J1262" s="8">
        <v>0.61428571428571432</v>
      </c>
      <c r="K1262">
        <v>51</v>
      </c>
      <c r="L1262">
        <v>31</v>
      </c>
      <c r="M1262">
        <v>158</v>
      </c>
      <c r="N1262" s="10">
        <v>510.96</v>
      </c>
      <c r="O1262" s="7">
        <v>13.9</v>
      </c>
      <c r="P1262" s="7">
        <v>27.8</v>
      </c>
      <c r="Q1262">
        <v>6</v>
      </c>
      <c r="R1262" t="s">
        <v>60</v>
      </c>
      <c r="S1262">
        <v>2</v>
      </c>
      <c r="T1262">
        <v>56</v>
      </c>
      <c r="U1262" s="11">
        <v>-0.78183148246802991</v>
      </c>
      <c r="V1262" s="11">
        <v>0.62348980185873337</v>
      </c>
      <c r="W1262" s="11">
        <v>0.81116024207856208</v>
      </c>
      <c r="X1262" s="11">
        <v>0.58482395784633223</v>
      </c>
      <c r="Y1262">
        <v>1</v>
      </c>
      <c r="Z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6">
        <v>45347</v>
      </c>
      <c r="B1263" t="s">
        <v>36</v>
      </c>
      <c r="C1263" t="s">
        <v>37</v>
      </c>
      <c r="D1263" t="s">
        <v>38</v>
      </c>
      <c r="E1263" t="s">
        <v>39</v>
      </c>
      <c r="F1263">
        <v>125</v>
      </c>
      <c r="G1263">
        <v>320</v>
      </c>
      <c r="H1263">
        <v>204</v>
      </c>
      <c r="I1263">
        <v>85</v>
      </c>
      <c r="J1263" s="8">
        <v>0.68</v>
      </c>
      <c r="K1263">
        <v>39</v>
      </c>
      <c r="L1263">
        <v>22</v>
      </c>
      <c r="M1263">
        <v>165</v>
      </c>
      <c r="N1263" s="10">
        <v>722.9</v>
      </c>
      <c r="O1263" s="7">
        <v>13.9</v>
      </c>
      <c r="P1263" s="7">
        <v>27.8</v>
      </c>
      <c r="Q1263">
        <v>6</v>
      </c>
      <c r="R1263" t="s">
        <v>60</v>
      </c>
      <c r="S1263">
        <v>2</v>
      </c>
      <c r="T1263">
        <v>56</v>
      </c>
      <c r="U1263" s="11">
        <v>-0.78183148246802991</v>
      </c>
      <c r="V1263" s="11">
        <v>0.62348980185873337</v>
      </c>
      <c r="W1263" s="11">
        <v>0.81116024207856208</v>
      </c>
      <c r="X1263" s="11">
        <v>0.58482395784633223</v>
      </c>
      <c r="Y1263">
        <v>1</v>
      </c>
      <c r="Z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s="6">
        <v>45347</v>
      </c>
      <c r="B1264" t="s">
        <v>41</v>
      </c>
      <c r="C1264" t="s">
        <v>42</v>
      </c>
      <c r="D1264" t="s">
        <v>43</v>
      </c>
      <c r="E1264" t="s">
        <v>44</v>
      </c>
      <c r="F1264">
        <v>85</v>
      </c>
      <c r="G1264">
        <v>210</v>
      </c>
      <c r="H1264">
        <v>151</v>
      </c>
      <c r="I1264">
        <v>67</v>
      </c>
      <c r="J1264" s="8">
        <v>0.78823529411764703</v>
      </c>
      <c r="K1264">
        <v>37</v>
      </c>
      <c r="L1264">
        <v>37</v>
      </c>
      <c r="M1264">
        <v>134</v>
      </c>
      <c r="N1264" s="10">
        <v>554.94000000000005</v>
      </c>
      <c r="O1264" s="7">
        <v>13.9</v>
      </c>
      <c r="P1264" s="7">
        <v>27.8</v>
      </c>
      <c r="Q1264">
        <v>6</v>
      </c>
      <c r="R1264" t="s">
        <v>60</v>
      </c>
      <c r="S1264">
        <v>2</v>
      </c>
      <c r="T1264">
        <v>56</v>
      </c>
      <c r="U1264" s="11">
        <v>-0.78183148246802991</v>
      </c>
      <c r="V1264" s="11">
        <v>0.62348980185873337</v>
      </c>
      <c r="W1264" s="11">
        <v>0.81116024207856208</v>
      </c>
      <c r="X1264" s="11">
        <v>0.58482395784633223</v>
      </c>
      <c r="Y1264">
        <v>1</v>
      </c>
      <c r="Z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6">
        <v>45348</v>
      </c>
      <c r="B1265" t="s">
        <v>31</v>
      </c>
      <c r="C1265" t="s">
        <v>32</v>
      </c>
      <c r="D1265" t="s">
        <v>33</v>
      </c>
      <c r="E1265" t="s">
        <v>34</v>
      </c>
      <c r="F1265">
        <v>140</v>
      </c>
      <c r="G1265">
        <v>360</v>
      </c>
      <c r="H1265">
        <v>191</v>
      </c>
      <c r="I1265">
        <v>83</v>
      </c>
      <c r="J1265" s="8">
        <v>0.59285714285714286</v>
      </c>
      <c r="K1265">
        <v>29</v>
      </c>
      <c r="L1265">
        <v>22</v>
      </c>
      <c r="M1265">
        <v>161</v>
      </c>
      <c r="N1265" s="10">
        <v>444.19</v>
      </c>
      <c r="O1265" s="7">
        <v>4.9000000000000004</v>
      </c>
      <c r="P1265" s="7">
        <v>27.9</v>
      </c>
      <c r="Q1265">
        <v>0</v>
      </c>
      <c r="R1265" t="s">
        <v>62</v>
      </c>
      <c r="S1265">
        <v>2</v>
      </c>
      <c r="T1265">
        <v>57</v>
      </c>
      <c r="U1265" s="11">
        <v>0</v>
      </c>
      <c r="V1265" s="11">
        <v>1</v>
      </c>
      <c r="W1265" s="11">
        <v>0.82110011781288916</v>
      </c>
      <c r="X1265" s="11">
        <v>0.57078419435690364</v>
      </c>
      <c r="Y1265">
        <v>0</v>
      </c>
      <c r="Z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s="6">
        <v>45348</v>
      </c>
      <c r="B1266" t="s">
        <v>36</v>
      </c>
      <c r="C1266" t="s">
        <v>37</v>
      </c>
      <c r="D1266" t="s">
        <v>38</v>
      </c>
      <c r="E1266" t="s">
        <v>39</v>
      </c>
      <c r="F1266">
        <v>125</v>
      </c>
      <c r="G1266">
        <v>320</v>
      </c>
      <c r="H1266">
        <v>163</v>
      </c>
      <c r="I1266">
        <v>67</v>
      </c>
      <c r="J1266" s="8">
        <v>0.53600000000000003</v>
      </c>
      <c r="K1266">
        <v>21</v>
      </c>
      <c r="L1266">
        <v>31</v>
      </c>
      <c r="M1266">
        <v>137</v>
      </c>
      <c r="N1266" s="10">
        <v>652.92999999999995</v>
      </c>
      <c r="O1266" s="7">
        <v>4.9000000000000004</v>
      </c>
      <c r="P1266" s="7">
        <v>27.9</v>
      </c>
      <c r="Q1266">
        <v>0</v>
      </c>
      <c r="R1266" t="s">
        <v>62</v>
      </c>
      <c r="S1266">
        <v>2</v>
      </c>
      <c r="T1266">
        <v>57</v>
      </c>
      <c r="U1266" s="11">
        <v>0</v>
      </c>
      <c r="V1266" s="11">
        <v>1</v>
      </c>
      <c r="W1266" s="11">
        <v>0.82110011781288916</v>
      </c>
      <c r="X1266" s="11">
        <v>0.57078419435690364</v>
      </c>
      <c r="Y1266">
        <v>0</v>
      </c>
      <c r="Z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6">
        <v>45348</v>
      </c>
      <c r="B1267" t="s">
        <v>41</v>
      </c>
      <c r="C1267" t="s">
        <v>42</v>
      </c>
      <c r="D1267" t="s">
        <v>43</v>
      </c>
      <c r="E1267" t="s">
        <v>44</v>
      </c>
      <c r="F1267">
        <v>85</v>
      </c>
      <c r="G1267">
        <v>210</v>
      </c>
      <c r="H1267">
        <v>130</v>
      </c>
      <c r="I1267">
        <v>56</v>
      </c>
      <c r="J1267" s="8">
        <v>0.6588235294117647</v>
      </c>
      <c r="K1267">
        <v>35</v>
      </c>
      <c r="L1267">
        <v>16</v>
      </c>
      <c r="M1267">
        <v>110</v>
      </c>
      <c r="N1267" s="10">
        <v>546.76</v>
      </c>
      <c r="O1267" s="7">
        <v>4.9000000000000004</v>
      </c>
      <c r="P1267" s="7">
        <v>27.9</v>
      </c>
      <c r="Q1267">
        <v>0</v>
      </c>
      <c r="R1267" t="s">
        <v>62</v>
      </c>
      <c r="S1267">
        <v>2</v>
      </c>
      <c r="T1267">
        <v>57</v>
      </c>
      <c r="U1267" s="11">
        <v>0</v>
      </c>
      <c r="V1267" s="11">
        <v>1</v>
      </c>
      <c r="W1267" s="11">
        <v>0.82110011781288916</v>
      </c>
      <c r="X1267" s="11">
        <v>0.57078419435690364</v>
      </c>
      <c r="Y1267">
        <v>0</v>
      </c>
      <c r="Z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6">
        <v>45349</v>
      </c>
      <c r="B1268" t="s">
        <v>31</v>
      </c>
      <c r="C1268" t="s">
        <v>32</v>
      </c>
      <c r="D1268" t="s">
        <v>33</v>
      </c>
      <c r="E1268" t="s">
        <v>34</v>
      </c>
      <c r="F1268">
        <v>140</v>
      </c>
      <c r="G1268">
        <v>360</v>
      </c>
      <c r="H1268">
        <v>195</v>
      </c>
      <c r="I1268">
        <v>82</v>
      </c>
      <c r="J1268" s="8">
        <v>0.58571428571428574</v>
      </c>
      <c r="K1268">
        <v>28</v>
      </c>
      <c r="L1268">
        <v>49</v>
      </c>
      <c r="M1268">
        <v>178</v>
      </c>
      <c r="N1268" s="10">
        <v>462.12</v>
      </c>
      <c r="O1268" s="7">
        <v>7.8</v>
      </c>
      <c r="P1268" s="7">
        <v>27</v>
      </c>
      <c r="Q1268">
        <v>1</v>
      </c>
      <c r="R1268" t="s">
        <v>63</v>
      </c>
      <c r="S1268">
        <v>2</v>
      </c>
      <c r="T1268">
        <v>58</v>
      </c>
      <c r="U1268" s="11">
        <v>0.7818314824680298</v>
      </c>
      <c r="V1268" s="11">
        <v>0.62348980185873359</v>
      </c>
      <c r="W1268" s="11">
        <v>0.8307970168121247</v>
      </c>
      <c r="X1268" s="11">
        <v>0.55657552664133025</v>
      </c>
      <c r="Y1268">
        <v>0</v>
      </c>
      <c r="Z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6">
        <v>45349</v>
      </c>
      <c r="B1269" t="s">
        <v>36</v>
      </c>
      <c r="C1269" t="s">
        <v>37</v>
      </c>
      <c r="D1269" t="s">
        <v>38</v>
      </c>
      <c r="E1269" t="s">
        <v>39</v>
      </c>
      <c r="F1269">
        <v>125</v>
      </c>
      <c r="G1269">
        <v>320</v>
      </c>
      <c r="H1269">
        <v>163</v>
      </c>
      <c r="I1269">
        <v>66</v>
      </c>
      <c r="J1269" s="8">
        <v>0.52800000000000002</v>
      </c>
      <c r="K1269">
        <v>34</v>
      </c>
      <c r="L1269">
        <v>24</v>
      </c>
      <c r="M1269">
        <v>153</v>
      </c>
      <c r="N1269" s="10">
        <v>642.91</v>
      </c>
      <c r="O1269" s="7">
        <v>7.8</v>
      </c>
      <c r="P1269" s="7">
        <v>27</v>
      </c>
      <c r="Q1269">
        <v>1</v>
      </c>
      <c r="R1269" t="s">
        <v>63</v>
      </c>
      <c r="S1269">
        <v>2</v>
      </c>
      <c r="T1269">
        <v>58</v>
      </c>
      <c r="U1269" s="11">
        <v>0.7818314824680298</v>
      </c>
      <c r="V1269" s="11">
        <v>0.62348980185873359</v>
      </c>
      <c r="W1269" s="11">
        <v>0.8307970168121247</v>
      </c>
      <c r="X1269" s="11">
        <v>0.55657552664133025</v>
      </c>
      <c r="Y1269">
        <v>0</v>
      </c>
      <c r="Z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6">
        <v>45349</v>
      </c>
      <c r="B1270" t="s">
        <v>41</v>
      </c>
      <c r="C1270" t="s">
        <v>42</v>
      </c>
      <c r="D1270" t="s">
        <v>43</v>
      </c>
      <c r="E1270" t="s">
        <v>44</v>
      </c>
      <c r="F1270">
        <v>85</v>
      </c>
      <c r="G1270">
        <v>210</v>
      </c>
      <c r="H1270">
        <v>126</v>
      </c>
      <c r="I1270">
        <v>55</v>
      </c>
      <c r="J1270" s="8">
        <v>0.6470588235294118</v>
      </c>
      <c r="K1270">
        <v>21</v>
      </c>
      <c r="L1270">
        <v>20</v>
      </c>
      <c r="M1270">
        <v>118</v>
      </c>
      <c r="N1270" s="10">
        <v>579.03</v>
      </c>
      <c r="O1270" s="7">
        <v>7.8</v>
      </c>
      <c r="P1270" s="7">
        <v>27</v>
      </c>
      <c r="Q1270">
        <v>1</v>
      </c>
      <c r="R1270" t="s">
        <v>63</v>
      </c>
      <c r="S1270">
        <v>2</v>
      </c>
      <c r="T1270">
        <v>58</v>
      </c>
      <c r="U1270" s="11">
        <v>0.7818314824680298</v>
      </c>
      <c r="V1270" s="11">
        <v>0.62348980185873359</v>
      </c>
      <c r="W1270" s="11">
        <v>0.8307970168121247</v>
      </c>
      <c r="X1270" s="11">
        <v>0.55657552664133025</v>
      </c>
      <c r="Y1270">
        <v>0</v>
      </c>
      <c r="Z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6">
        <v>45350</v>
      </c>
      <c r="B1271" t="s">
        <v>31</v>
      </c>
      <c r="C1271" t="s">
        <v>32</v>
      </c>
      <c r="D1271" t="s">
        <v>33</v>
      </c>
      <c r="E1271" t="s">
        <v>34</v>
      </c>
      <c r="F1271">
        <v>140</v>
      </c>
      <c r="G1271">
        <v>360</v>
      </c>
      <c r="H1271">
        <v>187</v>
      </c>
      <c r="I1271">
        <v>80</v>
      </c>
      <c r="J1271" s="8">
        <v>0.5714285714285714</v>
      </c>
      <c r="K1271">
        <v>43</v>
      </c>
      <c r="L1271">
        <v>23</v>
      </c>
      <c r="M1271">
        <v>176</v>
      </c>
      <c r="N1271" s="10">
        <v>422.49</v>
      </c>
      <c r="O1271" s="7">
        <v>8.6999999999999993</v>
      </c>
      <c r="P1271" s="7">
        <v>26.6</v>
      </c>
      <c r="Q1271">
        <v>2</v>
      </c>
      <c r="R1271" t="s">
        <v>64</v>
      </c>
      <c r="S1271">
        <v>2</v>
      </c>
      <c r="T1271">
        <v>59</v>
      </c>
      <c r="U1271" s="11">
        <v>0.97492791218182362</v>
      </c>
      <c r="V1271" s="11">
        <v>-0.22252093395631434</v>
      </c>
      <c r="W1271" s="11">
        <v>0.84024806960784693</v>
      </c>
      <c r="X1271" s="11">
        <v>0.54220215927298443</v>
      </c>
      <c r="Y1271">
        <v>0</v>
      </c>
      <c r="Z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6">
        <v>45350</v>
      </c>
      <c r="B1272" t="s">
        <v>36</v>
      </c>
      <c r="C1272" t="s">
        <v>37</v>
      </c>
      <c r="D1272" t="s">
        <v>38</v>
      </c>
      <c r="E1272" t="s">
        <v>39</v>
      </c>
      <c r="F1272">
        <v>125</v>
      </c>
      <c r="G1272">
        <v>320</v>
      </c>
      <c r="H1272">
        <v>159</v>
      </c>
      <c r="I1272">
        <v>65</v>
      </c>
      <c r="J1272" s="8">
        <v>0.52</v>
      </c>
      <c r="K1272">
        <v>36</v>
      </c>
      <c r="L1272">
        <v>29</v>
      </c>
      <c r="M1272">
        <v>139</v>
      </c>
      <c r="N1272" s="10">
        <v>642.08000000000004</v>
      </c>
      <c r="O1272" s="7">
        <v>8.6999999999999993</v>
      </c>
      <c r="P1272" s="7">
        <v>26.6</v>
      </c>
      <c r="Q1272">
        <v>2</v>
      </c>
      <c r="R1272" t="s">
        <v>64</v>
      </c>
      <c r="S1272">
        <v>2</v>
      </c>
      <c r="T1272">
        <v>59</v>
      </c>
      <c r="U1272" s="11">
        <v>0.97492791218182362</v>
      </c>
      <c r="V1272" s="11">
        <v>-0.22252093395631434</v>
      </c>
      <c r="W1272" s="11">
        <v>0.84024806960784693</v>
      </c>
      <c r="X1272" s="11">
        <v>0.54220215927298443</v>
      </c>
      <c r="Y1272">
        <v>0</v>
      </c>
      <c r="Z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6">
        <v>45350</v>
      </c>
      <c r="B1273" t="s">
        <v>41</v>
      </c>
      <c r="C1273" t="s">
        <v>42</v>
      </c>
      <c r="D1273" t="s">
        <v>43</v>
      </c>
      <c r="E1273" t="s">
        <v>44</v>
      </c>
      <c r="F1273">
        <v>85</v>
      </c>
      <c r="G1273">
        <v>210</v>
      </c>
      <c r="H1273">
        <v>116</v>
      </c>
      <c r="I1273">
        <v>54</v>
      </c>
      <c r="J1273" s="8">
        <v>0.63529411764705879</v>
      </c>
      <c r="K1273">
        <v>30</v>
      </c>
      <c r="L1273">
        <v>12</v>
      </c>
      <c r="M1273">
        <v>100</v>
      </c>
      <c r="N1273" s="10">
        <v>565.23</v>
      </c>
      <c r="O1273" s="7">
        <v>8.6999999999999993</v>
      </c>
      <c r="P1273" s="7">
        <v>26.6</v>
      </c>
      <c r="Q1273">
        <v>2</v>
      </c>
      <c r="R1273" t="s">
        <v>64</v>
      </c>
      <c r="S1273">
        <v>2</v>
      </c>
      <c r="T1273">
        <v>59</v>
      </c>
      <c r="U1273" s="11">
        <v>0.97492791218182362</v>
      </c>
      <c r="V1273" s="11">
        <v>-0.22252093395631434</v>
      </c>
      <c r="W1273" s="11">
        <v>0.84024806960784693</v>
      </c>
      <c r="X1273" s="11">
        <v>0.54220215927298443</v>
      </c>
      <c r="Y1273">
        <v>0</v>
      </c>
      <c r="Z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6">
        <v>45351</v>
      </c>
      <c r="B1274" t="s">
        <v>31</v>
      </c>
      <c r="C1274" t="s">
        <v>32</v>
      </c>
      <c r="D1274" t="s">
        <v>33</v>
      </c>
      <c r="E1274" t="s">
        <v>34</v>
      </c>
      <c r="F1274">
        <v>140</v>
      </c>
      <c r="G1274">
        <v>360</v>
      </c>
      <c r="H1274">
        <v>181</v>
      </c>
      <c r="I1274">
        <v>74</v>
      </c>
      <c r="J1274" s="8">
        <v>0.52857142857142858</v>
      </c>
      <c r="K1274">
        <v>36</v>
      </c>
      <c r="L1274">
        <v>44</v>
      </c>
      <c r="M1274">
        <v>149</v>
      </c>
      <c r="N1274" s="10">
        <v>408.42</v>
      </c>
      <c r="O1274" s="7">
        <v>6.1</v>
      </c>
      <c r="P1274" s="7">
        <v>27.7</v>
      </c>
      <c r="Q1274">
        <v>3</v>
      </c>
      <c r="R1274" t="s">
        <v>65</v>
      </c>
      <c r="S1274">
        <v>2</v>
      </c>
      <c r="T1274">
        <v>60</v>
      </c>
      <c r="U1274" s="11">
        <v>0.43388373911755823</v>
      </c>
      <c r="V1274" s="11">
        <v>-0.90096886790241903</v>
      </c>
      <c r="W1274" s="11">
        <v>0.84945047948148056</v>
      </c>
      <c r="X1274" s="11">
        <v>0.52766834556251596</v>
      </c>
      <c r="Y1274">
        <v>0</v>
      </c>
      <c r="Z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6">
        <v>45351</v>
      </c>
      <c r="B1275" t="s">
        <v>36</v>
      </c>
      <c r="C1275" t="s">
        <v>37</v>
      </c>
      <c r="D1275" t="s">
        <v>38</v>
      </c>
      <c r="E1275" t="s">
        <v>39</v>
      </c>
      <c r="F1275">
        <v>125</v>
      </c>
      <c r="G1275">
        <v>320</v>
      </c>
      <c r="H1275">
        <v>151</v>
      </c>
      <c r="I1275">
        <v>64</v>
      </c>
      <c r="J1275" s="8">
        <v>0.51200000000000001</v>
      </c>
      <c r="K1275">
        <v>32</v>
      </c>
      <c r="L1275">
        <v>30</v>
      </c>
      <c r="M1275">
        <v>126</v>
      </c>
      <c r="N1275" s="10">
        <v>614.69000000000005</v>
      </c>
      <c r="O1275" s="7">
        <v>6.1</v>
      </c>
      <c r="P1275" s="7">
        <v>27.7</v>
      </c>
      <c r="Q1275">
        <v>3</v>
      </c>
      <c r="R1275" t="s">
        <v>65</v>
      </c>
      <c r="S1275">
        <v>2</v>
      </c>
      <c r="T1275">
        <v>60</v>
      </c>
      <c r="U1275" s="11">
        <v>0.43388373911755823</v>
      </c>
      <c r="V1275" s="11">
        <v>-0.90096886790241903</v>
      </c>
      <c r="W1275" s="11">
        <v>0.84945047948148056</v>
      </c>
      <c r="X1275" s="11">
        <v>0.52766834556251596</v>
      </c>
      <c r="Y1275">
        <v>0</v>
      </c>
      <c r="Z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6">
        <v>45351</v>
      </c>
      <c r="B1276" t="s">
        <v>41</v>
      </c>
      <c r="C1276" t="s">
        <v>42</v>
      </c>
      <c r="D1276" t="s">
        <v>43</v>
      </c>
      <c r="E1276" t="s">
        <v>44</v>
      </c>
      <c r="F1276">
        <v>85</v>
      </c>
      <c r="G1276">
        <v>210</v>
      </c>
      <c r="H1276">
        <v>116</v>
      </c>
      <c r="I1276">
        <v>52</v>
      </c>
      <c r="J1276" s="8">
        <v>0.61176470588235299</v>
      </c>
      <c r="K1276">
        <v>24</v>
      </c>
      <c r="L1276">
        <v>14</v>
      </c>
      <c r="M1276">
        <v>98</v>
      </c>
      <c r="N1276" s="10">
        <v>540.03</v>
      </c>
      <c r="O1276" s="7">
        <v>6.1</v>
      </c>
      <c r="P1276" s="7">
        <v>27.7</v>
      </c>
      <c r="Q1276">
        <v>3</v>
      </c>
      <c r="R1276" t="s">
        <v>65</v>
      </c>
      <c r="S1276">
        <v>2</v>
      </c>
      <c r="T1276">
        <v>60</v>
      </c>
      <c r="U1276" s="11">
        <v>0.43388373911755823</v>
      </c>
      <c r="V1276" s="11">
        <v>-0.90096886790241903</v>
      </c>
      <c r="W1276" s="11">
        <v>0.84945047948148056</v>
      </c>
      <c r="X1276" s="11">
        <v>0.52766834556251596</v>
      </c>
      <c r="Y1276">
        <v>0</v>
      </c>
      <c r="Z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6">
        <v>45352</v>
      </c>
      <c r="B1277" t="s">
        <v>31</v>
      </c>
      <c r="C1277" t="s">
        <v>32</v>
      </c>
      <c r="D1277" t="s">
        <v>33</v>
      </c>
      <c r="E1277" t="s">
        <v>34</v>
      </c>
      <c r="F1277">
        <v>140</v>
      </c>
      <c r="G1277">
        <v>360</v>
      </c>
      <c r="H1277">
        <v>203</v>
      </c>
      <c r="I1277">
        <v>85</v>
      </c>
      <c r="J1277" s="8">
        <v>0.6071428571428571</v>
      </c>
      <c r="K1277">
        <v>32</v>
      </c>
      <c r="L1277">
        <v>45</v>
      </c>
      <c r="M1277">
        <v>178</v>
      </c>
      <c r="N1277" s="10">
        <v>452.21</v>
      </c>
      <c r="O1277" s="7">
        <v>5.4</v>
      </c>
      <c r="P1277" s="7">
        <v>27.5</v>
      </c>
      <c r="Q1277">
        <v>4</v>
      </c>
      <c r="R1277" t="s">
        <v>66</v>
      </c>
      <c r="S1277">
        <v>3</v>
      </c>
      <c r="T1277">
        <v>61</v>
      </c>
      <c r="U1277" s="11">
        <v>-0.43388373911755801</v>
      </c>
      <c r="V1277" s="11">
        <v>-0.90096886790241915</v>
      </c>
      <c r="W1277" s="11">
        <v>0.85840152329189168</v>
      </c>
      <c r="X1277" s="11">
        <v>0.51297838629922798</v>
      </c>
      <c r="Y1277">
        <v>0</v>
      </c>
      <c r="Z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6">
        <v>45352</v>
      </c>
      <c r="B1278" t="s">
        <v>36</v>
      </c>
      <c r="C1278" t="s">
        <v>37</v>
      </c>
      <c r="D1278" t="s">
        <v>38</v>
      </c>
      <c r="E1278" t="s">
        <v>39</v>
      </c>
      <c r="F1278">
        <v>125</v>
      </c>
      <c r="G1278">
        <v>320</v>
      </c>
      <c r="H1278">
        <v>164</v>
      </c>
      <c r="I1278">
        <v>67</v>
      </c>
      <c r="J1278" s="8">
        <v>0.53600000000000003</v>
      </c>
      <c r="K1278">
        <v>29</v>
      </c>
      <c r="L1278">
        <v>36</v>
      </c>
      <c r="M1278">
        <v>140</v>
      </c>
      <c r="N1278" s="10">
        <v>680.08</v>
      </c>
      <c r="O1278" s="7">
        <v>5.4</v>
      </c>
      <c r="P1278" s="7">
        <v>27.5</v>
      </c>
      <c r="Q1278">
        <v>4</v>
      </c>
      <c r="R1278" t="s">
        <v>66</v>
      </c>
      <c r="S1278">
        <v>3</v>
      </c>
      <c r="T1278">
        <v>61</v>
      </c>
      <c r="U1278" s="11">
        <v>-0.43388373911755801</v>
      </c>
      <c r="V1278" s="11">
        <v>-0.90096886790241915</v>
      </c>
      <c r="W1278" s="11">
        <v>0.85840152329189168</v>
      </c>
      <c r="X1278" s="11">
        <v>0.51297838629922798</v>
      </c>
      <c r="Y1278">
        <v>0</v>
      </c>
      <c r="Z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6">
        <v>45352</v>
      </c>
      <c r="B1279" t="s">
        <v>41</v>
      </c>
      <c r="C1279" t="s">
        <v>42</v>
      </c>
      <c r="D1279" t="s">
        <v>43</v>
      </c>
      <c r="E1279" t="s">
        <v>44</v>
      </c>
      <c r="F1279">
        <v>85</v>
      </c>
      <c r="G1279">
        <v>210</v>
      </c>
      <c r="H1279">
        <v>133</v>
      </c>
      <c r="I1279">
        <v>57</v>
      </c>
      <c r="J1279" s="8">
        <v>0.6705882352941176</v>
      </c>
      <c r="K1279">
        <v>21</v>
      </c>
      <c r="L1279">
        <v>20</v>
      </c>
      <c r="M1279">
        <v>121</v>
      </c>
      <c r="N1279" s="10">
        <v>491.61</v>
      </c>
      <c r="O1279" s="7">
        <v>5.4</v>
      </c>
      <c r="P1279" s="7">
        <v>27.5</v>
      </c>
      <c r="Q1279">
        <v>4</v>
      </c>
      <c r="R1279" t="s">
        <v>66</v>
      </c>
      <c r="S1279">
        <v>3</v>
      </c>
      <c r="T1279">
        <v>61</v>
      </c>
      <c r="U1279" s="11">
        <v>-0.43388373911755801</v>
      </c>
      <c r="V1279" s="11">
        <v>-0.90096886790241915</v>
      </c>
      <c r="W1279" s="11">
        <v>0.85840152329189168</v>
      </c>
      <c r="X1279" s="11">
        <v>0.51297838629922798</v>
      </c>
      <c r="Y1279">
        <v>0</v>
      </c>
      <c r="Z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6">
        <v>45353</v>
      </c>
      <c r="B1280" t="s">
        <v>31</v>
      </c>
      <c r="C1280" t="s">
        <v>32</v>
      </c>
      <c r="D1280" t="s">
        <v>33</v>
      </c>
      <c r="E1280" t="s">
        <v>34</v>
      </c>
      <c r="F1280">
        <v>140</v>
      </c>
      <c r="G1280">
        <v>360</v>
      </c>
      <c r="H1280">
        <v>188</v>
      </c>
      <c r="I1280">
        <v>81</v>
      </c>
      <c r="J1280" s="8">
        <v>0.57857142857142863</v>
      </c>
      <c r="K1280">
        <v>37</v>
      </c>
      <c r="L1280">
        <v>25</v>
      </c>
      <c r="M1280">
        <v>160</v>
      </c>
      <c r="N1280" s="10">
        <v>512.75</v>
      </c>
      <c r="O1280" s="7">
        <v>2</v>
      </c>
      <c r="P1280" s="7">
        <v>28.7</v>
      </c>
      <c r="Q1280">
        <v>5</v>
      </c>
      <c r="R1280" t="s">
        <v>67</v>
      </c>
      <c r="S1280">
        <v>3</v>
      </c>
      <c r="T1280">
        <v>62</v>
      </c>
      <c r="U1280" s="11">
        <v>-0.97492791218182362</v>
      </c>
      <c r="V1280" s="11">
        <v>-0.22252093395631459</v>
      </c>
      <c r="W1280" s="11">
        <v>0.86709855228120813</v>
      </c>
      <c r="X1280" s="11">
        <v>0.49813662847840551</v>
      </c>
      <c r="Y1280">
        <v>1</v>
      </c>
      <c r="Z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6">
        <v>45353</v>
      </c>
      <c r="B1281" t="s">
        <v>36</v>
      </c>
      <c r="C1281" t="s">
        <v>37</v>
      </c>
      <c r="D1281" t="s">
        <v>38</v>
      </c>
      <c r="E1281" t="s">
        <v>39</v>
      </c>
      <c r="F1281">
        <v>125</v>
      </c>
      <c r="G1281">
        <v>320</v>
      </c>
      <c r="H1281">
        <v>193</v>
      </c>
      <c r="I1281">
        <v>81</v>
      </c>
      <c r="J1281" s="8">
        <v>0.64800000000000002</v>
      </c>
      <c r="K1281">
        <v>39</v>
      </c>
      <c r="L1281">
        <v>41</v>
      </c>
      <c r="M1281">
        <v>159</v>
      </c>
      <c r="N1281" s="10">
        <v>628.75</v>
      </c>
      <c r="O1281" s="7">
        <v>2</v>
      </c>
      <c r="P1281" s="7">
        <v>28.7</v>
      </c>
      <c r="Q1281">
        <v>5</v>
      </c>
      <c r="R1281" t="s">
        <v>67</v>
      </c>
      <c r="S1281">
        <v>3</v>
      </c>
      <c r="T1281">
        <v>62</v>
      </c>
      <c r="U1281" s="11">
        <v>-0.97492791218182362</v>
      </c>
      <c r="V1281" s="11">
        <v>-0.22252093395631459</v>
      </c>
      <c r="W1281" s="11">
        <v>0.86709855228120813</v>
      </c>
      <c r="X1281" s="11">
        <v>0.49813662847840551</v>
      </c>
      <c r="Y1281">
        <v>1</v>
      </c>
      <c r="Z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6">
        <v>45353</v>
      </c>
      <c r="B1282" t="s">
        <v>41</v>
      </c>
      <c r="C1282" t="s">
        <v>42</v>
      </c>
      <c r="D1282" t="s">
        <v>43</v>
      </c>
      <c r="E1282" t="s">
        <v>44</v>
      </c>
      <c r="F1282">
        <v>85</v>
      </c>
      <c r="G1282">
        <v>210</v>
      </c>
      <c r="H1282">
        <v>131</v>
      </c>
      <c r="I1282">
        <v>58</v>
      </c>
      <c r="J1282" s="8">
        <v>0.68235294117647061</v>
      </c>
      <c r="K1282">
        <v>21</v>
      </c>
      <c r="L1282">
        <v>14</v>
      </c>
      <c r="M1282">
        <v>119</v>
      </c>
      <c r="N1282" s="10">
        <v>650.72</v>
      </c>
      <c r="O1282" s="7">
        <v>2</v>
      </c>
      <c r="P1282" s="7">
        <v>28.7</v>
      </c>
      <c r="Q1282">
        <v>5</v>
      </c>
      <c r="R1282" t="s">
        <v>67</v>
      </c>
      <c r="S1282">
        <v>3</v>
      </c>
      <c r="T1282">
        <v>62</v>
      </c>
      <c r="U1282" s="11">
        <v>-0.97492791218182362</v>
      </c>
      <c r="V1282" s="11">
        <v>-0.22252093395631459</v>
      </c>
      <c r="W1282" s="11">
        <v>0.86709855228120813</v>
      </c>
      <c r="X1282" s="11">
        <v>0.49813662847840551</v>
      </c>
      <c r="Y1282">
        <v>1</v>
      </c>
      <c r="Z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6">
        <v>45354</v>
      </c>
      <c r="B1283" t="s">
        <v>31</v>
      </c>
      <c r="C1283" t="s">
        <v>32</v>
      </c>
      <c r="D1283" t="s">
        <v>33</v>
      </c>
      <c r="E1283" t="s">
        <v>34</v>
      </c>
      <c r="F1283">
        <v>140</v>
      </c>
      <c r="G1283">
        <v>360</v>
      </c>
      <c r="H1283">
        <v>201</v>
      </c>
      <c r="I1283">
        <v>87</v>
      </c>
      <c r="J1283" s="8">
        <v>0.62142857142857144</v>
      </c>
      <c r="K1283">
        <v>42</v>
      </c>
      <c r="L1283">
        <v>52</v>
      </c>
      <c r="M1283">
        <v>186</v>
      </c>
      <c r="N1283" s="10">
        <v>500.22</v>
      </c>
      <c r="O1283" s="7">
        <v>20.9</v>
      </c>
      <c r="P1283" s="7">
        <v>28.4</v>
      </c>
      <c r="Q1283">
        <v>6</v>
      </c>
      <c r="R1283" t="s">
        <v>60</v>
      </c>
      <c r="S1283">
        <v>3</v>
      </c>
      <c r="T1283">
        <v>63</v>
      </c>
      <c r="U1283" s="11">
        <v>-0.78183148246802991</v>
      </c>
      <c r="V1283" s="11">
        <v>0.62348980185873337</v>
      </c>
      <c r="W1283" s="11">
        <v>0.87553899285863024</v>
      </c>
      <c r="X1283" s="11">
        <v>0.48314746401496872</v>
      </c>
      <c r="Y1283">
        <v>1</v>
      </c>
      <c r="Z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6">
        <v>45354</v>
      </c>
      <c r="B1284" t="s">
        <v>36</v>
      </c>
      <c r="C1284" t="s">
        <v>37</v>
      </c>
      <c r="D1284" t="s">
        <v>38</v>
      </c>
      <c r="E1284" t="s">
        <v>39</v>
      </c>
      <c r="F1284">
        <v>125</v>
      </c>
      <c r="G1284">
        <v>320</v>
      </c>
      <c r="H1284">
        <v>185</v>
      </c>
      <c r="I1284">
        <v>78</v>
      </c>
      <c r="J1284" s="8">
        <v>0.624</v>
      </c>
      <c r="K1284">
        <v>34</v>
      </c>
      <c r="L1284">
        <v>24</v>
      </c>
      <c r="M1284">
        <v>161</v>
      </c>
      <c r="N1284" s="10">
        <v>704</v>
      </c>
      <c r="O1284" s="7">
        <v>20.9</v>
      </c>
      <c r="P1284" s="7">
        <v>28.4</v>
      </c>
      <c r="Q1284">
        <v>6</v>
      </c>
      <c r="R1284" t="s">
        <v>60</v>
      </c>
      <c r="S1284">
        <v>3</v>
      </c>
      <c r="T1284">
        <v>63</v>
      </c>
      <c r="U1284" s="11">
        <v>-0.78183148246802991</v>
      </c>
      <c r="V1284" s="11">
        <v>0.62348980185873337</v>
      </c>
      <c r="W1284" s="11">
        <v>0.87553899285863024</v>
      </c>
      <c r="X1284" s="11">
        <v>0.48314746401496872</v>
      </c>
      <c r="Y1284">
        <v>1</v>
      </c>
      <c r="Z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6">
        <v>45354</v>
      </c>
      <c r="B1285" t="s">
        <v>41</v>
      </c>
      <c r="C1285" t="s">
        <v>42</v>
      </c>
      <c r="D1285" t="s">
        <v>43</v>
      </c>
      <c r="E1285" t="s">
        <v>44</v>
      </c>
      <c r="F1285">
        <v>85</v>
      </c>
      <c r="G1285">
        <v>210</v>
      </c>
      <c r="H1285">
        <v>135</v>
      </c>
      <c r="I1285">
        <v>62</v>
      </c>
      <c r="J1285" s="8">
        <v>0.72941176470588232</v>
      </c>
      <c r="K1285">
        <v>18</v>
      </c>
      <c r="L1285">
        <v>14</v>
      </c>
      <c r="M1285">
        <v>109</v>
      </c>
      <c r="N1285" s="10">
        <v>616.99</v>
      </c>
      <c r="O1285" s="7">
        <v>20.9</v>
      </c>
      <c r="P1285" s="7">
        <v>28.4</v>
      </c>
      <c r="Q1285">
        <v>6</v>
      </c>
      <c r="R1285" t="s">
        <v>60</v>
      </c>
      <c r="S1285">
        <v>3</v>
      </c>
      <c r="T1285">
        <v>63</v>
      </c>
      <c r="U1285" s="11">
        <v>-0.78183148246802991</v>
      </c>
      <c r="V1285" s="11">
        <v>0.62348980185873337</v>
      </c>
      <c r="W1285" s="11">
        <v>0.87553899285863024</v>
      </c>
      <c r="X1285" s="11">
        <v>0.48314746401496872</v>
      </c>
      <c r="Y1285">
        <v>1</v>
      </c>
      <c r="Z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6">
        <v>45355</v>
      </c>
      <c r="B1286" t="s">
        <v>31</v>
      </c>
      <c r="C1286" t="s">
        <v>32</v>
      </c>
      <c r="D1286" t="s">
        <v>33</v>
      </c>
      <c r="E1286" t="s">
        <v>34</v>
      </c>
      <c r="F1286">
        <v>140</v>
      </c>
      <c r="G1286">
        <v>360</v>
      </c>
      <c r="H1286">
        <v>186</v>
      </c>
      <c r="I1286">
        <v>80</v>
      </c>
      <c r="J1286" s="8">
        <v>0.5714285714285714</v>
      </c>
      <c r="K1286">
        <v>30</v>
      </c>
      <c r="L1286">
        <v>45</v>
      </c>
      <c r="M1286">
        <v>167</v>
      </c>
      <c r="N1286" s="10">
        <v>405.99</v>
      </c>
      <c r="O1286" s="7">
        <v>9</v>
      </c>
      <c r="P1286" s="7">
        <v>28.1</v>
      </c>
      <c r="Q1286">
        <v>0</v>
      </c>
      <c r="R1286" t="s">
        <v>62</v>
      </c>
      <c r="S1286">
        <v>3</v>
      </c>
      <c r="T1286">
        <v>64</v>
      </c>
      <c r="U1286" s="11">
        <v>0</v>
      </c>
      <c r="V1286" s="11">
        <v>1</v>
      </c>
      <c r="W1286" s="11">
        <v>0.88372034736199767</v>
      </c>
      <c r="X1286" s="11">
        <v>0.46801532844383448</v>
      </c>
      <c r="Y1286">
        <v>0</v>
      </c>
      <c r="Z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6">
        <v>45355</v>
      </c>
      <c r="B1287" t="s">
        <v>36</v>
      </c>
      <c r="C1287" t="s">
        <v>37</v>
      </c>
      <c r="D1287" t="s">
        <v>38</v>
      </c>
      <c r="E1287" t="s">
        <v>39</v>
      </c>
      <c r="F1287">
        <v>125</v>
      </c>
      <c r="G1287">
        <v>320</v>
      </c>
      <c r="H1287">
        <v>177</v>
      </c>
      <c r="I1287">
        <v>72</v>
      </c>
      <c r="J1287" s="8">
        <v>0.57599999999999996</v>
      </c>
      <c r="K1287">
        <v>39</v>
      </c>
      <c r="L1287">
        <v>39</v>
      </c>
      <c r="M1287">
        <v>161</v>
      </c>
      <c r="N1287" s="10">
        <v>670.18</v>
      </c>
      <c r="O1287" s="7">
        <v>9</v>
      </c>
      <c r="P1287" s="7">
        <v>28.1</v>
      </c>
      <c r="Q1287">
        <v>0</v>
      </c>
      <c r="R1287" t="s">
        <v>62</v>
      </c>
      <c r="S1287">
        <v>3</v>
      </c>
      <c r="T1287">
        <v>64</v>
      </c>
      <c r="U1287" s="11">
        <v>0</v>
      </c>
      <c r="V1287" s="11">
        <v>1</v>
      </c>
      <c r="W1287" s="11">
        <v>0.88372034736199767</v>
      </c>
      <c r="X1287" s="11">
        <v>0.46801532844383448</v>
      </c>
      <c r="Y1287">
        <v>0</v>
      </c>
      <c r="Z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6">
        <v>45355</v>
      </c>
      <c r="B1288" t="s">
        <v>41</v>
      </c>
      <c r="C1288" t="s">
        <v>42</v>
      </c>
      <c r="D1288" t="s">
        <v>43</v>
      </c>
      <c r="E1288" t="s">
        <v>44</v>
      </c>
      <c r="F1288">
        <v>85</v>
      </c>
      <c r="G1288">
        <v>210</v>
      </c>
      <c r="H1288">
        <v>120</v>
      </c>
      <c r="I1288">
        <v>52</v>
      </c>
      <c r="J1288" s="8">
        <v>0.61176470588235299</v>
      </c>
      <c r="K1288">
        <v>26</v>
      </c>
      <c r="L1288">
        <v>19</v>
      </c>
      <c r="M1288">
        <v>106</v>
      </c>
      <c r="N1288" s="10">
        <v>492.89</v>
      </c>
      <c r="O1288" s="7">
        <v>9</v>
      </c>
      <c r="P1288" s="7">
        <v>28.1</v>
      </c>
      <c r="Q1288">
        <v>0</v>
      </c>
      <c r="R1288" t="s">
        <v>62</v>
      </c>
      <c r="S1288">
        <v>3</v>
      </c>
      <c r="T1288">
        <v>64</v>
      </c>
      <c r="U1288" s="11">
        <v>0</v>
      </c>
      <c r="V1288" s="11">
        <v>1</v>
      </c>
      <c r="W1288" s="11">
        <v>0.88372034736199767</v>
      </c>
      <c r="X1288" s="11">
        <v>0.46801532844383448</v>
      </c>
      <c r="Y1288">
        <v>0</v>
      </c>
      <c r="Z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6">
        <v>45356</v>
      </c>
      <c r="B1289" t="s">
        <v>31</v>
      </c>
      <c r="C1289" t="s">
        <v>32</v>
      </c>
      <c r="D1289" t="s">
        <v>33</v>
      </c>
      <c r="E1289" t="s">
        <v>34</v>
      </c>
      <c r="F1289">
        <v>140</v>
      </c>
      <c r="G1289">
        <v>360</v>
      </c>
      <c r="H1289">
        <v>152</v>
      </c>
      <c r="I1289">
        <v>66</v>
      </c>
      <c r="J1289" s="8">
        <v>0.47142857142857142</v>
      </c>
      <c r="K1289">
        <v>39</v>
      </c>
      <c r="L1289">
        <v>34</v>
      </c>
      <c r="M1289">
        <v>128</v>
      </c>
      <c r="N1289" s="10">
        <v>461.55</v>
      </c>
      <c r="O1289" s="7">
        <v>5.4</v>
      </c>
      <c r="P1289" s="7">
        <v>28.6</v>
      </c>
      <c r="Q1289">
        <v>1</v>
      </c>
      <c r="R1289" t="s">
        <v>63</v>
      </c>
      <c r="S1289">
        <v>3</v>
      </c>
      <c r="T1289">
        <v>65</v>
      </c>
      <c r="U1289" s="11">
        <v>0.7818314824680298</v>
      </c>
      <c r="V1289" s="11">
        <v>0.62348980185873359</v>
      </c>
      <c r="W1289" s="11">
        <v>0.89164019479688739</v>
      </c>
      <c r="X1289" s="11">
        <v>0.45274469960737107</v>
      </c>
      <c r="Y1289">
        <v>0</v>
      </c>
      <c r="Z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6">
        <v>45356</v>
      </c>
      <c r="B1290" t="s">
        <v>36</v>
      </c>
      <c r="C1290" t="s">
        <v>37</v>
      </c>
      <c r="D1290" t="s">
        <v>38</v>
      </c>
      <c r="E1290" t="s">
        <v>39</v>
      </c>
      <c r="F1290">
        <v>125</v>
      </c>
      <c r="G1290">
        <v>320</v>
      </c>
      <c r="H1290">
        <v>160</v>
      </c>
      <c r="I1290">
        <v>68</v>
      </c>
      <c r="J1290" s="8">
        <v>0.54400000000000004</v>
      </c>
      <c r="K1290">
        <v>46</v>
      </c>
      <c r="L1290">
        <v>18</v>
      </c>
      <c r="M1290">
        <v>139</v>
      </c>
      <c r="N1290" s="10">
        <v>598.63</v>
      </c>
      <c r="O1290" s="7">
        <v>5.4</v>
      </c>
      <c r="P1290" s="7">
        <v>28.6</v>
      </c>
      <c r="Q1290">
        <v>1</v>
      </c>
      <c r="R1290" t="s">
        <v>63</v>
      </c>
      <c r="S1290">
        <v>3</v>
      </c>
      <c r="T1290">
        <v>65</v>
      </c>
      <c r="U1290" s="11">
        <v>0.7818314824680298</v>
      </c>
      <c r="V1290" s="11">
        <v>0.62348980185873359</v>
      </c>
      <c r="W1290" s="11">
        <v>0.89164019479688739</v>
      </c>
      <c r="X1290" s="11">
        <v>0.45274469960737107</v>
      </c>
      <c r="Y1290">
        <v>0</v>
      </c>
      <c r="Z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6">
        <v>45356</v>
      </c>
      <c r="B1291" t="s">
        <v>41</v>
      </c>
      <c r="C1291" t="s">
        <v>42</v>
      </c>
      <c r="D1291" t="s">
        <v>43</v>
      </c>
      <c r="E1291" t="s">
        <v>44</v>
      </c>
      <c r="F1291">
        <v>85</v>
      </c>
      <c r="G1291">
        <v>210</v>
      </c>
      <c r="H1291">
        <v>124</v>
      </c>
      <c r="I1291">
        <v>53</v>
      </c>
      <c r="J1291" s="8">
        <v>0.62352941176470589</v>
      </c>
      <c r="K1291">
        <v>17</v>
      </c>
      <c r="L1291">
        <v>13</v>
      </c>
      <c r="M1291">
        <v>102</v>
      </c>
      <c r="N1291" s="10">
        <v>538.6</v>
      </c>
      <c r="O1291" s="7">
        <v>5.4</v>
      </c>
      <c r="P1291" s="7">
        <v>28.6</v>
      </c>
      <c r="Q1291">
        <v>1</v>
      </c>
      <c r="R1291" t="s">
        <v>63</v>
      </c>
      <c r="S1291">
        <v>3</v>
      </c>
      <c r="T1291">
        <v>65</v>
      </c>
      <c r="U1291" s="11">
        <v>0.7818314824680298</v>
      </c>
      <c r="V1291" s="11">
        <v>0.62348980185873359</v>
      </c>
      <c r="W1291" s="11">
        <v>0.89164019479688739</v>
      </c>
      <c r="X1291" s="11">
        <v>0.45274469960737107</v>
      </c>
      <c r="Y1291">
        <v>0</v>
      </c>
      <c r="Z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6">
        <v>45357</v>
      </c>
      <c r="B1292" t="s">
        <v>31</v>
      </c>
      <c r="C1292" t="s">
        <v>32</v>
      </c>
      <c r="D1292" t="s">
        <v>33</v>
      </c>
      <c r="E1292" t="s">
        <v>34</v>
      </c>
      <c r="F1292">
        <v>140</v>
      </c>
      <c r="G1292">
        <v>360</v>
      </c>
      <c r="H1292">
        <v>188</v>
      </c>
      <c r="I1292">
        <v>80</v>
      </c>
      <c r="J1292" s="8">
        <v>0.5714285714285714</v>
      </c>
      <c r="K1292">
        <v>29</v>
      </c>
      <c r="L1292">
        <v>40</v>
      </c>
      <c r="M1292">
        <v>152</v>
      </c>
      <c r="N1292" s="10">
        <v>418.88</v>
      </c>
      <c r="O1292" s="7">
        <v>1.1000000000000001</v>
      </c>
      <c r="P1292" s="7">
        <v>26.5</v>
      </c>
      <c r="Q1292">
        <v>2</v>
      </c>
      <c r="R1292" t="s">
        <v>64</v>
      </c>
      <c r="S1292">
        <v>3</v>
      </c>
      <c r="T1292">
        <v>66</v>
      </c>
      <c r="U1292" s="11">
        <v>0.97492791218182362</v>
      </c>
      <c r="V1292" s="11">
        <v>-0.22252093395631434</v>
      </c>
      <c r="W1292" s="11">
        <v>0.89929619155302531</v>
      </c>
      <c r="X1292" s="11">
        <v>0.43734009633033227</v>
      </c>
      <c r="Y1292">
        <v>0</v>
      </c>
      <c r="Z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6">
        <v>45357</v>
      </c>
      <c r="B1293" t="s">
        <v>36</v>
      </c>
      <c r="C1293" t="s">
        <v>37</v>
      </c>
      <c r="D1293" t="s">
        <v>38</v>
      </c>
      <c r="E1293" t="s">
        <v>39</v>
      </c>
      <c r="F1293">
        <v>125</v>
      </c>
      <c r="G1293">
        <v>320</v>
      </c>
      <c r="H1293">
        <v>172</v>
      </c>
      <c r="I1293">
        <v>68</v>
      </c>
      <c r="J1293" s="8">
        <v>0.54400000000000004</v>
      </c>
      <c r="K1293">
        <v>35</v>
      </c>
      <c r="L1293">
        <v>42</v>
      </c>
      <c r="M1293">
        <v>139</v>
      </c>
      <c r="N1293" s="10">
        <v>624.83000000000004</v>
      </c>
      <c r="O1293" s="7">
        <v>1.1000000000000001</v>
      </c>
      <c r="P1293" s="7">
        <v>26.5</v>
      </c>
      <c r="Q1293">
        <v>2</v>
      </c>
      <c r="R1293" t="s">
        <v>64</v>
      </c>
      <c r="S1293">
        <v>3</v>
      </c>
      <c r="T1293">
        <v>66</v>
      </c>
      <c r="U1293" s="11">
        <v>0.97492791218182362</v>
      </c>
      <c r="V1293" s="11">
        <v>-0.22252093395631434</v>
      </c>
      <c r="W1293" s="11">
        <v>0.89929619155302531</v>
      </c>
      <c r="X1293" s="11">
        <v>0.43734009633033227</v>
      </c>
      <c r="Y1293">
        <v>0</v>
      </c>
      <c r="Z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6">
        <v>45357</v>
      </c>
      <c r="B1294" t="s">
        <v>41</v>
      </c>
      <c r="C1294" t="s">
        <v>42</v>
      </c>
      <c r="D1294" t="s">
        <v>43</v>
      </c>
      <c r="E1294" t="s">
        <v>44</v>
      </c>
      <c r="F1294">
        <v>85</v>
      </c>
      <c r="G1294">
        <v>210</v>
      </c>
      <c r="H1294">
        <v>113</v>
      </c>
      <c r="I1294">
        <v>50</v>
      </c>
      <c r="J1294" s="8">
        <v>0.58823529411764708</v>
      </c>
      <c r="K1294">
        <v>18</v>
      </c>
      <c r="L1294">
        <v>35</v>
      </c>
      <c r="M1294">
        <v>91</v>
      </c>
      <c r="N1294" s="10">
        <v>574.53</v>
      </c>
      <c r="O1294" s="7">
        <v>1.1000000000000001</v>
      </c>
      <c r="P1294" s="7">
        <v>26.5</v>
      </c>
      <c r="Q1294">
        <v>2</v>
      </c>
      <c r="R1294" t="s">
        <v>64</v>
      </c>
      <c r="S1294">
        <v>3</v>
      </c>
      <c r="T1294">
        <v>66</v>
      </c>
      <c r="U1294" s="11">
        <v>0.97492791218182362</v>
      </c>
      <c r="V1294" s="11">
        <v>-0.22252093395631434</v>
      </c>
      <c r="W1294" s="11">
        <v>0.89929619155302531</v>
      </c>
      <c r="X1294" s="11">
        <v>0.43734009633033227</v>
      </c>
      <c r="Y1294">
        <v>0</v>
      </c>
      <c r="Z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6">
        <v>45358</v>
      </c>
      <c r="B1295" t="s">
        <v>31</v>
      </c>
      <c r="C1295" t="s">
        <v>32</v>
      </c>
      <c r="D1295" t="s">
        <v>33</v>
      </c>
      <c r="E1295" t="s">
        <v>34</v>
      </c>
      <c r="F1295">
        <v>140</v>
      </c>
      <c r="G1295">
        <v>360</v>
      </c>
      <c r="H1295">
        <v>198</v>
      </c>
      <c r="I1295">
        <v>84</v>
      </c>
      <c r="J1295" s="8">
        <v>0.6</v>
      </c>
      <c r="K1295">
        <v>39</v>
      </c>
      <c r="L1295">
        <v>38</v>
      </c>
      <c r="M1295">
        <v>170</v>
      </c>
      <c r="N1295" s="10">
        <v>462.92</v>
      </c>
      <c r="O1295" s="7">
        <v>8.4</v>
      </c>
      <c r="P1295" s="7">
        <v>27.1</v>
      </c>
      <c r="Q1295">
        <v>3</v>
      </c>
      <c r="R1295" t="s">
        <v>65</v>
      </c>
      <c r="S1295">
        <v>3</v>
      </c>
      <c r="T1295">
        <v>67</v>
      </c>
      <c r="U1295" s="11">
        <v>0.43388373911755823</v>
      </c>
      <c r="V1295" s="11">
        <v>-0.90096886790241903</v>
      </c>
      <c r="W1295" s="11">
        <v>0.9066860720977985</v>
      </c>
      <c r="X1295" s="11">
        <v>0.42180607708266338</v>
      </c>
      <c r="Y1295">
        <v>0</v>
      </c>
      <c r="Z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6">
        <v>45358</v>
      </c>
      <c r="B1296" t="s">
        <v>36</v>
      </c>
      <c r="C1296" t="s">
        <v>37</v>
      </c>
      <c r="D1296" t="s">
        <v>38</v>
      </c>
      <c r="E1296" t="s">
        <v>39</v>
      </c>
      <c r="F1296">
        <v>125</v>
      </c>
      <c r="G1296">
        <v>320</v>
      </c>
      <c r="H1296">
        <v>167</v>
      </c>
      <c r="I1296">
        <v>69</v>
      </c>
      <c r="J1296" s="8">
        <v>0.55200000000000005</v>
      </c>
      <c r="K1296">
        <v>41</v>
      </c>
      <c r="L1296">
        <v>22</v>
      </c>
      <c r="M1296">
        <v>139</v>
      </c>
      <c r="N1296" s="10">
        <v>589.71</v>
      </c>
      <c r="O1296" s="7">
        <v>8.4</v>
      </c>
      <c r="P1296" s="7">
        <v>27.1</v>
      </c>
      <c r="Q1296">
        <v>3</v>
      </c>
      <c r="R1296" t="s">
        <v>65</v>
      </c>
      <c r="S1296">
        <v>3</v>
      </c>
      <c r="T1296">
        <v>67</v>
      </c>
      <c r="U1296" s="11">
        <v>0.43388373911755823</v>
      </c>
      <c r="V1296" s="11">
        <v>-0.90096886790241903</v>
      </c>
      <c r="W1296" s="11">
        <v>0.9066860720977985</v>
      </c>
      <c r="X1296" s="11">
        <v>0.42180607708266338</v>
      </c>
      <c r="Y1296">
        <v>0</v>
      </c>
      <c r="Z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6">
        <v>45358</v>
      </c>
      <c r="B1297" t="s">
        <v>41</v>
      </c>
      <c r="C1297" t="s">
        <v>42</v>
      </c>
      <c r="D1297" t="s">
        <v>43</v>
      </c>
      <c r="E1297" t="s">
        <v>44</v>
      </c>
      <c r="F1297">
        <v>85</v>
      </c>
      <c r="G1297">
        <v>210</v>
      </c>
      <c r="H1297">
        <v>108</v>
      </c>
      <c r="I1297">
        <v>50</v>
      </c>
      <c r="J1297" s="8">
        <v>0.58823529411764708</v>
      </c>
      <c r="K1297">
        <v>19</v>
      </c>
      <c r="L1297">
        <v>20</v>
      </c>
      <c r="M1297">
        <v>99</v>
      </c>
      <c r="N1297" s="10">
        <v>511.79</v>
      </c>
      <c r="O1297" s="7">
        <v>8.4</v>
      </c>
      <c r="P1297" s="7">
        <v>27.1</v>
      </c>
      <c r="Q1297">
        <v>3</v>
      </c>
      <c r="R1297" t="s">
        <v>65</v>
      </c>
      <c r="S1297">
        <v>3</v>
      </c>
      <c r="T1297">
        <v>67</v>
      </c>
      <c r="U1297" s="11">
        <v>0.43388373911755823</v>
      </c>
      <c r="V1297" s="11">
        <v>-0.90096886790241903</v>
      </c>
      <c r="W1297" s="11">
        <v>0.9066860720977985</v>
      </c>
      <c r="X1297" s="11">
        <v>0.42180607708266338</v>
      </c>
      <c r="Y1297">
        <v>0</v>
      </c>
      <c r="Z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6">
        <v>45359</v>
      </c>
      <c r="B1298" t="s">
        <v>31</v>
      </c>
      <c r="C1298" t="s">
        <v>32</v>
      </c>
      <c r="D1298" t="s">
        <v>33</v>
      </c>
      <c r="E1298" t="s">
        <v>34</v>
      </c>
      <c r="F1298">
        <v>140</v>
      </c>
      <c r="G1298">
        <v>360</v>
      </c>
      <c r="H1298">
        <v>194</v>
      </c>
      <c r="I1298">
        <v>83</v>
      </c>
      <c r="J1298" s="8">
        <v>0.59285714285714286</v>
      </c>
      <c r="K1298">
        <v>46</v>
      </c>
      <c r="L1298">
        <v>29</v>
      </c>
      <c r="M1298">
        <v>163</v>
      </c>
      <c r="N1298" s="10">
        <v>388.72</v>
      </c>
      <c r="O1298" s="7">
        <v>4.0999999999999996</v>
      </c>
      <c r="P1298" s="7">
        <v>29.8</v>
      </c>
      <c r="Q1298">
        <v>4</v>
      </c>
      <c r="R1298" t="s">
        <v>66</v>
      </c>
      <c r="S1298">
        <v>3</v>
      </c>
      <c r="T1298">
        <v>68</v>
      </c>
      <c r="U1298" s="11">
        <v>-0.43388373911755801</v>
      </c>
      <c r="V1298" s="11">
        <v>-0.90096886790241915</v>
      </c>
      <c r="W1298" s="11">
        <v>0.9138076496466615</v>
      </c>
      <c r="X1298" s="11">
        <v>0.40614723863057883</v>
      </c>
      <c r="Y1298">
        <v>0</v>
      </c>
      <c r="Z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6">
        <v>45359</v>
      </c>
      <c r="B1299" t="s">
        <v>36</v>
      </c>
      <c r="C1299" t="s">
        <v>37</v>
      </c>
      <c r="D1299" t="s">
        <v>38</v>
      </c>
      <c r="E1299" t="s">
        <v>39</v>
      </c>
      <c r="F1299">
        <v>125</v>
      </c>
      <c r="G1299">
        <v>320</v>
      </c>
      <c r="H1299">
        <v>156</v>
      </c>
      <c r="I1299">
        <v>66</v>
      </c>
      <c r="J1299" s="8">
        <v>0.52800000000000002</v>
      </c>
      <c r="K1299">
        <v>39</v>
      </c>
      <c r="L1299">
        <v>31</v>
      </c>
      <c r="M1299">
        <v>138</v>
      </c>
      <c r="N1299" s="10">
        <v>630.02</v>
      </c>
      <c r="O1299" s="7">
        <v>4.0999999999999996</v>
      </c>
      <c r="P1299" s="7">
        <v>29.8</v>
      </c>
      <c r="Q1299">
        <v>4</v>
      </c>
      <c r="R1299" t="s">
        <v>66</v>
      </c>
      <c r="S1299">
        <v>3</v>
      </c>
      <c r="T1299">
        <v>68</v>
      </c>
      <c r="U1299" s="11">
        <v>-0.43388373911755801</v>
      </c>
      <c r="V1299" s="11">
        <v>-0.90096886790241915</v>
      </c>
      <c r="W1299" s="11">
        <v>0.9138076496466615</v>
      </c>
      <c r="X1299" s="11">
        <v>0.40614723863057883</v>
      </c>
      <c r="Y1299">
        <v>0</v>
      </c>
      <c r="Z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6">
        <v>45359</v>
      </c>
      <c r="B1300" t="s">
        <v>41</v>
      </c>
      <c r="C1300" t="s">
        <v>42</v>
      </c>
      <c r="D1300" t="s">
        <v>43</v>
      </c>
      <c r="E1300" t="s">
        <v>44</v>
      </c>
      <c r="F1300">
        <v>85</v>
      </c>
      <c r="G1300">
        <v>210</v>
      </c>
      <c r="H1300">
        <v>109</v>
      </c>
      <c r="I1300">
        <v>48</v>
      </c>
      <c r="J1300" s="8">
        <v>0.56470588235294117</v>
      </c>
      <c r="K1300">
        <v>19</v>
      </c>
      <c r="L1300">
        <v>12</v>
      </c>
      <c r="M1300">
        <v>98</v>
      </c>
      <c r="N1300" s="10">
        <v>502.67</v>
      </c>
      <c r="O1300" s="7">
        <v>4.0999999999999996</v>
      </c>
      <c r="P1300" s="7">
        <v>29.8</v>
      </c>
      <c r="Q1300">
        <v>4</v>
      </c>
      <c r="R1300" t="s">
        <v>66</v>
      </c>
      <c r="S1300">
        <v>3</v>
      </c>
      <c r="T1300">
        <v>68</v>
      </c>
      <c r="U1300" s="11">
        <v>-0.43388373911755801</v>
      </c>
      <c r="V1300" s="11">
        <v>-0.90096886790241915</v>
      </c>
      <c r="W1300" s="11">
        <v>0.9138076496466615</v>
      </c>
      <c r="X1300" s="11">
        <v>0.40614723863057883</v>
      </c>
      <c r="Y1300">
        <v>0</v>
      </c>
      <c r="Z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6">
        <v>45360</v>
      </c>
      <c r="B1301" t="s">
        <v>31</v>
      </c>
      <c r="C1301" t="s">
        <v>32</v>
      </c>
      <c r="D1301" t="s">
        <v>33</v>
      </c>
      <c r="E1301" t="s">
        <v>34</v>
      </c>
      <c r="F1301">
        <v>140</v>
      </c>
      <c r="G1301">
        <v>360</v>
      </c>
      <c r="H1301">
        <v>217</v>
      </c>
      <c r="I1301">
        <v>93</v>
      </c>
      <c r="J1301" s="8">
        <v>0.66428571428571426</v>
      </c>
      <c r="K1301">
        <v>56</v>
      </c>
      <c r="L1301">
        <v>55</v>
      </c>
      <c r="M1301">
        <v>195</v>
      </c>
      <c r="N1301" s="10">
        <v>478.67</v>
      </c>
      <c r="O1301" s="7">
        <v>3</v>
      </c>
      <c r="P1301" s="7">
        <v>28.5</v>
      </c>
      <c r="Q1301">
        <v>5</v>
      </c>
      <c r="R1301" t="s">
        <v>67</v>
      </c>
      <c r="S1301">
        <v>3</v>
      </c>
      <c r="T1301">
        <v>69</v>
      </c>
      <c r="U1301" s="11">
        <v>-0.97492791218182362</v>
      </c>
      <c r="V1301" s="11">
        <v>-0.22252093395631459</v>
      </c>
      <c r="W1301" s="11">
        <v>0.92065881681024275</v>
      </c>
      <c r="X1301" s="11">
        <v>0.39036821467630262</v>
      </c>
      <c r="Y1301">
        <v>1</v>
      </c>
      <c r="Z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6">
        <v>45360</v>
      </c>
      <c r="B1302" t="s">
        <v>36</v>
      </c>
      <c r="C1302" t="s">
        <v>37</v>
      </c>
      <c r="D1302" t="s">
        <v>38</v>
      </c>
      <c r="E1302" t="s">
        <v>39</v>
      </c>
      <c r="F1302">
        <v>125</v>
      </c>
      <c r="G1302">
        <v>320</v>
      </c>
      <c r="H1302">
        <v>195</v>
      </c>
      <c r="I1302">
        <v>86</v>
      </c>
      <c r="J1302" s="8">
        <v>0.68799999999999994</v>
      </c>
      <c r="K1302">
        <v>40</v>
      </c>
      <c r="L1302">
        <v>25</v>
      </c>
      <c r="M1302">
        <v>175</v>
      </c>
      <c r="N1302" s="10">
        <v>656.06</v>
      </c>
      <c r="O1302" s="7">
        <v>3</v>
      </c>
      <c r="P1302" s="7">
        <v>28.5</v>
      </c>
      <c r="Q1302">
        <v>5</v>
      </c>
      <c r="R1302" t="s">
        <v>67</v>
      </c>
      <c r="S1302">
        <v>3</v>
      </c>
      <c r="T1302">
        <v>69</v>
      </c>
      <c r="U1302" s="11">
        <v>-0.97492791218182362</v>
      </c>
      <c r="V1302" s="11">
        <v>-0.22252093395631459</v>
      </c>
      <c r="W1302" s="11">
        <v>0.92065881681024275</v>
      </c>
      <c r="X1302" s="11">
        <v>0.39036821467630262</v>
      </c>
      <c r="Y1302">
        <v>1</v>
      </c>
      <c r="Z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6">
        <v>45360</v>
      </c>
      <c r="B1303" t="s">
        <v>41</v>
      </c>
      <c r="C1303" t="s">
        <v>42</v>
      </c>
      <c r="D1303" t="s">
        <v>43</v>
      </c>
      <c r="E1303" t="s">
        <v>44</v>
      </c>
      <c r="F1303">
        <v>85</v>
      </c>
      <c r="G1303">
        <v>210</v>
      </c>
      <c r="H1303">
        <v>136</v>
      </c>
      <c r="I1303">
        <v>60</v>
      </c>
      <c r="J1303" s="8">
        <v>0.70588235294117652</v>
      </c>
      <c r="K1303">
        <v>27</v>
      </c>
      <c r="L1303">
        <v>21</v>
      </c>
      <c r="M1303">
        <v>123</v>
      </c>
      <c r="N1303" s="10">
        <v>623.37</v>
      </c>
      <c r="O1303" s="7">
        <v>3</v>
      </c>
      <c r="P1303" s="7">
        <v>28.5</v>
      </c>
      <c r="Q1303">
        <v>5</v>
      </c>
      <c r="R1303" t="s">
        <v>67</v>
      </c>
      <c r="S1303">
        <v>3</v>
      </c>
      <c r="T1303">
        <v>69</v>
      </c>
      <c r="U1303" s="11">
        <v>-0.97492791218182362</v>
      </c>
      <c r="V1303" s="11">
        <v>-0.22252093395631459</v>
      </c>
      <c r="W1303" s="11">
        <v>0.92065881681024275</v>
      </c>
      <c r="X1303" s="11">
        <v>0.39036821467630262</v>
      </c>
      <c r="Y1303">
        <v>1</v>
      </c>
      <c r="Z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6">
        <v>45361</v>
      </c>
      <c r="B1304" t="s">
        <v>31</v>
      </c>
      <c r="C1304" t="s">
        <v>32</v>
      </c>
      <c r="D1304" t="s">
        <v>33</v>
      </c>
      <c r="E1304" t="s">
        <v>34</v>
      </c>
      <c r="F1304">
        <v>140</v>
      </c>
      <c r="G1304">
        <v>360</v>
      </c>
      <c r="H1304">
        <v>209</v>
      </c>
      <c r="I1304">
        <v>88</v>
      </c>
      <c r="J1304" s="8">
        <v>0.62857142857142856</v>
      </c>
      <c r="K1304">
        <v>38</v>
      </c>
      <c r="L1304">
        <v>27</v>
      </c>
      <c r="M1304">
        <v>187</v>
      </c>
      <c r="N1304" s="10">
        <v>502.04</v>
      </c>
      <c r="O1304" s="7">
        <v>0</v>
      </c>
      <c r="P1304" s="7">
        <v>27.9</v>
      </c>
      <c r="Q1304">
        <v>6</v>
      </c>
      <c r="R1304" t="s">
        <v>60</v>
      </c>
      <c r="S1304">
        <v>3</v>
      </c>
      <c r="T1304">
        <v>70</v>
      </c>
      <c r="U1304" s="11">
        <v>-0.78183148246802991</v>
      </c>
      <c r="V1304" s="11">
        <v>0.62348980185873337</v>
      </c>
      <c r="W1304" s="11">
        <v>0.92723754621795373</v>
      </c>
      <c r="X1304" s="11">
        <v>0.37447367448688301</v>
      </c>
      <c r="Y1304">
        <v>1</v>
      </c>
      <c r="Z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6">
        <v>45361</v>
      </c>
      <c r="B1305" t="s">
        <v>36</v>
      </c>
      <c r="C1305" t="s">
        <v>37</v>
      </c>
      <c r="D1305" t="s">
        <v>38</v>
      </c>
      <c r="E1305" t="s">
        <v>39</v>
      </c>
      <c r="F1305">
        <v>125</v>
      </c>
      <c r="G1305">
        <v>320</v>
      </c>
      <c r="H1305">
        <v>215</v>
      </c>
      <c r="I1305">
        <v>86</v>
      </c>
      <c r="J1305" s="8">
        <v>0.68799999999999994</v>
      </c>
      <c r="K1305">
        <v>46</v>
      </c>
      <c r="L1305">
        <v>36</v>
      </c>
      <c r="M1305">
        <v>185</v>
      </c>
      <c r="N1305" s="10">
        <v>710.24</v>
      </c>
      <c r="O1305" s="7">
        <v>0</v>
      </c>
      <c r="P1305" s="7">
        <v>27.9</v>
      </c>
      <c r="Q1305">
        <v>6</v>
      </c>
      <c r="R1305" t="s">
        <v>60</v>
      </c>
      <c r="S1305">
        <v>3</v>
      </c>
      <c r="T1305">
        <v>70</v>
      </c>
      <c r="U1305" s="11">
        <v>-0.78183148246802991</v>
      </c>
      <c r="V1305" s="11">
        <v>0.62348980185873337</v>
      </c>
      <c r="W1305" s="11">
        <v>0.92723754621795373</v>
      </c>
      <c r="X1305" s="11">
        <v>0.37447367448688301</v>
      </c>
      <c r="Y1305">
        <v>1</v>
      </c>
      <c r="Z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6">
        <v>45361</v>
      </c>
      <c r="B1306" t="s">
        <v>41</v>
      </c>
      <c r="C1306" t="s">
        <v>42</v>
      </c>
      <c r="D1306" t="s">
        <v>43</v>
      </c>
      <c r="E1306" t="s">
        <v>44</v>
      </c>
      <c r="F1306">
        <v>85</v>
      </c>
      <c r="G1306">
        <v>210</v>
      </c>
      <c r="H1306">
        <v>150</v>
      </c>
      <c r="I1306">
        <v>68</v>
      </c>
      <c r="J1306" s="8">
        <v>0.8</v>
      </c>
      <c r="K1306">
        <v>39</v>
      </c>
      <c r="L1306">
        <v>24</v>
      </c>
      <c r="M1306">
        <v>125</v>
      </c>
      <c r="N1306" s="10">
        <v>536.24</v>
      </c>
      <c r="O1306" s="7">
        <v>0</v>
      </c>
      <c r="P1306" s="7">
        <v>27.9</v>
      </c>
      <c r="Q1306">
        <v>6</v>
      </c>
      <c r="R1306" t="s">
        <v>60</v>
      </c>
      <c r="S1306">
        <v>3</v>
      </c>
      <c r="T1306">
        <v>70</v>
      </c>
      <c r="U1306" s="11">
        <v>-0.78183148246802991</v>
      </c>
      <c r="V1306" s="11">
        <v>0.62348980185873337</v>
      </c>
      <c r="W1306" s="11">
        <v>0.92723754621795373</v>
      </c>
      <c r="X1306" s="11">
        <v>0.37447367448688301</v>
      </c>
      <c r="Y1306">
        <v>1</v>
      </c>
      <c r="Z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6">
        <v>45362</v>
      </c>
      <c r="B1307" t="s">
        <v>31</v>
      </c>
      <c r="C1307" t="s">
        <v>32</v>
      </c>
      <c r="D1307" t="s">
        <v>33</v>
      </c>
      <c r="E1307" t="s">
        <v>34</v>
      </c>
      <c r="F1307">
        <v>140</v>
      </c>
      <c r="G1307">
        <v>360</v>
      </c>
      <c r="H1307">
        <v>185</v>
      </c>
      <c r="I1307">
        <v>79</v>
      </c>
      <c r="J1307" s="8">
        <v>0.56428571428571428</v>
      </c>
      <c r="K1307">
        <v>39</v>
      </c>
      <c r="L1307">
        <v>34</v>
      </c>
      <c r="M1307">
        <v>172</v>
      </c>
      <c r="N1307" s="10">
        <v>447.01</v>
      </c>
      <c r="O1307" s="7">
        <v>6.9</v>
      </c>
      <c r="P1307" s="7">
        <v>28.6</v>
      </c>
      <c r="Q1307">
        <v>0</v>
      </c>
      <c r="R1307" t="s">
        <v>62</v>
      </c>
      <c r="S1307">
        <v>3</v>
      </c>
      <c r="T1307">
        <v>71</v>
      </c>
      <c r="U1307" s="11">
        <v>0</v>
      </c>
      <c r="V1307" s="11">
        <v>1</v>
      </c>
      <c r="W1307" s="11">
        <v>0.93354189111792119</v>
      </c>
      <c r="X1307" s="11">
        <v>0.35846832151248087</v>
      </c>
      <c r="Y1307">
        <v>0</v>
      </c>
      <c r="Z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6">
        <v>45362</v>
      </c>
      <c r="B1308" t="s">
        <v>36</v>
      </c>
      <c r="C1308" t="s">
        <v>37</v>
      </c>
      <c r="D1308" t="s">
        <v>38</v>
      </c>
      <c r="E1308" t="s">
        <v>39</v>
      </c>
      <c r="F1308">
        <v>125</v>
      </c>
      <c r="G1308">
        <v>320</v>
      </c>
      <c r="H1308">
        <v>157</v>
      </c>
      <c r="I1308">
        <v>63</v>
      </c>
      <c r="J1308" s="8">
        <v>0.504</v>
      </c>
      <c r="K1308">
        <v>43</v>
      </c>
      <c r="L1308">
        <v>29</v>
      </c>
      <c r="M1308">
        <v>146</v>
      </c>
      <c r="N1308" s="10">
        <v>657.07</v>
      </c>
      <c r="O1308" s="7">
        <v>6.9</v>
      </c>
      <c r="P1308" s="7">
        <v>28.6</v>
      </c>
      <c r="Q1308">
        <v>0</v>
      </c>
      <c r="R1308" t="s">
        <v>62</v>
      </c>
      <c r="S1308">
        <v>3</v>
      </c>
      <c r="T1308">
        <v>71</v>
      </c>
      <c r="U1308" s="11">
        <v>0</v>
      </c>
      <c r="V1308" s="11">
        <v>1</v>
      </c>
      <c r="W1308" s="11">
        <v>0.93354189111792119</v>
      </c>
      <c r="X1308" s="11">
        <v>0.35846832151248087</v>
      </c>
      <c r="Y1308">
        <v>0</v>
      </c>
      <c r="Z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6">
        <v>45362</v>
      </c>
      <c r="B1309" t="s">
        <v>41</v>
      </c>
      <c r="C1309" t="s">
        <v>42</v>
      </c>
      <c r="D1309" t="s">
        <v>43</v>
      </c>
      <c r="E1309" t="s">
        <v>44</v>
      </c>
      <c r="F1309">
        <v>85</v>
      </c>
      <c r="G1309">
        <v>210</v>
      </c>
      <c r="H1309">
        <v>126</v>
      </c>
      <c r="I1309">
        <v>55</v>
      </c>
      <c r="J1309" s="8">
        <v>0.6470588235294118</v>
      </c>
      <c r="K1309">
        <v>24</v>
      </c>
      <c r="L1309">
        <v>30</v>
      </c>
      <c r="M1309">
        <v>111</v>
      </c>
      <c r="N1309" s="10">
        <v>506.58</v>
      </c>
      <c r="O1309" s="7">
        <v>6.9</v>
      </c>
      <c r="P1309" s="7">
        <v>28.6</v>
      </c>
      <c r="Q1309">
        <v>0</v>
      </c>
      <c r="R1309" t="s">
        <v>62</v>
      </c>
      <c r="S1309">
        <v>3</v>
      </c>
      <c r="T1309">
        <v>71</v>
      </c>
      <c r="U1309" s="11">
        <v>0</v>
      </c>
      <c r="V1309" s="11">
        <v>1</v>
      </c>
      <c r="W1309" s="11">
        <v>0.93354189111792119</v>
      </c>
      <c r="X1309" s="11">
        <v>0.35846832151248087</v>
      </c>
      <c r="Y1309">
        <v>0</v>
      </c>
      <c r="Z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6">
        <v>45363</v>
      </c>
      <c r="B1310" t="s">
        <v>31</v>
      </c>
      <c r="C1310" t="s">
        <v>32</v>
      </c>
      <c r="D1310" t="s">
        <v>33</v>
      </c>
      <c r="E1310" t="s">
        <v>34</v>
      </c>
      <c r="F1310">
        <v>140</v>
      </c>
      <c r="G1310">
        <v>360</v>
      </c>
      <c r="H1310">
        <v>177</v>
      </c>
      <c r="I1310">
        <v>77</v>
      </c>
      <c r="J1310" s="8">
        <v>0.55000000000000004</v>
      </c>
      <c r="K1310">
        <v>33</v>
      </c>
      <c r="L1310">
        <v>53</v>
      </c>
      <c r="M1310">
        <v>144</v>
      </c>
      <c r="N1310" s="10">
        <v>416.02</v>
      </c>
      <c r="O1310" s="7">
        <v>1.1000000000000001</v>
      </c>
      <c r="P1310" s="7">
        <v>28.8</v>
      </c>
      <c r="Q1310">
        <v>1</v>
      </c>
      <c r="R1310" t="s">
        <v>63</v>
      </c>
      <c r="S1310">
        <v>3</v>
      </c>
      <c r="T1310">
        <v>72</v>
      </c>
      <c r="U1310" s="11">
        <v>0.7818314824680298</v>
      </c>
      <c r="V1310" s="11">
        <v>0.62348980185873359</v>
      </c>
      <c r="W1310" s="11">
        <v>0.93956998595306218</v>
      </c>
      <c r="X1310" s="11">
        <v>0.342356891994542</v>
      </c>
      <c r="Y1310">
        <v>0</v>
      </c>
      <c r="Z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6">
        <v>45363</v>
      </c>
      <c r="B1311" t="s">
        <v>36</v>
      </c>
      <c r="C1311" t="s">
        <v>37</v>
      </c>
      <c r="D1311" t="s">
        <v>38</v>
      </c>
      <c r="E1311" t="s">
        <v>39</v>
      </c>
      <c r="F1311">
        <v>125</v>
      </c>
      <c r="G1311">
        <v>320</v>
      </c>
      <c r="H1311">
        <v>181</v>
      </c>
      <c r="I1311">
        <v>73</v>
      </c>
      <c r="J1311" s="8">
        <v>0.58399999999999996</v>
      </c>
      <c r="K1311">
        <v>24</v>
      </c>
      <c r="L1311">
        <v>37</v>
      </c>
      <c r="M1311">
        <v>154</v>
      </c>
      <c r="N1311" s="10">
        <v>622.47</v>
      </c>
      <c r="O1311" s="7">
        <v>1.1000000000000001</v>
      </c>
      <c r="P1311" s="7">
        <v>28.8</v>
      </c>
      <c r="Q1311">
        <v>1</v>
      </c>
      <c r="R1311" t="s">
        <v>63</v>
      </c>
      <c r="S1311">
        <v>3</v>
      </c>
      <c r="T1311">
        <v>72</v>
      </c>
      <c r="U1311" s="11">
        <v>0.7818314824680298</v>
      </c>
      <c r="V1311" s="11">
        <v>0.62348980185873359</v>
      </c>
      <c r="W1311" s="11">
        <v>0.93956998595306218</v>
      </c>
      <c r="X1311" s="11">
        <v>0.342356891994542</v>
      </c>
      <c r="Y1311">
        <v>0</v>
      </c>
      <c r="Z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6">
        <v>45363</v>
      </c>
      <c r="B1312" t="s">
        <v>41</v>
      </c>
      <c r="C1312" t="s">
        <v>42</v>
      </c>
      <c r="D1312" t="s">
        <v>43</v>
      </c>
      <c r="E1312" t="s">
        <v>44</v>
      </c>
      <c r="F1312">
        <v>85</v>
      </c>
      <c r="G1312">
        <v>210</v>
      </c>
      <c r="H1312">
        <v>94</v>
      </c>
      <c r="I1312">
        <v>45</v>
      </c>
      <c r="J1312" s="8">
        <v>0.52941176470588236</v>
      </c>
      <c r="K1312">
        <v>17</v>
      </c>
      <c r="L1312">
        <v>8</v>
      </c>
      <c r="M1312">
        <v>85</v>
      </c>
      <c r="N1312" s="10">
        <v>561.49</v>
      </c>
      <c r="O1312" s="7">
        <v>1.1000000000000001</v>
      </c>
      <c r="P1312" s="7">
        <v>28.8</v>
      </c>
      <c r="Q1312">
        <v>1</v>
      </c>
      <c r="R1312" t="s">
        <v>63</v>
      </c>
      <c r="S1312">
        <v>3</v>
      </c>
      <c r="T1312">
        <v>72</v>
      </c>
      <c r="U1312" s="11">
        <v>0.7818314824680298</v>
      </c>
      <c r="V1312" s="11">
        <v>0.62348980185873359</v>
      </c>
      <c r="W1312" s="11">
        <v>0.93956998595306218</v>
      </c>
      <c r="X1312" s="11">
        <v>0.342356891994542</v>
      </c>
      <c r="Y1312">
        <v>0</v>
      </c>
      <c r="Z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6">
        <v>45364</v>
      </c>
      <c r="B1313" t="s">
        <v>31</v>
      </c>
      <c r="C1313" t="s">
        <v>32</v>
      </c>
      <c r="D1313" t="s">
        <v>33</v>
      </c>
      <c r="E1313" t="s">
        <v>34</v>
      </c>
      <c r="F1313">
        <v>140</v>
      </c>
      <c r="G1313">
        <v>360</v>
      </c>
      <c r="H1313">
        <v>194</v>
      </c>
      <c r="I1313">
        <v>81</v>
      </c>
      <c r="J1313" s="8">
        <v>0.57857142857142863</v>
      </c>
      <c r="K1313">
        <v>32</v>
      </c>
      <c r="L1313">
        <v>41</v>
      </c>
      <c r="M1313">
        <v>158</v>
      </c>
      <c r="N1313" s="10">
        <v>397.35</v>
      </c>
      <c r="O1313" s="7">
        <v>11.8</v>
      </c>
      <c r="P1313" s="7">
        <v>25.2</v>
      </c>
      <c r="Q1313">
        <v>2</v>
      </c>
      <c r="R1313" t="s">
        <v>64</v>
      </c>
      <c r="S1313">
        <v>3</v>
      </c>
      <c r="T1313">
        <v>73</v>
      </c>
      <c r="U1313" s="11">
        <v>0.97492791218182362</v>
      </c>
      <c r="V1313" s="11">
        <v>-0.22252093395631434</v>
      </c>
      <c r="W1313" s="11">
        <v>0.94532004691313198</v>
      </c>
      <c r="X1313" s="11">
        <v>0.32614415356426962</v>
      </c>
      <c r="Y1313">
        <v>0</v>
      </c>
      <c r="Z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6">
        <v>45364</v>
      </c>
      <c r="B1314" t="s">
        <v>36</v>
      </c>
      <c r="C1314" t="s">
        <v>37</v>
      </c>
      <c r="D1314" t="s">
        <v>38</v>
      </c>
      <c r="E1314" t="s">
        <v>39</v>
      </c>
      <c r="F1314">
        <v>125</v>
      </c>
      <c r="G1314">
        <v>320</v>
      </c>
      <c r="H1314">
        <v>166</v>
      </c>
      <c r="I1314">
        <v>69</v>
      </c>
      <c r="J1314" s="8">
        <v>0.55200000000000005</v>
      </c>
      <c r="K1314">
        <v>26</v>
      </c>
      <c r="L1314">
        <v>36</v>
      </c>
      <c r="M1314">
        <v>134</v>
      </c>
      <c r="N1314" s="10">
        <v>568.35</v>
      </c>
      <c r="O1314" s="7">
        <v>11.8</v>
      </c>
      <c r="P1314" s="7">
        <v>25.2</v>
      </c>
      <c r="Q1314">
        <v>2</v>
      </c>
      <c r="R1314" t="s">
        <v>64</v>
      </c>
      <c r="S1314">
        <v>3</v>
      </c>
      <c r="T1314">
        <v>73</v>
      </c>
      <c r="U1314" s="11">
        <v>0.97492791218182362</v>
      </c>
      <c r="V1314" s="11">
        <v>-0.22252093395631434</v>
      </c>
      <c r="W1314" s="11">
        <v>0.94532004691313198</v>
      </c>
      <c r="X1314" s="11">
        <v>0.32614415356426962</v>
      </c>
      <c r="Y1314">
        <v>0</v>
      </c>
      <c r="Z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6">
        <v>45364</v>
      </c>
      <c r="B1315" t="s">
        <v>41</v>
      </c>
      <c r="C1315" t="s">
        <v>42</v>
      </c>
      <c r="D1315" t="s">
        <v>43</v>
      </c>
      <c r="E1315" t="s">
        <v>44</v>
      </c>
      <c r="F1315">
        <v>85</v>
      </c>
      <c r="G1315">
        <v>210</v>
      </c>
      <c r="H1315">
        <v>117</v>
      </c>
      <c r="I1315">
        <v>53</v>
      </c>
      <c r="J1315" s="8">
        <v>0.62352941176470589</v>
      </c>
      <c r="K1315">
        <v>29</v>
      </c>
      <c r="L1315">
        <v>34</v>
      </c>
      <c r="M1315">
        <v>102</v>
      </c>
      <c r="N1315" s="10">
        <v>547.69000000000005</v>
      </c>
      <c r="O1315" s="7">
        <v>11.8</v>
      </c>
      <c r="P1315" s="7">
        <v>25.2</v>
      </c>
      <c r="Q1315">
        <v>2</v>
      </c>
      <c r="R1315" t="s">
        <v>64</v>
      </c>
      <c r="S1315">
        <v>3</v>
      </c>
      <c r="T1315">
        <v>73</v>
      </c>
      <c r="U1315" s="11">
        <v>0.97492791218182362</v>
      </c>
      <c r="V1315" s="11">
        <v>-0.22252093395631434</v>
      </c>
      <c r="W1315" s="11">
        <v>0.94532004691313198</v>
      </c>
      <c r="X1315" s="11">
        <v>0.32614415356426962</v>
      </c>
      <c r="Y1315">
        <v>0</v>
      </c>
      <c r="Z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6">
        <v>45365</v>
      </c>
      <c r="B1316" t="s">
        <v>31</v>
      </c>
      <c r="C1316" t="s">
        <v>32</v>
      </c>
      <c r="D1316" t="s">
        <v>33</v>
      </c>
      <c r="E1316" t="s">
        <v>34</v>
      </c>
      <c r="F1316">
        <v>140</v>
      </c>
      <c r="G1316">
        <v>360</v>
      </c>
      <c r="H1316">
        <v>166</v>
      </c>
      <c r="I1316">
        <v>71</v>
      </c>
      <c r="J1316" s="8">
        <v>0.50714285714285712</v>
      </c>
      <c r="K1316">
        <v>40</v>
      </c>
      <c r="L1316">
        <v>46</v>
      </c>
      <c r="M1316">
        <v>138</v>
      </c>
      <c r="N1316" s="10">
        <v>446.25</v>
      </c>
      <c r="O1316" s="7">
        <v>6.9</v>
      </c>
      <c r="P1316" s="7">
        <v>28.1</v>
      </c>
      <c r="Q1316">
        <v>3</v>
      </c>
      <c r="R1316" t="s">
        <v>65</v>
      </c>
      <c r="S1316">
        <v>3</v>
      </c>
      <c r="T1316">
        <v>74</v>
      </c>
      <c r="U1316" s="11">
        <v>0.43388373911755823</v>
      </c>
      <c r="V1316" s="11">
        <v>-0.90096886790241903</v>
      </c>
      <c r="W1316" s="11">
        <v>0.95079037246258324</v>
      </c>
      <c r="X1316" s="11">
        <v>0.30983490383180251</v>
      </c>
      <c r="Y1316">
        <v>0</v>
      </c>
      <c r="Z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6">
        <v>45365</v>
      </c>
      <c r="B1317" t="s">
        <v>36</v>
      </c>
      <c r="C1317" t="s">
        <v>37</v>
      </c>
      <c r="D1317" t="s">
        <v>38</v>
      </c>
      <c r="E1317" t="s">
        <v>39</v>
      </c>
      <c r="F1317">
        <v>125</v>
      </c>
      <c r="G1317">
        <v>320</v>
      </c>
      <c r="H1317">
        <v>171</v>
      </c>
      <c r="I1317">
        <v>73</v>
      </c>
      <c r="J1317" s="8">
        <v>0.58399999999999996</v>
      </c>
      <c r="K1317">
        <v>32</v>
      </c>
      <c r="L1317">
        <v>41</v>
      </c>
      <c r="M1317">
        <v>159</v>
      </c>
      <c r="N1317" s="10">
        <v>650.36</v>
      </c>
      <c r="O1317" s="7">
        <v>6.9</v>
      </c>
      <c r="P1317" s="7">
        <v>28.1</v>
      </c>
      <c r="Q1317">
        <v>3</v>
      </c>
      <c r="R1317" t="s">
        <v>65</v>
      </c>
      <c r="S1317">
        <v>3</v>
      </c>
      <c r="T1317">
        <v>74</v>
      </c>
      <c r="U1317" s="11">
        <v>0.43388373911755823</v>
      </c>
      <c r="V1317" s="11">
        <v>-0.90096886790241903</v>
      </c>
      <c r="W1317" s="11">
        <v>0.95079037246258324</v>
      </c>
      <c r="X1317" s="11">
        <v>0.30983490383180251</v>
      </c>
      <c r="Y1317">
        <v>0</v>
      </c>
      <c r="Z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6">
        <v>45365</v>
      </c>
      <c r="B1318" t="s">
        <v>41</v>
      </c>
      <c r="C1318" t="s">
        <v>42</v>
      </c>
      <c r="D1318" t="s">
        <v>43</v>
      </c>
      <c r="E1318" t="s">
        <v>44</v>
      </c>
      <c r="F1318">
        <v>85</v>
      </c>
      <c r="G1318">
        <v>210</v>
      </c>
      <c r="H1318">
        <v>108</v>
      </c>
      <c r="I1318">
        <v>48</v>
      </c>
      <c r="J1318" s="8">
        <v>0.56470588235294117</v>
      </c>
      <c r="K1318">
        <v>23</v>
      </c>
      <c r="L1318">
        <v>24</v>
      </c>
      <c r="M1318">
        <v>101</v>
      </c>
      <c r="N1318" s="10">
        <v>499.74</v>
      </c>
      <c r="O1318" s="7">
        <v>6.9</v>
      </c>
      <c r="P1318" s="7">
        <v>28.1</v>
      </c>
      <c r="Q1318">
        <v>3</v>
      </c>
      <c r="R1318" t="s">
        <v>65</v>
      </c>
      <c r="S1318">
        <v>3</v>
      </c>
      <c r="T1318">
        <v>74</v>
      </c>
      <c r="U1318" s="11">
        <v>0.43388373911755823</v>
      </c>
      <c r="V1318" s="11">
        <v>-0.90096886790241903</v>
      </c>
      <c r="W1318" s="11">
        <v>0.95079037246258324</v>
      </c>
      <c r="X1318" s="11">
        <v>0.30983490383180251</v>
      </c>
      <c r="Y1318">
        <v>0</v>
      </c>
      <c r="Z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6">
        <v>45366</v>
      </c>
      <c r="B1319" t="s">
        <v>31</v>
      </c>
      <c r="C1319" t="s">
        <v>32</v>
      </c>
      <c r="D1319" t="s">
        <v>33</v>
      </c>
      <c r="E1319" t="s">
        <v>34</v>
      </c>
      <c r="F1319">
        <v>140</v>
      </c>
      <c r="G1319">
        <v>360</v>
      </c>
      <c r="H1319">
        <v>204</v>
      </c>
      <c r="I1319">
        <v>85</v>
      </c>
      <c r="J1319" s="8">
        <v>0.6071428571428571</v>
      </c>
      <c r="K1319">
        <v>44</v>
      </c>
      <c r="L1319">
        <v>33</v>
      </c>
      <c r="M1319">
        <v>169</v>
      </c>
      <c r="N1319" s="10">
        <v>462.83</v>
      </c>
      <c r="O1319" s="7">
        <v>10</v>
      </c>
      <c r="P1319" s="7">
        <v>26.7</v>
      </c>
      <c r="Q1319">
        <v>4</v>
      </c>
      <c r="R1319" t="s">
        <v>66</v>
      </c>
      <c r="S1319">
        <v>3</v>
      </c>
      <c r="T1319">
        <v>75</v>
      </c>
      <c r="U1319" s="11">
        <v>-0.43388373911755801</v>
      </c>
      <c r="V1319" s="11">
        <v>-0.90096886790241915</v>
      </c>
      <c r="W1319" s="11">
        <v>0.95597934384407657</v>
      </c>
      <c r="X1319" s="11">
        <v>0.29343396896652729</v>
      </c>
      <c r="Y1319">
        <v>0</v>
      </c>
      <c r="Z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6">
        <v>45366</v>
      </c>
      <c r="B1320" t="s">
        <v>36</v>
      </c>
      <c r="C1320" t="s">
        <v>37</v>
      </c>
      <c r="D1320" t="s">
        <v>38</v>
      </c>
      <c r="E1320" t="s">
        <v>39</v>
      </c>
      <c r="F1320">
        <v>125</v>
      </c>
      <c r="G1320">
        <v>320</v>
      </c>
      <c r="H1320">
        <v>164</v>
      </c>
      <c r="I1320">
        <v>70</v>
      </c>
      <c r="J1320" s="8">
        <v>0.56000000000000005</v>
      </c>
      <c r="K1320">
        <v>40</v>
      </c>
      <c r="L1320">
        <v>35</v>
      </c>
      <c r="M1320">
        <v>152</v>
      </c>
      <c r="N1320" s="10">
        <v>649.22</v>
      </c>
      <c r="O1320" s="7">
        <v>10</v>
      </c>
      <c r="P1320" s="7">
        <v>26.7</v>
      </c>
      <c r="Q1320">
        <v>4</v>
      </c>
      <c r="R1320" t="s">
        <v>66</v>
      </c>
      <c r="S1320">
        <v>3</v>
      </c>
      <c r="T1320">
        <v>75</v>
      </c>
      <c r="U1320" s="11">
        <v>-0.43388373911755801</v>
      </c>
      <c r="V1320" s="11">
        <v>-0.90096886790241915</v>
      </c>
      <c r="W1320" s="11">
        <v>0.95597934384407657</v>
      </c>
      <c r="X1320" s="11">
        <v>0.29343396896652729</v>
      </c>
      <c r="Y1320">
        <v>0</v>
      </c>
      <c r="Z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6">
        <v>45366</v>
      </c>
      <c r="B1321" t="s">
        <v>41</v>
      </c>
      <c r="C1321" t="s">
        <v>42</v>
      </c>
      <c r="D1321" t="s">
        <v>43</v>
      </c>
      <c r="E1321" t="s">
        <v>44</v>
      </c>
      <c r="F1321">
        <v>85</v>
      </c>
      <c r="G1321">
        <v>210</v>
      </c>
      <c r="H1321">
        <v>102</v>
      </c>
      <c r="I1321">
        <v>47</v>
      </c>
      <c r="J1321" s="8">
        <v>0.55294117647058827</v>
      </c>
      <c r="K1321">
        <v>24</v>
      </c>
      <c r="L1321">
        <v>15</v>
      </c>
      <c r="M1321">
        <v>93</v>
      </c>
      <c r="N1321" s="10">
        <v>548.20000000000005</v>
      </c>
      <c r="O1321" s="7">
        <v>10</v>
      </c>
      <c r="P1321" s="7">
        <v>26.7</v>
      </c>
      <c r="Q1321">
        <v>4</v>
      </c>
      <c r="R1321" t="s">
        <v>66</v>
      </c>
      <c r="S1321">
        <v>3</v>
      </c>
      <c r="T1321">
        <v>75</v>
      </c>
      <c r="U1321" s="11">
        <v>-0.43388373911755801</v>
      </c>
      <c r="V1321" s="11">
        <v>-0.90096886790241915</v>
      </c>
      <c r="W1321" s="11">
        <v>0.95597934384407657</v>
      </c>
      <c r="X1321" s="11">
        <v>0.29343396896652729</v>
      </c>
      <c r="Y1321">
        <v>0</v>
      </c>
      <c r="Z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6">
        <v>45367</v>
      </c>
      <c r="B1322" t="s">
        <v>31</v>
      </c>
      <c r="C1322" t="s">
        <v>32</v>
      </c>
      <c r="D1322" t="s">
        <v>33</v>
      </c>
      <c r="E1322" t="s">
        <v>34</v>
      </c>
      <c r="F1322">
        <v>140</v>
      </c>
      <c r="G1322">
        <v>360</v>
      </c>
      <c r="H1322">
        <v>211</v>
      </c>
      <c r="I1322">
        <v>90</v>
      </c>
      <c r="J1322" s="8">
        <v>0.6428571428571429</v>
      </c>
      <c r="K1322">
        <v>34</v>
      </c>
      <c r="L1322">
        <v>52</v>
      </c>
      <c r="M1322">
        <v>173</v>
      </c>
      <c r="N1322" s="10">
        <v>442.69</v>
      </c>
      <c r="O1322" s="7">
        <v>11.7</v>
      </c>
      <c r="P1322" s="7">
        <v>28</v>
      </c>
      <c r="Q1322">
        <v>5</v>
      </c>
      <c r="R1322" t="s">
        <v>67</v>
      </c>
      <c r="S1322">
        <v>3</v>
      </c>
      <c r="T1322">
        <v>76</v>
      </c>
      <c r="U1322" s="11">
        <v>-0.97492791218182362</v>
      </c>
      <c r="V1322" s="11">
        <v>-0.22252093395631459</v>
      </c>
      <c r="W1322" s="11">
        <v>0.96088542555749767</v>
      </c>
      <c r="X1322" s="11">
        <v>0.27694620226893646</v>
      </c>
      <c r="Y1322">
        <v>1</v>
      </c>
      <c r="Z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6">
        <v>45367</v>
      </c>
      <c r="B1323" t="s">
        <v>36</v>
      </c>
      <c r="C1323" t="s">
        <v>37</v>
      </c>
      <c r="D1323" t="s">
        <v>38</v>
      </c>
      <c r="E1323" t="s">
        <v>39</v>
      </c>
      <c r="F1323">
        <v>125</v>
      </c>
      <c r="G1323">
        <v>320</v>
      </c>
      <c r="H1323">
        <v>178</v>
      </c>
      <c r="I1323">
        <v>71</v>
      </c>
      <c r="J1323" s="8">
        <v>0.56799999999999995</v>
      </c>
      <c r="K1323">
        <v>21</v>
      </c>
      <c r="L1323">
        <v>25</v>
      </c>
      <c r="M1323">
        <v>165</v>
      </c>
      <c r="N1323" s="10">
        <v>751.19</v>
      </c>
      <c r="O1323" s="7">
        <v>11.7</v>
      </c>
      <c r="P1323" s="7">
        <v>28</v>
      </c>
      <c r="Q1323">
        <v>5</v>
      </c>
      <c r="R1323" t="s">
        <v>67</v>
      </c>
      <c r="S1323">
        <v>3</v>
      </c>
      <c r="T1323">
        <v>76</v>
      </c>
      <c r="U1323" s="11">
        <v>-0.97492791218182362</v>
      </c>
      <c r="V1323" s="11">
        <v>-0.22252093395631459</v>
      </c>
      <c r="W1323" s="11">
        <v>0.96088542555749767</v>
      </c>
      <c r="X1323" s="11">
        <v>0.27694620226893646</v>
      </c>
      <c r="Y1323">
        <v>1</v>
      </c>
      <c r="Z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6">
        <v>45367</v>
      </c>
      <c r="B1324" t="s">
        <v>41</v>
      </c>
      <c r="C1324" t="s">
        <v>42</v>
      </c>
      <c r="D1324" t="s">
        <v>43</v>
      </c>
      <c r="E1324" t="s">
        <v>44</v>
      </c>
      <c r="F1324">
        <v>85</v>
      </c>
      <c r="G1324">
        <v>210</v>
      </c>
      <c r="H1324">
        <v>132</v>
      </c>
      <c r="I1324">
        <v>58</v>
      </c>
      <c r="J1324" s="8">
        <v>0.68235294117647061</v>
      </c>
      <c r="K1324">
        <v>27</v>
      </c>
      <c r="L1324">
        <v>26</v>
      </c>
      <c r="M1324">
        <v>120</v>
      </c>
      <c r="N1324" s="10">
        <v>608.26</v>
      </c>
      <c r="O1324" s="7">
        <v>11.7</v>
      </c>
      <c r="P1324" s="7">
        <v>28</v>
      </c>
      <c r="Q1324">
        <v>5</v>
      </c>
      <c r="R1324" t="s">
        <v>67</v>
      </c>
      <c r="S1324">
        <v>3</v>
      </c>
      <c r="T1324">
        <v>76</v>
      </c>
      <c r="U1324" s="11">
        <v>-0.97492791218182362</v>
      </c>
      <c r="V1324" s="11">
        <v>-0.22252093395631459</v>
      </c>
      <c r="W1324" s="11">
        <v>0.96088542555749767</v>
      </c>
      <c r="X1324" s="11">
        <v>0.27694620226893646</v>
      </c>
      <c r="Y1324">
        <v>1</v>
      </c>
      <c r="Z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6">
        <v>45368</v>
      </c>
      <c r="B1325" t="s">
        <v>31</v>
      </c>
      <c r="C1325" t="s">
        <v>32</v>
      </c>
      <c r="D1325" t="s">
        <v>33</v>
      </c>
      <c r="E1325" t="s">
        <v>34</v>
      </c>
      <c r="F1325">
        <v>140</v>
      </c>
      <c r="G1325">
        <v>360</v>
      </c>
      <c r="H1325">
        <v>194</v>
      </c>
      <c r="I1325">
        <v>85</v>
      </c>
      <c r="J1325" s="8">
        <v>0.6071428571428571</v>
      </c>
      <c r="K1325">
        <v>39</v>
      </c>
      <c r="L1325">
        <v>33</v>
      </c>
      <c r="M1325">
        <v>182</v>
      </c>
      <c r="N1325" s="10">
        <v>479.75</v>
      </c>
      <c r="O1325" s="7">
        <v>15.2</v>
      </c>
      <c r="P1325" s="7">
        <v>28.4</v>
      </c>
      <c r="Q1325">
        <v>6</v>
      </c>
      <c r="R1325" t="s">
        <v>60</v>
      </c>
      <c r="S1325">
        <v>3</v>
      </c>
      <c r="T1325">
        <v>77</v>
      </c>
      <c r="U1325" s="11">
        <v>-0.78183148246802991</v>
      </c>
      <c r="V1325" s="11">
        <v>0.62348980185873337</v>
      </c>
      <c r="W1325" s="11">
        <v>0.96550716581433638</v>
      </c>
      <c r="X1325" s="11">
        <v>0.26037648273445813</v>
      </c>
      <c r="Y1325">
        <v>1</v>
      </c>
      <c r="Z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6">
        <v>45368</v>
      </c>
      <c r="B1326" t="s">
        <v>36</v>
      </c>
      <c r="C1326" t="s">
        <v>37</v>
      </c>
      <c r="D1326" t="s">
        <v>38</v>
      </c>
      <c r="E1326" t="s">
        <v>39</v>
      </c>
      <c r="F1326">
        <v>125</v>
      </c>
      <c r="G1326">
        <v>320</v>
      </c>
      <c r="H1326">
        <v>166</v>
      </c>
      <c r="I1326">
        <v>70</v>
      </c>
      <c r="J1326" s="8">
        <v>0.56000000000000005</v>
      </c>
      <c r="K1326">
        <v>34</v>
      </c>
      <c r="L1326">
        <v>44</v>
      </c>
      <c r="M1326">
        <v>140</v>
      </c>
      <c r="N1326" s="10">
        <v>685.25</v>
      </c>
      <c r="O1326" s="7">
        <v>15.2</v>
      </c>
      <c r="P1326" s="7">
        <v>28.4</v>
      </c>
      <c r="Q1326">
        <v>6</v>
      </c>
      <c r="R1326" t="s">
        <v>60</v>
      </c>
      <c r="S1326">
        <v>3</v>
      </c>
      <c r="T1326">
        <v>77</v>
      </c>
      <c r="U1326" s="11">
        <v>-0.78183148246802991</v>
      </c>
      <c r="V1326" s="11">
        <v>0.62348980185873337</v>
      </c>
      <c r="W1326" s="11">
        <v>0.96550716581433638</v>
      </c>
      <c r="X1326" s="11">
        <v>0.26037648273445813</v>
      </c>
      <c r="Y1326">
        <v>1</v>
      </c>
      <c r="Z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6">
        <v>45368</v>
      </c>
      <c r="B1327" t="s">
        <v>41</v>
      </c>
      <c r="C1327" t="s">
        <v>42</v>
      </c>
      <c r="D1327" t="s">
        <v>43</v>
      </c>
      <c r="E1327" t="s">
        <v>44</v>
      </c>
      <c r="F1327">
        <v>85</v>
      </c>
      <c r="G1327">
        <v>210</v>
      </c>
      <c r="H1327">
        <v>134</v>
      </c>
      <c r="I1327">
        <v>60</v>
      </c>
      <c r="J1327" s="8">
        <v>0.70588235294117652</v>
      </c>
      <c r="K1327">
        <v>33</v>
      </c>
      <c r="L1327">
        <v>27</v>
      </c>
      <c r="M1327">
        <v>124</v>
      </c>
      <c r="N1327" s="10">
        <v>609.21</v>
      </c>
      <c r="O1327" s="7">
        <v>15.2</v>
      </c>
      <c r="P1327" s="7">
        <v>28.4</v>
      </c>
      <c r="Q1327">
        <v>6</v>
      </c>
      <c r="R1327" t="s">
        <v>60</v>
      </c>
      <c r="S1327">
        <v>3</v>
      </c>
      <c r="T1327">
        <v>77</v>
      </c>
      <c r="U1327" s="11">
        <v>-0.78183148246802991</v>
      </c>
      <c r="V1327" s="11">
        <v>0.62348980185873337</v>
      </c>
      <c r="W1327" s="11">
        <v>0.96550716581433638</v>
      </c>
      <c r="X1327" s="11">
        <v>0.26037648273445813</v>
      </c>
      <c r="Y1327">
        <v>1</v>
      </c>
      <c r="Z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6">
        <v>45369</v>
      </c>
      <c r="B1328" t="s">
        <v>31</v>
      </c>
      <c r="C1328" t="s">
        <v>32</v>
      </c>
      <c r="D1328" t="s">
        <v>33</v>
      </c>
      <c r="E1328" t="s">
        <v>34</v>
      </c>
      <c r="F1328">
        <v>140</v>
      </c>
      <c r="G1328">
        <v>360</v>
      </c>
      <c r="H1328">
        <v>182</v>
      </c>
      <c r="I1328">
        <v>78</v>
      </c>
      <c r="J1328" s="8">
        <v>0.55714285714285716</v>
      </c>
      <c r="K1328">
        <v>24</v>
      </c>
      <c r="L1328">
        <v>40</v>
      </c>
      <c r="M1328">
        <v>166</v>
      </c>
      <c r="N1328" s="10">
        <v>416.13</v>
      </c>
      <c r="O1328" s="7">
        <v>11.7</v>
      </c>
      <c r="P1328" s="7">
        <v>27.1</v>
      </c>
      <c r="Q1328">
        <v>0</v>
      </c>
      <c r="R1328" t="s">
        <v>62</v>
      </c>
      <c r="S1328">
        <v>3</v>
      </c>
      <c r="T1328">
        <v>78</v>
      </c>
      <c r="U1328" s="11">
        <v>0</v>
      </c>
      <c r="V1328" s="11">
        <v>1</v>
      </c>
      <c r="W1328" s="11">
        <v>0.96984319696729404</v>
      </c>
      <c r="X1328" s="11">
        <v>0.24372971360968387</v>
      </c>
      <c r="Y1328">
        <v>0</v>
      </c>
      <c r="Z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6">
        <v>45369</v>
      </c>
      <c r="B1329" t="s">
        <v>36</v>
      </c>
      <c r="C1329" t="s">
        <v>37</v>
      </c>
      <c r="D1329" t="s">
        <v>38</v>
      </c>
      <c r="E1329" t="s">
        <v>39</v>
      </c>
      <c r="F1329">
        <v>125</v>
      </c>
      <c r="G1329">
        <v>320</v>
      </c>
      <c r="H1329">
        <v>152</v>
      </c>
      <c r="I1329">
        <v>65</v>
      </c>
      <c r="J1329" s="8">
        <v>0.52</v>
      </c>
      <c r="K1329">
        <v>34</v>
      </c>
      <c r="L1329">
        <v>25</v>
      </c>
      <c r="M1329">
        <v>138</v>
      </c>
      <c r="N1329" s="10">
        <v>564.59</v>
      </c>
      <c r="O1329" s="7">
        <v>11.7</v>
      </c>
      <c r="P1329" s="7">
        <v>27.1</v>
      </c>
      <c r="Q1329">
        <v>0</v>
      </c>
      <c r="R1329" t="s">
        <v>62</v>
      </c>
      <c r="S1329">
        <v>3</v>
      </c>
      <c r="T1329">
        <v>78</v>
      </c>
      <c r="U1329" s="11">
        <v>0</v>
      </c>
      <c r="V1329" s="11">
        <v>1</v>
      </c>
      <c r="W1329" s="11">
        <v>0.96984319696729404</v>
      </c>
      <c r="X1329" s="11">
        <v>0.24372971360968387</v>
      </c>
      <c r="Y1329">
        <v>0</v>
      </c>
      <c r="Z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6">
        <v>45369</v>
      </c>
      <c r="B1330" t="s">
        <v>41</v>
      </c>
      <c r="C1330" t="s">
        <v>42</v>
      </c>
      <c r="D1330" t="s">
        <v>43</v>
      </c>
      <c r="E1330" t="s">
        <v>44</v>
      </c>
      <c r="F1330">
        <v>85</v>
      </c>
      <c r="G1330">
        <v>210</v>
      </c>
      <c r="H1330">
        <v>119</v>
      </c>
      <c r="I1330">
        <v>52</v>
      </c>
      <c r="J1330" s="8">
        <v>0.61176470588235299</v>
      </c>
      <c r="K1330">
        <v>19</v>
      </c>
      <c r="L1330">
        <v>28</v>
      </c>
      <c r="M1330">
        <v>103</v>
      </c>
      <c r="N1330" s="10">
        <v>517.87</v>
      </c>
      <c r="O1330" s="7">
        <v>11.7</v>
      </c>
      <c r="P1330" s="7">
        <v>27.1</v>
      </c>
      <c r="Q1330">
        <v>0</v>
      </c>
      <c r="R1330" t="s">
        <v>62</v>
      </c>
      <c r="S1330">
        <v>3</v>
      </c>
      <c r="T1330">
        <v>78</v>
      </c>
      <c r="U1330" s="11">
        <v>0</v>
      </c>
      <c r="V1330" s="11">
        <v>1</v>
      </c>
      <c r="W1330" s="11">
        <v>0.96984319696729404</v>
      </c>
      <c r="X1330" s="11">
        <v>0.24372971360968387</v>
      </c>
      <c r="Y1330">
        <v>0</v>
      </c>
      <c r="Z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6">
        <v>45370</v>
      </c>
      <c r="B1331" t="s">
        <v>31</v>
      </c>
      <c r="C1331" t="s">
        <v>32</v>
      </c>
      <c r="D1331" t="s">
        <v>33</v>
      </c>
      <c r="E1331" t="s">
        <v>34</v>
      </c>
      <c r="F1331">
        <v>140</v>
      </c>
      <c r="G1331">
        <v>360</v>
      </c>
      <c r="H1331">
        <v>214</v>
      </c>
      <c r="I1331">
        <v>90</v>
      </c>
      <c r="J1331" s="8">
        <v>0.6428571428571429</v>
      </c>
      <c r="K1331">
        <v>42</v>
      </c>
      <c r="L1331">
        <v>38</v>
      </c>
      <c r="M1331">
        <v>190</v>
      </c>
      <c r="N1331" s="10">
        <v>405.61</v>
      </c>
      <c r="O1331" s="7">
        <v>2.7</v>
      </c>
      <c r="P1331" s="7">
        <v>26.7</v>
      </c>
      <c r="Q1331">
        <v>1</v>
      </c>
      <c r="R1331" t="s">
        <v>63</v>
      </c>
      <c r="S1331">
        <v>3</v>
      </c>
      <c r="T1331">
        <v>79</v>
      </c>
      <c r="U1331" s="11">
        <v>0.7818314824680298</v>
      </c>
      <c r="V1331" s="11">
        <v>0.62348980185873359</v>
      </c>
      <c r="W1331" s="11">
        <v>0.97389223591499241</v>
      </c>
      <c r="X1331" s="11">
        <v>0.22701082094141847</v>
      </c>
      <c r="Y1331">
        <v>0</v>
      </c>
      <c r="Z1331">
        <v>1</v>
      </c>
      <c r="AA1331" t="s">
        <v>68</v>
      </c>
      <c r="AB1331">
        <v>0</v>
      </c>
      <c r="AC1331">
        <v>0</v>
      </c>
      <c r="AD1331">
        <v>0</v>
      </c>
      <c r="AE1331">
        <v>0</v>
      </c>
    </row>
    <row r="1332" spans="1:31">
      <c r="A1332" s="6">
        <v>45370</v>
      </c>
      <c r="B1332" t="s">
        <v>36</v>
      </c>
      <c r="C1332" t="s">
        <v>37</v>
      </c>
      <c r="D1332" t="s">
        <v>38</v>
      </c>
      <c r="E1332" t="s">
        <v>39</v>
      </c>
      <c r="F1332">
        <v>125</v>
      </c>
      <c r="G1332">
        <v>320</v>
      </c>
      <c r="H1332">
        <v>192</v>
      </c>
      <c r="I1332">
        <v>78</v>
      </c>
      <c r="J1332" s="8">
        <v>0.624</v>
      </c>
      <c r="K1332">
        <v>47</v>
      </c>
      <c r="L1332">
        <v>42</v>
      </c>
      <c r="M1332">
        <v>180</v>
      </c>
      <c r="N1332" s="10">
        <v>607.69000000000005</v>
      </c>
      <c r="O1332" s="7">
        <v>2.7</v>
      </c>
      <c r="P1332" s="7">
        <v>26.7</v>
      </c>
      <c r="Q1332">
        <v>1</v>
      </c>
      <c r="R1332" t="s">
        <v>63</v>
      </c>
      <c r="S1332">
        <v>3</v>
      </c>
      <c r="T1332">
        <v>79</v>
      </c>
      <c r="U1332" s="11">
        <v>0.7818314824680298</v>
      </c>
      <c r="V1332" s="11">
        <v>0.62348980185873359</v>
      </c>
      <c r="W1332" s="11">
        <v>0.97389223591499241</v>
      </c>
      <c r="X1332" s="11">
        <v>0.22701082094141847</v>
      </c>
      <c r="Y1332">
        <v>0</v>
      </c>
      <c r="Z1332">
        <v>1</v>
      </c>
      <c r="AA1332" t="s">
        <v>68</v>
      </c>
      <c r="AB1332">
        <v>0</v>
      </c>
      <c r="AC1332">
        <v>0</v>
      </c>
      <c r="AD1332">
        <v>0</v>
      </c>
      <c r="AE1332">
        <v>0</v>
      </c>
    </row>
    <row r="1333" spans="1:31">
      <c r="A1333" s="6">
        <v>45370</v>
      </c>
      <c r="B1333" t="s">
        <v>41</v>
      </c>
      <c r="C1333" t="s">
        <v>42</v>
      </c>
      <c r="D1333" t="s">
        <v>43</v>
      </c>
      <c r="E1333" t="s">
        <v>44</v>
      </c>
      <c r="F1333">
        <v>85</v>
      </c>
      <c r="G1333">
        <v>210</v>
      </c>
      <c r="H1333">
        <v>134</v>
      </c>
      <c r="I1333">
        <v>59</v>
      </c>
      <c r="J1333" s="8">
        <v>0.69411764705882351</v>
      </c>
      <c r="K1333">
        <v>33</v>
      </c>
      <c r="L1333">
        <v>17</v>
      </c>
      <c r="M1333">
        <v>108</v>
      </c>
      <c r="N1333" s="10">
        <v>494.36</v>
      </c>
      <c r="O1333" s="7">
        <v>2.7</v>
      </c>
      <c r="P1333" s="7">
        <v>26.7</v>
      </c>
      <c r="Q1333">
        <v>1</v>
      </c>
      <c r="R1333" t="s">
        <v>63</v>
      </c>
      <c r="S1333">
        <v>3</v>
      </c>
      <c r="T1333">
        <v>79</v>
      </c>
      <c r="U1333" s="11">
        <v>0.7818314824680298</v>
      </c>
      <c r="V1333" s="11">
        <v>0.62348980185873359</v>
      </c>
      <c r="W1333" s="11">
        <v>0.97389223591499241</v>
      </c>
      <c r="X1333" s="11">
        <v>0.22701082094141847</v>
      </c>
      <c r="Y1333">
        <v>0</v>
      </c>
      <c r="Z1333">
        <v>1</v>
      </c>
      <c r="AA1333" t="s">
        <v>68</v>
      </c>
      <c r="AB1333">
        <v>0</v>
      </c>
      <c r="AC1333">
        <v>0</v>
      </c>
      <c r="AD1333">
        <v>0</v>
      </c>
      <c r="AE1333">
        <v>0</v>
      </c>
    </row>
    <row r="1334" spans="1:31">
      <c r="A1334" s="6">
        <v>45371</v>
      </c>
      <c r="B1334" t="s">
        <v>31</v>
      </c>
      <c r="C1334" t="s">
        <v>32</v>
      </c>
      <c r="D1334" t="s">
        <v>33</v>
      </c>
      <c r="E1334" t="s">
        <v>34</v>
      </c>
      <c r="F1334">
        <v>140</v>
      </c>
      <c r="G1334">
        <v>360</v>
      </c>
      <c r="H1334">
        <v>176</v>
      </c>
      <c r="I1334">
        <v>74</v>
      </c>
      <c r="J1334" s="8">
        <v>0.52857142857142858</v>
      </c>
      <c r="K1334">
        <v>42</v>
      </c>
      <c r="L1334">
        <v>42</v>
      </c>
      <c r="M1334">
        <v>160</v>
      </c>
      <c r="N1334" s="10">
        <v>459.31</v>
      </c>
      <c r="O1334" s="7">
        <v>15.5</v>
      </c>
      <c r="P1334" s="7">
        <v>27.8</v>
      </c>
      <c r="Q1334">
        <v>2</v>
      </c>
      <c r="R1334" t="s">
        <v>64</v>
      </c>
      <c r="S1334">
        <v>3</v>
      </c>
      <c r="T1334">
        <v>80</v>
      </c>
      <c r="U1334" s="11">
        <v>0.97492791218182362</v>
      </c>
      <c r="V1334" s="11">
        <v>-0.22252093395631434</v>
      </c>
      <c r="W1334" s="11">
        <v>0.9776530844816641</v>
      </c>
      <c r="X1334" s="11">
        <v>0.21022475211898359</v>
      </c>
      <c r="Y1334">
        <v>0</v>
      </c>
      <c r="Z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 s="6">
        <v>45371</v>
      </c>
      <c r="B1335" t="s">
        <v>36</v>
      </c>
      <c r="C1335" t="s">
        <v>37</v>
      </c>
      <c r="D1335" t="s">
        <v>38</v>
      </c>
      <c r="E1335" t="s">
        <v>39</v>
      </c>
      <c r="F1335">
        <v>125</v>
      </c>
      <c r="G1335">
        <v>320</v>
      </c>
      <c r="H1335">
        <v>154</v>
      </c>
      <c r="I1335">
        <v>65</v>
      </c>
      <c r="J1335" s="8">
        <v>0.52</v>
      </c>
      <c r="K1335">
        <v>23</v>
      </c>
      <c r="L1335">
        <v>21</v>
      </c>
      <c r="M1335">
        <v>138</v>
      </c>
      <c r="N1335" s="10">
        <v>611.57000000000005</v>
      </c>
      <c r="O1335" s="7">
        <v>15.5</v>
      </c>
      <c r="P1335" s="7">
        <v>27.8</v>
      </c>
      <c r="Q1335">
        <v>2</v>
      </c>
      <c r="R1335" t="s">
        <v>64</v>
      </c>
      <c r="S1335">
        <v>3</v>
      </c>
      <c r="T1335">
        <v>80</v>
      </c>
      <c r="U1335" s="11">
        <v>0.97492791218182362</v>
      </c>
      <c r="V1335" s="11">
        <v>-0.22252093395631434</v>
      </c>
      <c r="W1335" s="11">
        <v>0.9776530844816641</v>
      </c>
      <c r="X1335" s="11">
        <v>0.21022475211898359</v>
      </c>
      <c r="Y1335">
        <v>0</v>
      </c>
      <c r="Z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6">
        <v>45371</v>
      </c>
      <c r="B1336" t="s">
        <v>41</v>
      </c>
      <c r="C1336" t="s">
        <v>42</v>
      </c>
      <c r="D1336" t="s">
        <v>43</v>
      </c>
      <c r="E1336" t="s">
        <v>44</v>
      </c>
      <c r="F1336">
        <v>85</v>
      </c>
      <c r="G1336">
        <v>210</v>
      </c>
      <c r="H1336">
        <v>107</v>
      </c>
      <c r="I1336">
        <v>49</v>
      </c>
      <c r="J1336" s="8">
        <v>0.57647058823529407</v>
      </c>
      <c r="K1336">
        <v>18</v>
      </c>
      <c r="L1336">
        <v>15</v>
      </c>
      <c r="M1336">
        <v>95</v>
      </c>
      <c r="N1336" s="10">
        <v>503.22</v>
      </c>
      <c r="O1336" s="7">
        <v>15.5</v>
      </c>
      <c r="P1336" s="7">
        <v>27.8</v>
      </c>
      <c r="Q1336">
        <v>2</v>
      </c>
      <c r="R1336" t="s">
        <v>64</v>
      </c>
      <c r="S1336">
        <v>3</v>
      </c>
      <c r="T1336">
        <v>80</v>
      </c>
      <c r="U1336" s="11">
        <v>0.97492791218182362</v>
      </c>
      <c r="V1336" s="11">
        <v>-0.22252093395631434</v>
      </c>
      <c r="W1336" s="11">
        <v>0.9776530844816641</v>
      </c>
      <c r="X1336" s="11">
        <v>0.21022475211898359</v>
      </c>
      <c r="Y1336">
        <v>0</v>
      </c>
      <c r="Z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6">
        <v>45372</v>
      </c>
      <c r="B1337" t="s">
        <v>31</v>
      </c>
      <c r="C1337" t="s">
        <v>32</v>
      </c>
      <c r="D1337" t="s">
        <v>33</v>
      </c>
      <c r="E1337" t="s">
        <v>34</v>
      </c>
      <c r="F1337">
        <v>140</v>
      </c>
      <c r="G1337">
        <v>360</v>
      </c>
      <c r="H1337">
        <v>191</v>
      </c>
      <c r="I1337">
        <v>82</v>
      </c>
      <c r="J1337" s="8">
        <v>0.58571428571428574</v>
      </c>
      <c r="K1337">
        <v>50</v>
      </c>
      <c r="L1337">
        <v>26</v>
      </c>
      <c r="M1337">
        <v>166</v>
      </c>
      <c r="N1337" s="10">
        <v>390.98</v>
      </c>
      <c r="O1337" s="7">
        <v>11.4</v>
      </c>
      <c r="P1337" s="7">
        <v>27.2</v>
      </c>
      <c r="Q1337">
        <v>3</v>
      </c>
      <c r="R1337" t="s">
        <v>65</v>
      </c>
      <c r="S1337">
        <v>3</v>
      </c>
      <c r="T1337">
        <v>81</v>
      </c>
      <c r="U1337" s="11">
        <v>0.43388373911755823</v>
      </c>
      <c r="V1337" s="11">
        <v>-0.90096886790241903</v>
      </c>
      <c r="W1337" s="11">
        <v>0.981124629771712</v>
      </c>
      <c r="X1337" s="11">
        <v>0.19337647441020586</v>
      </c>
      <c r="Y1337">
        <v>0</v>
      </c>
      <c r="Z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6">
        <v>45372</v>
      </c>
      <c r="B1338" t="s">
        <v>36</v>
      </c>
      <c r="C1338" t="s">
        <v>37</v>
      </c>
      <c r="D1338" t="s">
        <v>38</v>
      </c>
      <c r="E1338" t="s">
        <v>39</v>
      </c>
      <c r="F1338">
        <v>125</v>
      </c>
      <c r="G1338">
        <v>320</v>
      </c>
      <c r="H1338">
        <v>166</v>
      </c>
      <c r="I1338">
        <v>68</v>
      </c>
      <c r="J1338" s="8">
        <v>0.54400000000000004</v>
      </c>
      <c r="K1338">
        <v>22</v>
      </c>
      <c r="L1338">
        <v>38</v>
      </c>
      <c r="M1338">
        <v>143</v>
      </c>
      <c r="N1338" s="10">
        <v>661.45</v>
      </c>
      <c r="O1338" s="7">
        <v>11.4</v>
      </c>
      <c r="P1338" s="7">
        <v>27.2</v>
      </c>
      <c r="Q1338">
        <v>3</v>
      </c>
      <c r="R1338" t="s">
        <v>65</v>
      </c>
      <c r="S1338">
        <v>3</v>
      </c>
      <c r="T1338">
        <v>81</v>
      </c>
      <c r="U1338" s="11">
        <v>0.43388373911755823</v>
      </c>
      <c r="V1338" s="11">
        <v>-0.90096886790241903</v>
      </c>
      <c r="W1338" s="11">
        <v>0.981124629771712</v>
      </c>
      <c r="X1338" s="11">
        <v>0.19337647441020586</v>
      </c>
      <c r="Y1338">
        <v>0</v>
      </c>
      <c r="Z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6">
        <v>45372</v>
      </c>
      <c r="B1339" t="s">
        <v>41</v>
      </c>
      <c r="C1339" t="s">
        <v>42</v>
      </c>
      <c r="D1339" t="s">
        <v>43</v>
      </c>
      <c r="E1339" t="s">
        <v>44</v>
      </c>
      <c r="F1339">
        <v>85</v>
      </c>
      <c r="G1339">
        <v>210</v>
      </c>
      <c r="H1339">
        <v>110</v>
      </c>
      <c r="I1339">
        <v>50</v>
      </c>
      <c r="J1339" s="8">
        <v>0.58823529411764708</v>
      </c>
      <c r="K1339">
        <v>17</v>
      </c>
      <c r="L1339">
        <v>30</v>
      </c>
      <c r="M1339">
        <v>93</v>
      </c>
      <c r="N1339" s="10">
        <v>568.33000000000004</v>
      </c>
      <c r="O1339" s="7">
        <v>11.4</v>
      </c>
      <c r="P1339" s="7">
        <v>27.2</v>
      </c>
      <c r="Q1339">
        <v>3</v>
      </c>
      <c r="R1339" t="s">
        <v>65</v>
      </c>
      <c r="S1339">
        <v>3</v>
      </c>
      <c r="T1339">
        <v>81</v>
      </c>
      <c r="U1339" s="11">
        <v>0.43388373911755823</v>
      </c>
      <c r="V1339" s="11">
        <v>-0.90096886790241903</v>
      </c>
      <c r="W1339" s="11">
        <v>0.981124629771712</v>
      </c>
      <c r="X1339" s="11">
        <v>0.19337647441020586</v>
      </c>
      <c r="Y1339">
        <v>0</v>
      </c>
      <c r="Z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6">
        <v>45373</v>
      </c>
      <c r="B1340" t="s">
        <v>31</v>
      </c>
      <c r="C1340" t="s">
        <v>32</v>
      </c>
      <c r="D1340" t="s">
        <v>33</v>
      </c>
      <c r="E1340" t="s">
        <v>34</v>
      </c>
      <c r="F1340">
        <v>140</v>
      </c>
      <c r="G1340">
        <v>360</v>
      </c>
      <c r="H1340">
        <v>192</v>
      </c>
      <c r="I1340">
        <v>82</v>
      </c>
      <c r="J1340" s="8">
        <v>0.58571428571428574</v>
      </c>
      <c r="K1340">
        <v>47</v>
      </c>
      <c r="L1340">
        <v>31</v>
      </c>
      <c r="M1340">
        <v>165</v>
      </c>
      <c r="N1340" s="10">
        <v>428.62</v>
      </c>
      <c r="O1340" s="7">
        <v>9.6</v>
      </c>
      <c r="P1340" s="7">
        <v>29.3</v>
      </c>
      <c r="Q1340">
        <v>4</v>
      </c>
      <c r="R1340" t="s">
        <v>66</v>
      </c>
      <c r="S1340">
        <v>3</v>
      </c>
      <c r="T1340">
        <v>82</v>
      </c>
      <c r="U1340" s="11">
        <v>-0.43388373911755801</v>
      </c>
      <c r="V1340" s="11">
        <v>-0.90096886790241915</v>
      </c>
      <c r="W1340" s="11">
        <v>0.98430584449903302</v>
      </c>
      <c r="X1340" s="11">
        <v>0.17647097349152166</v>
      </c>
      <c r="Y1340">
        <v>0</v>
      </c>
      <c r="Z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6">
        <v>45373</v>
      </c>
      <c r="B1341" t="s">
        <v>36</v>
      </c>
      <c r="C1341" t="s">
        <v>37</v>
      </c>
      <c r="D1341" t="s">
        <v>38</v>
      </c>
      <c r="E1341" t="s">
        <v>39</v>
      </c>
      <c r="F1341">
        <v>125</v>
      </c>
      <c r="G1341">
        <v>320</v>
      </c>
      <c r="H1341">
        <v>165</v>
      </c>
      <c r="I1341">
        <v>66</v>
      </c>
      <c r="J1341" s="8">
        <v>0.52800000000000002</v>
      </c>
      <c r="K1341">
        <v>28</v>
      </c>
      <c r="L1341">
        <v>21</v>
      </c>
      <c r="M1341">
        <v>146</v>
      </c>
      <c r="N1341" s="10">
        <v>597.85</v>
      </c>
      <c r="O1341" s="7">
        <v>9.6</v>
      </c>
      <c r="P1341" s="7">
        <v>29.3</v>
      </c>
      <c r="Q1341">
        <v>4</v>
      </c>
      <c r="R1341" t="s">
        <v>66</v>
      </c>
      <c r="S1341">
        <v>3</v>
      </c>
      <c r="T1341">
        <v>82</v>
      </c>
      <c r="U1341" s="11">
        <v>-0.43388373911755801</v>
      </c>
      <c r="V1341" s="11">
        <v>-0.90096886790241915</v>
      </c>
      <c r="W1341" s="11">
        <v>0.98430584449903302</v>
      </c>
      <c r="X1341" s="11">
        <v>0.17647097349152166</v>
      </c>
      <c r="Y1341">
        <v>0</v>
      </c>
      <c r="Z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6">
        <v>45373</v>
      </c>
      <c r="B1342" t="s">
        <v>41</v>
      </c>
      <c r="C1342" t="s">
        <v>42</v>
      </c>
      <c r="D1342" t="s">
        <v>43</v>
      </c>
      <c r="E1342" t="s">
        <v>44</v>
      </c>
      <c r="F1342">
        <v>85</v>
      </c>
      <c r="G1342">
        <v>210</v>
      </c>
      <c r="H1342">
        <v>124</v>
      </c>
      <c r="I1342">
        <v>53</v>
      </c>
      <c r="J1342" s="8">
        <v>0.62352941176470589</v>
      </c>
      <c r="K1342">
        <v>32</v>
      </c>
      <c r="L1342">
        <v>30</v>
      </c>
      <c r="M1342">
        <v>113</v>
      </c>
      <c r="N1342" s="10">
        <v>525.98</v>
      </c>
      <c r="O1342" s="7">
        <v>9.6</v>
      </c>
      <c r="P1342" s="7">
        <v>29.3</v>
      </c>
      <c r="Q1342">
        <v>4</v>
      </c>
      <c r="R1342" t="s">
        <v>66</v>
      </c>
      <c r="S1342">
        <v>3</v>
      </c>
      <c r="T1342">
        <v>82</v>
      </c>
      <c r="U1342" s="11">
        <v>-0.43388373911755801</v>
      </c>
      <c r="V1342" s="11">
        <v>-0.90096886790241915</v>
      </c>
      <c r="W1342" s="11">
        <v>0.98430584449903302</v>
      </c>
      <c r="X1342" s="11">
        <v>0.17647097349152166</v>
      </c>
      <c r="Y1342">
        <v>0</v>
      </c>
      <c r="Z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6">
        <v>45374</v>
      </c>
      <c r="B1343" t="s">
        <v>31</v>
      </c>
      <c r="C1343" t="s">
        <v>32</v>
      </c>
      <c r="D1343" t="s">
        <v>33</v>
      </c>
      <c r="E1343" t="s">
        <v>34</v>
      </c>
      <c r="F1343">
        <v>140</v>
      </c>
      <c r="G1343">
        <v>360</v>
      </c>
      <c r="H1343">
        <v>201</v>
      </c>
      <c r="I1343">
        <v>87</v>
      </c>
      <c r="J1343" s="8">
        <v>0.62142857142857144</v>
      </c>
      <c r="K1343">
        <v>52</v>
      </c>
      <c r="L1343">
        <v>44</v>
      </c>
      <c r="M1343">
        <v>188</v>
      </c>
      <c r="N1343" s="10">
        <v>486.78</v>
      </c>
      <c r="O1343" s="7">
        <v>7.1</v>
      </c>
      <c r="P1343" s="7">
        <v>28.1</v>
      </c>
      <c r="Q1343">
        <v>5</v>
      </c>
      <c r="R1343" t="s">
        <v>67</v>
      </c>
      <c r="S1343">
        <v>3</v>
      </c>
      <c r="T1343">
        <v>83</v>
      </c>
      <c r="U1343" s="11">
        <v>-0.97492791218182362</v>
      </c>
      <c r="V1343" s="11">
        <v>-0.22252093395631459</v>
      </c>
      <c r="W1343" s="11">
        <v>0.98719578729100854</v>
      </c>
      <c r="X1343" s="11">
        <v>0.15951325197263655</v>
      </c>
      <c r="Y1343">
        <v>1</v>
      </c>
      <c r="Z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6">
        <v>45374</v>
      </c>
      <c r="B1344" t="s">
        <v>36</v>
      </c>
      <c r="C1344" t="s">
        <v>37</v>
      </c>
      <c r="D1344" t="s">
        <v>38</v>
      </c>
      <c r="E1344" t="s">
        <v>39</v>
      </c>
      <c r="F1344">
        <v>125</v>
      </c>
      <c r="G1344">
        <v>320</v>
      </c>
      <c r="H1344">
        <v>172</v>
      </c>
      <c r="I1344">
        <v>73</v>
      </c>
      <c r="J1344" s="8">
        <v>0.58399999999999996</v>
      </c>
      <c r="K1344">
        <v>51</v>
      </c>
      <c r="L1344">
        <v>45</v>
      </c>
      <c r="M1344">
        <v>150</v>
      </c>
      <c r="N1344" s="10">
        <v>709.2</v>
      </c>
      <c r="O1344" s="7">
        <v>7.1</v>
      </c>
      <c r="P1344" s="7">
        <v>28.1</v>
      </c>
      <c r="Q1344">
        <v>5</v>
      </c>
      <c r="R1344" t="s">
        <v>67</v>
      </c>
      <c r="S1344">
        <v>3</v>
      </c>
      <c r="T1344">
        <v>83</v>
      </c>
      <c r="U1344" s="11">
        <v>-0.97492791218182362</v>
      </c>
      <c r="V1344" s="11">
        <v>-0.22252093395631459</v>
      </c>
      <c r="W1344" s="11">
        <v>0.98719578729100854</v>
      </c>
      <c r="X1344" s="11">
        <v>0.15951325197263655</v>
      </c>
      <c r="Y1344">
        <v>1</v>
      </c>
      <c r="Z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6">
        <v>45374</v>
      </c>
      <c r="B1345" t="s">
        <v>41</v>
      </c>
      <c r="C1345" t="s">
        <v>42</v>
      </c>
      <c r="D1345" t="s">
        <v>43</v>
      </c>
      <c r="E1345" t="s">
        <v>44</v>
      </c>
      <c r="F1345">
        <v>85</v>
      </c>
      <c r="G1345">
        <v>210</v>
      </c>
      <c r="H1345">
        <v>150</v>
      </c>
      <c r="I1345">
        <v>65</v>
      </c>
      <c r="J1345" s="8">
        <v>0.76470588235294112</v>
      </c>
      <c r="K1345">
        <v>20</v>
      </c>
      <c r="L1345">
        <v>36</v>
      </c>
      <c r="M1345">
        <v>128</v>
      </c>
      <c r="N1345" s="10">
        <v>561.24</v>
      </c>
      <c r="O1345" s="7">
        <v>7.1</v>
      </c>
      <c r="P1345" s="7">
        <v>28.1</v>
      </c>
      <c r="Q1345">
        <v>5</v>
      </c>
      <c r="R1345" t="s">
        <v>67</v>
      </c>
      <c r="S1345">
        <v>3</v>
      </c>
      <c r="T1345">
        <v>83</v>
      </c>
      <c r="U1345" s="11">
        <v>-0.97492791218182362</v>
      </c>
      <c r="V1345" s="11">
        <v>-0.22252093395631459</v>
      </c>
      <c r="W1345" s="11">
        <v>0.98719578729100854</v>
      </c>
      <c r="X1345" s="11">
        <v>0.15951325197263655</v>
      </c>
      <c r="Y1345">
        <v>1</v>
      </c>
      <c r="Z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6">
        <v>45375</v>
      </c>
      <c r="B1346" t="s">
        <v>31</v>
      </c>
      <c r="C1346" t="s">
        <v>32</v>
      </c>
      <c r="D1346" t="s">
        <v>33</v>
      </c>
      <c r="E1346" t="s">
        <v>34</v>
      </c>
      <c r="F1346">
        <v>140</v>
      </c>
      <c r="G1346">
        <v>360</v>
      </c>
      <c r="H1346">
        <v>207</v>
      </c>
      <c r="I1346">
        <v>86</v>
      </c>
      <c r="J1346" s="8">
        <v>0.61428571428571432</v>
      </c>
      <c r="K1346">
        <v>61</v>
      </c>
      <c r="L1346">
        <v>35</v>
      </c>
      <c r="M1346">
        <v>190</v>
      </c>
      <c r="N1346" s="10">
        <v>484.09</v>
      </c>
      <c r="O1346" s="7">
        <v>5.4</v>
      </c>
      <c r="P1346" s="7">
        <v>27.1</v>
      </c>
      <c r="Q1346">
        <v>6</v>
      </c>
      <c r="R1346" t="s">
        <v>60</v>
      </c>
      <c r="S1346">
        <v>3</v>
      </c>
      <c r="T1346">
        <v>84</v>
      </c>
      <c r="U1346" s="11">
        <v>-0.78183148246802991</v>
      </c>
      <c r="V1346" s="11">
        <v>0.62348980185873337</v>
      </c>
      <c r="W1346" s="11">
        <v>0.98979360296707164</v>
      </c>
      <c r="X1346" s="11">
        <v>0.14250832791617088</v>
      </c>
      <c r="Y1346">
        <v>1</v>
      </c>
      <c r="Z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6">
        <v>45375</v>
      </c>
      <c r="B1347" t="s">
        <v>36</v>
      </c>
      <c r="C1347" t="s">
        <v>37</v>
      </c>
      <c r="D1347" t="s">
        <v>38</v>
      </c>
      <c r="E1347" t="s">
        <v>39</v>
      </c>
      <c r="F1347">
        <v>125</v>
      </c>
      <c r="G1347">
        <v>320</v>
      </c>
      <c r="H1347">
        <v>191</v>
      </c>
      <c r="I1347">
        <v>78</v>
      </c>
      <c r="J1347" s="8">
        <v>0.624</v>
      </c>
      <c r="K1347">
        <v>51</v>
      </c>
      <c r="L1347">
        <v>30</v>
      </c>
      <c r="M1347">
        <v>175</v>
      </c>
      <c r="N1347" s="10">
        <v>658.21</v>
      </c>
      <c r="O1347" s="7">
        <v>5.4</v>
      </c>
      <c r="P1347" s="7">
        <v>27.1</v>
      </c>
      <c r="Q1347">
        <v>6</v>
      </c>
      <c r="R1347" t="s">
        <v>60</v>
      </c>
      <c r="S1347">
        <v>3</v>
      </c>
      <c r="T1347">
        <v>84</v>
      </c>
      <c r="U1347" s="11">
        <v>-0.78183148246802991</v>
      </c>
      <c r="V1347" s="11">
        <v>0.62348980185873337</v>
      </c>
      <c r="W1347" s="11">
        <v>0.98979360296707164</v>
      </c>
      <c r="X1347" s="11">
        <v>0.14250832791617088</v>
      </c>
      <c r="Y1347">
        <v>1</v>
      </c>
      <c r="Z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6">
        <v>45375</v>
      </c>
      <c r="B1348" t="s">
        <v>41</v>
      </c>
      <c r="C1348" t="s">
        <v>42</v>
      </c>
      <c r="D1348" t="s">
        <v>43</v>
      </c>
      <c r="E1348" t="s">
        <v>44</v>
      </c>
      <c r="F1348">
        <v>85</v>
      </c>
      <c r="G1348">
        <v>210</v>
      </c>
      <c r="H1348">
        <v>138</v>
      </c>
      <c r="I1348">
        <v>63</v>
      </c>
      <c r="J1348" s="8">
        <v>0.74117647058823533</v>
      </c>
      <c r="K1348">
        <v>31</v>
      </c>
      <c r="L1348">
        <v>12</v>
      </c>
      <c r="M1348">
        <v>118</v>
      </c>
      <c r="N1348" s="10">
        <v>610.04</v>
      </c>
      <c r="O1348" s="7">
        <v>5.4</v>
      </c>
      <c r="P1348" s="7">
        <v>27.1</v>
      </c>
      <c r="Q1348">
        <v>6</v>
      </c>
      <c r="R1348" t="s">
        <v>60</v>
      </c>
      <c r="S1348">
        <v>3</v>
      </c>
      <c r="T1348">
        <v>84</v>
      </c>
      <c r="U1348" s="11">
        <v>-0.78183148246802991</v>
      </c>
      <c r="V1348" s="11">
        <v>0.62348980185873337</v>
      </c>
      <c r="W1348" s="11">
        <v>0.98979360296707164</v>
      </c>
      <c r="X1348" s="11">
        <v>0.14250832791617088</v>
      </c>
      <c r="Y1348">
        <v>1</v>
      </c>
      <c r="Z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6">
        <v>45376</v>
      </c>
      <c r="B1349" t="s">
        <v>31</v>
      </c>
      <c r="C1349" t="s">
        <v>32</v>
      </c>
      <c r="D1349" t="s">
        <v>33</v>
      </c>
      <c r="E1349" t="s">
        <v>34</v>
      </c>
      <c r="F1349">
        <v>140</v>
      </c>
      <c r="G1349">
        <v>360</v>
      </c>
      <c r="H1349">
        <v>189</v>
      </c>
      <c r="I1349">
        <v>80</v>
      </c>
      <c r="J1349" s="8">
        <v>0.5714285714285714</v>
      </c>
      <c r="K1349">
        <v>34</v>
      </c>
      <c r="L1349">
        <v>39</v>
      </c>
      <c r="M1349">
        <v>153</v>
      </c>
      <c r="N1349" s="10">
        <v>419.37</v>
      </c>
      <c r="O1349" s="7">
        <v>0</v>
      </c>
      <c r="P1349" s="7">
        <v>27.5</v>
      </c>
      <c r="Q1349">
        <v>0</v>
      </c>
      <c r="R1349" t="s">
        <v>62</v>
      </c>
      <c r="S1349">
        <v>3</v>
      </c>
      <c r="T1349">
        <v>85</v>
      </c>
      <c r="U1349" s="11">
        <v>0</v>
      </c>
      <c r="V1349" s="11">
        <v>1</v>
      </c>
      <c r="W1349" s="11">
        <v>0.99209852279176902</v>
      </c>
      <c r="X1349" s="11">
        <v>0.12546123335273648</v>
      </c>
      <c r="Y1349">
        <v>0</v>
      </c>
      <c r="Z1349">
        <v>1</v>
      </c>
      <c r="AA1349" t="s">
        <v>69</v>
      </c>
      <c r="AB1349">
        <v>0</v>
      </c>
      <c r="AC1349">
        <v>0</v>
      </c>
      <c r="AD1349">
        <v>0</v>
      </c>
      <c r="AE1349">
        <v>0</v>
      </c>
    </row>
    <row r="1350" spans="1:31">
      <c r="A1350" s="6">
        <v>45376</v>
      </c>
      <c r="B1350" t="s">
        <v>36</v>
      </c>
      <c r="C1350" t="s">
        <v>37</v>
      </c>
      <c r="D1350" t="s">
        <v>38</v>
      </c>
      <c r="E1350" t="s">
        <v>39</v>
      </c>
      <c r="F1350">
        <v>125</v>
      </c>
      <c r="G1350">
        <v>320</v>
      </c>
      <c r="H1350">
        <v>195</v>
      </c>
      <c r="I1350">
        <v>81</v>
      </c>
      <c r="J1350" s="8">
        <v>0.64800000000000002</v>
      </c>
      <c r="K1350">
        <v>31</v>
      </c>
      <c r="L1350">
        <v>32</v>
      </c>
      <c r="M1350">
        <v>173</v>
      </c>
      <c r="N1350" s="10">
        <v>653.96</v>
      </c>
      <c r="O1350" s="7">
        <v>0</v>
      </c>
      <c r="P1350" s="7">
        <v>27.5</v>
      </c>
      <c r="Q1350">
        <v>0</v>
      </c>
      <c r="R1350" t="s">
        <v>62</v>
      </c>
      <c r="S1350">
        <v>3</v>
      </c>
      <c r="T1350">
        <v>85</v>
      </c>
      <c r="U1350" s="11">
        <v>0</v>
      </c>
      <c r="V1350" s="11">
        <v>1</v>
      </c>
      <c r="W1350" s="11">
        <v>0.99209852279176902</v>
      </c>
      <c r="X1350" s="11">
        <v>0.12546123335273648</v>
      </c>
      <c r="Y1350">
        <v>0</v>
      </c>
      <c r="Z1350">
        <v>1</v>
      </c>
      <c r="AA1350" t="s">
        <v>69</v>
      </c>
      <c r="AB1350">
        <v>0</v>
      </c>
      <c r="AC1350">
        <v>0</v>
      </c>
      <c r="AD1350">
        <v>0</v>
      </c>
      <c r="AE1350">
        <v>0</v>
      </c>
    </row>
    <row r="1351" spans="1:31">
      <c r="A1351" s="6">
        <v>45376</v>
      </c>
      <c r="B1351" t="s">
        <v>41</v>
      </c>
      <c r="C1351" t="s">
        <v>42</v>
      </c>
      <c r="D1351" t="s">
        <v>43</v>
      </c>
      <c r="E1351" t="s">
        <v>44</v>
      </c>
      <c r="F1351">
        <v>85</v>
      </c>
      <c r="G1351">
        <v>210</v>
      </c>
      <c r="H1351">
        <v>126</v>
      </c>
      <c r="I1351">
        <v>57</v>
      </c>
      <c r="J1351" s="8">
        <v>0.6705882352941176</v>
      </c>
      <c r="K1351">
        <v>19</v>
      </c>
      <c r="L1351">
        <v>24</v>
      </c>
      <c r="M1351">
        <v>116</v>
      </c>
      <c r="N1351" s="10">
        <v>501.17</v>
      </c>
      <c r="O1351" s="7">
        <v>0</v>
      </c>
      <c r="P1351" s="7">
        <v>27.5</v>
      </c>
      <c r="Q1351">
        <v>0</v>
      </c>
      <c r="R1351" t="s">
        <v>62</v>
      </c>
      <c r="S1351">
        <v>3</v>
      </c>
      <c r="T1351">
        <v>85</v>
      </c>
      <c r="U1351" s="11">
        <v>0</v>
      </c>
      <c r="V1351" s="11">
        <v>1</v>
      </c>
      <c r="W1351" s="11">
        <v>0.99209852279176902</v>
      </c>
      <c r="X1351" s="11">
        <v>0.12546123335273648</v>
      </c>
      <c r="Y1351">
        <v>0</v>
      </c>
      <c r="Z1351">
        <v>1</v>
      </c>
      <c r="AA1351" t="s">
        <v>69</v>
      </c>
      <c r="AB1351">
        <v>0</v>
      </c>
      <c r="AC1351">
        <v>0</v>
      </c>
      <c r="AD1351">
        <v>0</v>
      </c>
      <c r="AE1351">
        <v>0</v>
      </c>
    </row>
    <row r="1352" spans="1:31">
      <c r="A1352" s="6">
        <v>45377</v>
      </c>
      <c r="B1352" t="s">
        <v>31</v>
      </c>
      <c r="C1352" t="s">
        <v>32</v>
      </c>
      <c r="D1352" t="s">
        <v>33</v>
      </c>
      <c r="E1352" t="s">
        <v>34</v>
      </c>
      <c r="F1352">
        <v>140</v>
      </c>
      <c r="G1352">
        <v>360</v>
      </c>
      <c r="H1352">
        <v>169</v>
      </c>
      <c r="I1352">
        <v>72</v>
      </c>
      <c r="J1352" s="8">
        <v>0.51428571428571423</v>
      </c>
      <c r="K1352">
        <v>50</v>
      </c>
      <c r="L1352">
        <v>23</v>
      </c>
      <c r="M1352">
        <v>146</v>
      </c>
      <c r="N1352" s="10">
        <v>444.62</v>
      </c>
      <c r="O1352" s="7">
        <v>12.7</v>
      </c>
      <c r="P1352" s="7">
        <v>27.5</v>
      </c>
      <c r="Q1352">
        <v>1</v>
      </c>
      <c r="R1352" t="s">
        <v>63</v>
      </c>
      <c r="S1352">
        <v>3</v>
      </c>
      <c r="T1352">
        <v>86</v>
      </c>
      <c r="U1352" s="11">
        <v>0.7818314824680298</v>
      </c>
      <c r="V1352" s="11">
        <v>0.62348980185873359</v>
      </c>
      <c r="W1352" s="11">
        <v>0.99410986470224183</v>
      </c>
      <c r="X1352" s="11">
        <v>0.10837701279187609</v>
      </c>
      <c r="Y1352">
        <v>0</v>
      </c>
      <c r="Z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6">
        <v>45377</v>
      </c>
      <c r="B1353" t="s">
        <v>36</v>
      </c>
      <c r="C1353" t="s">
        <v>37</v>
      </c>
      <c r="D1353" t="s">
        <v>38</v>
      </c>
      <c r="E1353" t="s">
        <v>39</v>
      </c>
      <c r="F1353">
        <v>125</v>
      </c>
      <c r="G1353">
        <v>320</v>
      </c>
      <c r="H1353">
        <v>166</v>
      </c>
      <c r="I1353">
        <v>69</v>
      </c>
      <c r="J1353" s="8">
        <v>0.55200000000000005</v>
      </c>
      <c r="K1353">
        <v>28</v>
      </c>
      <c r="L1353">
        <v>40</v>
      </c>
      <c r="M1353">
        <v>136</v>
      </c>
      <c r="N1353" s="10">
        <v>568.84</v>
      </c>
      <c r="O1353" s="7">
        <v>12.7</v>
      </c>
      <c r="P1353" s="7">
        <v>27.5</v>
      </c>
      <c r="Q1353">
        <v>1</v>
      </c>
      <c r="R1353" t="s">
        <v>63</v>
      </c>
      <c r="S1353">
        <v>3</v>
      </c>
      <c r="T1353">
        <v>86</v>
      </c>
      <c r="U1353" s="11">
        <v>0.7818314824680298</v>
      </c>
      <c r="V1353" s="11">
        <v>0.62348980185873359</v>
      </c>
      <c r="W1353" s="11">
        <v>0.99410986470224183</v>
      </c>
      <c r="X1353" s="11">
        <v>0.10837701279187609</v>
      </c>
      <c r="Y1353">
        <v>0</v>
      </c>
      <c r="Z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6">
        <v>45377</v>
      </c>
      <c r="B1354" t="s">
        <v>41</v>
      </c>
      <c r="C1354" t="s">
        <v>42</v>
      </c>
      <c r="D1354" t="s">
        <v>43</v>
      </c>
      <c r="E1354" t="s">
        <v>44</v>
      </c>
      <c r="F1354">
        <v>85</v>
      </c>
      <c r="G1354">
        <v>210</v>
      </c>
      <c r="H1354">
        <v>104</v>
      </c>
      <c r="I1354">
        <v>49</v>
      </c>
      <c r="J1354" s="8">
        <v>0.57647058823529407</v>
      </c>
      <c r="K1354">
        <v>19</v>
      </c>
      <c r="L1354">
        <v>21</v>
      </c>
      <c r="M1354">
        <v>85</v>
      </c>
      <c r="N1354" s="10">
        <v>538.24</v>
      </c>
      <c r="O1354" s="7">
        <v>12.7</v>
      </c>
      <c r="P1354" s="7">
        <v>27.5</v>
      </c>
      <c r="Q1354">
        <v>1</v>
      </c>
      <c r="R1354" t="s">
        <v>63</v>
      </c>
      <c r="S1354">
        <v>3</v>
      </c>
      <c r="T1354">
        <v>86</v>
      </c>
      <c r="U1354" s="11">
        <v>0.7818314824680298</v>
      </c>
      <c r="V1354" s="11">
        <v>0.62348980185873359</v>
      </c>
      <c r="W1354" s="11">
        <v>0.99410986470224183</v>
      </c>
      <c r="X1354" s="11">
        <v>0.10837701279187609</v>
      </c>
      <c r="Y1354">
        <v>0</v>
      </c>
      <c r="Z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 s="6">
        <v>45378</v>
      </c>
      <c r="B1355" t="s">
        <v>31</v>
      </c>
      <c r="C1355" t="s">
        <v>32</v>
      </c>
      <c r="D1355" t="s">
        <v>33</v>
      </c>
      <c r="E1355" t="s">
        <v>34</v>
      </c>
      <c r="F1355">
        <v>140</v>
      </c>
      <c r="G1355">
        <v>360</v>
      </c>
      <c r="H1355">
        <v>191</v>
      </c>
      <c r="I1355">
        <v>80</v>
      </c>
      <c r="J1355" s="8">
        <v>0.5714285714285714</v>
      </c>
      <c r="K1355">
        <v>33</v>
      </c>
      <c r="L1355">
        <v>23</v>
      </c>
      <c r="M1355">
        <v>166</v>
      </c>
      <c r="N1355" s="10">
        <v>416.69</v>
      </c>
      <c r="O1355" s="7">
        <v>5.7</v>
      </c>
      <c r="P1355" s="7">
        <v>29.5</v>
      </c>
      <c r="Q1355">
        <v>2</v>
      </c>
      <c r="R1355" t="s">
        <v>64</v>
      </c>
      <c r="S1355">
        <v>3</v>
      </c>
      <c r="T1355">
        <v>87</v>
      </c>
      <c r="U1355" s="11">
        <v>0.97492791218182362</v>
      </c>
      <c r="V1355" s="11">
        <v>-0.22252093395631434</v>
      </c>
      <c r="W1355" s="11">
        <v>0.99582703351005952</v>
      </c>
      <c r="X1355" s="11">
        <v>9.1260721729311878E-2</v>
      </c>
      <c r="Y1355">
        <v>0</v>
      </c>
      <c r="Z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6">
        <v>45378</v>
      </c>
      <c r="B1356" t="s">
        <v>36</v>
      </c>
      <c r="C1356" t="s">
        <v>37</v>
      </c>
      <c r="D1356" t="s">
        <v>38</v>
      </c>
      <c r="E1356" t="s">
        <v>39</v>
      </c>
      <c r="F1356">
        <v>125</v>
      </c>
      <c r="G1356">
        <v>320</v>
      </c>
      <c r="H1356">
        <v>163</v>
      </c>
      <c r="I1356">
        <v>68</v>
      </c>
      <c r="J1356" s="8">
        <v>0.54400000000000004</v>
      </c>
      <c r="K1356">
        <v>41</v>
      </c>
      <c r="L1356">
        <v>25</v>
      </c>
      <c r="M1356">
        <v>140</v>
      </c>
      <c r="N1356" s="10">
        <v>651.87</v>
      </c>
      <c r="O1356" s="7">
        <v>5.7</v>
      </c>
      <c r="P1356" s="7">
        <v>29.5</v>
      </c>
      <c r="Q1356">
        <v>2</v>
      </c>
      <c r="R1356" t="s">
        <v>64</v>
      </c>
      <c r="S1356">
        <v>3</v>
      </c>
      <c r="T1356">
        <v>87</v>
      </c>
      <c r="U1356" s="11">
        <v>0.97492791218182362</v>
      </c>
      <c r="V1356" s="11">
        <v>-0.22252093395631434</v>
      </c>
      <c r="W1356" s="11">
        <v>0.99582703351005952</v>
      </c>
      <c r="X1356" s="11">
        <v>9.1260721729311878E-2</v>
      </c>
      <c r="Y1356">
        <v>0</v>
      </c>
      <c r="Z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6">
        <v>45378</v>
      </c>
      <c r="B1357" t="s">
        <v>41</v>
      </c>
      <c r="C1357" t="s">
        <v>42</v>
      </c>
      <c r="D1357" t="s">
        <v>43</v>
      </c>
      <c r="E1357" t="s">
        <v>44</v>
      </c>
      <c r="F1357">
        <v>85</v>
      </c>
      <c r="G1357">
        <v>210</v>
      </c>
      <c r="H1357">
        <v>119</v>
      </c>
      <c r="I1357">
        <v>51</v>
      </c>
      <c r="J1357" s="8">
        <v>0.6</v>
      </c>
      <c r="K1357">
        <v>34</v>
      </c>
      <c r="L1357">
        <v>28</v>
      </c>
      <c r="M1357">
        <v>107</v>
      </c>
      <c r="N1357" s="10">
        <v>552.89</v>
      </c>
      <c r="O1357" s="7">
        <v>5.7</v>
      </c>
      <c r="P1357" s="7">
        <v>29.5</v>
      </c>
      <c r="Q1357">
        <v>2</v>
      </c>
      <c r="R1357" t="s">
        <v>64</v>
      </c>
      <c r="S1357">
        <v>3</v>
      </c>
      <c r="T1357">
        <v>87</v>
      </c>
      <c r="U1357" s="11">
        <v>0.97492791218182362</v>
      </c>
      <c r="V1357" s="11">
        <v>-0.22252093395631434</v>
      </c>
      <c r="W1357" s="11">
        <v>0.99582703351005952</v>
      </c>
      <c r="X1357" s="11">
        <v>9.1260721729311878E-2</v>
      </c>
      <c r="Y1357">
        <v>0</v>
      </c>
      <c r="Z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6">
        <v>45379</v>
      </c>
      <c r="B1358" t="s">
        <v>31</v>
      </c>
      <c r="C1358" t="s">
        <v>32</v>
      </c>
      <c r="D1358" t="s">
        <v>33</v>
      </c>
      <c r="E1358" t="s">
        <v>34</v>
      </c>
      <c r="F1358">
        <v>140</v>
      </c>
      <c r="G1358">
        <v>360</v>
      </c>
      <c r="H1358">
        <v>170</v>
      </c>
      <c r="I1358">
        <v>74</v>
      </c>
      <c r="J1358" s="8">
        <v>0.52857142857142858</v>
      </c>
      <c r="K1358">
        <v>30</v>
      </c>
      <c r="L1358">
        <v>32</v>
      </c>
      <c r="M1358">
        <v>152</v>
      </c>
      <c r="N1358" s="10">
        <v>431.89</v>
      </c>
      <c r="O1358" s="7">
        <v>13.7</v>
      </c>
      <c r="P1358" s="7">
        <v>28</v>
      </c>
      <c r="Q1358">
        <v>3</v>
      </c>
      <c r="R1358" t="s">
        <v>65</v>
      </c>
      <c r="S1358">
        <v>3</v>
      </c>
      <c r="T1358">
        <v>88</v>
      </c>
      <c r="U1358" s="11">
        <v>0.43388373911755823</v>
      </c>
      <c r="V1358" s="11">
        <v>-0.90096886790241903</v>
      </c>
      <c r="W1358" s="11">
        <v>0.9972495210773451</v>
      </c>
      <c r="X1358" s="11">
        <v>7.4117425150944369E-2</v>
      </c>
      <c r="Y1358">
        <v>0</v>
      </c>
      <c r="Z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6">
        <v>45379</v>
      </c>
      <c r="B1359" t="s">
        <v>36</v>
      </c>
      <c r="C1359" t="s">
        <v>37</v>
      </c>
      <c r="D1359" t="s">
        <v>38</v>
      </c>
      <c r="E1359" t="s">
        <v>39</v>
      </c>
      <c r="F1359">
        <v>125</v>
      </c>
      <c r="G1359">
        <v>320</v>
      </c>
      <c r="H1359">
        <v>145</v>
      </c>
      <c r="I1359">
        <v>63</v>
      </c>
      <c r="J1359" s="8">
        <v>0.504</v>
      </c>
      <c r="K1359">
        <v>22</v>
      </c>
      <c r="L1359">
        <v>16</v>
      </c>
      <c r="M1359">
        <v>118</v>
      </c>
      <c r="N1359" s="10">
        <v>661.03</v>
      </c>
      <c r="O1359" s="7">
        <v>13.7</v>
      </c>
      <c r="P1359" s="7">
        <v>28</v>
      </c>
      <c r="Q1359">
        <v>3</v>
      </c>
      <c r="R1359" t="s">
        <v>65</v>
      </c>
      <c r="S1359">
        <v>3</v>
      </c>
      <c r="T1359">
        <v>88</v>
      </c>
      <c r="U1359" s="11">
        <v>0.43388373911755823</v>
      </c>
      <c r="V1359" s="11">
        <v>-0.90096886790241903</v>
      </c>
      <c r="W1359" s="11">
        <v>0.9972495210773451</v>
      </c>
      <c r="X1359" s="11">
        <v>7.4117425150944369E-2</v>
      </c>
      <c r="Y1359">
        <v>0</v>
      </c>
      <c r="Z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6">
        <v>45379</v>
      </c>
      <c r="B1360" t="s">
        <v>41</v>
      </c>
      <c r="C1360" t="s">
        <v>42</v>
      </c>
      <c r="D1360" t="s">
        <v>43</v>
      </c>
      <c r="E1360" t="s">
        <v>44</v>
      </c>
      <c r="F1360">
        <v>85</v>
      </c>
      <c r="G1360">
        <v>210</v>
      </c>
      <c r="H1360">
        <v>110</v>
      </c>
      <c r="I1360">
        <v>50</v>
      </c>
      <c r="J1360" s="8">
        <v>0.58823529411764708</v>
      </c>
      <c r="K1360">
        <v>20</v>
      </c>
      <c r="L1360">
        <v>14</v>
      </c>
      <c r="M1360">
        <v>90</v>
      </c>
      <c r="N1360" s="10">
        <v>482.28</v>
      </c>
      <c r="O1360" s="7">
        <v>13.7</v>
      </c>
      <c r="P1360" s="7">
        <v>28</v>
      </c>
      <c r="Q1360">
        <v>3</v>
      </c>
      <c r="R1360" t="s">
        <v>65</v>
      </c>
      <c r="S1360">
        <v>3</v>
      </c>
      <c r="T1360">
        <v>88</v>
      </c>
      <c r="U1360" s="11">
        <v>0.43388373911755823</v>
      </c>
      <c r="V1360" s="11">
        <v>-0.90096886790241903</v>
      </c>
      <c r="W1360" s="11">
        <v>0.9972495210773451</v>
      </c>
      <c r="X1360" s="11">
        <v>7.4117425150944369E-2</v>
      </c>
      <c r="Y1360">
        <v>0</v>
      </c>
      <c r="Z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6">
        <v>45380</v>
      </c>
      <c r="B1361" t="s">
        <v>31</v>
      </c>
      <c r="C1361" t="s">
        <v>32</v>
      </c>
      <c r="D1361" t="s">
        <v>33</v>
      </c>
      <c r="E1361" t="s">
        <v>34</v>
      </c>
      <c r="F1361">
        <v>140</v>
      </c>
      <c r="G1361">
        <v>360</v>
      </c>
      <c r="H1361">
        <v>191</v>
      </c>
      <c r="I1361">
        <v>80</v>
      </c>
      <c r="J1361" s="8">
        <v>0.5714285714285714</v>
      </c>
      <c r="K1361">
        <v>47</v>
      </c>
      <c r="L1361">
        <v>25</v>
      </c>
      <c r="M1361">
        <v>162</v>
      </c>
      <c r="N1361" s="10">
        <v>444.54</v>
      </c>
      <c r="O1361" s="7">
        <v>0</v>
      </c>
      <c r="P1361" s="7">
        <v>27.4</v>
      </c>
      <c r="Q1361">
        <v>4</v>
      </c>
      <c r="R1361" t="s">
        <v>66</v>
      </c>
      <c r="S1361">
        <v>3</v>
      </c>
      <c r="T1361">
        <v>89</v>
      </c>
      <c r="U1361" s="11">
        <v>-0.43388373911755801</v>
      </c>
      <c r="V1361" s="11">
        <v>-0.90096886790241915</v>
      </c>
      <c r="W1361" s="11">
        <v>0.99837690646714194</v>
      </c>
      <c r="X1361" s="11">
        <v>5.6952196034039754E-2</v>
      </c>
      <c r="Y1361">
        <v>0</v>
      </c>
      <c r="Z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6">
        <v>45380</v>
      </c>
      <c r="B1362" t="s">
        <v>36</v>
      </c>
      <c r="C1362" t="s">
        <v>37</v>
      </c>
      <c r="D1362" t="s">
        <v>38</v>
      </c>
      <c r="E1362" t="s">
        <v>39</v>
      </c>
      <c r="F1362">
        <v>125</v>
      </c>
      <c r="G1362">
        <v>320</v>
      </c>
      <c r="H1362">
        <v>169</v>
      </c>
      <c r="I1362">
        <v>70</v>
      </c>
      <c r="J1362" s="8">
        <v>0.56000000000000005</v>
      </c>
      <c r="K1362">
        <v>29</v>
      </c>
      <c r="L1362">
        <v>33</v>
      </c>
      <c r="M1362">
        <v>144</v>
      </c>
      <c r="N1362" s="10">
        <v>606.27</v>
      </c>
      <c r="O1362" s="7">
        <v>0</v>
      </c>
      <c r="P1362" s="7">
        <v>27.4</v>
      </c>
      <c r="Q1362">
        <v>4</v>
      </c>
      <c r="R1362" t="s">
        <v>66</v>
      </c>
      <c r="S1362">
        <v>3</v>
      </c>
      <c r="T1362">
        <v>89</v>
      </c>
      <c r="U1362" s="11">
        <v>-0.43388373911755801</v>
      </c>
      <c r="V1362" s="11">
        <v>-0.90096886790241915</v>
      </c>
      <c r="W1362" s="11">
        <v>0.99837690646714194</v>
      </c>
      <c r="X1362" s="11">
        <v>5.6952196034039754E-2</v>
      </c>
      <c r="Y1362">
        <v>0</v>
      </c>
      <c r="Z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6">
        <v>45380</v>
      </c>
      <c r="B1363" t="s">
        <v>41</v>
      </c>
      <c r="C1363" t="s">
        <v>42</v>
      </c>
      <c r="D1363" t="s">
        <v>43</v>
      </c>
      <c r="E1363" t="s">
        <v>44</v>
      </c>
      <c r="F1363">
        <v>85</v>
      </c>
      <c r="G1363">
        <v>210</v>
      </c>
      <c r="H1363">
        <v>110</v>
      </c>
      <c r="I1363">
        <v>48</v>
      </c>
      <c r="J1363" s="8">
        <v>0.56470588235294117</v>
      </c>
      <c r="K1363">
        <v>23</v>
      </c>
      <c r="L1363">
        <v>29</v>
      </c>
      <c r="M1363">
        <v>91</v>
      </c>
      <c r="N1363" s="10">
        <v>480.22</v>
      </c>
      <c r="O1363" s="7">
        <v>0</v>
      </c>
      <c r="P1363" s="7">
        <v>27.4</v>
      </c>
      <c r="Q1363">
        <v>4</v>
      </c>
      <c r="R1363" t="s">
        <v>66</v>
      </c>
      <c r="S1363">
        <v>3</v>
      </c>
      <c r="T1363">
        <v>89</v>
      </c>
      <c r="U1363" s="11">
        <v>-0.43388373911755801</v>
      </c>
      <c r="V1363" s="11">
        <v>-0.90096886790241915</v>
      </c>
      <c r="W1363" s="11">
        <v>0.99837690646714194</v>
      </c>
      <c r="X1363" s="11">
        <v>5.6952196034039754E-2</v>
      </c>
      <c r="Y1363">
        <v>0</v>
      </c>
      <c r="Z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6">
        <v>45381</v>
      </c>
      <c r="B1364" t="s">
        <v>31</v>
      </c>
      <c r="C1364" t="s">
        <v>32</v>
      </c>
      <c r="D1364" t="s">
        <v>33</v>
      </c>
      <c r="E1364" t="s">
        <v>34</v>
      </c>
      <c r="F1364">
        <v>140</v>
      </c>
      <c r="G1364">
        <v>360</v>
      </c>
      <c r="H1364">
        <v>217</v>
      </c>
      <c r="I1364">
        <v>90</v>
      </c>
      <c r="J1364" s="8">
        <v>0.6428571428571429</v>
      </c>
      <c r="K1364">
        <v>46</v>
      </c>
      <c r="L1364">
        <v>54</v>
      </c>
      <c r="M1364">
        <v>184</v>
      </c>
      <c r="N1364" s="10">
        <v>501.31</v>
      </c>
      <c r="O1364" s="7">
        <v>6.7</v>
      </c>
      <c r="P1364" s="7">
        <v>27</v>
      </c>
      <c r="Q1364">
        <v>5</v>
      </c>
      <c r="R1364" t="s">
        <v>67</v>
      </c>
      <c r="S1364">
        <v>3</v>
      </c>
      <c r="T1364">
        <v>90</v>
      </c>
      <c r="U1364" s="11">
        <v>-0.97492791218182362</v>
      </c>
      <c r="V1364" s="11">
        <v>-0.22252093395631459</v>
      </c>
      <c r="W1364" s="11">
        <v>0.99920885606797527</v>
      </c>
      <c r="X1364" s="11">
        <v>3.9770113846055721E-2</v>
      </c>
      <c r="Y1364">
        <v>1</v>
      </c>
      <c r="Z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6">
        <v>45381</v>
      </c>
      <c r="B1365" t="s">
        <v>36</v>
      </c>
      <c r="C1365" t="s">
        <v>37</v>
      </c>
      <c r="D1365" t="s">
        <v>38</v>
      </c>
      <c r="E1365" t="s">
        <v>39</v>
      </c>
      <c r="F1365">
        <v>125</v>
      </c>
      <c r="G1365">
        <v>320</v>
      </c>
      <c r="H1365">
        <v>177</v>
      </c>
      <c r="I1365">
        <v>73</v>
      </c>
      <c r="J1365" s="8">
        <v>0.58399999999999996</v>
      </c>
      <c r="K1365">
        <v>24</v>
      </c>
      <c r="L1365">
        <v>36</v>
      </c>
      <c r="M1365">
        <v>149</v>
      </c>
      <c r="N1365" s="10">
        <v>680.03</v>
      </c>
      <c r="O1365" s="7">
        <v>6.7</v>
      </c>
      <c r="P1365" s="7">
        <v>27</v>
      </c>
      <c r="Q1365">
        <v>5</v>
      </c>
      <c r="R1365" t="s">
        <v>67</v>
      </c>
      <c r="S1365">
        <v>3</v>
      </c>
      <c r="T1365">
        <v>90</v>
      </c>
      <c r="U1365" s="11">
        <v>-0.97492791218182362</v>
      </c>
      <c r="V1365" s="11">
        <v>-0.22252093395631459</v>
      </c>
      <c r="W1365" s="11">
        <v>0.99920885606797527</v>
      </c>
      <c r="X1365" s="11">
        <v>3.9770113846055721E-2</v>
      </c>
      <c r="Y1365">
        <v>1</v>
      </c>
      <c r="Z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6">
        <v>45381</v>
      </c>
      <c r="B1366" t="s">
        <v>41</v>
      </c>
      <c r="C1366" t="s">
        <v>42</v>
      </c>
      <c r="D1366" t="s">
        <v>43</v>
      </c>
      <c r="E1366" t="s">
        <v>44</v>
      </c>
      <c r="F1366">
        <v>85</v>
      </c>
      <c r="G1366">
        <v>210</v>
      </c>
      <c r="H1366">
        <v>133</v>
      </c>
      <c r="I1366">
        <v>59</v>
      </c>
      <c r="J1366" s="8">
        <v>0.69411764705882351</v>
      </c>
      <c r="K1366">
        <v>21</v>
      </c>
      <c r="L1366">
        <v>22</v>
      </c>
      <c r="M1366">
        <v>123</v>
      </c>
      <c r="N1366" s="10">
        <v>623.95000000000005</v>
      </c>
      <c r="O1366" s="7">
        <v>6.7</v>
      </c>
      <c r="P1366" s="7">
        <v>27</v>
      </c>
      <c r="Q1366">
        <v>5</v>
      </c>
      <c r="R1366" t="s">
        <v>67</v>
      </c>
      <c r="S1366">
        <v>3</v>
      </c>
      <c r="T1366">
        <v>90</v>
      </c>
      <c r="U1366" s="11">
        <v>-0.97492791218182362</v>
      </c>
      <c r="V1366" s="11">
        <v>-0.22252093395631459</v>
      </c>
      <c r="W1366" s="11">
        <v>0.99920885606797527</v>
      </c>
      <c r="X1366" s="11">
        <v>3.9770113846055721E-2</v>
      </c>
      <c r="Y1366">
        <v>1</v>
      </c>
      <c r="Z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6">
        <v>45382</v>
      </c>
      <c r="B1367" t="s">
        <v>31</v>
      </c>
      <c r="C1367" t="s">
        <v>32</v>
      </c>
      <c r="D1367" t="s">
        <v>33</v>
      </c>
      <c r="E1367" t="s">
        <v>34</v>
      </c>
      <c r="F1367">
        <v>140</v>
      </c>
      <c r="G1367">
        <v>360</v>
      </c>
      <c r="H1367">
        <v>219</v>
      </c>
      <c r="I1367">
        <v>93</v>
      </c>
      <c r="J1367" s="8">
        <v>0.66428571428571426</v>
      </c>
      <c r="K1367">
        <v>48</v>
      </c>
      <c r="L1367">
        <v>51</v>
      </c>
      <c r="M1367">
        <v>177</v>
      </c>
      <c r="N1367" s="10">
        <v>518.66999999999996</v>
      </c>
      <c r="O1367" s="7">
        <v>16.3</v>
      </c>
      <c r="P1367" s="7">
        <v>27.2</v>
      </c>
      <c r="Q1367">
        <v>6</v>
      </c>
      <c r="R1367" t="s">
        <v>60</v>
      </c>
      <c r="S1367">
        <v>3</v>
      </c>
      <c r="T1367">
        <v>91</v>
      </c>
      <c r="U1367" s="11">
        <v>-0.78183148246802991</v>
      </c>
      <c r="V1367" s="11">
        <v>0.62348980185873337</v>
      </c>
      <c r="W1367" s="11">
        <v>0.9997451236925734</v>
      </c>
      <c r="X1367" s="11">
        <v>2.2576263041545485E-2</v>
      </c>
      <c r="Y1367">
        <v>1</v>
      </c>
      <c r="Z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6">
        <v>45382</v>
      </c>
      <c r="B1368" t="s">
        <v>36</v>
      </c>
      <c r="C1368" t="s">
        <v>37</v>
      </c>
      <c r="D1368" t="s">
        <v>38</v>
      </c>
      <c r="E1368" t="s">
        <v>39</v>
      </c>
      <c r="F1368">
        <v>125</v>
      </c>
      <c r="G1368">
        <v>320</v>
      </c>
      <c r="H1368">
        <v>169</v>
      </c>
      <c r="I1368">
        <v>72</v>
      </c>
      <c r="J1368" s="8">
        <v>0.57599999999999996</v>
      </c>
      <c r="K1368">
        <v>36</v>
      </c>
      <c r="L1368">
        <v>39</v>
      </c>
      <c r="M1368">
        <v>139</v>
      </c>
      <c r="N1368" s="10">
        <v>644.95000000000005</v>
      </c>
      <c r="O1368" s="7">
        <v>16.3</v>
      </c>
      <c r="P1368" s="7">
        <v>27.2</v>
      </c>
      <c r="Q1368">
        <v>6</v>
      </c>
      <c r="R1368" t="s">
        <v>60</v>
      </c>
      <c r="S1368">
        <v>3</v>
      </c>
      <c r="T1368">
        <v>91</v>
      </c>
      <c r="U1368" s="11">
        <v>-0.78183148246802991</v>
      </c>
      <c r="V1368" s="11">
        <v>0.62348980185873337</v>
      </c>
      <c r="W1368" s="11">
        <v>0.9997451236925734</v>
      </c>
      <c r="X1368" s="11">
        <v>2.2576263041545485E-2</v>
      </c>
      <c r="Y1368">
        <v>1</v>
      </c>
      <c r="Z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6">
        <v>45382</v>
      </c>
      <c r="B1369" t="s">
        <v>41</v>
      </c>
      <c r="C1369" t="s">
        <v>42</v>
      </c>
      <c r="D1369" t="s">
        <v>43</v>
      </c>
      <c r="E1369" t="s">
        <v>44</v>
      </c>
      <c r="F1369">
        <v>85</v>
      </c>
      <c r="G1369">
        <v>210</v>
      </c>
      <c r="H1369">
        <v>114</v>
      </c>
      <c r="I1369">
        <v>51</v>
      </c>
      <c r="J1369" s="8">
        <v>0.6</v>
      </c>
      <c r="K1369">
        <v>16</v>
      </c>
      <c r="L1369">
        <v>19</v>
      </c>
      <c r="M1369">
        <v>100</v>
      </c>
      <c r="N1369" s="10">
        <v>600.32000000000005</v>
      </c>
      <c r="O1369" s="7">
        <v>16.3</v>
      </c>
      <c r="P1369" s="7">
        <v>27.2</v>
      </c>
      <c r="Q1369">
        <v>6</v>
      </c>
      <c r="R1369" t="s">
        <v>60</v>
      </c>
      <c r="S1369">
        <v>3</v>
      </c>
      <c r="T1369">
        <v>91</v>
      </c>
      <c r="U1369" s="11">
        <v>-0.78183148246802991</v>
      </c>
      <c r="V1369" s="11">
        <v>0.62348980185873337</v>
      </c>
      <c r="W1369" s="11">
        <v>0.9997451236925734</v>
      </c>
      <c r="X1369" s="11">
        <v>2.2576263041545485E-2</v>
      </c>
      <c r="Y1369">
        <v>1</v>
      </c>
      <c r="Z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6">
        <v>45383</v>
      </c>
      <c r="B1370" t="s">
        <v>31</v>
      </c>
      <c r="C1370" t="s">
        <v>32</v>
      </c>
      <c r="D1370" t="s">
        <v>33</v>
      </c>
      <c r="E1370" t="s">
        <v>34</v>
      </c>
      <c r="F1370">
        <v>140</v>
      </c>
      <c r="G1370">
        <v>360</v>
      </c>
      <c r="H1370">
        <v>192</v>
      </c>
      <c r="I1370">
        <v>83</v>
      </c>
      <c r="J1370" s="8">
        <v>0.59285714285714286</v>
      </c>
      <c r="K1370">
        <v>49</v>
      </c>
      <c r="L1370">
        <v>32</v>
      </c>
      <c r="M1370">
        <v>158</v>
      </c>
      <c r="N1370" s="10">
        <v>455.37</v>
      </c>
      <c r="O1370" s="7">
        <v>18.3</v>
      </c>
      <c r="P1370" s="7">
        <v>25.9</v>
      </c>
      <c r="Q1370">
        <v>0</v>
      </c>
      <c r="R1370" t="s">
        <v>62</v>
      </c>
      <c r="S1370">
        <v>4</v>
      </c>
      <c r="T1370">
        <v>92</v>
      </c>
      <c r="U1370" s="11">
        <v>0</v>
      </c>
      <c r="V1370" s="11">
        <v>1</v>
      </c>
      <c r="W1370" s="11">
        <v>0.99998555065071859</v>
      </c>
      <c r="X1370" s="11">
        <v>5.3757315575838844E-3</v>
      </c>
      <c r="Y1370">
        <v>0</v>
      </c>
      <c r="Z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6">
        <v>45383</v>
      </c>
      <c r="B1371" t="s">
        <v>36</v>
      </c>
      <c r="C1371" t="s">
        <v>37</v>
      </c>
      <c r="D1371" t="s">
        <v>38</v>
      </c>
      <c r="E1371" t="s">
        <v>39</v>
      </c>
      <c r="F1371">
        <v>125</v>
      </c>
      <c r="G1371">
        <v>320</v>
      </c>
      <c r="H1371">
        <v>157</v>
      </c>
      <c r="I1371">
        <v>66</v>
      </c>
      <c r="J1371" s="8">
        <v>0.52800000000000002</v>
      </c>
      <c r="K1371">
        <v>42</v>
      </c>
      <c r="L1371">
        <v>42</v>
      </c>
      <c r="M1371">
        <v>128</v>
      </c>
      <c r="N1371" s="10">
        <v>610.61</v>
      </c>
      <c r="O1371" s="7">
        <v>18.3</v>
      </c>
      <c r="P1371" s="7">
        <v>25.9</v>
      </c>
      <c r="Q1371">
        <v>0</v>
      </c>
      <c r="R1371" t="s">
        <v>62</v>
      </c>
      <c r="S1371">
        <v>4</v>
      </c>
      <c r="T1371">
        <v>92</v>
      </c>
      <c r="U1371" s="11">
        <v>0</v>
      </c>
      <c r="V1371" s="11">
        <v>1</v>
      </c>
      <c r="W1371" s="11">
        <v>0.99998555065071859</v>
      </c>
      <c r="X1371" s="11">
        <v>5.3757315575838844E-3</v>
      </c>
      <c r="Y1371">
        <v>0</v>
      </c>
      <c r="Z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6">
        <v>45383</v>
      </c>
      <c r="B1372" t="s">
        <v>41</v>
      </c>
      <c r="C1372" t="s">
        <v>42</v>
      </c>
      <c r="D1372" t="s">
        <v>43</v>
      </c>
      <c r="E1372" t="s">
        <v>44</v>
      </c>
      <c r="F1372">
        <v>85</v>
      </c>
      <c r="G1372">
        <v>210</v>
      </c>
      <c r="H1372">
        <v>113</v>
      </c>
      <c r="I1372">
        <v>50</v>
      </c>
      <c r="J1372" s="8">
        <v>0.58823529411764708</v>
      </c>
      <c r="K1372">
        <v>15</v>
      </c>
      <c r="L1372">
        <v>28</v>
      </c>
      <c r="M1372">
        <v>104</v>
      </c>
      <c r="N1372" s="10">
        <v>567.16</v>
      </c>
      <c r="O1372" s="7">
        <v>18.3</v>
      </c>
      <c r="P1372" s="7">
        <v>25.9</v>
      </c>
      <c r="Q1372">
        <v>0</v>
      </c>
      <c r="R1372" t="s">
        <v>62</v>
      </c>
      <c r="S1372">
        <v>4</v>
      </c>
      <c r="T1372">
        <v>92</v>
      </c>
      <c r="U1372" s="11">
        <v>0</v>
      </c>
      <c r="V1372" s="11">
        <v>1</v>
      </c>
      <c r="W1372" s="11">
        <v>0.99998555065071859</v>
      </c>
      <c r="X1372" s="11">
        <v>5.3757315575838844E-3</v>
      </c>
      <c r="Y1372">
        <v>0</v>
      </c>
      <c r="Z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6">
        <v>45384</v>
      </c>
      <c r="B1373" t="s">
        <v>31</v>
      </c>
      <c r="C1373" t="s">
        <v>32</v>
      </c>
      <c r="D1373" t="s">
        <v>33</v>
      </c>
      <c r="E1373" t="s">
        <v>34</v>
      </c>
      <c r="F1373">
        <v>140</v>
      </c>
      <c r="G1373">
        <v>360</v>
      </c>
      <c r="H1373">
        <v>190</v>
      </c>
      <c r="I1373">
        <v>84</v>
      </c>
      <c r="J1373" s="8">
        <v>0.6</v>
      </c>
      <c r="K1373">
        <v>53</v>
      </c>
      <c r="L1373">
        <v>52</v>
      </c>
      <c r="M1373">
        <v>161</v>
      </c>
      <c r="N1373" s="10">
        <v>433.44</v>
      </c>
      <c r="O1373" s="7">
        <v>3.6</v>
      </c>
      <c r="P1373" s="7">
        <v>27.7</v>
      </c>
      <c r="Q1373">
        <v>1</v>
      </c>
      <c r="R1373" t="s">
        <v>63</v>
      </c>
      <c r="S1373">
        <v>4</v>
      </c>
      <c r="T1373">
        <v>93</v>
      </c>
      <c r="U1373" s="11">
        <v>0.7818314824680298</v>
      </c>
      <c r="V1373" s="11">
        <v>0.62348980185873359</v>
      </c>
      <c r="W1373" s="11">
        <v>0.99993006579620569</v>
      </c>
      <c r="X1373" s="11">
        <v>-1.1826390691832589E-2</v>
      </c>
      <c r="Y1373">
        <v>0</v>
      </c>
      <c r="Z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6">
        <v>45384</v>
      </c>
      <c r="B1374" t="s">
        <v>36</v>
      </c>
      <c r="C1374" t="s">
        <v>37</v>
      </c>
      <c r="D1374" t="s">
        <v>38</v>
      </c>
      <c r="E1374" t="s">
        <v>39</v>
      </c>
      <c r="F1374">
        <v>125</v>
      </c>
      <c r="G1374">
        <v>320</v>
      </c>
      <c r="H1374">
        <v>164</v>
      </c>
      <c r="I1374">
        <v>68</v>
      </c>
      <c r="J1374" s="8">
        <v>0.54400000000000004</v>
      </c>
      <c r="K1374">
        <v>42</v>
      </c>
      <c r="L1374">
        <v>37</v>
      </c>
      <c r="M1374">
        <v>135</v>
      </c>
      <c r="N1374" s="10">
        <v>661.52</v>
      </c>
      <c r="O1374" s="7">
        <v>3.6</v>
      </c>
      <c r="P1374" s="7">
        <v>27.7</v>
      </c>
      <c r="Q1374">
        <v>1</v>
      </c>
      <c r="R1374" t="s">
        <v>63</v>
      </c>
      <c r="S1374">
        <v>4</v>
      </c>
      <c r="T1374">
        <v>93</v>
      </c>
      <c r="U1374" s="11">
        <v>0.7818314824680298</v>
      </c>
      <c r="V1374" s="11">
        <v>0.62348980185873359</v>
      </c>
      <c r="W1374" s="11">
        <v>0.99993006579620569</v>
      </c>
      <c r="X1374" s="11">
        <v>-1.1826390691832589E-2</v>
      </c>
      <c r="Y1374">
        <v>0</v>
      </c>
      <c r="Z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6">
        <v>45384</v>
      </c>
      <c r="B1375" t="s">
        <v>41</v>
      </c>
      <c r="C1375" t="s">
        <v>42</v>
      </c>
      <c r="D1375" t="s">
        <v>43</v>
      </c>
      <c r="E1375" t="s">
        <v>44</v>
      </c>
      <c r="F1375">
        <v>85</v>
      </c>
      <c r="G1375">
        <v>210</v>
      </c>
      <c r="H1375">
        <v>106</v>
      </c>
      <c r="I1375">
        <v>47</v>
      </c>
      <c r="J1375" s="8">
        <v>0.55294117647058827</v>
      </c>
      <c r="K1375">
        <v>14</v>
      </c>
      <c r="L1375">
        <v>29</v>
      </c>
      <c r="M1375">
        <v>92</v>
      </c>
      <c r="N1375" s="10">
        <v>561.35</v>
      </c>
      <c r="O1375" s="7">
        <v>3.6</v>
      </c>
      <c r="P1375" s="7">
        <v>27.7</v>
      </c>
      <c r="Q1375">
        <v>1</v>
      </c>
      <c r="R1375" t="s">
        <v>63</v>
      </c>
      <c r="S1375">
        <v>4</v>
      </c>
      <c r="T1375">
        <v>93</v>
      </c>
      <c r="U1375" s="11">
        <v>0.7818314824680298</v>
      </c>
      <c r="V1375" s="11">
        <v>0.62348980185873359</v>
      </c>
      <c r="W1375" s="11">
        <v>0.99993006579620569</v>
      </c>
      <c r="X1375" s="11">
        <v>-1.1826390691832589E-2</v>
      </c>
      <c r="Y1375">
        <v>0</v>
      </c>
      <c r="Z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6">
        <v>45385</v>
      </c>
      <c r="B1376" t="s">
        <v>31</v>
      </c>
      <c r="C1376" t="s">
        <v>32</v>
      </c>
      <c r="D1376" t="s">
        <v>33</v>
      </c>
      <c r="E1376" t="s">
        <v>34</v>
      </c>
      <c r="F1376">
        <v>140</v>
      </c>
      <c r="G1376">
        <v>360</v>
      </c>
      <c r="H1376">
        <v>191</v>
      </c>
      <c r="I1376">
        <v>80</v>
      </c>
      <c r="J1376" s="8">
        <v>0.5714285714285714</v>
      </c>
      <c r="K1376">
        <v>31</v>
      </c>
      <c r="L1376">
        <v>39</v>
      </c>
      <c r="M1376">
        <v>156</v>
      </c>
      <c r="N1376" s="10">
        <v>443.49</v>
      </c>
      <c r="O1376" s="7">
        <v>16.600000000000001</v>
      </c>
      <c r="P1376" s="7">
        <v>27.8</v>
      </c>
      <c r="Q1376">
        <v>2</v>
      </c>
      <c r="R1376" t="s">
        <v>64</v>
      </c>
      <c r="S1376">
        <v>4</v>
      </c>
      <c r="T1376">
        <v>94</v>
      </c>
      <c r="U1376" s="11">
        <v>0.97492791218182362</v>
      </c>
      <c r="V1376" s="11">
        <v>-0.22252093395631434</v>
      </c>
      <c r="W1376" s="11">
        <v>0.99957868554789575</v>
      </c>
      <c r="X1376" s="11">
        <v>-2.9025013321975237E-2</v>
      </c>
      <c r="Y1376">
        <v>0</v>
      </c>
      <c r="Z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6">
        <v>45385</v>
      </c>
      <c r="B1377" t="s">
        <v>36</v>
      </c>
      <c r="C1377" t="s">
        <v>37</v>
      </c>
      <c r="D1377" t="s">
        <v>38</v>
      </c>
      <c r="E1377" t="s">
        <v>39</v>
      </c>
      <c r="F1377">
        <v>125</v>
      </c>
      <c r="G1377">
        <v>320</v>
      </c>
      <c r="H1377">
        <v>146</v>
      </c>
      <c r="I1377">
        <v>61</v>
      </c>
      <c r="J1377" s="8">
        <v>0.48799999999999999</v>
      </c>
      <c r="K1377">
        <v>39</v>
      </c>
      <c r="L1377">
        <v>28</v>
      </c>
      <c r="M1377">
        <v>130</v>
      </c>
      <c r="N1377" s="10">
        <v>618.53</v>
      </c>
      <c r="O1377" s="7">
        <v>16.600000000000001</v>
      </c>
      <c r="P1377" s="7">
        <v>27.8</v>
      </c>
      <c r="Q1377">
        <v>2</v>
      </c>
      <c r="R1377" t="s">
        <v>64</v>
      </c>
      <c r="S1377">
        <v>4</v>
      </c>
      <c r="T1377">
        <v>94</v>
      </c>
      <c r="U1377" s="11">
        <v>0.97492791218182362</v>
      </c>
      <c r="V1377" s="11">
        <v>-0.22252093395631434</v>
      </c>
      <c r="W1377" s="11">
        <v>0.99957868554789575</v>
      </c>
      <c r="X1377" s="11">
        <v>-2.9025013321975237E-2</v>
      </c>
      <c r="Y1377">
        <v>0</v>
      </c>
      <c r="Z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6">
        <v>45385</v>
      </c>
      <c r="B1378" t="s">
        <v>41</v>
      </c>
      <c r="C1378" t="s">
        <v>42</v>
      </c>
      <c r="D1378" t="s">
        <v>43</v>
      </c>
      <c r="E1378" t="s">
        <v>44</v>
      </c>
      <c r="F1378">
        <v>85</v>
      </c>
      <c r="G1378">
        <v>210</v>
      </c>
      <c r="H1378">
        <v>99</v>
      </c>
      <c r="I1378">
        <v>45</v>
      </c>
      <c r="J1378" s="8">
        <v>0.52941176470588236</v>
      </c>
      <c r="K1378">
        <v>21</v>
      </c>
      <c r="L1378">
        <v>12</v>
      </c>
      <c r="M1378">
        <v>82</v>
      </c>
      <c r="N1378" s="10">
        <v>570.24</v>
      </c>
      <c r="O1378" s="7">
        <v>16.600000000000001</v>
      </c>
      <c r="P1378" s="7">
        <v>27.8</v>
      </c>
      <c r="Q1378">
        <v>2</v>
      </c>
      <c r="R1378" t="s">
        <v>64</v>
      </c>
      <c r="S1378">
        <v>4</v>
      </c>
      <c r="T1378">
        <v>94</v>
      </c>
      <c r="U1378" s="11">
        <v>0.97492791218182362</v>
      </c>
      <c r="V1378" s="11">
        <v>-0.22252093395631434</v>
      </c>
      <c r="W1378" s="11">
        <v>0.99957868554789575</v>
      </c>
      <c r="X1378" s="11">
        <v>-2.9025013321975237E-2</v>
      </c>
      <c r="Y1378">
        <v>0</v>
      </c>
      <c r="Z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6">
        <v>45386</v>
      </c>
      <c r="B1379" t="s">
        <v>31</v>
      </c>
      <c r="C1379" t="s">
        <v>32</v>
      </c>
      <c r="D1379" t="s">
        <v>33</v>
      </c>
      <c r="E1379" t="s">
        <v>34</v>
      </c>
      <c r="F1379">
        <v>140</v>
      </c>
      <c r="G1379">
        <v>360</v>
      </c>
      <c r="H1379">
        <v>170</v>
      </c>
      <c r="I1379">
        <v>77</v>
      </c>
      <c r="J1379" s="8">
        <v>0.55000000000000004</v>
      </c>
      <c r="K1379">
        <v>38</v>
      </c>
      <c r="L1379">
        <v>12</v>
      </c>
      <c r="M1379">
        <v>151</v>
      </c>
      <c r="N1379" s="10">
        <v>406.67</v>
      </c>
      <c r="O1379" s="7">
        <v>0</v>
      </c>
      <c r="P1379" s="7">
        <v>27.1</v>
      </c>
      <c r="Q1379">
        <v>3</v>
      </c>
      <c r="R1379" t="s">
        <v>65</v>
      </c>
      <c r="S1379">
        <v>4</v>
      </c>
      <c r="T1379">
        <v>95</v>
      </c>
      <c r="U1379" s="11">
        <v>0.43388373911755823</v>
      </c>
      <c r="V1379" s="11">
        <v>-0.90096886790241903</v>
      </c>
      <c r="W1379" s="11">
        <v>0.99893151388485768</v>
      </c>
      <c r="X1379" s="11">
        <v>-4.6215046983708354E-2</v>
      </c>
      <c r="Y1379">
        <v>0</v>
      </c>
      <c r="Z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6">
        <v>45386</v>
      </c>
      <c r="B1380" t="s">
        <v>36</v>
      </c>
      <c r="C1380" t="s">
        <v>37</v>
      </c>
      <c r="D1380" t="s">
        <v>38</v>
      </c>
      <c r="E1380" t="s">
        <v>39</v>
      </c>
      <c r="F1380">
        <v>125</v>
      </c>
      <c r="G1380">
        <v>320</v>
      </c>
      <c r="H1380">
        <v>148</v>
      </c>
      <c r="I1380">
        <v>61</v>
      </c>
      <c r="J1380" s="8">
        <v>0.48799999999999999</v>
      </c>
      <c r="K1380">
        <v>25</v>
      </c>
      <c r="L1380">
        <v>22</v>
      </c>
      <c r="M1380">
        <v>127</v>
      </c>
      <c r="N1380" s="10">
        <v>645.53</v>
      </c>
      <c r="O1380" s="7">
        <v>0</v>
      </c>
      <c r="P1380" s="7">
        <v>27.1</v>
      </c>
      <c r="Q1380">
        <v>3</v>
      </c>
      <c r="R1380" t="s">
        <v>65</v>
      </c>
      <c r="S1380">
        <v>4</v>
      </c>
      <c r="T1380">
        <v>95</v>
      </c>
      <c r="U1380" s="11">
        <v>0.43388373911755823</v>
      </c>
      <c r="V1380" s="11">
        <v>-0.90096886790241903</v>
      </c>
      <c r="W1380" s="11">
        <v>0.99893151388485768</v>
      </c>
      <c r="X1380" s="11">
        <v>-4.6215046983708354E-2</v>
      </c>
      <c r="Y1380">
        <v>0</v>
      </c>
      <c r="Z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6">
        <v>45386</v>
      </c>
      <c r="B1381" t="s">
        <v>41</v>
      </c>
      <c r="C1381" t="s">
        <v>42</v>
      </c>
      <c r="D1381" t="s">
        <v>43</v>
      </c>
      <c r="E1381" t="s">
        <v>44</v>
      </c>
      <c r="F1381">
        <v>85</v>
      </c>
      <c r="G1381">
        <v>210</v>
      </c>
      <c r="H1381">
        <v>103</v>
      </c>
      <c r="I1381">
        <v>49</v>
      </c>
      <c r="J1381" s="8">
        <v>0.57647058823529407</v>
      </c>
      <c r="K1381">
        <v>17</v>
      </c>
      <c r="L1381">
        <v>23</v>
      </c>
      <c r="M1381">
        <v>92</v>
      </c>
      <c r="N1381" s="10">
        <v>495.67</v>
      </c>
      <c r="O1381" s="7">
        <v>0</v>
      </c>
      <c r="P1381" s="7">
        <v>27.1</v>
      </c>
      <c r="Q1381">
        <v>3</v>
      </c>
      <c r="R1381" t="s">
        <v>65</v>
      </c>
      <c r="S1381">
        <v>4</v>
      </c>
      <c r="T1381">
        <v>95</v>
      </c>
      <c r="U1381" s="11">
        <v>0.43388373911755823</v>
      </c>
      <c r="V1381" s="11">
        <v>-0.90096886790241903</v>
      </c>
      <c r="W1381" s="11">
        <v>0.99893151388485768</v>
      </c>
      <c r="X1381" s="11">
        <v>-4.6215046983708354E-2</v>
      </c>
      <c r="Y1381">
        <v>0</v>
      </c>
      <c r="Z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6">
        <v>45387</v>
      </c>
      <c r="B1382" t="s">
        <v>31</v>
      </c>
      <c r="C1382" t="s">
        <v>32</v>
      </c>
      <c r="D1382" t="s">
        <v>33</v>
      </c>
      <c r="E1382" t="s">
        <v>34</v>
      </c>
      <c r="F1382">
        <v>140</v>
      </c>
      <c r="G1382">
        <v>360</v>
      </c>
      <c r="H1382">
        <v>195</v>
      </c>
      <c r="I1382">
        <v>81</v>
      </c>
      <c r="J1382" s="8">
        <v>0.57857142857142863</v>
      </c>
      <c r="K1382">
        <v>43</v>
      </c>
      <c r="L1382">
        <v>27</v>
      </c>
      <c r="M1382">
        <v>175</v>
      </c>
      <c r="N1382" s="10">
        <v>422.98</v>
      </c>
      <c r="O1382" s="7">
        <v>8.1999999999999993</v>
      </c>
      <c r="P1382" s="7">
        <v>27</v>
      </c>
      <c r="Q1382">
        <v>4</v>
      </c>
      <c r="R1382" t="s">
        <v>66</v>
      </c>
      <c r="S1382">
        <v>4</v>
      </c>
      <c r="T1382">
        <v>96</v>
      </c>
      <c r="U1382" s="11">
        <v>-0.43388373911755801</v>
      </c>
      <c r="V1382" s="11">
        <v>-0.90096886790241915</v>
      </c>
      <c r="W1382" s="11">
        <v>0.99798874231559842</v>
      </c>
      <c r="X1382" s="11">
        <v>-6.3391404869510379E-2</v>
      </c>
      <c r="Y1382">
        <v>0</v>
      </c>
      <c r="Z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6">
        <v>45387</v>
      </c>
      <c r="B1383" t="s">
        <v>36</v>
      </c>
      <c r="C1383" t="s">
        <v>37</v>
      </c>
      <c r="D1383" t="s">
        <v>38</v>
      </c>
      <c r="E1383" t="s">
        <v>39</v>
      </c>
      <c r="F1383">
        <v>125</v>
      </c>
      <c r="G1383">
        <v>320</v>
      </c>
      <c r="H1383">
        <v>159</v>
      </c>
      <c r="I1383">
        <v>67</v>
      </c>
      <c r="J1383" s="8">
        <v>0.53600000000000003</v>
      </c>
      <c r="K1383">
        <v>35</v>
      </c>
      <c r="L1383">
        <v>36</v>
      </c>
      <c r="M1383">
        <v>132</v>
      </c>
      <c r="N1383" s="10">
        <v>648.15</v>
      </c>
      <c r="O1383" s="7">
        <v>8.1999999999999993</v>
      </c>
      <c r="P1383" s="7">
        <v>27</v>
      </c>
      <c r="Q1383">
        <v>4</v>
      </c>
      <c r="R1383" t="s">
        <v>66</v>
      </c>
      <c r="S1383">
        <v>4</v>
      </c>
      <c r="T1383">
        <v>96</v>
      </c>
      <c r="U1383" s="11">
        <v>-0.43388373911755801</v>
      </c>
      <c r="V1383" s="11">
        <v>-0.90096886790241915</v>
      </c>
      <c r="W1383" s="11">
        <v>0.99798874231559842</v>
      </c>
      <c r="X1383" s="11">
        <v>-6.3391404869510379E-2</v>
      </c>
      <c r="Y1383">
        <v>0</v>
      </c>
      <c r="Z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6">
        <v>45387</v>
      </c>
      <c r="B1384" t="s">
        <v>41</v>
      </c>
      <c r="C1384" t="s">
        <v>42</v>
      </c>
      <c r="D1384" t="s">
        <v>43</v>
      </c>
      <c r="E1384" t="s">
        <v>44</v>
      </c>
      <c r="F1384">
        <v>85</v>
      </c>
      <c r="G1384">
        <v>210</v>
      </c>
      <c r="H1384">
        <v>102</v>
      </c>
      <c r="I1384">
        <v>48</v>
      </c>
      <c r="J1384" s="8">
        <v>0.56470588235294117</v>
      </c>
      <c r="K1384">
        <v>22</v>
      </c>
      <c r="L1384">
        <v>27</v>
      </c>
      <c r="M1384">
        <v>90</v>
      </c>
      <c r="N1384" s="10">
        <v>569.77</v>
      </c>
      <c r="O1384" s="7">
        <v>8.1999999999999993</v>
      </c>
      <c r="P1384" s="7">
        <v>27</v>
      </c>
      <c r="Q1384">
        <v>4</v>
      </c>
      <c r="R1384" t="s">
        <v>66</v>
      </c>
      <c r="S1384">
        <v>4</v>
      </c>
      <c r="T1384">
        <v>96</v>
      </c>
      <c r="U1384" s="11">
        <v>-0.43388373911755801</v>
      </c>
      <c r="V1384" s="11">
        <v>-0.90096886790241915</v>
      </c>
      <c r="W1384" s="11">
        <v>0.99798874231559842</v>
      </c>
      <c r="X1384" s="11">
        <v>-6.3391404869510379E-2</v>
      </c>
      <c r="Y1384">
        <v>0</v>
      </c>
      <c r="Z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6">
        <v>45388</v>
      </c>
      <c r="B1385" t="s">
        <v>31</v>
      </c>
      <c r="C1385" t="s">
        <v>32</v>
      </c>
      <c r="D1385" t="s">
        <v>33</v>
      </c>
      <c r="E1385" t="s">
        <v>34</v>
      </c>
      <c r="F1385">
        <v>140</v>
      </c>
      <c r="G1385">
        <v>360</v>
      </c>
      <c r="H1385">
        <v>215</v>
      </c>
      <c r="I1385">
        <v>94</v>
      </c>
      <c r="J1385" s="8">
        <v>0.67142857142857137</v>
      </c>
      <c r="K1385">
        <v>44</v>
      </c>
      <c r="L1385">
        <v>31</v>
      </c>
      <c r="M1385">
        <v>189</v>
      </c>
      <c r="N1385" s="10">
        <v>474.95</v>
      </c>
      <c r="O1385" s="7">
        <v>4.3</v>
      </c>
      <c r="P1385" s="7">
        <v>27.9</v>
      </c>
      <c r="Q1385">
        <v>5</v>
      </c>
      <c r="R1385" t="s">
        <v>67</v>
      </c>
      <c r="S1385">
        <v>4</v>
      </c>
      <c r="T1385">
        <v>97</v>
      </c>
      <c r="U1385" s="11">
        <v>-0.97492791218182362</v>
      </c>
      <c r="V1385" s="11">
        <v>-0.22252093395631459</v>
      </c>
      <c r="W1385" s="11">
        <v>0.99675064982139294</v>
      </c>
      <c r="X1385" s="11">
        <v>-8.0549004218741671E-2</v>
      </c>
      <c r="Y1385">
        <v>1</v>
      </c>
      <c r="Z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6">
        <v>45388</v>
      </c>
      <c r="B1386" t="s">
        <v>36</v>
      </c>
      <c r="C1386" t="s">
        <v>37</v>
      </c>
      <c r="D1386" t="s">
        <v>38</v>
      </c>
      <c r="E1386" t="s">
        <v>39</v>
      </c>
      <c r="F1386">
        <v>125</v>
      </c>
      <c r="G1386">
        <v>320</v>
      </c>
      <c r="H1386">
        <v>174</v>
      </c>
      <c r="I1386">
        <v>71</v>
      </c>
      <c r="J1386" s="8">
        <v>0.56799999999999995</v>
      </c>
      <c r="K1386">
        <v>23</v>
      </c>
      <c r="L1386">
        <v>35</v>
      </c>
      <c r="M1386">
        <v>144</v>
      </c>
      <c r="N1386" s="10">
        <v>645.52</v>
      </c>
      <c r="O1386" s="7">
        <v>4.3</v>
      </c>
      <c r="P1386" s="7">
        <v>27.9</v>
      </c>
      <c r="Q1386">
        <v>5</v>
      </c>
      <c r="R1386" t="s">
        <v>67</v>
      </c>
      <c r="S1386">
        <v>4</v>
      </c>
      <c r="T1386">
        <v>97</v>
      </c>
      <c r="U1386" s="11">
        <v>-0.97492791218182362</v>
      </c>
      <c r="V1386" s="11">
        <v>-0.22252093395631459</v>
      </c>
      <c r="W1386" s="11">
        <v>0.99675064982139294</v>
      </c>
      <c r="X1386" s="11">
        <v>-8.0549004218741671E-2</v>
      </c>
      <c r="Y1386">
        <v>1</v>
      </c>
      <c r="Z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6">
        <v>45388</v>
      </c>
      <c r="B1387" t="s">
        <v>41</v>
      </c>
      <c r="C1387" t="s">
        <v>42</v>
      </c>
      <c r="D1387" t="s">
        <v>43</v>
      </c>
      <c r="E1387" t="s">
        <v>44</v>
      </c>
      <c r="F1387">
        <v>85</v>
      </c>
      <c r="G1387">
        <v>210</v>
      </c>
      <c r="H1387">
        <v>140</v>
      </c>
      <c r="I1387">
        <v>64</v>
      </c>
      <c r="J1387" s="8">
        <v>0.75294117647058822</v>
      </c>
      <c r="K1387">
        <v>21</v>
      </c>
      <c r="L1387">
        <v>18</v>
      </c>
      <c r="M1387">
        <v>121</v>
      </c>
      <c r="N1387" s="10">
        <v>540.17999999999995</v>
      </c>
      <c r="O1387" s="7">
        <v>4.3</v>
      </c>
      <c r="P1387" s="7">
        <v>27.9</v>
      </c>
      <c r="Q1387">
        <v>5</v>
      </c>
      <c r="R1387" t="s">
        <v>67</v>
      </c>
      <c r="S1387">
        <v>4</v>
      </c>
      <c r="T1387">
        <v>97</v>
      </c>
      <c r="U1387" s="11">
        <v>-0.97492791218182362</v>
      </c>
      <c r="V1387" s="11">
        <v>-0.22252093395631459</v>
      </c>
      <c r="W1387" s="11">
        <v>0.99675064982139294</v>
      </c>
      <c r="X1387" s="11">
        <v>-8.0549004218741671E-2</v>
      </c>
      <c r="Y1387">
        <v>1</v>
      </c>
      <c r="Z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6">
        <v>45389</v>
      </c>
      <c r="B1388" t="s">
        <v>31</v>
      </c>
      <c r="C1388" t="s">
        <v>32</v>
      </c>
      <c r="D1388" t="s">
        <v>33</v>
      </c>
      <c r="E1388" t="s">
        <v>34</v>
      </c>
      <c r="F1388">
        <v>140</v>
      </c>
      <c r="G1388">
        <v>360</v>
      </c>
      <c r="H1388">
        <v>186</v>
      </c>
      <c r="I1388">
        <v>78</v>
      </c>
      <c r="J1388" s="8">
        <v>0.55714285714285716</v>
      </c>
      <c r="K1388">
        <v>41</v>
      </c>
      <c r="L1388">
        <v>38</v>
      </c>
      <c r="M1388">
        <v>151</v>
      </c>
      <c r="N1388" s="10">
        <v>458.55</v>
      </c>
      <c r="O1388" s="7">
        <v>11.6</v>
      </c>
      <c r="P1388" s="7">
        <v>27.9</v>
      </c>
      <c r="Q1388">
        <v>6</v>
      </c>
      <c r="R1388" t="s">
        <v>60</v>
      </c>
      <c r="S1388">
        <v>4</v>
      </c>
      <c r="T1388">
        <v>98</v>
      </c>
      <c r="U1388" s="11">
        <v>-0.78183148246802991</v>
      </c>
      <c r="V1388" s="11">
        <v>0.62348980185873337</v>
      </c>
      <c r="W1388" s="11">
        <v>0.99521760277372939</v>
      </c>
      <c r="X1388" s="11">
        <v>-9.7682767821715977E-2</v>
      </c>
      <c r="Y1388">
        <v>1</v>
      </c>
      <c r="Z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6">
        <v>45389</v>
      </c>
      <c r="B1389" t="s">
        <v>36</v>
      </c>
      <c r="C1389" t="s">
        <v>37</v>
      </c>
      <c r="D1389" t="s">
        <v>38</v>
      </c>
      <c r="E1389" t="s">
        <v>39</v>
      </c>
      <c r="F1389">
        <v>125</v>
      </c>
      <c r="G1389">
        <v>320</v>
      </c>
      <c r="H1389">
        <v>192</v>
      </c>
      <c r="I1389">
        <v>81</v>
      </c>
      <c r="J1389" s="8">
        <v>0.64800000000000002</v>
      </c>
      <c r="K1389">
        <v>46</v>
      </c>
      <c r="L1389">
        <v>24</v>
      </c>
      <c r="M1389">
        <v>158</v>
      </c>
      <c r="N1389" s="10">
        <v>658.73</v>
      </c>
      <c r="O1389" s="7">
        <v>11.6</v>
      </c>
      <c r="P1389" s="7">
        <v>27.9</v>
      </c>
      <c r="Q1389">
        <v>6</v>
      </c>
      <c r="R1389" t="s">
        <v>60</v>
      </c>
      <c r="S1389">
        <v>4</v>
      </c>
      <c r="T1389">
        <v>98</v>
      </c>
      <c r="U1389" s="11">
        <v>-0.78183148246802991</v>
      </c>
      <c r="V1389" s="11">
        <v>0.62348980185873337</v>
      </c>
      <c r="W1389" s="11">
        <v>0.99521760277372939</v>
      </c>
      <c r="X1389" s="11">
        <v>-9.7682767821715977E-2</v>
      </c>
      <c r="Y1389">
        <v>1</v>
      </c>
      <c r="Z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6">
        <v>45389</v>
      </c>
      <c r="B1390" t="s">
        <v>41</v>
      </c>
      <c r="C1390" t="s">
        <v>42</v>
      </c>
      <c r="D1390" t="s">
        <v>43</v>
      </c>
      <c r="E1390" t="s">
        <v>44</v>
      </c>
      <c r="F1390">
        <v>85</v>
      </c>
      <c r="G1390">
        <v>210</v>
      </c>
      <c r="H1390">
        <v>139</v>
      </c>
      <c r="I1390">
        <v>62</v>
      </c>
      <c r="J1390" s="8">
        <v>0.72941176470588232</v>
      </c>
      <c r="K1390">
        <v>36</v>
      </c>
      <c r="L1390">
        <v>36</v>
      </c>
      <c r="M1390">
        <v>118</v>
      </c>
      <c r="N1390" s="10">
        <v>536.59</v>
      </c>
      <c r="O1390" s="7">
        <v>11.6</v>
      </c>
      <c r="P1390" s="7">
        <v>27.9</v>
      </c>
      <c r="Q1390">
        <v>6</v>
      </c>
      <c r="R1390" t="s">
        <v>60</v>
      </c>
      <c r="S1390">
        <v>4</v>
      </c>
      <c r="T1390">
        <v>98</v>
      </c>
      <c r="U1390" s="11">
        <v>-0.78183148246802991</v>
      </c>
      <c r="V1390" s="11">
        <v>0.62348980185873337</v>
      </c>
      <c r="W1390" s="11">
        <v>0.99521760277372939</v>
      </c>
      <c r="X1390" s="11">
        <v>-9.7682767821715977E-2</v>
      </c>
      <c r="Y1390">
        <v>1</v>
      </c>
      <c r="Z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6">
        <v>45390</v>
      </c>
      <c r="B1391" t="s">
        <v>31</v>
      </c>
      <c r="C1391" t="s">
        <v>32</v>
      </c>
      <c r="D1391" t="s">
        <v>33</v>
      </c>
      <c r="E1391" t="s">
        <v>34</v>
      </c>
      <c r="F1391">
        <v>140</v>
      </c>
      <c r="G1391">
        <v>360</v>
      </c>
      <c r="H1391">
        <v>186</v>
      </c>
      <c r="I1391">
        <v>79</v>
      </c>
      <c r="J1391" s="8">
        <v>0.56428571428571428</v>
      </c>
      <c r="K1391">
        <v>38</v>
      </c>
      <c r="L1391">
        <v>26</v>
      </c>
      <c r="M1391">
        <v>150</v>
      </c>
      <c r="N1391" s="10">
        <v>443.91</v>
      </c>
      <c r="O1391" s="7">
        <v>14.1</v>
      </c>
      <c r="P1391" s="7">
        <v>27.7</v>
      </c>
      <c r="Q1391">
        <v>0</v>
      </c>
      <c r="R1391" t="s">
        <v>62</v>
      </c>
      <c r="S1391">
        <v>4</v>
      </c>
      <c r="T1391">
        <v>99</v>
      </c>
      <c r="U1391" s="11">
        <v>0</v>
      </c>
      <c r="V1391" s="11">
        <v>1</v>
      </c>
      <c r="W1391" s="11">
        <v>0.9933900548258936</v>
      </c>
      <c r="X1391" s="11">
        <v>-0.11478762552212701</v>
      </c>
      <c r="Y1391">
        <v>0</v>
      </c>
      <c r="Z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6">
        <v>45390</v>
      </c>
      <c r="B1392" t="s">
        <v>36</v>
      </c>
      <c r="C1392" t="s">
        <v>37</v>
      </c>
      <c r="D1392" t="s">
        <v>38</v>
      </c>
      <c r="E1392" t="s">
        <v>39</v>
      </c>
      <c r="F1392">
        <v>125</v>
      </c>
      <c r="G1392">
        <v>320</v>
      </c>
      <c r="H1392">
        <v>162</v>
      </c>
      <c r="I1392">
        <v>70</v>
      </c>
      <c r="J1392" s="8">
        <v>0.56000000000000005</v>
      </c>
      <c r="K1392">
        <v>42</v>
      </c>
      <c r="L1392">
        <v>24</v>
      </c>
      <c r="M1392">
        <v>150</v>
      </c>
      <c r="N1392" s="10">
        <v>665.59</v>
      </c>
      <c r="O1392" s="7">
        <v>14.1</v>
      </c>
      <c r="P1392" s="7">
        <v>27.7</v>
      </c>
      <c r="Q1392">
        <v>0</v>
      </c>
      <c r="R1392" t="s">
        <v>62</v>
      </c>
      <c r="S1392">
        <v>4</v>
      </c>
      <c r="T1392">
        <v>99</v>
      </c>
      <c r="U1392" s="11">
        <v>0</v>
      </c>
      <c r="V1392" s="11">
        <v>1</v>
      </c>
      <c r="W1392" s="11">
        <v>0.9933900548258936</v>
      </c>
      <c r="X1392" s="11">
        <v>-0.11478762552212701</v>
      </c>
      <c r="Y1392">
        <v>0</v>
      </c>
      <c r="Z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6">
        <v>45390</v>
      </c>
      <c r="B1393" t="s">
        <v>41</v>
      </c>
      <c r="C1393" t="s">
        <v>42</v>
      </c>
      <c r="D1393" t="s">
        <v>43</v>
      </c>
      <c r="E1393" t="s">
        <v>44</v>
      </c>
      <c r="F1393">
        <v>85</v>
      </c>
      <c r="G1393">
        <v>210</v>
      </c>
      <c r="H1393">
        <v>109</v>
      </c>
      <c r="I1393">
        <v>48</v>
      </c>
      <c r="J1393" s="8">
        <v>0.56470588235294117</v>
      </c>
      <c r="K1393">
        <v>16</v>
      </c>
      <c r="L1393">
        <v>19</v>
      </c>
      <c r="M1393">
        <v>91</v>
      </c>
      <c r="N1393" s="10">
        <v>545.58000000000004</v>
      </c>
      <c r="O1393" s="7">
        <v>14.1</v>
      </c>
      <c r="P1393" s="7">
        <v>27.7</v>
      </c>
      <c r="Q1393">
        <v>0</v>
      </c>
      <c r="R1393" t="s">
        <v>62</v>
      </c>
      <c r="S1393">
        <v>4</v>
      </c>
      <c r="T1393">
        <v>99</v>
      </c>
      <c r="U1393" s="11">
        <v>0</v>
      </c>
      <c r="V1393" s="11">
        <v>1</v>
      </c>
      <c r="W1393" s="11">
        <v>0.9933900548258936</v>
      </c>
      <c r="X1393" s="11">
        <v>-0.11478762552212701</v>
      </c>
      <c r="Y1393">
        <v>0</v>
      </c>
      <c r="Z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6">
        <v>45391</v>
      </c>
      <c r="B1394" t="s">
        <v>31</v>
      </c>
      <c r="C1394" t="s">
        <v>32</v>
      </c>
      <c r="D1394" t="s">
        <v>33</v>
      </c>
      <c r="E1394" t="s">
        <v>34</v>
      </c>
      <c r="F1394">
        <v>140</v>
      </c>
      <c r="G1394">
        <v>360</v>
      </c>
      <c r="H1394">
        <v>162</v>
      </c>
      <c r="I1394">
        <v>72</v>
      </c>
      <c r="J1394" s="8">
        <v>0.51428571428571423</v>
      </c>
      <c r="K1394">
        <v>31</v>
      </c>
      <c r="L1394">
        <v>21</v>
      </c>
      <c r="M1394">
        <v>148</v>
      </c>
      <c r="N1394" s="10">
        <v>458.02</v>
      </c>
      <c r="O1394" s="7">
        <v>7.5</v>
      </c>
      <c r="P1394" s="7">
        <v>27.6</v>
      </c>
      <c r="Q1394">
        <v>1</v>
      </c>
      <c r="R1394" t="s">
        <v>63</v>
      </c>
      <c r="S1394">
        <v>4</v>
      </c>
      <c r="T1394">
        <v>100</v>
      </c>
      <c r="U1394" s="11">
        <v>0.7818314824680298</v>
      </c>
      <c r="V1394" s="11">
        <v>0.62348980185873359</v>
      </c>
      <c r="W1394" s="11">
        <v>0.99126854677872556</v>
      </c>
      <c r="X1394" s="11">
        <v>-0.13185851571739118</v>
      </c>
      <c r="Y1394">
        <v>0</v>
      </c>
      <c r="Z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6">
        <v>45391</v>
      </c>
      <c r="B1395" t="s">
        <v>36</v>
      </c>
      <c r="C1395" t="s">
        <v>37</v>
      </c>
      <c r="D1395" t="s">
        <v>38</v>
      </c>
      <c r="E1395" t="s">
        <v>39</v>
      </c>
      <c r="F1395">
        <v>125</v>
      </c>
      <c r="G1395">
        <v>320</v>
      </c>
      <c r="H1395">
        <v>166</v>
      </c>
      <c r="I1395">
        <v>71</v>
      </c>
      <c r="J1395" s="8">
        <v>0.56799999999999995</v>
      </c>
      <c r="K1395">
        <v>25</v>
      </c>
      <c r="L1395">
        <v>22</v>
      </c>
      <c r="M1395">
        <v>142</v>
      </c>
      <c r="N1395" s="10">
        <v>622.33000000000004</v>
      </c>
      <c r="O1395" s="7">
        <v>7.5</v>
      </c>
      <c r="P1395" s="7">
        <v>27.6</v>
      </c>
      <c r="Q1395">
        <v>1</v>
      </c>
      <c r="R1395" t="s">
        <v>63</v>
      </c>
      <c r="S1395">
        <v>4</v>
      </c>
      <c r="T1395">
        <v>100</v>
      </c>
      <c r="U1395" s="11">
        <v>0.7818314824680298</v>
      </c>
      <c r="V1395" s="11">
        <v>0.62348980185873359</v>
      </c>
      <c r="W1395" s="11">
        <v>0.99126854677872556</v>
      </c>
      <c r="X1395" s="11">
        <v>-0.13185851571739118</v>
      </c>
      <c r="Y1395">
        <v>0</v>
      </c>
      <c r="Z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6">
        <v>45391</v>
      </c>
      <c r="B1396" t="s">
        <v>41</v>
      </c>
      <c r="C1396" t="s">
        <v>42</v>
      </c>
      <c r="D1396" t="s">
        <v>43</v>
      </c>
      <c r="E1396" t="s">
        <v>44</v>
      </c>
      <c r="F1396">
        <v>85</v>
      </c>
      <c r="G1396">
        <v>210</v>
      </c>
      <c r="H1396">
        <v>118</v>
      </c>
      <c r="I1396">
        <v>54</v>
      </c>
      <c r="J1396" s="8">
        <v>0.63529411764705879</v>
      </c>
      <c r="K1396">
        <v>22</v>
      </c>
      <c r="L1396">
        <v>12</v>
      </c>
      <c r="M1396">
        <v>102</v>
      </c>
      <c r="N1396" s="10">
        <v>479.88</v>
      </c>
      <c r="O1396" s="7">
        <v>7.5</v>
      </c>
      <c r="P1396" s="7">
        <v>27.6</v>
      </c>
      <c r="Q1396">
        <v>1</v>
      </c>
      <c r="R1396" t="s">
        <v>63</v>
      </c>
      <c r="S1396">
        <v>4</v>
      </c>
      <c r="T1396">
        <v>100</v>
      </c>
      <c r="U1396" s="11">
        <v>0.7818314824680298</v>
      </c>
      <c r="V1396" s="11">
        <v>0.62348980185873359</v>
      </c>
      <c r="W1396" s="11">
        <v>0.99126854677872556</v>
      </c>
      <c r="X1396" s="11">
        <v>-0.13185851571739118</v>
      </c>
      <c r="Y1396">
        <v>0</v>
      </c>
      <c r="Z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6">
        <v>45392</v>
      </c>
      <c r="B1397" t="s">
        <v>31</v>
      </c>
      <c r="C1397" t="s">
        <v>32</v>
      </c>
      <c r="D1397" t="s">
        <v>33</v>
      </c>
      <c r="E1397" t="s">
        <v>34</v>
      </c>
      <c r="F1397">
        <v>140</v>
      </c>
      <c r="G1397">
        <v>360</v>
      </c>
      <c r="H1397">
        <v>179</v>
      </c>
      <c r="I1397">
        <v>75</v>
      </c>
      <c r="J1397" s="8">
        <v>0.5357142857142857</v>
      </c>
      <c r="K1397">
        <v>40</v>
      </c>
      <c r="L1397">
        <v>27</v>
      </c>
      <c r="M1397">
        <v>151</v>
      </c>
      <c r="N1397" s="10">
        <v>447.5</v>
      </c>
      <c r="O1397" s="7">
        <v>21.5</v>
      </c>
      <c r="P1397" s="7">
        <v>26</v>
      </c>
      <c r="Q1397">
        <v>2</v>
      </c>
      <c r="R1397" t="s">
        <v>64</v>
      </c>
      <c r="S1397">
        <v>4</v>
      </c>
      <c r="T1397">
        <v>101</v>
      </c>
      <c r="U1397" s="11">
        <v>0.97492791218182362</v>
      </c>
      <c r="V1397" s="11">
        <v>-0.22252093395631434</v>
      </c>
      <c r="W1397" s="11">
        <v>0.98885370642058845</v>
      </c>
      <c r="X1397" s="11">
        <v>-0.14889038685645481</v>
      </c>
      <c r="Y1397">
        <v>0</v>
      </c>
      <c r="Z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6">
        <v>45392</v>
      </c>
      <c r="B1398" t="s">
        <v>36</v>
      </c>
      <c r="C1398" t="s">
        <v>37</v>
      </c>
      <c r="D1398" t="s">
        <v>38</v>
      </c>
      <c r="E1398" t="s">
        <v>39</v>
      </c>
      <c r="F1398">
        <v>125</v>
      </c>
      <c r="G1398">
        <v>320</v>
      </c>
      <c r="H1398">
        <v>140</v>
      </c>
      <c r="I1398">
        <v>57</v>
      </c>
      <c r="J1398" s="8">
        <v>0.45600000000000002</v>
      </c>
      <c r="K1398">
        <v>22</v>
      </c>
      <c r="L1398">
        <v>34</v>
      </c>
      <c r="M1398">
        <v>116</v>
      </c>
      <c r="N1398" s="10">
        <v>590.03</v>
      </c>
      <c r="O1398" s="7">
        <v>21.5</v>
      </c>
      <c r="P1398" s="7">
        <v>26</v>
      </c>
      <c r="Q1398">
        <v>2</v>
      </c>
      <c r="R1398" t="s">
        <v>64</v>
      </c>
      <c r="S1398">
        <v>4</v>
      </c>
      <c r="T1398">
        <v>101</v>
      </c>
      <c r="U1398" s="11">
        <v>0.97492791218182362</v>
      </c>
      <c r="V1398" s="11">
        <v>-0.22252093395631434</v>
      </c>
      <c r="W1398" s="11">
        <v>0.98885370642058845</v>
      </c>
      <c r="X1398" s="11">
        <v>-0.14889038685645481</v>
      </c>
      <c r="Y1398">
        <v>0</v>
      </c>
      <c r="Z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6">
        <v>45392</v>
      </c>
      <c r="B1399" t="s">
        <v>41</v>
      </c>
      <c r="C1399" t="s">
        <v>42</v>
      </c>
      <c r="D1399" t="s">
        <v>43</v>
      </c>
      <c r="E1399" t="s">
        <v>44</v>
      </c>
      <c r="F1399">
        <v>85</v>
      </c>
      <c r="G1399">
        <v>210</v>
      </c>
      <c r="H1399">
        <v>119</v>
      </c>
      <c r="I1399">
        <v>51</v>
      </c>
      <c r="J1399" s="8">
        <v>0.6</v>
      </c>
      <c r="K1399">
        <v>21</v>
      </c>
      <c r="L1399">
        <v>22</v>
      </c>
      <c r="M1399">
        <v>104</v>
      </c>
      <c r="N1399" s="10">
        <v>556.24</v>
      </c>
      <c r="O1399" s="7">
        <v>21.5</v>
      </c>
      <c r="P1399" s="7">
        <v>26</v>
      </c>
      <c r="Q1399">
        <v>2</v>
      </c>
      <c r="R1399" t="s">
        <v>64</v>
      </c>
      <c r="S1399">
        <v>4</v>
      </c>
      <c r="T1399">
        <v>101</v>
      </c>
      <c r="U1399" s="11">
        <v>0.97492791218182362</v>
      </c>
      <c r="V1399" s="11">
        <v>-0.22252093395631434</v>
      </c>
      <c r="W1399" s="11">
        <v>0.98885370642058845</v>
      </c>
      <c r="X1399" s="11">
        <v>-0.14889038685645481</v>
      </c>
      <c r="Y1399">
        <v>0</v>
      </c>
      <c r="Z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6">
        <v>45393</v>
      </c>
      <c r="B1400" t="s">
        <v>31</v>
      </c>
      <c r="C1400" t="s">
        <v>32</v>
      </c>
      <c r="D1400" t="s">
        <v>33</v>
      </c>
      <c r="E1400" t="s">
        <v>34</v>
      </c>
      <c r="F1400">
        <v>140</v>
      </c>
      <c r="G1400">
        <v>360</v>
      </c>
      <c r="H1400">
        <v>177</v>
      </c>
      <c r="I1400">
        <v>75</v>
      </c>
      <c r="J1400" s="8">
        <v>0.5357142857142857</v>
      </c>
      <c r="K1400">
        <v>16</v>
      </c>
      <c r="L1400">
        <v>23</v>
      </c>
      <c r="M1400">
        <v>150</v>
      </c>
      <c r="N1400" s="10">
        <v>445.11</v>
      </c>
      <c r="O1400" s="7">
        <v>15.2</v>
      </c>
      <c r="P1400" s="7">
        <v>27.7</v>
      </c>
      <c r="Q1400">
        <v>3</v>
      </c>
      <c r="R1400" t="s">
        <v>65</v>
      </c>
      <c r="S1400">
        <v>4</v>
      </c>
      <c r="T1400">
        <v>102</v>
      </c>
      <c r="U1400" s="11">
        <v>0.43388373911755823</v>
      </c>
      <c r="V1400" s="11">
        <v>-0.90096886790241903</v>
      </c>
      <c r="W1400" s="11">
        <v>0.98614624834159503</v>
      </c>
      <c r="X1400" s="11">
        <v>-0.16587819893463143</v>
      </c>
      <c r="Y1400">
        <v>0</v>
      </c>
      <c r="Z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6">
        <v>45393</v>
      </c>
      <c r="B1401" t="s">
        <v>36</v>
      </c>
      <c r="C1401" t="s">
        <v>37</v>
      </c>
      <c r="D1401" t="s">
        <v>38</v>
      </c>
      <c r="E1401" t="s">
        <v>39</v>
      </c>
      <c r="F1401">
        <v>125</v>
      </c>
      <c r="G1401">
        <v>320</v>
      </c>
      <c r="H1401">
        <v>149</v>
      </c>
      <c r="I1401">
        <v>63</v>
      </c>
      <c r="J1401" s="8">
        <v>0.504</v>
      </c>
      <c r="K1401">
        <v>32</v>
      </c>
      <c r="L1401">
        <v>45</v>
      </c>
      <c r="M1401">
        <v>125</v>
      </c>
      <c r="N1401" s="10">
        <v>590.91</v>
      </c>
      <c r="O1401" s="7">
        <v>15.2</v>
      </c>
      <c r="P1401" s="7">
        <v>27.7</v>
      </c>
      <c r="Q1401">
        <v>3</v>
      </c>
      <c r="R1401" t="s">
        <v>65</v>
      </c>
      <c r="S1401">
        <v>4</v>
      </c>
      <c r="T1401">
        <v>102</v>
      </c>
      <c r="U1401" s="11">
        <v>0.43388373911755823</v>
      </c>
      <c r="V1401" s="11">
        <v>-0.90096886790241903</v>
      </c>
      <c r="W1401" s="11">
        <v>0.98614624834159503</v>
      </c>
      <c r="X1401" s="11">
        <v>-0.16587819893463143</v>
      </c>
      <c r="Y1401">
        <v>0</v>
      </c>
      <c r="Z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6">
        <v>45393</v>
      </c>
      <c r="B1402" t="s">
        <v>41</v>
      </c>
      <c r="C1402" t="s">
        <v>42</v>
      </c>
      <c r="D1402" t="s">
        <v>43</v>
      </c>
      <c r="E1402" t="s">
        <v>44</v>
      </c>
      <c r="F1402">
        <v>85</v>
      </c>
      <c r="G1402">
        <v>210</v>
      </c>
      <c r="H1402">
        <v>111</v>
      </c>
      <c r="I1402">
        <v>50</v>
      </c>
      <c r="J1402" s="8">
        <v>0.58823529411764708</v>
      </c>
      <c r="K1402">
        <v>16</v>
      </c>
      <c r="L1402">
        <v>15</v>
      </c>
      <c r="M1402">
        <v>101</v>
      </c>
      <c r="N1402" s="10">
        <v>569.86</v>
      </c>
      <c r="O1402" s="7">
        <v>15.2</v>
      </c>
      <c r="P1402" s="7">
        <v>27.7</v>
      </c>
      <c r="Q1402">
        <v>3</v>
      </c>
      <c r="R1402" t="s">
        <v>65</v>
      </c>
      <c r="S1402">
        <v>4</v>
      </c>
      <c r="T1402">
        <v>102</v>
      </c>
      <c r="U1402" s="11">
        <v>0.43388373911755823</v>
      </c>
      <c r="V1402" s="11">
        <v>-0.90096886790241903</v>
      </c>
      <c r="W1402" s="11">
        <v>0.98614624834159503</v>
      </c>
      <c r="X1402" s="11">
        <v>-0.16587819893463143</v>
      </c>
      <c r="Y1402">
        <v>0</v>
      </c>
      <c r="Z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6">
        <v>45394</v>
      </c>
      <c r="B1403" t="s">
        <v>31</v>
      </c>
      <c r="C1403" t="s">
        <v>32</v>
      </c>
      <c r="D1403" t="s">
        <v>33</v>
      </c>
      <c r="E1403" t="s">
        <v>34</v>
      </c>
      <c r="F1403">
        <v>140</v>
      </c>
      <c r="G1403">
        <v>360</v>
      </c>
      <c r="H1403">
        <v>195</v>
      </c>
      <c r="I1403">
        <v>84</v>
      </c>
      <c r="J1403" s="8">
        <v>0.6</v>
      </c>
      <c r="K1403">
        <v>44</v>
      </c>
      <c r="L1403">
        <v>50</v>
      </c>
      <c r="M1403">
        <v>176</v>
      </c>
      <c r="N1403" s="10">
        <v>426.09</v>
      </c>
      <c r="O1403" s="7">
        <v>18.899999999999999</v>
      </c>
      <c r="P1403" s="7">
        <v>28.7</v>
      </c>
      <c r="Q1403">
        <v>4</v>
      </c>
      <c r="R1403" t="s">
        <v>66</v>
      </c>
      <c r="S1403">
        <v>4</v>
      </c>
      <c r="T1403">
        <v>103</v>
      </c>
      <c r="U1403" s="11">
        <v>-0.43388373911755801</v>
      </c>
      <c r="V1403" s="11">
        <v>-0.90096886790241915</v>
      </c>
      <c r="W1403" s="11">
        <v>0.98314697372214988</v>
      </c>
      <c r="X1403" s="11">
        <v>-0.18281692498501989</v>
      </c>
      <c r="Y1403">
        <v>0</v>
      </c>
      <c r="Z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6">
        <v>45394</v>
      </c>
      <c r="B1404" t="s">
        <v>36</v>
      </c>
      <c r="C1404" t="s">
        <v>37</v>
      </c>
      <c r="D1404" t="s">
        <v>38</v>
      </c>
      <c r="E1404" t="s">
        <v>39</v>
      </c>
      <c r="F1404">
        <v>125</v>
      </c>
      <c r="G1404">
        <v>320</v>
      </c>
      <c r="H1404">
        <v>158</v>
      </c>
      <c r="I1404">
        <v>65</v>
      </c>
      <c r="J1404" s="8">
        <v>0.52</v>
      </c>
      <c r="K1404">
        <v>38</v>
      </c>
      <c r="L1404">
        <v>28</v>
      </c>
      <c r="M1404">
        <v>143</v>
      </c>
      <c r="N1404" s="10">
        <v>564.37</v>
      </c>
      <c r="O1404" s="7">
        <v>18.899999999999999</v>
      </c>
      <c r="P1404" s="7">
        <v>28.7</v>
      </c>
      <c r="Q1404">
        <v>4</v>
      </c>
      <c r="R1404" t="s">
        <v>66</v>
      </c>
      <c r="S1404">
        <v>4</v>
      </c>
      <c r="T1404">
        <v>103</v>
      </c>
      <c r="U1404" s="11">
        <v>-0.43388373911755801</v>
      </c>
      <c r="V1404" s="11">
        <v>-0.90096886790241915</v>
      </c>
      <c r="W1404" s="11">
        <v>0.98314697372214988</v>
      </c>
      <c r="X1404" s="11">
        <v>-0.18281692498501989</v>
      </c>
      <c r="Y1404">
        <v>0</v>
      </c>
      <c r="Z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6">
        <v>45394</v>
      </c>
      <c r="B1405" t="s">
        <v>41</v>
      </c>
      <c r="C1405" t="s">
        <v>42</v>
      </c>
      <c r="D1405" t="s">
        <v>43</v>
      </c>
      <c r="E1405" t="s">
        <v>44</v>
      </c>
      <c r="F1405">
        <v>85</v>
      </c>
      <c r="G1405">
        <v>210</v>
      </c>
      <c r="H1405">
        <v>97</v>
      </c>
      <c r="I1405">
        <v>45</v>
      </c>
      <c r="J1405" s="8">
        <v>0.52941176470588236</v>
      </c>
      <c r="K1405">
        <v>24</v>
      </c>
      <c r="L1405">
        <v>25</v>
      </c>
      <c r="M1405">
        <v>84</v>
      </c>
      <c r="N1405" s="10">
        <v>478.68</v>
      </c>
      <c r="O1405" s="7">
        <v>18.899999999999999</v>
      </c>
      <c r="P1405" s="7">
        <v>28.7</v>
      </c>
      <c r="Q1405">
        <v>4</v>
      </c>
      <c r="R1405" t="s">
        <v>66</v>
      </c>
      <c r="S1405">
        <v>4</v>
      </c>
      <c r="T1405">
        <v>103</v>
      </c>
      <c r="U1405" s="11">
        <v>-0.43388373911755801</v>
      </c>
      <c r="V1405" s="11">
        <v>-0.90096886790241915</v>
      </c>
      <c r="W1405" s="11">
        <v>0.98314697372214988</v>
      </c>
      <c r="X1405" s="11">
        <v>-0.18281692498501989</v>
      </c>
      <c r="Y1405">
        <v>0</v>
      </c>
      <c r="Z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6">
        <v>45395</v>
      </c>
      <c r="B1406" t="s">
        <v>31</v>
      </c>
      <c r="C1406" t="s">
        <v>32</v>
      </c>
      <c r="D1406" t="s">
        <v>33</v>
      </c>
      <c r="E1406" t="s">
        <v>34</v>
      </c>
      <c r="F1406">
        <v>140</v>
      </c>
      <c r="G1406">
        <v>360</v>
      </c>
      <c r="H1406">
        <v>203</v>
      </c>
      <c r="I1406">
        <v>87</v>
      </c>
      <c r="J1406" s="8">
        <v>0.62142857142857144</v>
      </c>
      <c r="K1406">
        <v>52</v>
      </c>
      <c r="L1406">
        <v>25</v>
      </c>
      <c r="M1406">
        <v>171</v>
      </c>
      <c r="N1406" s="10">
        <v>450.04</v>
      </c>
      <c r="O1406" s="7">
        <v>18.100000000000001</v>
      </c>
      <c r="P1406" s="7">
        <v>27.5</v>
      </c>
      <c r="Q1406">
        <v>5</v>
      </c>
      <c r="R1406" t="s">
        <v>67</v>
      </c>
      <c r="S1406">
        <v>4</v>
      </c>
      <c r="T1406">
        <v>104</v>
      </c>
      <c r="U1406" s="11">
        <v>-0.97492791218182362</v>
      </c>
      <c r="V1406" s="11">
        <v>-0.22252093395631459</v>
      </c>
      <c r="W1406" s="11">
        <v>0.97985677009586647</v>
      </c>
      <c r="X1406" s="11">
        <v>-0.19970155256606359</v>
      </c>
      <c r="Y1406">
        <v>1</v>
      </c>
      <c r="Z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6">
        <v>45395</v>
      </c>
      <c r="B1407" t="s">
        <v>36</v>
      </c>
      <c r="C1407" t="s">
        <v>37</v>
      </c>
      <c r="D1407" t="s">
        <v>38</v>
      </c>
      <c r="E1407" t="s">
        <v>39</v>
      </c>
      <c r="F1407">
        <v>125</v>
      </c>
      <c r="G1407">
        <v>320</v>
      </c>
      <c r="H1407">
        <v>194</v>
      </c>
      <c r="I1407">
        <v>80</v>
      </c>
      <c r="J1407" s="8">
        <v>0.64</v>
      </c>
      <c r="K1407">
        <v>48</v>
      </c>
      <c r="L1407">
        <v>51</v>
      </c>
      <c r="M1407">
        <v>160</v>
      </c>
      <c r="N1407" s="10">
        <v>740.2</v>
      </c>
      <c r="O1407" s="7">
        <v>18.100000000000001</v>
      </c>
      <c r="P1407" s="7">
        <v>27.5</v>
      </c>
      <c r="Q1407">
        <v>5</v>
      </c>
      <c r="R1407" t="s">
        <v>67</v>
      </c>
      <c r="S1407">
        <v>4</v>
      </c>
      <c r="T1407">
        <v>104</v>
      </c>
      <c r="U1407" s="11">
        <v>-0.97492791218182362</v>
      </c>
      <c r="V1407" s="11">
        <v>-0.22252093395631459</v>
      </c>
      <c r="W1407" s="11">
        <v>0.97985677009586647</v>
      </c>
      <c r="X1407" s="11">
        <v>-0.19970155256606359</v>
      </c>
      <c r="Y1407">
        <v>1</v>
      </c>
      <c r="Z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6">
        <v>45395</v>
      </c>
      <c r="B1408" t="s">
        <v>41</v>
      </c>
      <c r="C1408" t="s">
        <v>42</v>
      </c>
      <c r="D1408" t="s">
        <v>43</v>
      </c>
      <c r="E1408" t="s">
        <v>44</v>
      </c>
      <c r="F1408">
        <v>85</v>
      </c>
      <c r="G1408">
        <v>210</v>
      </c>
      <c r="H1408">
        <v>139</v>
      </c>
      <c r="I1408">
        <v>60</v>
      </c>
      <c r="J1408" s="8">
        <v>0.70588235294117652</v>
      </c>
      <c r="K1408">
        <v>16</v>
      </c>
      <c r="L1408">
        <v>32</v>
      </c>
      <c r="M1408">
        <v>124</v>
      </c>
      <c r="N1408" s="10">
        <v>627.92999999999995</v>
      </c>
      <c r="O1408" s="7">
        <v>18.100000000000001</v>
      </c>
      <c r="P1408" s="7">
        <v>27.5</v>
      </c>
      <c r="Q1408">
        <v>5</v>
      </c>
      <c r="R1408" t="s">
        <v>67</v>
      </c>
      <c r="S1408">
        <v>4</v>
      </c>
      <c r="T1408">
        <v>104</v>
      </c>
      <c r="U1408" s="11">
        <v>-0.97492791218182362</v>
      </c>
      <c r="V1408" s="11">
        <v>-0.22252093395631459</v>
      </c>
      <c r="W1408" s="11">
        <v>0.97985677009586647</v>
      </c>
      <c r="X1408" s="11">
        <v>-0.19970155256606359</v>
      </c>
      <c r="Y1408">
        <v>1</v>
      </c>
      <c r="Z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6">
        <v>45396</v>
      </c>
      <c r="B1409" t="s">
        <v>31</v>
      </c>
      <c r="C1409" t="s">
        <v>32</v>
      </c>
      <c r="D1409" t="s">
        <v>33</v>
      </c>
      <c r="E1409" t="s">
        <v>34</v>
      </c>
      <c r="F1409">
        <v>140</v>
      </c>
      <c r="G1409">
        <v>360</v>
      </c>
      <c r="H1409">
        <v>193</v>
      </c>
      <c r="I1409">
        <v>83</v>
      </c>
      <c r="J1409" s="8">
        <v>0.59285714285714286</v>
      </c>
      <c r="K1409">
        <v>35</v>
      </c>
      <c r="L1409">
        <v>51</v>
      </c>
      <c r="M1409">
        <v>156</v>
      </c>
      <c r="N1409" s="10">
        <v>447.8</v>
      </c>
      <c r="O1409" s="7">
        <v>10.8</v>
      </c>
      <c r="P1409" s="7">
        <v>29</v>
      </c>
      <c r="Q1409">
        <v>6</v>
      </c>
      <c r="R1409" t="s">
        <v>60</v>
      </c>
      <c r="S1409">
        <v>4</v>
      </c>
      <c r="T1409">
        <v>105</v>
      </c>
      <c r="U1409" s="11">
        <v>-0.78183148246802991</v>
      </c>
      <c r="V1409" s="11">
        <v>0.62348980185873337</v>
      </c>
      <c r="W1409" s="11">
        <v>0.97627661108693209</v>
      </c>
      <c r="X1409" s="11">
        <v>-0.21652708524481437</v>
      </c>
      <c r="Y1409">
        <v>1</v>
      </c>
      <c r="Z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6">
        <v>45396</v>
      </c>
      <c r="B1410" t="s">
        <v>36</v>
      </c>
      <c r="C1410" t="s">
        <v>37</v>
      </c>
      <c r="D1410" t="s">
        <v>38</v>
      </c>
      <c r="E1410" t="s">
        <v>39</v>
      </c>
      <c r="F1410">
        <v>125</v>
      </c>
      <c r="G1410">
        <v>320</v>
      </c>
      <c r="H1410">
        <v>182</v>
      </c>
      <c r="I1410">
        <v>76</v>
      </c>
      <c r="J1410" s="8">
        <v>0.60799999999999998</v>
      </c>
      <c r="K1410">
        <v>35</v>
      </c>
      <c r="L1410">
        <v>50</v>
      </c>
      <c r="M1410">
        <v>153</v>
      </c>
      <c r="N1410" s="10">
        <v>662.8</v>
      </c>
      <c r="O1410" s="7">
        <v>10.8</v>
      </c>
      <c r="P1410" s="7">
        <v>29</v>
      </c>
      <c r="Q1410">
        <v>6</v>
      </c>
      <c r="R1410" t="s">
        <v>60</v>
      </c>
      <c r="S1410">
        <v>4</v>
      </c>
      <c r="T1410">
        <v>105</v>
      </c>
      <c r="U1410" s="11">
        <v>-0.78183148246802991</v>
      </c>
      <c r="V1410" s="11">
        <v>0.62348980185873337</v>
      </c>
      <c r="W1410" s="11">
        <v>0.97627661108693209</v>
      </c>
      <c r="X1410" s="11">
        <v>-0.21652708524481437</v>
      </c>
      <c r="Y1410">
        <v>1</v>
      </c>
      <c r="Z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6">
        <v>45396</v>
      </c>
      <c r="B1411" t="s">
        <v>41</v>
      </c>
      <c r="C1411" t="s">
        <v>42</v>
      </c>
      <c r="D1411" t="s">
        <v>43</v>
      </c>
      <c r="E1411" t="s">
        <v>44</v>
      </c>
      <c r="F1411">
        <v>85</v>
      </c>
      <c r="G1411">
        <v>210</v>
      </c>
      <c r="H1411">
        <v>141</v>
      </c>
      <c r="I1411">
        <v>64</v>
      </c>
      <c r="J1411" s="8">
        <v>0.75294117647058822</v>
      </c>
      <c r="K1411">
        <v>23</v>
      </c>
      <c r="L1411">
        <v>14</v>
      </c>
      <c r="M1411">
        <v>132</v>
      </c>
      <c r="N1411" s="10">
        <v>644.61</v>
      </c>
      <c r="O1411" s="7">
        <v>10.8</v>
      </c>
      <c r="P1411" s="7">
        <v>29</v>
      </c>
      <c r="Q1411">
        <v>6</v>
      </c>
      <c r="R1411" t="s">
        <v>60</v>
      </c>
      <c r="S1411">
        <v>4</v>
      </c>
      <c r="T1411">
        <v>105</v>
      </c>
      <c r="U1411" s="11">
        <v>-0.78183148246802991</v>
      </c>
      <c r="V1411" s="11">
        <v>0.62348980185873337</v>
      </c>
      <c r="W1411" s="11">
        <v>0.97627661108693209</v>
      </c>
      <c r="X1411" s="11">
        <v>-0.21652708524481437</v>
      </c>
      <c r="Y1411">
        <v>1</v>
      </c>
      <c r="Z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6">
        <v>45397</v>
      </c>
      <c r="B1412" t="s">
        <v>31</v>
      </c>
      <c r="C1412" t="s">
        <v>32</v>
      </c>
      <c r="D1412" t="s">
        <v>33</v>
      </c>
      <c r="E1412" t="s">
        <v>34</v>
      </c>
      <c r="F1412">
        <v>140</v>
      </c>
      <c r="G1412">
        <v>360</v>
      </c>
      <c r="H1412">
        <v>167</v>
      </c>
      <c r="I1412">
        <v>72</v>
      </c>
      <c r="J1412" s="8">
        <v>0.51428571428571423</v>
      </c>
      <c r="K1412">
        <v>28</v>
      </c>
      <c r="L1412">
        <v>27</v>
      </c>
      <c r="M1412">
        <v>142</v>
      </c>
      <c r="N1412" s="10">
        <v>411.47</v>
      </c>
      <c r="O1412" s="7">
        <v>0</v>
      </c>
      <c r="P1412" s="7">
        <v>26.7</v>
      </c>
      <c r="Q1412">
        <v>0</v>
      </c>
      <c r="R1412" t="s">
        <v>62</v>
      </c>
      <c r="S1412">
        <v>4</v>
      </c>
      <c r="T1412">
        <v>106</v>
      </c>
      <c r="U1412" s="11">
        <v>0</v>
      </c>
      <c r="V1412" s="11">
        <v>1</v>
      </c>
      <c r="W1412" s="11">
        <v>0.97240755612199681</v>
      </c>
      <c r="X1412" s="11">
        <v>-0.23328854407545518</v>
      </c>
      <c r="Y1412">
        <v>0</v>
      </c>
      <c r="Z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6">
        <v>45397</v>
      </c>
      <c r="B1413" t="s">
        <v>36</v>
      </c>
      <c r="C1413" t="s">
        <v>37</v>
      </c>
      <c r="D1413" t="s">
        <v>38</v>
      </c>
      <c r="E1413" t="s">
        <v>39</v>
      </c>
      <c r="F1413">
        <v>125</v>
      </c>
      <c r="G1413">
        <v>320</v>
      </c>
      <c r="H1413">
        <v>156</v>
      </c>
      <c r="I1413">
        <v>65</v>
      </c>
      <c r="J1413" s="8">
        <v>0.52</v>
      </c>
      <c r="K1413">
        <v>36</v>
      </c>
      <c r="L1413">
        <v>31</v>
      </c>
      <c r="M1413">
        <v>139</v>
      </c>
      <c r="N1413" s="10">
        <v>614.13</v>
      </c>
      <c r="O1413" s="7">
        <v>0</v>
      </c>
      <c r="P1413" s="7">
        <v>26.7</v>
      </c>
      <c r="Q1413">
        <v>0</v>
      </c>
      <c r="R1413" t="s">
        <v>62</v>
      </c>
      <c r="S1413">
        <v>4</v>
      </c>
      <c r="T1413">
        <v>106</v>
      </c>
      <c r="U1413" s="11">
        <v>0</v>
      </c>
      <c r="V1413" s="11">
        <v>1</v>
      </c>
      <c r="W1413" s="11">
        <v>0.97240755612199681</v>
      </c>
      <c r="X1413" s="11">
        <v>-0.23328854407545518</v>
      </c>
      <c r="Y1413">
        <v>0</v>
      </c>
      <c r="Z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6">
        <v>45397</v>
      </c>
      <c r="B1414" t="s">
        <v>41</v>
      </c>
      <c r="C1414" t="s">
        <v>42</v>
      </c>
      <c r="D1414" t="s">
        <v>43</v>
      </c>
      <c r="E1414" t="s">
        <v>44</v>
      </c>
      <c r="F1414">
        <v>85</v>
      </c>
      <c r="G1414">
        <v>210</v>
      </c>
      <c r="H1414">
        <v>98</v>
      </c>
      <c r="I1414">
        <v>45</v>
      </c>
      <c r="J1414" s="8">
        <v>0.52941176470588236</v>
      </c>
      <c r="K1414">
        <v>17</v>
      </c>
      <c r="L1414">
        <v>16</v>
      </c>
      <c r="M1414">
        <v>85</v>
      </c>
      <c r="N1414" s="10">
        <v>503.95</v>
      </c>
      <c r="O1414" s="7">
        <v>0</v>
      </c>
      <c r="P1414" s="7">
        <v>26.7</v>
      </c>
      <c r="Q1414">
        <v>0</v>
      </c>
      <c r="R1414" t="s">
        <v>62</v>
      </c>
      <c r="S1414">
        <v>4</v>
      </c>
      <c r="T1414">
        <v>106</v>
      </c>
      <c r="U1414" s="11">
        <v>0</v>
      </c>
      <c r="V1414" s="11">
        <v>1</v>
      </c>
      <c r="W1414" s="11">
        <v>0.97240755612199681</v>
      </c>
      <c r="X1414" s="11">
        <v>-0.23328854407545518</v>
      </c>
      <c r="Y1414">
        <v>0</v>
      </c>
      <c r="Z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6">
        <v>45398</v>
      </c>
      <c r="B1415" t="s">
        <v>31</v>
      </c>
      <c r="C1415" t="s">
        <v>32</v>
      </c>
      <c r="D1415" t="s">
        <v>33</v>
      </c>
      <c r="E1415" t="s">
        <v>34</v>
      </c>
      <c r="F1415">
        <v>140</v>
      </c>
      <c r="G1415">
        <v>360</v>
      </c>
      <c r="H1415">
        <v>165</v>
      </c>
      <c r="I1415">
        <v>69</v>
      </c>
      <c r="J1415" s="8">
        <v>0.49285714285714288</v>
      </c>
      <c r="K1415">
        <v>35</v>
      </c>
      <c r="L1415">
        <v>13</v>
      </c>
      <c r="M1415">
        <v>143</v>
      </c>
      <c r="N1415" s="10">
        <v>417.91</v>
      </c>
      <c r="O1415" s="7">
        <v>5.7</v>
      </c>
      <c r="P1415" s="7">
        <v>26.5</v>
      </c>
      <c r="Q1415">
        <v>1</v>
      </c>
      <c r="R1415" t="s">
        <v>63</v>
      </c>
      <c r="S1415">
        <v>4</v>
      </c>
      <c r="T1415">
        <v>107</v>
      </c>
      <c r="U1415" s="11">
        <v>0.7818314824680298</v>
      </c>
      <c r="V1415" s="11">
        <v>0.62348980185873359</v>
      </c>
      <c r="W1415" s="11">
        <v>0.96825075011667183</v>
      </c>
      <c r="X1415" s="11">
        <v>-0.2499809690726521</v>
      </c>
      <c r="Y1415">
        <v>0</v>
      </c>
      <c r="Z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6">
        <v>45398</v>
      </c>
      <c r="B1416" t="s">
        <v>36</v>
      </c>
      <c r="C1416" t="s">
        <v>37</v>
      </c>
      <c r="D1416" t="s">
        <v>38</v>
      </c>
      <c r="E1416" t="s">
        <v>39</v>
      </c>
      <c r="F1416">
        <v>125</v>
      </c>
      <c r="G1416">
        <v>320</v>
      </c>
      <c r="H1416">
        <v>134</v>
      </c>
      <c r="I1416">
        <v>57</v>
      </c>
      <c r="J1416" s="8">
        <v>0.45600000000000002</v>
      </c>
      <c r="K1416">
        <v>39</v>
      </c>
      <c r="L1416">
        <v>25</v>
      </c>
      <c r="M1416">
        <v>114</v>
      </c>
      <c r="N1416" s="10">
        <v>673.09</v>
      </c>
      <c r="O1416" s="7">
        <v>5.7</v>
      </c>
      <c r="P1416" s="7">
        <v>26.5</v>
      </c>
      <c r="Q1416">
        <v>1</v>
      </c>
      <c r="R1416" t="s">
        <v>63</v>
      </c>
      <c r="S1416">
        <v>4</v>
      </c>
      <c r="T1416">
        <v>107</v>
      </c>
      <c r="U1416" s="11">
        <v>0.7818314824680298</v>
      </c>
      <c r="V1416" s="11">
        <v>0.62348980185873359</v>
      </c>
      <c r="W1416" s="11">
        <v>0.96825075011667183</v>
      </c>
      <c r="X1416" s="11">
        <v>-0.2499809690726521</v>
      </c>
      <c r="Y1416">
        <v>0</v>
      </c>
      <c r="Z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6">
        <v>45398</v>
      </c>
      <c r="B1417" t="s">
        <v>41</v>
      </c>
      <c r="C1417" t="s">
        <v>42</v>
      </c>
      <c r="D1417" t="s">
        <v>43</v>
      </c>
      <c r="E1417" t="s">
        <v>44</v>
      </c>
      <c r="F1417">
        <v>85</v>
      </c>
      <c r="G1417">
        <v>210</v>
      </c>
      <c r="H1417">
        <v>110</v>
      </c>
      <c r="I1417">
        <v>51</v>
      </c>
      <c r="J1417" s="8">
        <v>0.6</v>
      </c>
      <c r="K1417">
        <v>17</v>
      </c>
      <c r="L1417">
        <v>27</v>
      </c>
      <c r="M1417">
        <v>99</v>
      </c>
      <c r="N1417" s="10">
        <v>563.85</v>
      </c>
      <c r="O1417" s="7">
        <v>5.7</v>
      </c>
      <c r="P1417" s="7">
        <v>26.5</v>
      </c>
      <c r="Q1417">
        <v>1</v>
      </c>
      <c r="R1417" t="s">
        <v>63</v>
      </c>
      <c r="S1417">
        <v>4</v>
      </c>
      <c r="T1417">
        <v>107</v>
      </c>
      <c r="U1417" s="11">
        <v>0.7818314824680298</v>
      </c>
      <c r="V1417" s="11">
        <v>0.62348980185873359</v>
      </c>
      <c r="W1417" s="11">
        <v>0.96825075011667183</v>
      </c>
      <c r="X1417" s="11">
        <v>-0.2499809690726521</v>
      </c>
      <c r="Y1417">
        <v>0</v>
      </c>
      <c r="Z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6">
        <v>45399</v>
      </c>
      <c r="B1418" t="s">
        <v>31</v>
      </c>
      <c r="C1418" t="s">
        <v>32</v>
      </c>
      <c r="D1418" t="s">
        <v>33</v>
      </c>
      <c r="E1418" t="s">
        <v>34</v>
      </c>
      <c r="F1418">
        <v>140</v>
      </c>
      <c r="G1418">
        <v>360</v>
      </c>
      <c r="H1418">
        <v>146</v>
      </c>
      <c r="I1418">
        <v>61</v>
      </c>
      <c r="J1418" s="8">
        <v>0.43571428571428572</v>
      </c>
      <c r="K1418">
        <v>31</v>
      </c>
      <c r="L1418">
        <v>26</v>
      </c>
      <c r="M1418">
        <v>121</v>
      </c>
      <c r="N1418" s="10">
        <v>455.89</v>
      </c>
      <c r="O1418" s="7">
        <v>14.5</v>
      </c>
      <c r="P1418" s="7">
        <v>27.7</v>
      </c>
      <c r="Q1418">
        <v>2</v>
      </c>
      <c r="R1418" t="s">
        <v>64</v>
      </c>
      <c r="S1418">
        <v>4</v>
      </c>
      <c r="T1418">
        <v>108</v>
      </c>
      <c r="U1418" s="11">
        <v>0.97492791218182362</v>
      </c>
      <c r="V1418" s="11">
        <v>-0.22252093395631434</v>
      </c>
      <c r="W1418" s="11">
        <v>0.96380742313673073</v>
      </c>
      <c r="X1418" s="11">
        <v>-0.26659942067929354</v>
      </c>
      <c r="Y1418">
        <v>0</v>
      </c>
      <c r="Z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6">
        <v>45399</v>
      </c>
      <c r="B1419" t="s">
        <v>36</v>
      </c>
      <c r="C1419" t="s">
        <v>37</v>
      </c>
      <c r="D1419" t="s">
        <v>38</v>
      </c>
      <c r="E1419" t="s">
        <v>39</v>
      </c>
      <c r="F1419">
        <v>125</v>
      </c>
      <c r="G1419">
        <v>320</v>
      </c>
      <c r="H1419">
        <v>172</v>
      </c>
      <c r="I1419">
        <v>71</v>
      </c>
      <c r="J1419" s="8">
        <v>0.56799999999999995</v>
      </c>
      <c r="K1419">
        <v>30</v>
      </c>
      <c r="L1419">
        <v>23</v>
      </c>
      <c r="M1419">
        <v>141</v>
      </c>
      <c r="N1419" s="10">
        <v>628.98</v>
      </c>
      <c r="O1419" s="7">
        <v>14.5</v>
      </c>
      <c r="P1419" s="7">
        <v>27.7</v>
      </c>
      <c r="Q1419">
        <v>2</v>
      </c>
      <c r="R1419" t="s">
        <v>64</v>
      </c>
      <c r="S1419">
        <v>4</v>
      </c>
      <c r="T1419">
        <v>108</v>
      </c>
      <c r="U1419" s="11">
        <v>0.97492791218182362</v>
      </c>
      <c r="V1419" s="11">
        <v>-0.22252093395631434</v>
      </c>
      <c r="W1419" s="11">
        <v>0.96380742313673073</v>
      </c>
      <c r="X1419" s="11">
        <v>-0.26659942067929354</v>
      </c>
      <c r="Y1419">
        <v>0</v>
      </c>
      <c r="Z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6">
        <v>45399</v>
      </c>
      <c r="B1420" t="s">
        <v>41</v>
      </c>
      <c r="C1420" t="s">
        <v>42</v>
      </c>
      <c r="D1420" t="s">
        <v>43</v>
      </c>
      <c r="E1420" t="s">
        <v>44</v>
      </c>
      <c r="F1420">
        <v>85</v>
      </c>
      <c r="G1420">
        <v>210</v>
      </c>
      <c r="H1420">
        <v>122</v>
      </c>
      <c r="I1420">
        <v>54</v>
      </c>
      <c r="J1420" s="8">
        <v>0.63529411764705879</v>
      </c>
      <c r="K1420">
        <v>17</v>
      </c>
      <c r="L1420">
        <v>25</v>
      </c>
      <c r="M1420">
        <v>114</v>
      </c>
      <c r="N1420" s="10">
        <v>571.79999999999995</v>
      </c>
      <c r="O1420" s="7">
        <v>14.5</v>
      </c>
      <c r="P1420" s="7">
        <v>27.7</v>
      </c>
      <c r="Q1420">
        <v>2</v>
      </c>
      <c r="R1420" t="s">
        <v>64</v>
      </c>
      <c r="S1420">
        <v>4</v>
      </c>
      <c r="T1420">
        <v>108</v>
      </c>
      <c r="U1420" s="11">
        <v>0.97492791218182362</v>
      </c>
      <c r="V1420" s="11">
        <v>-0.22252093395631434</v>
      </c>
      <c r="W1420" s="11">
        <v>0.96380742313673073</v>
      </c>
      <c r="X1420" s="11">
        <v>-0.26659942067929354</v>
      </c>
      <c r="Y1420">
        <v>0</v>
      </c>
      <c r="Z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6">
        <v>45400</v>
      </c>
      <c r="B1421" t="s">
        <v>31</v>
      </c>
      <c r="C1421" t="s">
        <v>32</v>
      </c>
      <c r="D1421" t="s">
        <v>33</v>
      </c>
      <c r="E1421" t="s">
        <v>34</v>
      </c>
      <c r="F1421">
        <v>140</v>
      </c>
      <c r="G1421">
        <v>360</v>
      </c>
      <c r="H1421">
        <v>180</v>
      </c>
      <c r="I1421">
        <v>79</v>
      </c>
      <c r="J1421" s="8">
        <v>0.56428571428571428</v>
      </c>
      <c r="K1421">
        <v>27</v>
      </c>
      <c r="L1421">
        <v>24</v>
      </c>
      <c r="M1421">
        <v>152</v>
      </c>
      <c r="N1421" s="10">
        <v>422.02</v>
      </c>
      <c r="O1421" s="7">
        <v>15.6</v>
      </c>
      <c r="P1421" s="7">
        <v>26.8</v>
      </c>
      <c r="Q1421">
        <v>3</v>
      </c>
      <c r="R1421" t="s">
        <v>65</v>
      </c>
      <c r="S1421">
        <v>4</v>
      </c>
      <c r="T1421">
        <v>109</v>
      </c>
      <c r="U1421" s="11">
        <v>0.43388373911755823</v>
      </c>
      <c r="V1421" s="11">
        <v>-0.90096886790241903</v>
      </c>
      <c r="W1421" s="11">
        <v>0.95907889003411306</v>
      </c>
      <c r="X1421" s="11">
        <v>-0.28313898122818354</v>
      </c>
      <c r="Y1421">
        <v>0</v>
      </c>
      <c r="Z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6">
        <v>45400</v>
      </c>
      <c r="B1422" t="s">
        <v>36</v>
      </c>
      <c r="C1422" t="s">
        <v>37</v>
      </c>
      <c r="D1422" t="s">
        <v>38</v>
      </c>
      <c r="E1422" t="s">
        <v>39</v>
      </c>
      <c r="F1422">
        <v>125</v>
      </c>
      <c r="G1422">
        <v>320</v>
      </c>
      <c r="H1422">
        <v>154</v>
      </c>
      <c r="I1422">
        <v>66</v>
      </c>
      <c r="J1422" s="8">
        <v>0.52800000000000002</v>
      </c>
      <c r="K1422">
        <v>44</v>
      </c>
      <c r="L1422">
        <v>24</v>
      </c>
      <c r="M1422">
        <v>142</v>
      </c>
      <c r="N1422" s="10">
        <v>579.83000000000004</v>
      </c>
      <c r="O1422" s="7">
        <v>15.6</v>
      </c>
      <c r="P1422" s="7">
        <v>26.8</v>
      </c>
      <c r="Q1422">
        <v>3</v>
      </c>
      <c r="R1422" t="s">
        <v>65</v>
      </c>
      <c r="S1422">
        <v>4</v>
      </c>
      <c r="T1422">
        <v>109</v>
      </c>
      <c r="U1422" s="11">
        <v>0.43388373911755823</v>
      </c>
      <c r="V1422" s="11">
        <v>-0.90096886790241903</v>
      </c>
      <c r="W1422" s="11">
        <v>0.95907889003411306</v>
      </c>
      <c r="X1422" s="11">
        <v>-0.28313898122818354</v>
      </c>
      <c r="Y1422">
        <v>0</v>
      </c>
      <c r="Z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6">
        <v>45400</v>
      </c>
      <c r="B1423" t="s">
        <v>41</v>
      </c>
      <c r="C1423" t="s">
        <v>42</v>
      </c>
      <c r="D1423" t="s">
        <v>43</v>
      </c>
      <c r="E1423" t="s">
        <v>44</v>
      </c>
      <c r="F1423">
        <v>85</v>
      </c>
      <c r="G1423">
        <v>210</v>
      </c>
      <c r="H1423">
        <v>111</v>
      </c>
      <c r="I1423">
        <v>51</v>
      </c>
      <c r="J1423" s="8">
        <v>0.6</v>
      </c>
      <c r="K1423">
        <v>28</v>
      </c>
      <c r="L1423">
        <v>25</v>
      </c>
      <c r="M1423">
        <v>94</v>
      </c>
      <c r="N1423" s="10">
        <v>501.51</v>
      </c>
      <c r="O1423" s="7">
        <v>15.6</v>
      </c>
      <c r="P1423" s="7">
        <v>26.8</v>
      </c>
      <c r="Q1423">
        <v>3</v>
      </c>
      <c r="R1423" t="s">
        <v>65</v>
      </c>
      <c r="S1423">
        <v>4</v>
      </c>
      <c r="T1423">
        <v>109</v>
      </c>
      <c r="U1423" s="11">
        <v>0.43388373911755823</v>
      </c>
      <c r="V1423" s="11">
        <v>-0.90096886790241903</v>
      </c>
      <c r="W1423" s="11">
        <v>0.95907889003411306</v>
      </c>
      <c r="X1423" s="11">
        <v>-0.28313898122818354</v>
      </c>
      <c r="Y1423">
        <v>0</v>
      </c>
      <c r="Z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6">
        <v>45401</v>
      </c>
      <c r="B1424" t="s">
        <v>31</v>
      </c>
      <c r="C1424" t="s">
        <v>32</v>
      </c>
      <c r="D1424" t="s">
        <v>33</v>
      </c>
      <c r="E1424" t="s">
        <v>34</v>
      </c>
      <c r="F1424">
        <v>140</v>
      </c>
      <c r="G1424">
        <v>360</v>
      </c>
      <c r="H1424">
        <v>187</v>
      </c>
      <c r="I1424">
        <v>80</v>
      </c>
      <c r="J1424" s="8">
        <v>0.5714285714285714</v>
      </c>
      <c r="K1424">
        <v>37</v>
      </c>
      <c r="L1424">
        <v>40</v>
      </c>
      <c r="M1424">
        <v>152</v>
      </c>
      <c r="N1424" s="10">
        <v>432.44</v>
      </c>
      <c r="O1424" s="7">
        <v>12.8</v>
      </c>
      <c r="P1424" s="7">
        <v>26.9</v>
      </c>
      <c r="Q1424">
        <v>4</v>
      </c>
      <c r="R1424" t="s">
        <v>66</v>
      </c>
      <c r="S1424">
        <v>4</v>
      </c>
      <c r="T1424">
        <v>110</v>
      </c>
      <c r="U1424" s="11">
        <v>-0.43388373911755801</v>
      </c>
      <c r="V1424" s="11">
        <v>-0.90096886790241915</v>
      </c>
      <c r="W1424" s="11">
        <v>0.95406655005783869</v>
      </c>
      <c r="X1424" s="11">
        <v>-0.29959475639726019</v>
      </c>
      <c r="Y1424">
        <v>0</v>
      </c>
      <c r="Z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6">
        <v>45401</v>
      </c>
      <c r="B1425" t="s">
        <v>36</v>
      </c>
      <c r="C1425" t="s">
        <v>37</v>
      </c>
      <c r="D1425" t="s">
        <v>38</v>
      </c>
      <c r="E1425" t="s">
        <v>39</v>
      </c>
      <c r="F1425">
        <v>125</v>
      </c>
      <c r="G1425">
        <v>320</v>
      </c>
      <c r="H1425">
        <v>165</v>
      </c>
      <c r="I1425">
        <v>69</v>
      </c>
      <c r="J1425" s="8">
        <v>0.55200000000000005</v>
      </c>
      <c r="K1425">
        <v>45</v>
      </c>
      <c r="L1425">
        <v>31</v>
      </c>
      <c r="M1425">
        <v>134</v>
      </c>
      <c r="N1425" s="10">
        <v>681.24</v>
      </c>
      <c r="O1425" s="7">
        <v>12.8</v>
      </c>
      <c r="P1425" s="7">
        <v>26.9</v>
      </c>
      <c r="Q1425">
        <v>4</v>
      </c>
      <c r="R1425" t="s">
        <v>66</v>
      </c>
      <c r="S1425">
        <v>4</v>
      </c>
      <c r="T1425">
        <v>110</v>
      </c>
      <c r="U1425" s="11">
        <v>-0.43388373911755801</v>
      </c>
      <c r="V1425" s="11">
        <v>-0.90096886790241915</v>
      </c>
      <c r="W1425" s="11">
        <v>0.95406655005783869</v>
      </c>
      <c r="X1425" s="11">
        <v>-0.29959475639726019</v>
      </c>
      <c r="Y1425">
        <v>0</v>
      </c>
      <c r="Z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6">
        <v>45401</v>
      </c>
      <c r="B1426" t="s">
        <v>41</v>
      </c>
      <c r="C1426" t="s">
        <v>42</v>
      </c>
      <c r="D1426" t="s">
        <v>43</v>
      </c>
      <c r="E1426" t="s">
        <v>44</v>
      </c>
      <c r="F1426">
        <v>85</v>
      </c>
      <c r="G1426">
        <v>210</v>
      </c>
      <c r="H1426">
        <v>115</v>
      </c>
      <c r="I1426">
        <v>50</v>
      </c>
      <c r="J1426" s="8">
        <v>0.58823529411764708</v>
      </c>
      <c r="K1426">
        <v>23</v>
      </c>
      <c r="L1426">
        <v>25</v>
      </c>
      <c r="M1426">
        <v>95</v>
      </c>
      <c r="N1426" s="10">
        <v>562.71</v>
      </c>
      <c r="O1426" s="7">
        <v>12.8</v>
      </c>
      <c r="P1426" s="7">
        <v>26.9</v>
      </c>
      <c r="Q1426">
        <v>4</v>
      </c>
      <c r="R1426" t="s">
        <v>66</v>
      </c>
      <c r="S1426">
        <v>4</v>
      </c>
      <c r="T1426">
        <v>110</v>
      </c>
      <c r="U1426" s="11">
        <v>-0.43388373911755801</v>
      </c>
      <c r="V1426" s="11">
        <v>-0.90096886790241915</v>
      </c>
      <c r="W1426" s="11">
        <v>0.95406655005783869</v>
      </c>
      <c r="X1426" s="11">
        <v>-0.29959475639726019</v>
      </c>
      <c r="Y1426">
        <v>0</v>
      </c>
      <c r="Z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6">
        <v>45402</v>
      </c>
      <c r="B1427" t="s">
        <v>31</v>
      </c>
      <c r="C1427" t="s">
        <v>32</v>
      </c>
      <c r="D1427" t="s">
        <v>33</v>
      </c>
      <c r="E1427" t="s">
        <v>34</v>
      </c>
      <c r="F1427">
        <v>140</v>
      </c>
      <c r="G1427">
        <v>360</v>
      </c>
      <c r="H1427">
        <v>203</v>
      </c>
      <c r="I1427">
        <v>86</v>
      </c>
      <c r="J1427" s="8">
        <v>0.61428571428571432</v>
      </c>
      <c r="K1427">
        <v>27</v>
      </c>
      <c r="L1427">
        <v>37</v>
      </c>
      <c r="M1427">
        <v>172</v>
      </c>
      <c r="N1427" s="10">
        <v>469.45</v>
      </c>
      <c r="O1427" s="7">
        <v>18</v>
      </c>
      <c r="P1427" s="7">
        <v>27.7</v>
      </c>
      <c r="Q1427">
        <v>5</v>
      </c>
      <c r="R1427" t="s">
        <v>67</v>
      </c>
      <c r="S1427">
        <v>4</v>
      </c>
      <c r="T1427">
        <v>111</v>
      </c>
      <c r="U1427" s="11">
        <v>-0.97492791218182362</v>
      </c>
      <c r="V1427" s="11">
        <v>-0.22252093395631459</v>
      </c>
      <c r="W1427" s="11">
        <v>0.94877188643994725</v>
      </c>
      <c r="X1427" s="11">
        <v>-0.31596187665790293</v>
      </c>
      <c r="Y1427">
        <v>1</v>
      </c>
      <c r="Z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6">
        <v>45402</v>
      </c>
      <c r="B1428" t="s">
        <v>36</v>
      </c>
      <c r="C1428" t="s">
        <v>37</v>
      </c>
      <c r="D1428" t="s">
        <v>38</v>
      </c>
      <c r="E1428" t="s">
        <v>39</v>
      </c>
      <c r="F1428">
        <v>125</v>
      </c>
      <c r="G1428">
        <v>320</v>
      </c>
      <c r="H1428">
        <v>186</v>
      </c>
      <c r="I1428">
        <v>78</v>
      </c>
      <c r="J1428" s="8">
        <v>0.624</v>
      </c>
      <c r="K1428">
        <v>27</v>
      </c>
      <c r="L1428">
        <v>41</v>
      </c>
      <c r="M1428">
        <v>150</v>
      </c>
      <c r="N1428" s="10">
        <v>687.37</v>
      </c>
      <c r="O1428" s="7">
        <v>18</v>
      </c>
      <c r="P1428" s="7">
        <v>27.7</v>
      </c>
      <c r="Q1428">
        <v>5</v>
      </c>
      <c r="R1428" t="s">
        <v>67</v>
      </c>
      <c r="S1428">
        <v>4</v>
      </c>
      <c r="T1428">
        <v>111</v>
      </c>
      <c r="U1428" s="11">
        <v>-0.97492791218182362</v>
      </c>
      <c r="V1428" s="11">
        <v>-0.22252093395631459</v>
      </c>
      <c r="W1428" s="11">
        <v>0.94877188643994725</v>
      </c>
      <c r="X1428" s="11">
        <v>-0.31596187665790293</v>
      </c>
      <c r="Y1428">
        <v>1</v>
      </c>
      <c r="Z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6">
        <v>45402</v>
      </c>
      <c r="B1429" t="s">
        <v>41</v>
      </c>
      <c r="C1429" t="s">
        <v>42</v>
      </c>
      <c r="D1429" t="s">
        <v>43</v>
      </c>
      <c r="E1429" t="s">
        <v>44</v>
      </c>
      <c r="F1429">
        <v>85</v>
      </c>
      <c r="G1429">
        <v>210</v>
      </c>
      <c r="H1429">
        <v>142</v>
      </c>
      <c r="I1429">
        <v>63</v>
      </c>
      <c r="J1429" s="8">
        <v>0.74117647058823533</v>
      </c>
      <c r="K1429">
        <v>22</v>
      </c>
      <c r="L1429">
        <v>19</v>
      </c>
      <c r="M1429">
        <v>114</v>
      </c>
      <c r="N1429" s="10">
        <v>538.36</v>
      </c>
      <c r="O1429" s="7">
        <v>18</v>
      </c>
      <c r="P1429" s="7">
        <v>27.7</v>
      </c>
      <c r="Q1429">
        <v>5</v>
      </c>
      <c r="R1429" t="s">
        <v>67</v>
      </c>
      <c r="S1429">
        <v>4</v>
      </c>
      <c r="T1429">
        <v>111</v>
      </c>
      <c r="U1429" s="11">
        <v>-0.97492791218182362</v>
      </c>
      <c r="V1429" s="11">
        <v>-0.22252093395631459</v>
      </c>
      <c r="W1429" s="11">
        <v>0.94877188643994725</v>
      </c>
      <c r="X1429" s="11">
        <v>-0.31596187665790293</v>
      </c>
      <c r="Y1429">
        <v>1</v>
      </c>
      <c r="Z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6">
        <v>45403</v>
      </c>
      <c r="B1430" t="s">
        <v>31</v>
      </c>
      <c r="C1430" t="s">
        <v>32</v>
      </c>
      <c r="D1430" t="s">
        <v>33</v>
      </c>
      <c r="E1430" t="s">
        <v>34</v>
      </c>
      <c r="F1430">
        <v>140</v>
      </c>
      <c r="G1430">
        <v>360</v>
      </c>
      <c r="H1430">
        <v>219</v>
      </c>
      <c r="I1430">
        <v>97</v>
      </c>
      <c r="J1430" s="8">
        <v>0.69285714285714284</v>
      </c>
      <c r="K1430">
        <v>39</v>
      </c>
      <c r="L1430">
        <v>29</v>
      </c>
      <c r="M1430">
        <v>196</v>
      </c>
      <c r="N1430" s="10">
        <v>522.54999999999995</v>
      </c>
      <c r="O1430" s="7">
        <v>14.5</v>
      </c>
      <c r="P1430" s="7">
        <v>26.3</v>
      </c>
      <c r="Q1430">
        <v>6</v>
      </c>
      <c r="R1430" t="s">
        <v>60</v>
      </c>
      <c r="S1430">
        <v>4</v>
      </c>
      <c r="T1430">
        <v>112</v>
      </c>
      <c r="U1430" s="11">
        <v>-0.78183148246802991</v>
      </c>
      <c r="V1430" s="11">
        <v>0.62348980185873337</v>
      </c>
      <c r="W1430" s="11">
        <v>0.94319646595658657</v>
      </c>
      <c r="X1430" s="11">
        <v>-0.33223549871590435</v>
      </c>
      <c r="Y1430">
        <v>1</v>
      </c>
      <c r="Z1430">
        <v>1</v>
      </c>
      <c r="AA1430" t="s">
        <v>70</v>
      </c>
      <c r="AB1430">
        <v>0</v>
      </c>
      <c r="AC1430">
        <v>0</v>
      </c>
      <c r="AD1430">
        <v>0</v>
      </c>
      <c r="AE1430">
        <v>0</v>
      </c>
    </row>
    <row r="1431" spans="1:31">
      <c r="A1431" s="6">
        <v>45403</v>
      </c>
      <c r="B1431" t="s">
        <v>36</v>
      </c>
      <c r="C1431" t="s">
        <v>37</v>
      </c>
      <c r="D1431" t="s">
        <v>38</v>
      </c>
      <c r="E1431" t="s">
        <v>39</v>
      </c>
      <c r="F1431">
        <v>125</v>
      </c>
      <c r="G1431">
        <v>320</v>
      </c>
      <c r="H1431">
        <v>180</v>
      </c>
      <c r="I1431">
        <v>78</v>
      </c>
      <c r="J1431" s="8">
        <v>0.624</v>
      </c>
      <c r="K1431">
        <v>30</v>
      </c>
      <c r="L1431">
        <v>30</v>
      </c>
      <c r="M1431">
        <v>157</v>
      </c>
      <c r="N1431" s="10">
        <v>683.34</v>
      </c>
      <c r="O1431" s="7">
        <v>14.5</v>
      </c>
      <c r="P1431" s="7">
        <v>26.3</v>
      </c>
      <c r="Q1431">
        <v>6</v>
      </c>
      <c r="R1431" t="s">
        <v>60</v>
      </c>
      <c r="S1431">
        <v>4</v>
      </c>
      <c r="T1431">
        <v>112</v>
      </c>
      <c r="U1431" s="11">
        <v>-0.78183148246802991</v>
      </c>
      <c r="V1431" s="11">
        <v>0.62348980185873337</v>
      </c>
      <c r="W1431" s="11">
        <v>0.94319646595658657</v>
      </c>
      <c r="X1431" s="11">
        <v>-0.33223549871590435</v>
      </c>
      <c r="Y1431">
        <v>1</v>
      </c>
      <c r="Z1431">
        <v>1</v>
      </c>
      <c r="AA1431" t="s">
        <v>70</v>
      </c>
      <c r="AB1431">
        <v>0</v>
      </c>
      <c r="AC1431">
        <v>0</v>
      </c>
      <c r="AD1431">
        <v>0</v>
      </c>
      <c r="AE1431">
        <v>0</v>
      </c>
    </row>
    <row r="1432" spans="1:31">
      <c r="A1432" s="6">
        <v>45403</v>
      </c>
      <c r="B1432" t="s">
        <v>41</v>
      </c>
      <c r="C1432" t="s">
        <v>42</v>
      </c>
      <c r="D1432" t="s">
        <v>43</v>
      </c>
      <c r="E1432" t="s">
        <v>44</v>
      </c>
      <c r="F1432">
        <v>85</v>
      </c>
      <c r="G1432">
        <v>210</v>
      </c>
      <c r="H1432">
        <v>146</v>
      </c>
      <c r="I1432">
        <v>67</v>
      </c>
      <c r="J1432" s="8">
        <v>0.78823529411764703</v>
      </c>
      <c r="K1432">
        <v>40</v>
      </c>
      <c r="L1432">
        <v>39</v>
      </c>
      <c r="M1432">
        <v>119</v>
      </c>
      <c r="N1432" s="10">
        <v>591.61</v>
      </c>
      <c r="O1432" s="7">
        <v>14.5</v>
      </c>
      <c r="P1432" s="7">
        <v>26.3</v>
      </c>
      <c r="Q1432">
        <v>6</v>
      </c>
      <c r="R1432" t="s">
        <v>60</v>
      </c>
      <c r="S1432">
        <v>4</v>
      </c>
      <c r="T1432">
        <v>112</v>
      </c>
      <c r="U1432" s="11">
        <v>-0.78183148246802991</v>
      </c>
      <c r="V1432" s="11">
        <v>0.62348980185873337</v>
      </c>
      <c r="W1432" s="11">
        <v>0.94319646595658657</v>
      </c>
      <c r="X1432" s="11">
        <v>-0.33223549871590435</v>
      </c>
      <c r="Y1432">
        <v>1</v>
      </c>
      <c r="Z1432">
        <v>1</v>
      </c>
      <c r="AA1432" t="s">
        <v>70</v>
      </c>
      <c r="AB1432">
        <v>0</v>
      </c>
      <c r="AC1432">
        <v>0</v>
      </c>
      <c r="AD1432">
        <v>0</v>
      </c>
      <c r="AE1432">
        <v>0</v>
      </c>
    </row>
    <row r="1433" spans="1:31">
      <c r="A1433" s="6">
        <v>45404</v>
      </c>
      <c r="B1433" t="s">
        <v>31</v>
      </c>
      <c r="C1433" t="s">
        <v>32</v>
      </c>
      <c r="D1433" t="s">
        <v>33</v>
      </c>
      <c r="E1433" t="s">
        <v>34</v>
      </c>
      <c r="F1433">
        <v>140</v>
      </c>
      <c r="G1433">
        <v>360</v>
      </c>
      <c r="H1433">
        <v>152</v>
      </c>
      <c r="I1433">
        <v>66</v>
      </c>
      <c r="J1433" s="8">
        <v>0.47142857142857142</v>
      </c>
      <c r="K1433">
        <v>33</v>
      </c>
      <c r="L1433">
        <v>25</v>
      </c>
      <c r="M1433">
        <v>126</v>
      </c>
      <c r="N1433" s="10">
        <v>405.64</v>
      </c>
      <c r="O1433" s="7">
        <v>11.7</v>
      </c>
      <c r="P1433" s="7">
        <v>27.7</v>
      </c>
      <c r="Q1433">
        <v>0</v>
      </c>
      <c r="R1433" t="s">
        <v>62</v>
      </c>
      <c r="S1433">
        <v>4</v>
      </c>
      <c r="T1433">
        <v>113</v>
      </c>
      <c r="U1433" s="11">
        <v>0</v>
      </c>
      <c r="V1433" s="11">
        <v>1</v>
      </c>
      <c r="W1433" s="11">
        <v>0.93734193846437719</v>
      </c>
      <c r="X1433" s="11">
        <v>-0.3484108069446808</v>
      </c>
      <c r="Y1433">
        <v>0</v>
      </c>
      <c r="Z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6">
        <v>45404</v>
      </c>
      <c r="B1434" t="s">
        <v>36</v>
      </c>
      <c r="C1434" t="s">
        <v>37</v>
      </c>
      <c r="D1434" t="s">
        <v>38</v>
      </c>
      <c r="E1434" t="s">
        <v>39</v>
      </c>
      <c r="F1434">
        <v>125</v>
      </c>
      <c r="G1434">
        <v>320</v>
      </c>
      <c r="H1434">
        <v>151</v>
      </c>
      <c r="I1434">
        <v>63</v>
      </c>
      <c r="J1434" s="8">
        <v>0.504</v>
      </c>
      <c r="K1434">
        <v>33</v>
      </c>
      <c r="L1434">
        <v>31</v>
      </c>
      <c r="M1434">
        <v>123</v>
      </c>
      <c r="N1434" s="10">
        <v>636.29999999999995</v>
      </c>
      <c r="O1434" s="7">
        <v>11.7</v>
      </c>
      <c r="P1434" s="7">
        <v>27.7</v>
      </c>
      <c r="Q1434">
        <v>0</v>
      </c>
      <c r="R1434" t="s">
        <v>62</v>
      </c>
      <c r="S1434">
        <v>4</v>
      </c>
      <c r="T1434">
        <v>113</v>
      </c>
      <c r="U1434" s="11">
        <v>0</v>
      </c>
      <c r="V1434" s="11">
        <v>1</v>
      </c>
      <c r="W1434" s="11">
        <v>0.93734193846437719</v>
      </c>
      <c r="X1434" s="11">
        <v>-0.3484108069446808</v>
      </c>
      <c r="Y1434">
        <v>0</v>
      </c>
      <c r="Z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6">
        <v>45404</v>
      </c>
      <c r="B1435" t="s">
        <v>41</v>
      </c>
      <c r="C1435" t="s">
        <v>42</v>
      </c>
      <c r="D1435" t="s">
        <v>43</v>
      </c>
      <c r="E1435" t="s">
        <v>44</v>
      </c>
      <c r="F1435">
        <v>85</v>
      </c>
      <c r="G1435">
        <v>210</v>
      </c>
      <c r="H1435">
        <v>109</v>
      </c>
      <c r="I1435">
        <v>47</v>
      </c>
      <c r="J1435" s="8">
        <v>0.55294117647058827</v>
      </c>
      <c r="K1435">
        <v>28</v>
      </c>
      <c r="L1435">
        <v>24</v>
      </c>
      <c r="M1435">
        <v>99</v>
      </c>
      <c r="N1435" s="10">
        <v>490.04</v>
      </c>
      <c r="O1435" s="7">
        <v>11.7</v>
      </c>
      <c r="P1435" s="7">
        <v>27.7</v>
      </c>
      <c r="Q1435">
        <v>0</v>
      </c>
      <c r="R1435" t="s">
        <v>62</v>
      </c>
      <c r="S1435">
        <v>4</v>
      </c>
      <c r="T1435">
        <v>113</v>
      </c>
      <c r="U1435" s="11">
        <v>0</v>
      </c>
      <c r="V1435" s="11">
        <v>1</v>
      </c>
      <c r="W1435" s="11">
        <v>0.93734193846437719</v>
      </c>
      <c r="X1435" s="11">
        <v>-0.3484108069446808</v>
      </c>
      <c r="Y1435">
        <v>0</v>
      </c>
      <c r="Z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6">
        <v>45405</v>
      </c>
      <c r="B1436" t="s">
        <v>31</v>
      </c>
      <c r="C1436" t="s">
        <v>32</v>
      </c>
      <c r="D1436" t="s">
        <v>33</v>
      </c>
      <c r="E1436" t="s">
        <v>34</v>
      </c>
      <c r="F1436">
        <v>140</v>
      </c>
      <c r="G1436">
        <v>360</v>
      </c>
      <c r="H1436">
        <v>155</v>
      </c>
      <c r="I1436">
        <v>69</v>
      </c>
      <c r="J1436" s="8">
        <v>0.49285714285714288</v>
      </c>
      <c r="K1436">
        <v>26</v>
      </c>
      <c r="L1436">
        <v>18</v>
      </c>
      <c r="M1436">
        <v>143</v>
      </c>
      <c r="N1436" s="10">
        <v>450.53</v>
      </c>
      <c r="O1436" s="7">
        <v>13</v>
      </c>
      <c r="P1436" s="7">
        <v>27.8</v>
      </c>
      <c r="Q1436">
        <v>1</v>
      </c>
      <c r="R1436" t="s">
        <v>63</v>
      </c>
      <c r="S1436">
        <v>4</v>
      </c>
      <c r="T1436">
        <v>114</v>
      </c>
      <c r="U1436" s="11">
        <v>0.7818314824680298</v>
      </c>
      <c r="V1436" s="11">
        <v>0.62348980185873359</v>
      </c>
      <c r="W1436" s="11">
        <v>0.93121003641219469</v>
      </c>
      <c r="X1436" s="11">
        <v>-0.36448301481029122</v>
      </c>
      <c r="Y1436">
        <v>0</v>
      </c>
      <c r="Z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6">
        <v>45405</v>
      </c>
      <c r="B1437" t="s">
        <v>36</v>
      </c>
      <c r="C1437" t="s">
        <v>37</v>
      </c>
      <c r="D1437" t="s">
        <v>38</v>
      </c>
      <c r="E1437" t="s">
        <v>39</v>
      </c>
      <c r="F1437">
        <v>125</v>
      </c>
      <c r="G1437">
        <v>320</v>
      </c>
      <c r="H1437">
        <v>136</v>
      </c>
      <c r="I1437">
        <v>56</v>
      </c>
      <c r="J1437" s="8">
        <v>0.44800000000000001</v>
      </c>
      <c r="K1437">
        <v>23</v>
      </c>
      <c r="L1437">
        <v>28</v>
      </c>
      <c r="M1437">
        <v>116</v>
      </c>
      <c r="N1437" s="10">
        <v>616.16999999999996</v>
      </c>
      <c r="O1437" s="7">
        <v>13</v>
      </c>
      <c r="P1437" s="7">
        <v>27.8</v>
      </c>
      <c r="Q1437">
        <v>1</v>
      </c>
      <c r="R1437" t="s">
        <v>63</v>
      </c>
      <c r="S1437">
        <v>4</v>
      </c>
      <c r="T1437">
        <v>114</v>
      </c>
      <c r="U1437" s="11">
        <v>0.7818314824680298</v>
      </c>
      <c r="V1437" s="11">
        <v>0.62348980185873359</v>
      </c>
      <c r="W1437" s="11">
        <v>0.93121003641219469</v>
      </c>
      <c r="X1437" s="11">
        <v>-0.36448301481029122</v>
      </c>
      <c r="Y1437">
        <v>0</v>
      </c>
      <c r="Z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6">
        <v>45405</v>
      </c>
      <c r="B1438" t="s">
        <v>41</v>
      </c>
      <c r="C1438" t="s">
        <v>42</v>
      </c>
      <c r="D1438" t="s">
        <v>43</v>
      </c>
      <c r="E1438" t="s">
        <v>44</v>
      </c>
      <c r="F1438">
        <v>85</v>
      </c>
      <c r="G1438">
        <v>210</v>
      </c>
      <c r="H1438">
        <v>109</v>
      </c>
      <c r="I1438">
        <v>48</v>
      </c>
      <c r="J1438" s="8">
        <v>0.56470588235294117</v>
      </c>
      <c r="K1438">
        <v>27</v>
      </c>
      <c r="L1438">
        <v>20</v>
      </c>
      <c r="M1438">
        <v>95</v>
      </c>
      <c r="N1438" s="10">
        <v>511.35</v>
      </c>
      <c r="O1438" s="7">
        <v>13</v>
      </c>
      <c r="P1438" s="7">
        <v>27.8</v>
      </c>
      <c r="Q1438">
        <v>1</v>
      </c>
      <c r="R1438" t="s">
        <v>63</v>
      </c>
      <c r="S1438">
        <v>4</v>
      </c>
      <c r="T1438">
        <v>114</v>
      </c>
      <c r="U1438" s="11">
        <v>0.7818314824680298</v>
      </c>
      <c r="V1438" s="11">
        <v>0.62348980185873359</v>
      </c>
      <c r="W1438" s="11">
        <v>0.93121003641219469</v>
      </c>
      <c r="X1438" s="11">
        <v>-0.36448301481029122</v>
      </c>
      <c r="Y1438">
        <v>0</v>
      </c>
      <c r="Z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6">
        <v>45406</v>
      </c>
      <c r="B1439" t="s">
        <v>31</v>
      </c>
      <c r="C1439" t="s">
        <v>32</v>
      </c>
      <c r="D1439" t="s">
        <v>33</v>
      </c>
      <c r="E1439" t="s">
        <v>34</v>
      </c>
      <c r="F1439">
        <v>140</v>
      </c>
      <c r="G1439">
        <v>360</v>
      </c>
      <c r="H1439">
        <v>172</v>
      </c>
      <c r="I1439">
        <v>73</v>
      </c>
      <c r="J1439" s="8">
        <v>0.52142857142857146</v>
      </c>
      <c r="K1439">
        <v>43</v>
      </c>
      <c r="L1439">
        <v>29</v>
      </c>
      <c r="M1439">
        <v>151</v>
      </c>
      <c r="N1439" s="10">
        <v>421.89</v>
      </c>
      <c r="O1439" s="7">
        <v>11.6</v>
      </c>
      <c r="P1439" s="7">
        <v>27.2</v>
      </c>
      <c r="Q1439">
        <v>2</v>
      </c>
      <c r="R1439" t="s">
        <v>64</v>
      </c>
      <c r="S1439">
        <v>4</v>
      </c>
      <c r="T1439">
        <v>115</v>
      </c>
      <c r="U1439" s="11">
        <v>0.97492791218182362</v>
      </c>
      <c r="V1439" s="11">
        <v>-0.22252093395631434</v>
      </c>
      <c r="W1439" s="11">
        <v>0.92480257432850888</v>
      </c>
      <c r="X1439" s="11">
        <v>-0.38044736628785164</v>
      </c>
      <c r="Y1439">
        <v>0</v>
      </c>
      <c r="Z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6">
        <v>45406</v>
      </c>
      <c r="B1440" t="s">
        <v>36</v>
      </c>
      <c r="C1440" t="s">
        <v>37</v>
      </c>
      <c r="D1440" t="s">
        <v>38</v>
      </c>
      <c r="E1440" t="s">
        <v>39</v>
      </c>
      <c r="F1440">
        <v>125</v>
      </c>
      <c r="G1440">
        <v>320</v>
      </c>
      <c r="H1440">
        <v>161</v>
      </c>
      <c r="I1440">
        <v>67</v>
      </c>
      <c r="J1440" s="8">
        <v>0.53600000000000003</v>
      </c>
      <c r="K1440">
        <v>27</v>
      </c>
      <c r="L1440">
        <v>21</v>
      </c>
      <c r="M1440">
        <v>150</v>
      </c>
      <c r="N1440" s="10">
        <v>595.52</v>
      </c>
      <c r="O1440" s="7">
        <v>11.6</v>
      </c>
      <c r="P1440" s="7">
        <v>27.2</v>
      </c>
      <c r="Q1440">
        <v>2</v>
      </c>
      <c r="R1440" t="s">
        <v>64</v>
      </c>
      <c r="S1440">
        <v>4</v>
      </c>
      <c r="T1440">
        <v>115</v>
      </c>
      <c r="U1440" s="11">
        <v>0.97492791218182362</v>
      </c>
      <c r="V1440" s="11">
        <v>-0.22252093395631434</v>
      </c>
      <c r="W1440" s="11">
        <v>0.92480257432850888</v>
      </c>
      <c r="X1440" s="11">
        <v>-0.38044736628785164</v>
      </c>
      <c r="Y1440">
        <v>0</v>
      </c>
      <c r="Z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s="6">
        <v>45406</v>
      </c>
      <c r="B1441" t="s">
        <v>41</v>
      </c>
      <c r="C1441" t="s">
        <v>42</v>
      </c>
      <c r="D1441" t="s">
        <v>43</v>
      </c>
      <c r="E1441" t="s">
        <v>44</v>
      </c>
      <c r="F1441">
        <v>85</v>
      </c>
      <c r="G1441">
        <v>210</v>
      </c>
      <c r="H1441">
        <v>112</v>
      </c>
      <c r="I1441">
        <v>49</v>
      </c>
      <c r="J1441" s="8">
        <v>0.57647058823529407</v>
      </c>
      <c r="K1441">
        <v>28</v>
      </c>
      <c r="L1441">
        <v>32</v>
      </c>
      <c r="M1441">
        <v>97</v>
      </c>
      <c r="N1441" s="10">
        <v>572.04</v>
      </c>
      <c r="O1441" s="7">
        <v>11.6</v>
      </c>
      <c r="P1441" s="7">
        <v>27.2</v>
      </c>
      <c r="Q1441">
        <v>2</v>
      </c>
      <c r="R1441" t="s">
        <v>64</v>
      </c>
      <c r="S1441">
        <v>4</v>
      </c>
      <c r="T1441">
        <v>115</v>
      </c>
      <c r="U1441" s="11">
        <v>0.97492791218182362</v>
      </c>
      <c r="V1441" s="11">
        <v>-0.22252093395631434</v>
      </c>
      <c r="W1441" s="11">
        <v>0.92480257432850888</v>
      </c>
      <c r="X1441" s="11">
        <v>-0.38044736628785164</v>
      </c>
      <c r="Y1441">
        <v>0</v>
      </c>
      <c r="Z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6">
        <v>45407</v>
      </c>
      <c r="B1442" t="s">
        <v>31</v>
      </c>
      <c r="C1442" t="s">
        <v>32</v>
      </c>
      <c r="D1442" t="s">
        <v>33</v>
      </c>
      <c r="E1442" t="s">
        <v>34</v>
      </c>
      <c r="F1442">
        <v>140</v>
      </c>
      <c r="G1442">
        <v>360</v>
      </c>
      <c r="H1442">
        <v>181</v>
      </c>
      <c r="I1442">
        <v>76</v>
      </c>
      <c r="J1442" s="8">
        <v>0.54285714285714282</v>
      </c>
      <c r="K1442">
        <v>25</v>
      </c>
      <c r="L1442">
        <v>30</v>
      </c>
      <c r="M1442">
        <v>166</v>
      </c>
      <c r="N1442" s="10">
        <v>403.28</v>
      </c>
      <c r="O1442" s="7">
        <v>12.7</v>
      </c>
      <c r="P1442" s="7">
        <v>28</v>
      </c>
      <c r="Q1442">
        <v>3</v>
      </c>
      <c r="R1442" t="s">
        <v>65</v>
      </c>
      <c r="S1442">
        <v>4</v>
      </c>
      <c r="T1442">
        <v>116</v>
      </c>
      <c r="U1442" s="11">
        <v>0.43388373911755823</v>
      </c>
      <c r="V1442" s="11">
        <v>-0.90096886790241903</v>
      </c>
      <c r="W1442" s="11">
        <v>0.91812144828443654</v>
      </c>
      <c r="X1442" s="11">
        <v>-0.39629913726891813</v>
      </c>
      <c r="Y1442">
        <v>0</v>
      </c>
      <c r="Z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6">
        <v>45407</v>
      </c>
      <c r="B1443" t="s">
        <v>36</v>
      </c>
      <c r="C1443" t="s">
        <v>37</v>
      </c>
      <c r="D1443" t="s">
        <v>38</v>
      </c>
      <c r="E1443" t="s">
        <v>39</v>
      </c>
      <c r="F1443">
        <v>125</v>
      </c>
      <c r="G1443">
        <v>320</v>
      </c>
      <c r="H1443">
        <v>168</v>
      </c>
      <c r="I1443">
        <v>70</v>
      </c>
      <c r="J1443" s="8">
        <v>0.56000000000000005</v>
      </c>
      <c r="K1443">
        <v>26</v>
      </c>
      <c r="L1443">
        <v>20</v>
      </c>
      <c r="M1443">
        <v>155</v>
      </c>
      <c r="N1443" s="10">
        <v>618.46</v>
      </c>
      <c r="O1443" s="7">
        <v>12.7</v>
      </c>
      <c r="P1443" s="7">
        <v>28</v>
      </c>
      <c r="Q1443">
        <v>3</v>
      </c>
      <c r="R1443" t="s">
        <v>65</v>
      </c>
      <c r="S1443">
        <v>4</v>
      </c>
      <c r="T1443">
        <v>116</v>
      </c>
      <c r="U1443" s="11">
        <v>0.43388373911755823</v>
      </c>
      <c r="V1443" s="11">
        <v>-0.90096886790241903</v>
      </c>
      <c r="W1443" s="11">
        <v>0.91812144828443654</v>
      </c>
      <c r="X1443" s="11">
        <v>-0.39629913726891813</v>
      </c>
      <c r="Y1443">
        <v>0</v>
      </c>
      <c r="Z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6">
        <v>45407</v>
      </c>
      <c r="B1444" t="s">
        <v>41</v>
      </c>
      <c r="C1444" t="s">
        <v>42</v>
      </c>
      <c r="D1444" t="s">
        <v>43</v>
      </c>
      <c r="E1444" t="s">
        <v>44</v>
      </c>
      <c r="F1444">
        <v>85</v>
      </c>
      <c r="G1444">
        <v>210</v>
      </c>
      <c r="H1444">
        <v>124</v>
      </c>
      <c r="I1444">
        <v>53</v>
      </c>
      <c r="J1444" s="8">
        <v>0.62352941176470589</v>
      </c>
      <c r="K1444">
        <v>35</v>
      </c>
      <c r="L1444">
        <v>15</v>
      </c>
      <c r="M1444">
        <v>104</v>
      </c>
      <c r="N1444" s="10">
        <v>572.49</v>
      </c>
      <c r="O1444" s="7">
        <v>12.7</v>
      </c>
      <c r="P1444" s="7">
        <v>28</v>
      </c>
      <c r="Q1444">
        <v>3</v>
      </c>
      <c r="R1444" t="s">
        <v>65</v>
      </c>
      <c r="S1444">
        <v>4</v>
      </c>
      <c r="T1444">
        <v>116</v>
      </c>
      <c r="U1444" s="11">
        <v>0.43388373911755823</v>
      </c>
      <c r="V1444" s="11">
        <v>-0.90096886790241903</v>
      </c>
      <c r="W1444" s="11">
        <v>0.91812144828443654</v>
      </c>
      <c r="X1444" s="11">
        <v>-0.39629913726891813</v>
      </c>
      <c r="Y1444">
        <v>0</v>
      </c>
      <c r="Z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6">
        <v>45408</v>
      </c>
      <c r="B1445" t="s">
        <v>31</v>
      </c>
      <c r="C1445" t="s">
        <v>32</v>
      </c>
      <c r="D1445" t="s">
        <v>33</v>
      </c>
      <c r="E1445" t="s">
        <v>34</v>
      </c>
      <c r="F1445">
        <v>140</v>
      </c>
      <c r="G1445">
        <v>360</v>
      </c>
      <c r="H1445">
        <v>191</v>
      </c>
      <c r="I1445">
        <v>81</v>
      </c>
      <c r="J1445" s="8">
        <v>0.57857142857142863</v>
      </c>
      <c r="K1445">
        <v>39</v>
      </c>
      <c r="L1445">
        <v>44</v>
      </c>
      <c r="M1445">
        <v>157</v>
      </c>
      <c r="N1445" s="10">
        <v>402.01</v>
      </c>
      <c r="O1445" s="7">
        <v>2.2999999999999998</v>
      </c>
      <c r="P1445" s="7">
        <v>28</v>
      </c>
      <c r="Q1445">
        <v>4</v>
      </c>
      <c r="R1445" t="s">
        <v>66</v>
      </c>
      <c r="S1445">
        <v>4</v>
      </c>
      <c r="T1445">
        <v>117</v>
      </c>
      <c r="U1445" s="11">
        <v>-0.43388373911755801</v>
      </c>
      <c r="V1445" s="11">
        <v>-0.90096886790241915</v>
      </c>
      <c r="W1445" s="11">
        <v>0.91116863533266312</v>
      </c>
      <c r="X1445" s="11">
        <v>-0.41203363695942635</v>
      </c>
      <c r="Y1445">
        <v>0</v>
      </c>
      <c r="Z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6">
        <v>45408</v>
      </c>
      <c r="B1446" t="s">
        <v>36</v>
      </c>
      <c r="C1446" t="s">
        <v>37</v>
      </c>
      <c r="D1446" t="s">
        <v>38</v>
      </c>
      <c r="E1446" t="s">
        <v>39</v>
      </c>
      <c r="F1446">
        <v>125</v>
      </c>
      <c r="G1446">
        <v>320</v>
      </c>
      <c r="H1446">
        <v>181</v>
      </c>
      <c r="I1446">
        <v>71</v>
      </c>
      <c r="J1446" s="8">
        <v>0.56799999999999995</v>
      </c>
      <c r="K1446">
        <v>37</v>
      </c>
      <c r="L1446">
        <v>36</v>
      </c>
      <c r="M1446">
        <v>148</v>
      </c>
      <c r="N1446" s="10">
        <v>604.08000000000004</v>
      </c>
      <c r="O1446" s="7">
        <v>2.2999999999999998</v>
      </c>
      <c r="P1446" s="7">
        <v>28</v>
      </c>
      <c r="Q1446">
        <v>4</v>
      </c>
      <c r="R1446" t="s">
        <v>66</v>
      </c>
      <c r="S1446">
        <v>4</v>
      </c>
      <c r="T1446">
        <v>117</v>
      </c>
      <c r="U1446" s="11">
        <v>-0.43388373911755801</v>
      </c>
      <c r="V1446" s="11">
        <v>-0.90096886790241915</v>
      </c>
      <c r="W1446" s="11">
        <v>0.91116863533266312</v>
      </c>
      <c r="X1446" s="11">
        <v>-0.41203363695942635</v>
      </c>
      <c r="Y1446">
        <v>0</v>
      </c>
      <c r="Z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6">
        <v>45408</v>
      </c>
      <c r="B1447" t="s">
        <v>41</v>
      </c>
      <c r="C1447" t="s">
        <v>42</v>
      </c>
      <c r="D1447" t="s">
        <v>43</v>
      </c>
      <c r="E1447" t="s">
        <v>44</v>
      </c>
      <c r="F1447">
        <v>85</v>
      </c>
      <c r="G1447">
        <v>210</v>
      </c>
      <c r="H1447">
        <v>110</v>
      </c>
      <c r="I1447">
        <v>50</v>
      </c>
      <c r="J1447" s="8">
        <v>0.58823529411764708</v>
      </c>
      <c r="K1447">
        <v>21</v>
      </c>
      <c r="L1447">
        <v>12</v>
      </c>
      <c r="M1447">
        <v>100</v>
      </c>
      <c r="N1447" s="10">
        <v>581.71</v>
      </c>
      <c r="O1447" s="7">
        <v>2.2999999999999998</v>
      </c>
      <c r="P1447" s="7">
        <v>28</v>
      </c>
      <c r="Q1447">
        <v>4</v>
      </c>
      <c r="R1447" t="s">
        <v>66</v>
      </c>
      <c r="S1447">
        <v>4</v>
      </c>
      <c r="T1447">
        <v>117</v>
      </c>
      <c r="U1447" s="11">
        <v>-0.43388373911755801</v>
      </c>
      <c r="V1447" s="11">
        <v>-0.90096886790241915</v>
      </c>
      <c r="W1447" s="11">
        <v>0.91116863533266312</v>
      </c>
      <c r="X1447" s="11">
        <v>-0.41203363695942635</v>
      </c>
      <c r="Y1447">
        <v>0</v>
      </c>
      <c r="Z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6">
        <v>45409</v>
      </c>
      <c r="B1448" t="s">
        <v>31</v>
      </c>
      <c r="C1448" t="s">
        <v>32</v>
      </c>
      <c r="D1448" t="s">
        <v>33</v>
      </c>
      <c r="E1448" t="s">
        <v>34</v>
      </c>
      <c r="F1448">
        <v>140</v>
      </c>
      <c r="G1448">
        <v>360</v>
      </c>
      <c r="H1448">
        <v>194</v>
      </c>
      <c r="I1448">
        <v>85</v>
      </c>
      <c r="J1448" s="8">
        <v>0.6071428571428571</v>
      </c>
      <c r="K1448">
        <v>44</v>
      </c>
      <c r="L1448">
        <v>47</v>
      </c>
      <c r="M1448">
        <v>168</v>
      </c>
      <c r="N1448" s="10">
        <v>515.37</v>
      </c>
      <c r="O1448" s="7">
        <v>6.4</v>
      </c>
      <c r="P1448" s="7">
        <v>26.4</v>
      </c>
      <c r="Q1448">
        <v>5</v>
      </c>
      <c r="R1448" t="s">
        <v>67</v>
      </c>
      <c r="S1448">
        <v>4</v>
      </c>
      <c r="T1448">
        <v>118</v>
      </c>
      <c r="U1448" s="11">
        <v>-0.97492791218182362</v>
      </c>
      <c r="V1448" s="11">
        <v>-0.22252093395631459</v>
      </c>
      <c r="W1448" s="11">
        <v>0.90394619292240108</v>
      </c>
      <c r="X1448" s="11">
        <v>-0.42764620926777464</v>
      </c>
      <c r="Y1448">
        <v>1</v>
      </c>
      <c r="Z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6">
        <v>45409</v>
      </c>
      <c r="B1449" t="s">
        <v>36</v>
      </c>
      <c r="C1449" t="s">
        <v>37</v>
      </c>
      <c r="D1449" t="s">
        <v>38</v>
      </c>
      <c r="E1449" t="s">
        <v>39</v>
      </c>
      <c r="F1449">
        <v>125</v>
      </c>
      <c r="G1449">
        <v>320</v>
      </c>
      <c r="H1449">
        <v>187</v>
      </c>
      <c r="I1449">
        <v>76</v>
      </c>
      <c r="J1449" s="8">
        <v>0.60799999999999998</v>
      </c>
      <c r="K1449">
        <v>29</v>
      </c>
      <c r="L1449">
        <v>35</v>
      </c>
      <c r="M1449">
        <v>159</v>
      </c>
      <c r="N1449" s="10">
        <v>682.59</v>
      </c>
      <c r="O1449" s="7">
        <v>6.4</v>
      </c>
      <c r="P1449" s="7">
        <v>26.4</v>
      </c>
      <c r="Q1449">
        <v>5</v>
      </c>
      <c r="R1449" t="s">
        <v>67</v>
      </c>
      <c r="S1449">
        <v>4</v>
      </c>
      <c r="T1449">
        <v>118</v>
      </c>
      <c r="U1449" s="11">
        <v>-0.97492791218182362</v>
      </c>
      <c r="V1449" s="11">
        <v>-0.22252093395631459</v>
      </c>
      <c r="W1449" s="11">
        <v>0.90394619292240108</v>
      </c>
      <c r="X1449" s="11">
        <v>-0.42764620926777464</v>
      </c>
      <c r="Y1449">
        <v>1</v>
      </c>
      <c r="Z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6">
        <v>45409</v>
      </c>
      <c r="B1450" t="s">
        <v>41</v>
      </c>
      <c r="C1450" t="s">
        <v>42</v>
      </c>
      <c r="D1450" t="s">
        <v>43</v>
      </c>
      <c r="E1450" t="s">
        <v>44</v>
      </c>
      <c r="F1450">
        <v>85</v>
      </c>
      <c r="G1450">
        <v>210</v>
      </c>
      <c r="H1450">
        <v>122</v>
      </c>
      <c r="I1450">
        <v>55</v>
      </c>
      <c r="J1450" s="8">
        <v>0.6470588235294118</v>
      </c>
      <c r="K1450">
        <v>11</v>
      </c>
      <c r="L1450">
        <v>32</v>
      </c>
      <c r="M1450">
        <v>99</v>
      </c>
      <c r="N1450" s="10">
        <v>619.5</v>
      </c>
      <c r="O1450" s="7">
        <v>6.4</v>
      </c>
      <c r="P1450" s="7">
        <v>26.4</v>
      </c>
      <c r="Q1450">
        <v>5</v>
      </c>
      <c r="R1450" t="s">
        <v>67</v>
      </c>
      <c r="S1450">
        <v>4</v>
      </c>
      <c r="T1450">
        <v>118</v>
      </c>
      <c r="U1450" s="11">
        <v>-0.97492791218182362</v>
      </c>
      <c r="V1450" s="11">
        <v>-0.22252093395631459</v>
      </c>
      <c r="W1450" s="11">
        <v>0.90394619292240108</v>
      </c>
      <c r="X1450" s="11">
        <v>-0.42764620926777464</v>
      </c>
      <c r="Y1450">
        <v>1</v>
      </c>
      <c r="Z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6">
        <v>45410</v>
      </c>
      <c r="B1451" t="s">
        <v>31</v>
      </c>
      <c r="C1451" t="s">
        <v>32</v>
      </c>
      <c r="D1451" t="s">
        <v>33</v>
      </c>
      <c r="E1451" t="s">
        <v>34</v>
      </c>
      <c r="F1451">
        <v>140</v>
      </c>
      <c r="G1451">
        <v>360</v>
      </c>
      <c r="H1451">
        <v>217</v>
      </c>
      <c r="I1451">
        <v>92</v>
      </c>
      <c r="J1451" s="8">
        <v>0.65714285714285714</v>
      </c>
      <c r="K1451">
        <v>42</v>
      </c>
      <c r="L1451">
        <v>19</v>
      </c>
      <c r="M1451">
        <v>181</v>
      </c>
      <c r="N1451" s="10">
        <v>488.79</v>
      </c>
      <c r="O1451" s="7">
        <v>17</v>
      </c>
      <c r="P1451" s="7">
        <v>26.6</v>
      </c>
      <c r="Q1451">
        <v>6</v>
      </c>
      <c r="R1451" t="s">
        <v>60</v>
      </c>
      <c r="S1451">
        <v>4</v>
      </c>
      <c r="T1451">
        <v>119</v>
      </c>
      <c r="U1451" s="11">
        <v>-0.78183148246802991</v>
      </c>
      <c r="V1451" s="11">
        <v>0.62348980185873337</v>
      </c>
      <c r="W1451" s="11">
        <v>0.89645625829055753</v>
      </c>
      <c r="X1451" s="11">
        <v>-0.44313223418263453</v>
      </c>
      <c r="Y1451">
        <v>1</v>
      </c>
      <c r="Z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6">
        <v>45410</v>
      </c>
      <c r="B1452" t="s">
        <v>36</v>
      </c>
      <c r="C1452" t="s">
        <v>37</v>
      </c>
      <c r="D1452" t="s">
        <v>38</v>
      </c>
      <c r="E1452" t="s">
        <v>39</v>
      </c>
      <c r="F1452">
        <v>125</v>
      </c>
      <c r="G1452">
        <v>320</v>
      </c>
      <c r="H1452">
        <v>169</v>
      </c>
      <c r="I1452">
        <v>71</v>
      </c>
      <c r="J1452" s="8">
        <v>0.56799999999999995</v>
      </c>
      <c r="K1452">
        <v>25</v>
      </c>
      <c r="L1452">
        <v>34</v>
      </c>
      <c r="M1452">
        <v>135</v>
      </c>
      <c r="N1452" s="10">
        <v>631.89</v>
      </c>
      <c r="O1452" s="7">
        <v>17</v>
      </c>
      <c r="P1452" s="7">
        <v>26.6</v>
      </c>
      <c r="Q1452">
        <v>6</v>
      </c>
      <c r="R1452" t="s">
        <v>60</v>
      </c>
      <c r="S1452">
        <v>4</v>
      </c>
      <c r="T1452">
        <v>119</v>
      </c>
      <c r="U1452" s="11">
        <v>-0.78183148246802991</v>
      </c>
      <c r="V1452" s="11">
        <v>0.62348980185873337</v>
      </c>
      <c r="W1452" s="11">
        <v>0.89645625829055753</v>
      </c>
      <c r="X1452" s="11">
        <v>-0.44313223418263453</v>
      </c>
      <c r="Y1452">
        <v>1</v>
      </c>
      <c r="Z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6">
        <v>45410</v>
      </c>
      <c r="B1453" t="s">
        <v>41</v>
      </c>
      <c r="C1453" t="s">
        <v>42</v>
      </c>
      <c r="D1453" t="s">
        <v>43</v>
      </c>
      <c r="E1453" t="s">
        <v>44</v>
      </c>
      <c r="F1453">
        <v>85</v>
      </c>
      <c r="G1453">
        <v>210</v>
      </c>
      <c r="H1453">
        <v>132</v>
      </c>
      <c r="I1453">
        <v>59</v>
      </c>
      <c r="J1453" s="8">
        <v>0.69411764705882351</v>
      </c>
      <c r="K1453">
        <v>16</v>
      </c>
      <c r="L1453">
        <v>19</v>
      </c>
      <c r="M1453">
        <v>121</v>
      </c>
      <c r="N1453" s="10">
        <v>599.27</v>
      </c>
      <c r="O1453" s="7">
        <v>17</v>
      </c>
      <c r="P1453" s="7">
        <v>26.6</v>
      </c>
      <c r="Q1453">
        <v>6</v>
      </c>
      <c r="R1453" t="s">
        <v>60</v>
      </c>
      <c r="S1453">
        <v>4</v>
      </c>
      <c r="T1453">
        <v>119</v>
      </c>
      <c r="U1453" s="11">
        <v>-0.78183148246802991</v>
      </c>
      <c r="V1453" s="11">
        <v>0.62348980185873337</v>
      </c>
      <c r="W1453" s="11">
        <v>0.89645625829055753</v>
      </c>
      <c r="X1453" s="11">
        <v>-0.44313223418263453</v>
      </c>
      <c r="Y1453">
        <v>1</v>
      </c>
      <c r="Z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6">
        <v>45411</v>
      </c>
      <c r="B1454" t="s">
        <v>31</v>
      </c>
      <c r="C1454" t="s">
        <v>32</v>
      </c>
      <c r="D1454" t="s">
        <v>33</v>
      </c>
      <c r="E1454" t="s">
        <v>34</v>
      </c>
      <c r="F1454">
        <v>140</v>
      </c>
      <c r="G1454">
        <v>360</v>
      </c>
      <c r="H1454">
        <v>185</v>
      </c>
      <c r="I1454">
        <v>75</v>
      </c>
      <c r="J1454" s="8">
        <v>0.5357142857142857</v>
      </c>
      <c r="K1454">
        <v>36</v>
      </c>
      <c r="L1454">
        <v>24</v>
      </c>
      <c r="M1454">
        <v>161</v>
      </c>
      <c r="N1454" s="10">
        <v>431.59</v>
      </c>
      <c r="O1454" s="7">
        <v>8.1999999999999993</v>
      </c>
      <c r="P1454" s="7">
        <v>28.5</v>
      </c>
      <c r="Q1454">
        <v>0</v>
      </c>
      <c r="R1454" t="s">
        <v>62</v>
      </c>
      <c r="S1454">
        <v>4</v>
      </c>
      <c r="T1454">
        <v>120</v>
      </c>
      <c r="U1454" s="11">
        <v>0</v>
      </c>
      <c r="V1454" s="11">
        <v>1</v>
      </c>
      <c r="W1454" s="11">
        <v>0.88870104782929149</v>
      </c>
      <c r="X1454" s="11">
        <v>-0.45848712914008766</v>
      </c>
      <c r="Y1454">
        <v>0</v>
      </c>
      <c r="Z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6">
        <v>45411</v>
      </c>
      <c r="B1455" t="s">
        <v>36</v>
      </c>
      <c r="C1455" t="s">
        <v>37</v>
      </c>
      <c r="D1455" t="s">
        <v>38</v>
      </c>
      <c r="E1455" t="s">
        <v>39</v>
      </c>
      <c r="F1455">
        <v>125</v>
      </c>
      <c r="G1455">
        <v>320</v>
      </c>
      <c r="H1455">
        <v>143</v>
      </c>
      <c r="I1455">
        <v>60</v>
      </c>
      <c r="J1455" s="8">
        <v>0.48</v>
      </c>
      <c r="K1455">
        <v>20</v>
      </c>
      <c r="L1455">
        <v>24</v>
      </c>
      <c r="M1455">
        <v>115</v>
      </c>
      <c r="N1455" s="10">
        <v>569.6</v>
      </c>
      <c r="O1455" s="7">
        <v>8.1999999999999993</v>
      </c>
      <c r="P1455" s="7">
        <v>28.5</v>
      </c>
      <c r="Q1455">
        <v>0</v>
      </c>
      <c r="R1455" t="s">
        <v>62</v>
      </c>
      <c r="S1455">
        <v>4</v>
      </c>
      <c r="T1455">
        <v>120</v>
      </c>
      <c r="U1455" s="11">
        <v>0</v>
      </c>
      <c r="V1455" s="11">
        <v>1</v>
      </c>
      <c r="W1455" s="11">
        <v>0.88870104782929149</v>
      </c>
      <c r="X1455" s="11">
        <v>-0.45848712914008766</v>
      </c>
      <c r="Y1455">
        <v>0</v>
      </c>
      <c r="Z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6">
        <v>45411</v>
      </c>
      <c r="B1456" t="s">
        <v>41</v>
      </c>
      <c r="C1456" t="s">
        <v>42</v>
      </c>
      <c r="D1456" t="s">
        <v>43</v>
      </c>
      <c r="E1456" t="s">
        <v>44</v>
      </c>
      <c r="F1456">
        <v>85</v>
      </c>
      <c r="G1456">
        <v>210</v>
      </c>
      <c r="H1456">
        <v>122</v>
      </c>
      <c r="I1456">
        <v>54</v>
      </c>
      <c r="J1456" s="8">
        <v>0.63529411764705879</v>
      </c>
      <c r="K1456">
        <v>13</v>
      </c>
      <c r="L1456">
        <v>14</v>
      </c>
      <c r="M1456">
        <v>103</v>
      </c>
      <c r="N1456" s="10">
        <v>544.23</v>
      </c>
      <c r="O1456" s="7">
        <v>8.1999999999999993</v>
      </c>
      <c r="P1456" s="7">
        <v>28.5</v>
      </c>
      <c r="Q1456">
        <v>0</v>
      </c>
      <c r="R1456" t="s">
        <v>62</v>
      </c>
      <c r="S1456">
        <v>4</v>
      </c>
      <c r="T1456">
        <v>120</v>
      </c>
      <c r="U1456" s="11">
        <v>0</v>
      </c>
      <c r="V1456" s="11">
        <v>1</v>
      </c>
      <c r="W1456" s="11">
        <v>0.88870104782929149</v>
      </c>
      <c r="X1456" s="11">
        <v>-0.45848712914008766</v>
      </c>
      <c r="Y1456">
        <v>0</v>
      </c>
      <c r="Z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6">
        <v>45412</v>
      </c>
      <c r="B1457" t="s">
        <v>31</v>
      </c>
      <c r="C1457" t="s">
        <v>32</v>
      </c>
      <c r="D1457" t="s">
        <v>33</v>
      </c>
      <c r="E1457" t="s">
        <v>34</v>
      </c>
      <c r="F1457">
        <v>140</v>
      </c>
      <c r="G1457">
        <v>360</v>
      </c>
      <c r="H1457">
        <v>185</v>
      </c>
      <c r="I1457">
        <v>80</v>
      </c>
      <c r="J1457" s="8">
        <v>0.5714285714285714</v>
      </c>
      <c r="K1457">
        <v>39</v>
      </c>
      <c r="L1457">
        <v>35</v>
      </c>
      <c r="M1457">
        <v>172</v>
      </c>
      <c r="N1457" s="10">
        <v>426.07</v>
      </c>
      <c r="O1457" s="7">
        <v>0.4</v>
      </c>
      <c r="P1457" s="7">
        <v>27.2</v>
      </c>
      <c r="Q1457">
        <v>1</v>
      </c>
      <c r="R1457" t="s">
        <v>63</v>
      </c>
      <c r="S1457">
        <v>4</v>
      </c>
      <c r="T1457">
        <v>121</v>
      </c>
      <c r="U1457" s="11">
        <v>0.7818314824680298</v>
      </c>
      <c r="V1457" s="11">
        <v>0.62348980185873359</v>
      </c>
      <c r="W1457" s="11">
        <v>0.88068285643014754</v>
      </c>
      <c r="X1457" s="11">
        <v>-0.47370635037968001</v>
      </c>
      <c r="Y1457">
        <v>0</v>
      </c>
      <c r="Z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6">
        <v>45412</v>
      </c>
      <c r="B1458" t="s">
        <v>36</v>
      </c>
      <c r="C1458" t="s">
        <v>37</v>
      </c>
      <c r="D1458" t="s">
        <v>38</v>
      </c>
      <c r="E1458" t="s">
        <v>39</v>
      </c>
      <c r="F1458">
        <v>125</v>
      </c>
      <c r="G1458">
        <v>320</v>
      </c>
      <c r="H1458">
        <v>167</v>
      </c>
      <c r="I1458">
        <v>67</v>
      </c>
      <c r="J1458" s="8">
        <v>0.53600000000000003</v>
      </c>
      <c r="K1458">
        <v>44</v>
      </c>
      <c r="L1458">
        <v>36</v>
      </c>
      <c r="M1458">
        <v>144</v>
      </c>
      <c r="N1458" s="10">
        <v>573.99</v>
      </c>
      <c r="O1458" s="7">
        <v>0.4</v>
      </c>
      <c r="P1458" s="7">
        <v>27.2</v>
      </c>
      <c r="Q1458">
        <v>1</v>
      </c>
      <c r="R1458" t="s">
        <v>63</v>
      </c>
      <c r="S1458">
        <v>4</v>
      </c>
      <c r="T1458">
        <v>121</v>
      </c>
      <c r="U1458" s="11">
        <v>0.7818314824680298</v>
      </c>
      <c r="V1458" s="11">
        <v>0.62348980185873359</v>
      </c>
      <c r="W1458" s="11">
        <v>0.88068285643014754</v>
      </c>
      <c r="X1458" s="11">
        <v>-0.47370635037968001</v>
      </c>
      <c r="Y1458">
        <v>0</v>
      </c>
      <c r="Z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6">
        <v>45412</v>
      </c>
      <c r="B1459" t="s">
        <v>41</v>
      </c>
      <c r="C1459" t="s">
        <v>42</v>
      </c>
      <c r="D1459" t="s">
        <v>43</v>
      </c>
      <c r="E1459" t="s">
        <v>44</v>
      </c>
      <c r="F1459">
        <v>85</v>
      </c>
      <c r="G1459">
        <v>210</v>
      </c>
      <c r="H1459">
        <v>119</v>
      </c>
      <c r="I1459">
        <v>53</v>
      </c>
      <c r="J1459" s="8">
        <v>0.62352941176470589</v>
      </c>
      <c r="K1459">
        <v>21</v>
      </c>
      <c r="L1459">
        <v>25</v>
      </c>
      <c r="M1459">
        <v>101</v>
      </c>
      <c r="N1459" s="10">
        <v>546.75</v>
      </c>
      <c r="O1459" s="7">
        <v>0.4</v>
      </c>
      <c r="P1459" s="7">
        <v>27.2</v>
      </c>
      <c r="Q1459">
        <v>1</v>
      </c>
      <c r="R1459" t="s">
        <v>63</v>
      </c>
      <c r="S1459">
        <v>4</v>
      </c>
      <c r="T1459">
        <v>121</v>
      </c>
      <c r="U1459" s="11">
        <v>0.7818314824680298</v>
      </c>
      <c r="V1459" s="11">
        <v>0.62348980185873359</v>
      </c>
      <c r="W1459" s="11">
        <v>0.88068285643014754</v>
      </c>
      <c r="X1459" s="11">
        <v>-0.47370635037968001</v>
      </c>
      <c r="Y1459">
        <v>0</v>
      </c>
      <c r="Z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6">
        <v>45413</v>
      </c>
      <c r="B1460" t="s">
        <v>31</v>
      </c>
      <c r="C1460" t="s">
        <v>32</v>
      </c>
      <c r="D1460" t="s">
        <v>33</v>
      </c>
      <c r="E1460" t="s">
        <v>34</v>
      </c>
      <c r="F1460">
        <v>140</v>
      </c>
      <c r="G1460">
        <v>360</v>
      </c>
      <c r="H1460">
        <v>197</v>
      </c>
      <c r="I1460">
        <v>85</v>
      </c>
      <c r="J1460" s="8">
        <v>0.6071428571428571</v>
      </c>
      <c r="K1460">
        <v>28</v>
      </c>
      <c r="L1460">
        <v>48</v>
      </c>
      <c r="M1460">
        <v>169</v>
      </c>
      <c r="N1460" s="10">
        <v>389.43</v>
      </c>
      <c r="O1460" s="7">
        <v>0</v>
      </c>
      <c r="P1460" s="7">
        <v>28.4</v>
      </c>
      <c r="Q1460">
        <v>2</v>
      </c>
      <c r="R1460" t="s">
        <v>64</v>
      </c>
      <c r="S1460">
        <v>5</v>
      </c>
      <c r="T1460">
        <v>122</v>
      </c>
      <c r="U1460" s="11">
        <v>0.97492791218182362</v>
      </c>
      <c r="V1460" s="11">
        <v>-0.22252093395631434</v>
      </c>
      <c r="W1460" s="11">
        <v>0.87240405680496125</v>
      </c>
      <c r="X1460" s="11">
        <v>-0.48878539428899265</v>
      </c>
      <c r="Y1460">
        <v>0</v>
      </c>
      <c r="Z1460">
        <v>1</v>
      </c>
      <c r="AA1460" t="s">
        <v>71</v>
      </c>
      <c r="AB1460">
        <v>0</v>
      </c>
      <c r="AC1460">
        <v>0</v>
      </c>
      <c r="AD1460">
        <v>0</v>
      </c>
      <c r="AE1460">
        <v>0</v>
      </c>
    </row>
    <row r="1461" spans="1:31">
      <c r="A1461" s="6">
        <v>45413</v>
      </c>
      <c r="B1461" t="s">
        <v>36</v>
      </c>
      <c r="C1461" t="s">
        <v>37</v>
      </c>
      <c r="D1461" t="s">
        <v>38</v>
      </c>
      <c r="E1461" t="s">
        <v>39</v>
      </c>
      <c r="F1461">
        <v>125</v>
      </c>
      <c r="G1461">
        <v>320</v>
      </c>
      <c r="H1461">
        <v>187</v>
      </c>
      <c r="I1461">
        <v>81</v>
      </c>
      <c r="J1461" s="8">
        <v>0.64800000000000002</v>
      </c>
      <c r="K1461">
        <v>41</v>
      </c>
      <c r="L1461">
        <v>32</v>
      </c>
      <c r="M1461">
        <v>153</v>
      </c>
      <c r="N1461" s="10">
        <v>675.38</v>
      </c>
      <c r="O1461" s="7">
        <v>0</v>
      </c>
      <c r="P1461" s="7">
        <v>28.4</v>
      </c>
      <c r="Q1461">
        <v>2</v>
      </c>
      <c r="R1461" t="s">
        <v>64</v>
      </c>
      <c r="S1461">
        <v>5</v>
      </c>
      <c r="T1461">
        <v>122</v>
      </c>
      <c r="U1461" s="11">
        <v>0.97492791218182362</v>
      </c>
      <c r="V1461" s="11">
        <v>-0.22252093395631434</v>
      </c>
      <c r="W1461" s="11">
        <v>0.87240405680496125</v>
      </c>
      <c r="X1461" s="11">
        <v>-0.48878539428899265</v>
      </c>
      <c r="Y1461">
        <v>0</v>
      </c>
      <c r="Z1461">
        <v>1</v>
      </c>
      <c r="AA1461" t="s">
        <v>71</v>
      </c>
      <c r="AB1461">
        <v>0</v>
      </c>
      <c r="AC1461">
        <v>0</v>
      </c>
      <c r="AD1461">
        <v>0</v>
      </c>
      <c r="AE1461">
        <v>0</v>
      </c>
    </row>
    <row r="1462" spans="1:31">
      <c r="A1462" s="6">
        <v>45413</v>
      </c>
      <c r="B1462" t="s">
        <v>41</v>
      </c>
      <c r="C1462" t="s">
        <v>42</v>
      </c>
      <c r="D1462" t="s">
        <v>43</v>
      </c>
      <c r="E1462" t="s">
        <v>44</v>
      </c>
      <c r="F1462">
        <v>85</v>
      </c>
      <c r="G1462">
        <v>210</v>
      </c>
      <c r="H1462">
        <v>135</v>
      </c>
      <c r="I1462">
        <v>60</v>
      </c>
      <c r="J1462" s="8">
        <v>0.70588235294117652</v>
      </c>
      <c r="K1462">
        <v>31</v>
      </c>
      <c r="L1462">
        <v>20</v>
      </c>
      <c r="M1462">
        <v>114</v>
      </c>
      <c r="N1462" s="10">
        <v>573.71</v>
      </c>
      <c r="O1462" s="7">
        <v>0</v>
      </c>
      <c r="P1462" s="7">
        <v>28.4</v>
      </c>
      <c r="Q1462">
        <v>2</v>
      </c>
      <c r="R1462" t="s">
        <v>64</v>
      </c>
      <c r="S1462">
        <v>5</v>
      </c>
      <c r="T1462">
        <v>122</v>
      </c>
      <c r="U1462" s="11">
        <v>0.97492791218182362</v>
      </c>
      <c r="V1462" s="11">
        <v>-0.22252093395631434</v>
      </c>
      <c r="W1462" s="11">
        <v>0.87240405680496125</v>
      </c>
      <c r="X1462" s="11">
        <v>-0.48878539428899265</v>
      </c>
      <c r="Y1462">
        <v>0</v>
      </c>
      <c r="Z1462">
        <v>1</v>
      </c>
      <c r="AA1462" t="s">
        <v>71</v>
      </c>
      <c r="AB1462">
        <v>0</v>
      </c>
      <c r="AC1462">
        <v>0</v>
      </c>
      <c r="AD1462">
        <v>0</v>
      </c>
      <c r="AE1462">
        <v>0</v>
      </c>
    </row>
    <row r="1463" spans="1:31">
      <c r="A1463" s="6">
        <v>45414</v>
      </c>
      <c r="B1463" t="s">
        <v>31</v>
      </c>
      <c r="C1463" t="s">
        <v>32</v>
      </c>
      <c r="D1463" t="s">
        <v>33</v>
      </c>
      <c r="E1463" t="s">
        <v>34</v>
      </c>
      <c r="F1463">
        <v>140</v>
      </c>
      <c r="G1463">
        <v>360</v>
      </c>
      <c r="H1463">
        <v>176</v>
      </c>
      <c r="I1463">
        <v>77</v>
      </c>
      <c r="J1463" s="8">
        <v>0.55000000000000004</v>
      </c>
      <c r="K1463">
        <v>36</v>
      </c>
      <c r="L1463">
        <v>24</v>
      </c>
      <c r="M1463">
        <v>145</v>
      </c>
      <c r="N1463" s="10">
        <v>389.01</v>
      </c>
      <c r="O1463" s="7">
        <v>5.7</v>
      </c>
      <c r="P1463" s="7">
        <v>27.7</v>
      </c>
      <c r="Q1463">
        <v>3</v>
      </c>
      <c r="R1463" t="s">
        <v>65</v>
      </c>
      <c r="S1463">
        <v>5</v>
      </c>
      <c r="T1463">
        <v>123</v>
      </c>
      <c r="U1463" s="11">
        <v>0.43388373911755823</v>
      </c>
      <c r="V1463" s="11">
        <v>-0.90096886790241903</v>
      </c>
      <c r="W1463" s="11">
        <v>0.86386709878373491</v>
      </c>
      <c r="X1463" s="11">
        <v>-0.50371979873633399</v>
      </c>
      <c r="Y1463">
        <v>0</v>
      </c>
      <c r="Z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6">
        <v>45414</v>
      </c>
      <c r="B1464" t="s">
        <v>36</v>
      </c>
      <c r="C1464" t="s">
        <v>37</v>
      </c>
      <c r="D1464" t="s">
        <v>38</v>
      </c>
      <c r="E1464" t="s">
        <v>39</v>
      </c>
      <c r="F1464">
        <v>125</v>
      </c>
      <c r="G1464">
        <v>320</v>
      </c>
      <c r="H1464">
        <v>153</v>
      </c>
      <c r="I1464">
        <v>64</v>
      </c>
      <c r="J1464" s="8">
        <v>0.51200000000000001</v>
      </c>
      <c r="K1464">
        <v>46</v>
      </c>
      <c r="L1464">
        <v>14</v>
      </c>
      <c r="M1464">
        <v>139</v>
      </c>
      <c r="N1464" s="10">
        <v>590.28</v>
      </c>
      <c r="O1464" s="7">
        <v>5.7</v>
      </c>
      <c r="P1464" s="7">
        <v>27.7</v>
      </c>
      <c r="Q1464">
        <v>3</v>
      </c>
      <c r="R1464" t="s">
        <v>65</v>
      </c>
      <c r="S1464">
        <v>5</v>
      </c>
      <c r="T1464">
        <v>123</v>
      </c>
      <c r="U1464" s="11">
        <v>0.43388373911755823</v>
      </c>
      <c r="V1464" s="11">
        <v>-0.90096886790241903</v>
      </c>
      <c r="W1464" s="11">
        <v>0.86386709878373491</v>
      </c>
      <c r="X1464" s="11">
        <v>-0.50371979873633399</v>
      </c>
      <c r="Y1464">
        <v>0</v>
      </c>
      <c r="Z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6">
        <v>45414</v>
      </c>
      <c r="B1465" t="s">
        <v>41</v>
      </c>
      <c r="C1465" t="s">
        <v>42</v>
      </c>
      <c r="D1465" t="s">
        <v>43</v>
      </c>
      <c r="E1465" t="s">
        <v>44</v>
      </c>
      <c r="F1465">
        <v>85</v>
      </c>
      <c r="G1465">
        <v>210</v>
      </c>
      <c r="H1465">
        <v>99</v>
      </c>
      <c r="I1465">
        <v>46</v>
      </c>
      <c r="J1465" s="8">
        <v>0.54117647058823526</v>
      </c>
      <c r="K1465">
        <v>22</v>
      </c>
      <c r="L1465">
        <v>19</v>
      </c>
      <c r="M1465">
        <v>88</v>
      </c>
      <c r="N1465" s="10">
        <v>538.99</v>
      </c>
      <c r="O1465" s="7">
        <v>5.7</v>
      </c>
      <c r="P1465" s="7">
        <v>27.7</v>
      </c>
      <c r="Q1465">
        <v>3</v>
      </c>
      <c r="R1465" t="s">
        <v>65</v>
      </c>
      <c r="S1465">
        <v>5</v>
      </c>
      <c r="T1465">
        <v>123</v>
      </c>
      <c r="U1465" s="11">
        <v>0.43388373911755823</v>
      </c>
      <c r="V1465" s="11">
        <v>-0.90096886790241903</v>
      </c>
      <c r="W1465" s="11">
        <v>0.86386709878373491</v>
      </c>
      <c r="X1465" s="11">
        <v>-0.50371979873633399</v>
      </c>
      <c r="Y1465">
        <v>0</v>
      </c>
      <c r="Z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6">
        <v>45415</v>
      </c>
      <c r="B1466" t="s">
        <v>31</v>
      </c>
      <c r="C1466" t="s">
        <v>32</v>
      </c>
      <c r="D1466" t="s">
        <v>33</v>
      </c>
      <c r="E1466" t="s">
        <v>34</v>
      </c>
      <c r="F1466">
        <v>140</v>
      </c>
      <c r="G1466">
        <v>360</v>
      </c>
      <c r="H1466">
        <v>183</v>
      </c>
      <c r="I1466">
        <v>77</v>
      </c>
      <c r="J1466" s="8">
        <v>0.55000000000000004</v>
      </c>
      <c r="K1466">
        <v>30</v>
      </c>
      <c r="L1466">
        <v>22</v>
      </c>
      <c r="M1466">
        <v>156</v>
      </c>
      <c r="N1466" s="10">
        <v>452.25</v>
      </c>
      <c r="O1466" s="7">
        <v>4.3</v>
      </c>
      <c r="P1466" s="7">
        <v>27.6</v>
      </c>
      <c r="Q1466">
        <v>4</v>
      </c>
      <c r="R1466" t="s">
        <v>66</v>
      </c>
      <c r="S1466">
        <v>5</v>
      </c>
      <c r="T1466">
        <v>124</v>
      </c>
      <c r="U1466" s="11">
        <v>-0.43388373911755801</v>
      </c>
      <c r="V1466" s="11">
        <v>-0.90096886790241915</v>
      </c>
      <c r="W1466" s="11">
        <v>0.85507450858969325</v>
      </c>
      <c r="X1466" s="11">
        <v>-0.51850514439115702</v>
      </c>
      <c r="Y1466">
        <v>0</v>
      </c>
      <c r="Z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6">
        <v>45415</v>
      </c>
      <c r="B1467" t="s">
        <v>36</v>
      </c>
      <c r="C1467" t="s">
        <v>37</v>
      </c>
      <c r="D1467" t="s">
        <v>38</v>
      </c>
      <c r="E1467" t="s">
        <v>39</v>
      </c>
      <c r="F1467">
        <v>125</v>
      </c>
      <c r="G1467">
        <v>320</v>
      </c>
      <c r="H1467">
        <v>178</v>
      </c>
      <c r="I1467">
        <v>76</v>
      </c>
      <c r="J1467" s="8">
        <v>0.60799999999999998</v>
      </c>
      <c r="K1467">
        <v>23</v>
      </c>
      <c r="L1467">
        <v>34</v>
      </c>
      <c r="M1467">
        <v>156</v>
      </c>
      <c r="N1467" s="10">
        <v>636.14</v>
      </c>
      <c r="O1467" s="7">
        <v>4.3</v>
      </c>
      <c r="P1467" s="7">
        <v>27.6</v>
      </c>
      <c r="Q1467">
        <v>4</v>
      </c>
      <c r="R1467" t="s">
        <v>66</v>
      </c>
      <c r="S1467">
        <v>5</v>
      </c>
      <c r="T1467">
        <v>124</v>
      </c>
      <c r="U1467" s="11">
        <v>-0.43388373911755801</v>
      </c>
      <c r="V1467" s="11">
        <v>-0.90096886790241915</v>
      </c>
      <c r="W1467" s="11">
        <v>0.85507450858969325</v>
      </c>
      <c r="X1467" s="11">
        <v>-0.51850514439115702</v>
      </c>
      <c r="Y1467">
        <v>0</v>
      </c>
      <c r="Z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6">
        <v>45415</v>
      </c>
      <c r="B1468" t="s">
        <v>41</v>
      </c>
      <c r="C1468" t="s">
        <v>42</v>
      </c>
      <c r="D1468" t="s">
        <v>43</v>
      </c>
      <c r="E1468" t="s">
        <v>44</v>
      </c>
      <c r="F1468">
        <v>85</v>
      </c>
      <c r="G1468">
        <v>210</v>
      </c>
      <c r="H1468">
        <v>117</v>
      </c>
      <c r="I1468">
        <v>48</v>
      </c>
      <c r="J1468" s="8">
        <v>0.56470588235294117</v>
      </c>
      <c r="K1468">
        <v>21</v>
      </c>
      <c r="L1468">
        <v>24</v>
      </c>
      <c r="M1468">
        <v>101</v>
      </c>
      <c r="N1468" s="10">
        <v>539.6</v>
      </c>
      <c r="O1468" s="7">
        <v>4.3</v>
      </c>
      <c r="P1468" s="7">
        <v>27.6</v>
      </c>
      <c r="Q1468">
        <v>4</v>
      </c>
      <c r="R1468" t="s">
        <v>66</v>
      </c>
      <c r="S1468">
        <v>5</v>
      </c>
      <c r="T1468">
        <v>124</v>
      </c>
      <c r="U1468" s="11">
        <v>-0.43388373911755801</v>
      </c>
      <c r="V1468" s="11">
        <v>-0.90096886790241915</v>
      </c>
      <c r="W1468" s="11">
        <v>0.85507450858969325</v>
      </c>
      <c r="X1468" s="11">
        <v>-0.51850514439115702</v>
      </c>
      <c r="Y1468">
        <v>0</v>
      </c>
      <c r="Z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6">
        <v>45416</v>
      </c>
      <c r="B1469" t="s">
        <v>31</v>
      </c>
      <c r="C1469" t="s">
        <v>32</v>
      </c>
      <c r="D1469" t="s">
        <v>33</v>
      </c>
      <c r="E1469" t="s">
        <v>34</v>
      </c>
      <c r="F1469">
        <v>140</v>
      </c>
      <c r="G1469">
        <v>360</v>
      </c>
      <c r="H1469">
        <v>213</v>
      </c>
      <c r="I1469">
        <v>90</v>
      </c>
      <c r="J1469" s="8">
        <v>0.6428571428571429</v>
      </c>
      <c r="K1469">
        <v>51</v>
      </c>
      <c r="L1469">
        <v>23</v>
      </c>
      <c r="M1469">
        <v>188</v>
      </c>
      <c r="N1469" s="10">
        <v>457.89</v>
      </c>
      <c r="O1469" s="7">
        <v>8.9</v>
      </c>
      <c r="P1469" s="7">
        <v>27.5</v>
      </c>
      <c r="Q1469">
        <v>5</v>
      </c>
      <c r="R1469" t="s">
        <v>67</v>
      </c>
      <c r="S1469">
        <v>5</v>
      </c>
      <c r="T1469">
        <v>125</v>
      </c>
      <c r="U1469" s="11">
        <v>-0.97492791218182362</v>
      </c>
      <c r="V1469" s="11">
        <v>-0.22252093395631459</v>
      </c>
      <c r="W1469" s="11">
        <v>0.84602888809173393</v>
      </c>
      <c r="X1469" s="11">
        <v>-0.53313705603180905</v>
      </c>
      <c r="Y1469">
        <v>1</v>
      </c>
      <c r="Z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6">
        <v>45416</v>
      </c>
      <c r="B1470" t="s">
        <v>36</v>
      </c>
      <c r="C1470" t="s">
        <v>37</v>
      </c>
      <c r="D1470" t="s">
        <v>38</v>
      </c>
      <c r="E1470" t="s">
        <v>39</v>
      </c>
      <c r="F1470">
        <v>125</v>
      </c>
      <c r="G1470">
        <v>320</v>
      </c>
      <c r="H1470">
        <v>217</v>
      </c>
      <c r="I1470">
        <v>88</v>
      </c>
      <c r="J1470" s="8">
        <v>0.70399999999999996</v>
      </c>
      <c r="K1470">
        <v>34</v>
      </c>
      <c r="L1470">
        <v>49</v>
      </c>
      <c r="M1470">
        <v>181</v>
      </c>
      <c r="N1470" s="10">
        <v>649.5</v>
      </c>
      <c r="O1470" s="7">
        <v>8.9</v>
      </c>
      <c r="P1470" s="7">
        <v>27.5</v>
      </c>
      <c r="Q1470">
        <v>5</v>
      </c>
      <c r="R1470" t="s">
        <v>67</v>
      </c>
      <c r="S1470">
        <v>5</v>
      </c>
      <c r="T1470">
        <v>125</v>
      </c>
      <c r="U1470" s="11">
        <v>-0.97492791218182362</v>
      </c>
      <c r="V1470" s="11">
        <v>-0.22252093395631459</v>
      </c>
      <c r="W1470" s="11">
        <v>0.84602888809173393</v>
      </c>
      <c r="X1470" s="11">
        <v>-0.53313705603180905</v>
      </c>
      <c r="Y1470">
        <v>1</v>
      </c>
      <c r="Z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6">
        <v>45416</v>
      </c>
      <c r="B1471" t="s">
        <v>41</v>
      </c>
      <c r="C1471" t="s">
        <v>42</v>
      </c>
      <c r="D1471" t="s">
        <v>43</v>
      </c>
      <c r="E1471" t="s">
        <v>44</v>
      </c>
      <c r="F1471">
        <v>85</v>
      </c>
      <c r="G1471">
        <v>210</v>
      </c>
      <c r="H1471">
        <v>129</v>
      </c>
      <c r="I1471">
        <v>56</v>
      </c>
      <c r="J1471" s="8">
        <v>0.6588235294117647</v>
      </c>
      <c r="K1471">
        <v>26</v>
      </c>
      <c r="L1471">
        <v>21</v>
      </c>
      <c r="M1471">
        <v>113</v>
      </c>
      <c r="N1471" s="10">
        <v>629.12</v>
      </c>
      <c r="O1471" s="7">
        <v>8.9</v>
      </c>
      <c r="P1471" s="7">
        <v>27.5</v>
      </c>
      <c r="Q1471">
        <v>5</v>
      </c>
      <c r="R1471" t="s">
        <v>67</v>
      </c>
      <c r="S1471">
        <v>5</v>
      </c>
      <c r="T1471">
        <v>125</v>
      </c>
      <c r="U1471" s="11">
        <v>-0.97492791218182362</v>
      </c>
      <c r="V1471" s="11">
        <v>-0.22252093395631459</v>
      </c>
      <c r="W1471" s="11">
        <v>0.84602888809173393</v>
      </c>
      <c r="X1471" s="11">
        <v>-0.53313705603180905</v>
      </c>
      <c r="Y1471">
        <v>1</v>
      </c>
      <c r="Z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6">
        <v>45417</v>
      </c>
      <c r="B1472" t="s">
        <v>31</v>
      </c>
      <c r="C1472" t="s">
        <v>32</v>
      </c>
      <c r="D1472" t="s">
        <v>33</v>
      </c>
      <c r="E1472" t="s">
        <v>34</v>
      </c>
      <c r="F1472">
        <v>140</v>
      </c>
      <c r="G1472">
        <v>360</v>
      </c>
      <c r="H1472">
        <v>188</v>
      </c>
      <c r="I1472">
        <v>83</v>
      </c>
      <c r="J1472" s="8">
        <v>0.59285714285714286</v>
      </c>
      <c r="K1472">
        <v>34</v>
      </c>
      <c r="L1472">
        <v>29</v>
      </c>
      <c r="M1472">
        <v>151</v>
      </c>
      <c r="N1472" s="10">
        <v>523.57000000000005</v>
      </c>
      <c r="O1472" s="7">
        <v>3.1</v>
      </c>
      <c r="P1472" s="7">
        <v>28.9</v>
      </c>
      <c r="Q1472">
        <v>6</v>
      </c>
      <c r="R1472" t="s">
        <v>60</v>
      </c>
      <c r="S1472">
        <v>5</v>
      </c>
      <c r="T1472">
        <v>126</v>
      </c>
      <c r="U1472" s="11">
        <v>-0.78183148246802991</v>
      </c>
      <c r="V1472" s="11">
        <v>0.62348980185873337</v>
      </c>
      <c r="W1472" s="11">
        <v>0.83673291403449213</v>
      </c>
      <c r="X1472" s="11">
        <v>-0.54761120384023121</v>
      </c>
      <c r="Y1472">
        <v>1</v>
      </c>
      <c r="Z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6">
        <v>45417</v>
      </c>
      <c r="B1473" t="s">
        <v>36</v>
      </c>
      <c r="C1473" t="s">
        <v>37</v>
      </c>
      <c r="D1473" t="s">
        <v>38</v>
      </c>
      <c r="E1473" t="s">
        <v>39</v>
      </c>
      <c r="F1473">
        <v>125</v>
      </c>
      <c r="G1473">
        <v>320</v>
      </c>
      <c r="H1473">
        <v>178</v>
      </c>
      <c r="I1473">
        <v>74</v>
      </c>
      <c r="J1473" s="8">
        <v>0.59199999999999997</v>
      </c>
      <c r="K1473">
        <v>47</v>
      </c>
      <c r="L1473">
        <v>44</v>
      </c>
      <c r="M1473">
        <v>150</v>
      </c>
      <c r="N1473" s="10">
        <v>696.39</v>
      </c>
      <c r="O1473" s="7">
        <v>3.1</v>
      </c>
      <c r="P1473" s="7">
        <v>28.9</v>
      </c>
      <c r="Q1473">
        <v>6</v>
      </c>
      <c r="R1473" t="s">
        <v>60</v>
      </c>
      <c r="S1473">
        <v>5</v>
      </c>
      <c r="T1473">
        <v>126</v>
      </c>
      <c r="U1473" s="11">
        <v>-0.78183148246802991</v>
      </c>
      <c r="V1473" s="11">
        <v>0.62348980185873337</v>
      </c>
      <c r="W1473" s="11">
        <v>0.83673291403449213</v>
      </c>
      <c r="X1473" s="11">
        <v>-0.54761120384023121</v>
      </c>
      <c r="Y1473">
        <v>1</v>
      </c>
      <c r="Z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6">
        <v>45417</v>
      </c>
      <c r="B1474" t="s">
        <v>41</v>
      </c>
      <c r="C1474" t="s">
        <v>42</v>
      </c>
      <c r="D1474" t="s">
        <v>43</v>
      </c>
      <c r="E1474" t="s">
        <v>44</v>
      </c>
      <c r="F1474">
        <v>85</v>
      </c>
      <c r="G1474">
        <v>210</v>
      </c>
      <c r="H1474">
        <v>126</v>
      </c>
      <c r="I1474">
        <v>56</v>
      </c>
      <c r="J1474" s="8">
        <v>0.6588235294117647</v>
      </c>
      <c r="K1474">
        <v>29</v>
      </c>
      <c r="L1474">
        <v>23</v>
      </c>
      <c r="M1474">
        <v>104</v>
      </c>
      <c r="N1474" s="10">
        <v>590.22</v>
      </c>
      <c r="O1474" s="7">
        <v>3.1</v>
      </c>
      <c r="P1474" s="7">
        <v>28.9</v>
      </c>
      <c r="Q1474">
        <v>6</v>
      </c>
      <c r="R1474" t="s">
        <v>60</v>
      </c>
      <c r="S1474">
        <v>5</v>
      </c>
      <c r="T1474">
        <v>126</v>
      </c>
      <c r="U1474" s="11">
        <v>-0.78183148246802991</v>
      </c>
      <c r="V1474" s="11">
        <v>0.62348980185873337</v>
      </c>
      <c r="W1474" s="11">
        <v>0.83673291403449213</v>
      </c>
      <c r="X1474" s="11">
        <v>-0.54761120384023121</v>
      </c>
      <c r="Y1474">
        <v>1</v>
      </c>
      <c r="Z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6">
        <v>45418</v>
      </c>
      <c r="B1475" t="s">
        <v>31</v>
      </c>
      <c r="C1475" t="s">
        <v>32</v>
      </c>
      <c r="D1475" t="s">
        <v>33</v>
      </c>
      <c r="E1475" t="s">
        <v>34</v>
      </c>
      <c r="F1475">
        <v>140</v>
      </c>
      <c r="G1475">
        <v>360</v>
      </c>
      <c r="H1475">
        <v>175</v>
      </c>
      <c r="I1475">
        <v>72</v>
      </c>
      <c r="J1475" s="8">
        <v>0.51428571428571423</v>
      </c>
      <c r="K1475">
        <v>45</v>
      </c>
      <c r="L1475">
        <v>25</v>
      </c>
      <c r="M1475">
        <v>149</v>
      </c>
      <c r="N1475" s="10">
        <v>391.1</v>
      </c>
      <c r="O1475" s="7">
        <v>14.8</v>
      </c>
      <c r="P1475" s="7">
        <v>27.6</v>
      </c>
      <c r="Q1475">
        <v>0</v>
      </c>
      <c r="R1475" t="s">
        <v>62</v>
      </c>
      <c r="S1475">
        <v>5</v>
      </c>
      <c r="T1475">
        <v>127</v>
      </c>
      <c r="U1475" s="11">
        <v>0</v>
      </c>
      <c r="V1475" s="11">
        <v>1</v>
      </c>
      <c r="W1475" s="11">
        <v>0.82718933724624966</v>
      </c>
      <c r="X1475" s="11">
        <v>-0.56192330468321949</v>
      </c>
      <c r="Y1475">
        <v>0</v>
      </c>
      <c r="Z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6">
        <v>45418</v>
      </c>
      <c r="B1476" t="s">
        <v>36</v>
      </c>
      <c r="C1476" t="s">
        <v>37</v>
      </c>
      <c r="D1476" t="s">
        <v>38</v>
      </c>
      <c r="E1476" t="s">
        <v>39</v>
      </c>
      <c r="F1476">
        <v>125</v>
      </c>
      <c r="G1476">
        <v>320</v>
      </c>
      <c r="H1476">
        <v>147</v>
      </c>
      <c r="I1476">
        <v>60</v>
      </c>
      <c r="J1476" s="8">
        <v>0.48</v>
      </c>
      <c r="K1476">
        <v>23</v>
      </c>
      <c r="L1476">
        <v>34</v>
      </c>
      <c r="M1476">
        <v>121</v>
      </c>
      <c r="N1476" s="10">
        <v>635.65</v>
      </c>
      <c r="O1476" s="7">
        <v>14.8</v>
      </c>
      <c r="P1476" s="7">
        <v>27.6</v>
      </c>
      <c r="Q1476">
        <v>0</v>
      </c>
      <c r="R1476" t="s">
        <v>62</v>
      </c>
      <c r="S1476">
        <v>5</v>
      </c>
      <c r="T1476">
        <v>127</v>
      </c>
      <c r="U1476" s="11">
        <v>0</v>
      </c>
      <c r="V1476" s="11">
        <v>1</v>
      </c>
      <c r="W1476" s="11">
        <v>0.82718933724624966</v>
      </c>
      <c r="X1476" s="11">
        <v>-0.56192330468321949</v>
      </c>
      <c r="Y1476">
        <v>0</v>
      </c>
      <c r="Z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6">
        <v>45418</v>
      </c>
      <c r="B1477" t="s">
        <v>41</v>
      </c>
      <c r="C1477" t="s">
        <v>42</v>
      </c>
      <c r="D1477" t="s">
        <v>43</v>
      </c>
      <c r="E1477" t="s">
        <v>44</v>
      </c>
      <c r="F1477">
        <v>85</v>
      </c>
      <c r="G1477">
        <v>210</v>
      </c>
      <c r="H1477">
        <v>107</v>
      </c>
      <c r="I1477">
        <v>46</v>
      </c>
      <c r="J1477" s="8">
        <v>0.54117647058823526</v>
      </c>
      <c r="K1477">
        <v>22</v>
      </c>
      <c r="L1477">
        <v>29</v>
      </c>
      <c r="M1477">
        <v>90</v>
      </c>
      <c r="N1477" s="10">
        <v>495.87</v>
      </c>
      <c r="O1477" s="7">
        <v>14.8</v>
      </c>
      <c r="P1477" s="7">
        <v>27.6</v>
      </c>
      <c r="Q1477">
        <v>0</v>
      </c>
      <c r="R1477" t="s">
        <v>62</v>
      </c>
      <c r="S1477">
        <v>5</v>
      </c>
      <c r="T1477">
        <v>127</v>
      </c>
      <c r="U1477" s="11">
        <v>0</v>
      </c>
      <c r="V1477" s="11">
        <v>1</v>
      </c>
      <c r="W1477" s="11">
        <v>0.82718933724624966</v>
      </c>
      <c r="X1477" s="11">
        <v>-0.56192330468321949</v>
      </c>
      <c r="Y1477">
        <v>0</v>
      </c>
      <c r="Z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6">
        <v>45419</v>
      </c>
      <c r="B1478" t="s">
        <v>31</v>
      </c>
      <c r="C1478" t="s">
        <v>32</v>
      </c>
      <c r="D1478" t="s">
        <v>33</v>
      </c>
      <c r="E1478" t="s">
        <v>34</v>
      </c>
      <c r="F1478">
        <v>140</v>
      </c>
      <c r="G1478">
        <v>360</v>
      </c>
      <c r="H1478">
        <v>181</v>
      </c>
      <c r="I1478">
        <v>74</v>
      </c>
      <c r="J1478" s="8">
        <v>0.52857142857142858</v>
      </c>
      <c r="K1478">
        <v>23</v>
      </c>
      <c r="L1478">
        <v>24</v>
      </c>
      <c r="M1478">
        <v>149</v>
      </c>
      <c r="N1478" s="10">
        <v>436.81</v>
      </c>
      <c r="O1478" s="7">
        <v>14.8</v>
      </c>
      <c r="P1478" s="7">
        <v>26.6</v>
      </c>
      <c r="Q1478">
        <v>1</v>
      </c>
      <c r="R1478" t="s">
        <v>63</v>
      </c>
      <c r="S1478">
        <v>5</v>
      </c>
      <c r="T1478">
        <v>128</v>
      </c>
      <c r="U1478" s="11">
        <v>0.7818314824680298</v>
      </c>
      <c r="V1478" s="11">
        <v>0.62348980185873359</v>
      </c>
      <c r="W1478" s="11">
        <v>0.81740098182491894</v>
      </c>
      <c r="X1478" s="11">
        <v>-0.57606912337987581</v>
      </c>
      <c r="Y1478">
        <v>0</v>
      </c>
      <c r="Z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6">
        <v>45419</v>
      </c>
      <c r="B1479" t="s">
        <v>36</v>
      </c>
      <c r="C1479" t="s">
        <v>37</v>
      </c>
      <c r="D1479" t="s">
        <v>38</v>
      </c>
      <c r="E1479" t="s">
        <v>39</v>
      </c>
      <c r="F1479">
        <v>125</v>
      </c>
      <c r="G1479">
        <v>320</v>
      </c>
      <c r="H1479">
        <v>121</v>
      </c>
      <c r="I1479">
        <v>53</v>
      </c>
      <c r="J1479" s="8">
        <v>0.42399999999999999</v>
      </c>
      <c r="K1479">
        <v>15</v>
      </c>
      <c r="L1479">
        <v>17</v>
      </c>
      <c r="M1479">
        <v>106</v>
      </c>
      <c r="N1479" s="10">
        <v>668.26</v>
      </c>
      <c r="O1479" s="7">
        <v>14.8</v>
      </c>
      <c r="P1479" s="7">
        <v>26.6</v>
      </c>
      <c r="Q1479">
        <v>1</v>
      </c>
      <c r="R1479" t="s">
        <v>63</v>
      </c>
      <c r="S1479">
        <v>5</v>
      </c>
      <c r="T1479">
        <v>128</v>
      </c>
      <c r="U1479" s="11">
        <v>0.7818314824680298</v>
      </c>
      <c r="V1479" s="11">
        <v>0.62348980185873359</v>
      </c>
      <c r="W1479" s="11">
        <v>0.81740098182491894</v>
      </c>
      <c r="X1479" s="11">
        <v>-0.57606912337987581</v>
      </c>
      <c r="Y1479">
        <v>0</v>
      </c>
      <c r="Z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6">
        <v>45419</v>
      </c>
      <c r="B1480" t="s">
        <v>41</v>
      </c>
      <c r="C1480" t="s">
        <v>42</v>
      </c>
      <c r="D1480" t="s">
        <v>43</v>
      </c>
      <c r="E1480" t="s">
        <v>44</v>
      </c>
      <c r="F1480">
        <v>85</v>
      </c>
      <c r="G1480">
        <v>210</v>
      </c>
      <c r="H1480">
        <v>117</v>
      </c>
      <c r="I1480">
        <v>53</v>
      </c>
      <c r="J1480" s="8">
        <v>0.62352941176470589</v>
      </c>
      <c r="K1480">
        <v>27</v>
      </c>
      <c r="L1480">
        <v>18</v>
      </c>
      <c r="M1480">
        <v>102</v>
      </c>
      <c r="N1480" s="10">
        <v>520.11</v>
      </c>
      <c r="O1480" s="7">
        <v>14.8</v>
      </c>
      <c r="P1480" s="7">
        <v>26.6</v>
      </c>
      <c r="Q1480">
        <v>1</v>
      </c>
      <c r="R1480" t="s">
        <v>63</v>
      </c>
      <c r="S1480">
        <v>5</v>
      </c>
      <c r="T1480">
        <v>128</v>
      </c>
      <c r="U1480" s="11">
        <v>0.7818314824680298</v>
      </c>
      <c r="V1480" s="11">
        <v>0.62348980185873359</v>
      </c>
      <c r="W1480" s="11">
        <v>0.81740098182491894</v>
      </c>
      <c r="X1480" s="11">
        <v>-0.57606912337987581</v>
      </c>
      <c r="Y1480">
        <v>0</v>
      </c>
      <c r="Z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6">
        <v>45420</v>
      </c>
      <c r="B1481" t="s">
        <v>31</v>
      </c>
      <c r="C1481" t="s">
        <v>32</v>
      </c>
      <c r="D1481" t="s">
        <v>33</v>
      </c>
      <c r="E1481" t="s">
        <v>34</v>
      </c>
      <c r="F1481">
        <v>140</v>
      </c>
      <c r="G1481">
        <v>360</v>
      </c>
      <c r="H1481">
        <v>197</v>
      </c>
      <c r="I1481">
        <v>83</v>
      </c>
      <c r="J1481" s="8">
        <v>0.59285714285714286</v>
      </c>
      <c r="K1481">
        <v>29</v>
      </c>
      <c r="L1481">
        <v>43</v>
      </c>
      <c r="M1481">
        <v>163</v>
      </c>
      <c r="N1481" s="10">
        <v>461.06</v>
      </c>
      <c r="O1481" s="7">
        <v>6.2</v>
      </c>
      <c r="P1481" s="7">
        <v>26.7</v>
      </c>
      <c r="Q1481">
        <v>2</v>
      </c>
      <c r="R1481" t="s">
        <v>64</v>
      </c>
      <c r="S1481">
        <v>5</v>
      </c>
      <c r="T1481">
        <v>129</v>
      </c>
      <c r="U1481" s="11">
        <v>0.97492791218182362</v>
      </c>
      <c r="V1481" s="11">
        <v>-0.22252093395631434</v>
      </c>
      <c r="W1481" s="11">
        <v>0.80737074430234923</v>
      </c>
      <c r="X1481" s="11">
        <v>-0.5900444739548627</v>
      </c>
      <c r="Y1481">
        <v>0</v>
      </c>
      <c r="Z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6">
        <v>45420</v>
      </c>
      <c r="B1482" t="s">
        <v>36</v>
      </c>
      <c r="C1482" t="s">
        <v>37</v>
      </c>
      <c r="D1482" t="s">
        <v>38</v>
      </c>
      <c r="E1482" t="s">
        <v>39</v>
      </c>
      <c r="F1482">
        <v>125</v>
      </c>
      <c r="G1482">
        <v>320</v>
      </c>
      <c r="H1482">
        <v>141</v>
      </c>
      <c r="I1482">
        <v>62</v>
      </c>
      <c r="J1482" s="8">
        <v>0.496</v>
      </c>
      <c r="K1482">
        <v>35</v>
      </c>
      <c r="L1482">
        <v>15</v>
      </c>
      <c r="M1482">
        <v>129</v>
      </c>
      <c r="N1482" s="10">
        <v>610.74</v>
      </c>
      <c r="O1482" s="7">
        <v>6.2</v>
      </c>
      <c r="P1482" s="7">
        <v>26.7</v>
      </c>
      <c r="Q1482">
        <v>2</v>
      </c>
      <c r="R1482" t="s">
        <v>64</v>
      </c>
      <c r="S1482">
        <v>5</v>
      </c>
      <c r="T1482">
        <v>129</v>
      </c>
      <c r="U1482" s="11">
        <v>0.97492791218182362</v>
      </c>
      <c r="V1482" s="11">
        <v>-0.22252093395631434</v>
      </c>
      <c r="W1482" s="11">
        <v>0.80737074430234923</v>
      </c>
      <c r="X1482" s="11">
        <v>-0.5900444739548627</v>
      </c>
      <c r="Y1482">
        <v>0</v>
      </c>
      <c r="Z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6">
        <v>45420</v>
      </c>
      <c r="B1483" t="s">
        <v>41</v>
      </c>
      <c r="C1483" t="s">
        <v>42</v>
      </c>
      <c r="D1483" t="s">
        <v>43</v>
      </c>
      <c r="E1483" t="s">
        <v>44</v>
      </c>
      <c r="F1483">
        <v>85</v>
      </c>
      <c r="G1483">
        <v>210</v>
      </c>
      <c r="H1483">
        <v>116</v>
      </c>
      <c r="I1483">
        <v>53</v>
      </c>
      <c r="J1483" s="8">
        <v>0.62352941176470589</v>
      </c>
      <c r="K1483">
        <v>15</v>
      </c>
      <c r="L1483">
        <v>18</v>
      </c>
      <c r="M1483">
        <v>94</v>
      </c>
      <c r="N1483" s="10">
        <v>526.15</v>
      </c>
      <c r="O1483" s="7">
        <v>6.2</v>
      </c>
      <c r="P1483" s="7">
        <v>26.7</v>
      </c>
      <c r="Q1483">
        <v>2</v>
      </c>
      <c r="R1483" t="s">
        <v>64</v>
      </c>
      <c r="S1483">
        <v>5</v>
      </c>
      <c r="T1483">
        <v>129</v>
      </c>
      <c r="U1483" s="11">
        <v>0.97492791218182362</v>
      </c>
      <c r="V1483" s="11">
        <v>-0.22252093395631434</v>
      </c>
      <c r="W1483" s="11">
        <v>0.80737074430234923</v>
      </c>
      <c r="X1483" s="11">
        <v>-0.5900444739548627</v>
      </c>
      <c r="Y1483">
        <v>0</v>
      </c>
      <c r="Z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6">
        <v>45421</v>
      </c>
      <c r="B1484" t="s">
        <v>31</v>
      </c>
      <c r="C1484" t="s">
        <v>32</v>
      </c>
      <c r="D1484" t="s">
        <v>33</v>
      </c>
      <c r="E1484" t="s">
        <v>34</v>
      </c>
      <c r="F1484">
        <v>140</v>
      </c>
      <c r="G1484">
        <v>360</v>
      </c>
      <c r="H1484">
        <v>164</v>
      </c>
      <c r="I1484">
        <v>68</v>
      </c>
      <c r="J1484" s="8">
        <v>0.48571428571428571</v>
      </c>
      <c r="K1484">
        <v>21</v>
      </c>
      <c r="L1484">
        <v>42</v>
      </c>
      <c r="M1484">
        <v>151</v>
      </c>
      <c r="N1484" s="10">
        <v>417.92</v>
      </c>
      <c r="O1484" s="7">
        <v>14.5</v>
      </c>
      <c r="P1484" s="7">
        <v>26.8</v>
      </c>
      <c r="Q1484">
        <v>3</v>
      </c>
      <c r="R1484" t="s">
        <v>65</v>
      </c>
      <c r="S1484">
        <v>5</v>
      </c>
      <c r="T1484">
        <v>130</v>
      </c>
      <c r="U1484" s="11">
        <v>0.43388373911755823</v>
      </c>
      <c r="V1484" s="11">
        <v>-0.90096886790241903</v>
      </c>
      <c r="W1484" s="11">
        <v>0.79710159278719428</v>
      </c>
      <c r="X1484" s="11">
        <v>-0.60384522087710346</v>
      </c>
      <c r="Y1484">
        <v>0</v>
      </c>
      <c r="Z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6">
        <v>45421</v>
      </c>
      <c r="B1485" t="s">
        <v>36</v>
      </c>
      <c r="C1485" t="s">
        <v>37</v>
      </c>
      <c r="D1485" t="s">
        <v>38</v>
      </c>
      <c r="E1485" t="s">
        <v>39</v>
      </c>
      <c r="F1485">
        <v>125</v>
      </c>
      <c r="G1485">
        <v>320</v>
      </c>
      <c r="H1485">
        <v>171</v>
      </c>
      <c r="I1485">
        <v>72</v>
      </c>
      <c r="J1485" s="8">
        <v>0.57599999999999996</v>
      </c>
      <c r="K1485">
        <v>44</v>
      </c>
      <c r="L1485">
        <v>40</v>
      </c>
      <c r="M1485">
        <v>159</v>
      </c>
      <c r="N1485" s="10">
        <v>603.17999999999995</v>
      </c>
      <c r="O1485" s="7">
        <v>14.5</v>
      </c>
      <c r="P1485" s="7">
        <v>26.8</v>
      </c>
      <c r="Q1485">
        <v>3</v>
      </c>
      <c r="R1485" t="s">
        <v>65</v>
      </c>
      <c r="S1485">
        <v>5</v>
      </c>
      <c r="T1485">
        <v>130</v>
      </c>
      <c r="U1485" s="11">
        <v>0.43388373911755823</v>
      </c>
      <c r="V1485" s="11">
        <v>-0.90096886790241903</v>
      </c>
      <c r="W1485" s="11">
        <v>0.79710159278719428</v>
      </c>
      <c r="X1485" s="11">
        <v>-0.60384522087710346</v>
      </c>
      <c r="Y1485">
        <v>0</v>
      </c>
      <c r="Z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6">
        <v>45421</v>
      </c>
      <c r="B1486" t="s">
        <v>41</v>
      </c>
      <c r="C1486" t="s">
        <v>42</v>
      </c>
      <c r="D1486" t="s">
        <v>43</v>
      </c>
      <c r="E1486" t="s">
        <v>44</v>
      </c>
      <c r="F1486">
        <v>85</v>
      </c>
      <c r="G1486">
        <v>210</v>
      </c>
      <c r="H1486">
        <v>111</v>
      </c>
      <c r="I1486">
        <v>48</v>
      </c>
      <c r="J1486" s="8">
        <v>0.56470588235294117</v>
      </c>
      <c r="K1486">
        <v>30</v>
      </c>
      <c r="L1486">
        <v>28</v>
      </c>
      <c r="M1486">
        <v>93</v>
      </c>
      <c r="N1486" s="10">
        <v>510.95</v>
      </c>
      <c r="O1486" s="7">
        <v>14.5</v>
      </c>
      <c r="P1486" s="7">
        <v>26.8</v>
      </c>
      <c r="Q1486">
        <v>3</v>
      </c>
      <c r="R1486" t="s">
        <v>65</v>
      </c>
      <c r="S1486">
        <v>5</v>
      </c>
      <c r="T1486">
        <v>130</v>
      </c>
      <c r="U1486" s="11">
        <v>0.43388373911755823</v>
      </c>
      <c r="V1486" s="11">
        <v>-0.90096886790241903</v>
      </c>
      <c r="W1486" s="11">
        <v>0.79710159278719428</v>
      </c>
      <c r="X1486" s="11">
        <v>-0.60384522087710346</v>
      </c>
      <c r="Y1486">
        <v>0</v>
      </c>
      <c r="Z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6">
        <v>45422</v>
      </c>
      <c r="B1487" t="s">
        <v>31</v>
      </c>
      <c r="C1487" t="s">
        <v>32</v>
      </c>
      <c r="D1487" t="s">
        <v>33</v>
      </c>
      <c r="E1487" t="s">
        <v>34</v>
      </c>
      <c r="F1487">
        <v>140</v>
      </c>
      <c r="G1487">
        <v>360</v>
      </c>
      <c r="H1487">
        <v>198</v>
      </c>
      <c r="I1487">
        <v>86</v>
      </c>
      <c r="J1487" s="8">
        <v>0.61428571428571432</v>
      </c>
      <c r="K1487">
        <v>27</v>
      </c>
      <c r="L1487">
        <v>34</v>
      </c>
      <c r="M1487">
        <v>160</v>
      </c>
      <c r="N1487" s="10">
        <v>425.16</v>
      </c>
      <c r="O1487" s="7">
        <v>1.1000000000000001</v>
      </c>
      <c r="P1487" s="7">
        <v>27.6</v>
      </c>
      <c r="Q1487">
        <v>4</v>
      </c>
      <c r="R1487" t="s">
        <v>66</v>
      </c>
      <c r="S1487">
        <v>5</v>
      </c>
      <c r="T1487">
        <v>131</v>
      </c>
      <c r="U1487" s="11">
        <v>-0.43388373911755801</v>
      </c>
      <c r="V1487" s="11">
        <v>-0.90096886790241915</v>
      </c>
      <c r="W1487" s="11">
        <v>0.78659656608660211</v>
      </c>
      <c r="X1487" s="11">
        <v>-0.61746728028355136</v>
      </c>
      <c r="Y1487">
        <v>0</v>
      </c>
      <c r="Z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6">
        <v>45422</v>
      </c>
      <c r="B1488" t="s">
        <v>36</v>
      </c>
      <c r="C1488" t="s">
        <v>37</v>
      </c>
      <c r="D1488" t="s">
        <v>38</v>
      </c>
      <c r="E1488" t="s">
        <v>39</v>
      </c>
      <c r="F1488">
        <v>125</v>
      </c>
      <c r="G1488">
        <v>320</v>
      </c>
      <c r="H1488">
        <v>162</v>
      </c>
      <c r="I1488">
        <v>70</v>
      </c>
      <c r="J1488" s="8">
        <v>0.56000000000000005</v>
      </c>
      <c r="K1488">
        <v>36</v>
      </c>
      <c r="L1488">
        <v>25</v>
      </c>
      <c r="M1488">
        <v>146</v>
      </c>
      <c r="N1488" s="10">
        <v>599.5</v>
      </c>
      <c r="O1488" s="7">
        <v>1.1000000000000001</v>
      </c>
      <c r="P1488" s="7">
        <v>27.6</v>
      </c>
      <c r="Q1488">
        <v>4</v>
      </c>
      <c r="R1488" t="s">
        <v>66</v>
      </c>
      <c r="S1488">
        <v>5</v>
      </c>
      <c r="T1488">
        <v>131</v>
      </c>
      <c r="U1488" s="11">
        <v>-0.43388373911755801</v>
      </c>
      <c r="V1488" s="11">
        <v>-0.90096886790241915</v>
      </c>
      <c r="W1488" s="11">
        <v>0.78659656608660211</v>
      </c>
      <c r="X1488" s="11">
        <v>-0.61746728028355136</v>
      </c>
      <c r="Y1488">
        <v>0</v>
      </c>
      <c r="Z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6">
        <v>45422</v>
      </c>
      <c r="B1489" t="s">
        <v>41</v>
      </c>
      <c r="C1489" t="s">
        <v>42</v>
      </c>
      <c r="D1489" t="s">
        <v>43</v>
      </c>
      <c r="E1489" t="s">
        <v>44</v>
      </c>
      <c r="F1489">
        <v>85</v>
      </c>
      <c r="G1489">
        <v>210</v>
      </c>
      <c r="H1489">
        <v>105</v>
      </c>
      <c r="I1489">
        <v>46</v>
      </c>
      <c r="J1489" s="8">
        <v>0.54117647058823526</v>
      </c>
      <c r="K1489">
        <v>12</v>
      </c>
      <c r="L1489">
        <v>21</v>
      </c>
      <c r="M1489">
        <v>90</v>
      </c>
      <c r="N1489" s="10">
        <v>504.33</v>
      </c>
      <c r="O1489" s="7">
        <v>1.1000000000000001</v>
      </c>
      <c r="P1489" s="7">
        <v>27.6</v>
      </c>
      <c r="Q1489">
        <v>4</v>
      </c>
      <c r="R1489" t="s">
        <v>66</v>
      </c>
      <c r="S1489">
        <v>5</v>
      </c>
      <c r="T1489">
        <v>131</v>
      </c>
      <c r="U1489" s="11">
        <v>-0.43388373911755801</v>
      </c>
      <c r="V1489" s="11">
        <v>-0.90096886790241915</v>
      </c>
      <c r="W1489" s="11">
        <v>0.78659656608660211</v>
      </c>
      <c r="X1489" s="11">
        <v>-0.61746728028355136</v>
      </c>
      <c r="Y1489">
        <v>0</v>
      </c>
      <c r="Z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6">
        <v>45423</v>
      </c>
      <c r="B1490" t="s">
        <v>31</v>
      </c>
      <c r="C1490" t="s">
        <v>32</v>
      </c>
      <c r="D1490" t="s">
        <v>33</v>
      </c>
      <c r="E1490" t="s">
        <v>34</v>
      </c>
      <c r="F1490">
        <v>140</v>
      </c>
      <c r="G1490">
        <v>360</v>
      </c>
      <c r="H1490">
        <v>213</v>
      </c>
      <c r="I1490">
        <v>91</v>
      </c>
      <c r="J1490" s="8">
        <v>0.65</v>
      </c>
      <c r="K1490">
        <v>26</v>
      </c>
      <c r="L1490">
        <v>52</v>
      </c>
      <c r="M1490">
        <v>182</v>
      </c>
      <c r="N1490" s="10">
        <v>485.54</v>
      </c>
      <c r="O1490" s="7">
        <v>8.6</v>
      </c>
      <c r="P1490" s="7">
        <v>27.9</v>
      </c>
      <c r="Q1490">
        <v>5</v>
      </c>
      <c r="R1490" t="s">
        <v>67</v>
      </c>
      <c r="S1490">
        <v>5</v>
      </c>
      <c r="T1490">
        <v>132</v>
      </c>
      <c r="U1490" s="11">
        <v>-0.97492791218182362</v>
      </c>
      <c r="V1490" s="11">
        <v>-0.22252093395631459</v>
      </c>
      <c r="W1490" s="11">
        <v>0.77585877280698279</v>
      </c>
      <c r="X1490" s="11">
        <v>-0.63090662118767038</v>
      </c>
      <c r="Y1490">
        <v>1</v>
      </c>
      <c r="Z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6">
        <v>45423</v>
      </c>
      <c r="B1491" t="s">
        <v>36</v>
      </c>
      <c r="C1491" t="s">
        <v>37</v>
      </c>
      <c r="D1491" t="s">
        <v>38</v>
      </c>
      <c r="E1491" t="s">
        <v>39</v>
      </c>
      <c r="F1491">
        <v>125</v>
      </c>
      <c r="G1491">
        <v>320</v>
      </c>
      <c r="H1491">
        <v>179</v>
      </c>
      <c r="I1491">
        <v>74</v>
      </c>
      <c r="J1491" s="8">
        <v>0.59199999999999997</v>
      </c>
      <c r="K1491">
        <v>42</v>
      </c>
      <c r="L1491">
        <v>36</v>
      </c>
      <c r="M1491">
        <v>162</v>
      </c>
      <c r="N1491" s="10">
        <v>742.95</v>
      </c>
      <c r="O1491" s="7">
        <v>8.6</v>
      </c>
      <c r="P1491" s="7">
        <v>27.9</v>
      </c>
      <c r="Q1491">
        <v>5</v>
      </c>
      <c r="R1491" t="s">
        <v>67</v>
      </c>
      <c r="S1491">
        <v>5</v>
      </c>
      <c r="T1491">
        <v>132</v>
      </c>
      <c r="U1491" s="11">
        <v>-0.97492791218182362</v>
      </c>
      <c r="V1491" s="11">
        <v>-0.22252093395631459</v>
      </c>
      <c r="W1491" s="11">
        <v>0.77585877280698279</v>
      </c>
      <c r="X1491" s="11">
        <v>-0.63090662118767038</v>
      </c>
      <c r="Y1491">
        <v>1</v>
      </c>
      <c r="Z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6">
        <v>45423</v>
      </c>
      <c r="B1492" t="s">
        <v>41</v>
      </c>
      <c r="C1492" t="s">
        <v>42</v>
      </c>
      <c r="D1492" t="s">
        <v>43</v>
      </c>
      <c r="E1492" t="s">
        <v>44</v>
      </c>
      <c r="F1492">
        <v>85</v>
      </c>
      <c r="G1492">
        <v>210</v>
      </c>
      <c r="H1492">
        <v>115</v>
      </c>
      <c r="I1492">
        <v>54</v>
      </c>
      <c r="J1492" s="8">
        <v>0.63529411764705879</v>
      </c>
      <c r="K1492">
        <v>21</v>
      </c>
      <c r="L1492">
        <v>36</v>
      </c>
      <c r="M1492">
        <v>107</v>
      </c>
      <c r="N1492" s="10">
        <v>617.67999999999995</v>
      </c>
      <c r="O1492" s="7">
        <v>8.6</v>
      </c>
      <c r="P1492" s="7">
        <v>27.9</v>
      </c>
      <c r="Q1492">
        <v>5</v>
      </c>
      <c r="R1492" t="s">
        <v>67</v>
      </c>
      <c r="S1492">
        <v>5</v>
      </c>
      <c r="T1492">
        <v>132</v>
      </c>
      <c r="U1492" s="11">
        <v>-0.97492791218182362</v>
      </c>
      <c r="V1492" s="11">
        <v>-0.22252093395631459</v>
      </c>
      <c r="W1492" s="11">
        <v>0.77585877280698279</v>
      </c>
      <c r="X1492" s="11">
        <v>-0.63090662118767038</v>
      </c>
      <c r="Y1492">
        <v>1</v>
      </c>
      <c r="Z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6">
        <v>45424</v>
      </c>
      <c r="B1493" t="s">
        <v>31</v>
      </c>
      <c r="C1493" t="s">
        <v>32</v>
      </c>
      <c r="D1493" t="s">
        <v>33</v>
      </c>
      <c r="E1493" t="s">
        <v>34</v>
      </c>
      <c r="F1493">
        <v>140</v>
      </c>
      <c r="G1493">
        <v>360</v>
      </c>
      <c r="H1493">
        <v>177</v>
      </c>
      <c r="I1493">
        <v>80</v>
      </c>
      <c r="J1493" s="8">
        <v>0.5714285714285714</v>
      </c>
      <c r="K1493">
        <v>51</v>
      </c>
      <c r="L1493">
        <v>29</v>
      </c>
      <c r="M1493">
        <v>161</v>
      </c>
      <c r="N1493" s="10">
        <v>460.31</v>
      </c>
      <c r="O1493" s="7">
        <v>14.1</v>
      </c>
      <c r="P1493" s="7">
        <v>28.5</v>
      </c>
      <c r="Q1493">
        <v>6</v>
      </c>
      <c r="R1493" t="s">
        <v>60</v>
      </c>
      <c r="S1493">
        <v>5</v>
      </c>
      <c r="T1493">
        <v>133</v>
      </c>
      <c r="U1493" s="11">
        <v>-0.78183148246802991</v>
      </c>
      <c r="V1493" s="11">
        <v>0.62348980185873337</v>
      </c>
      <c r="W1493" s="11">
        <v>0.76489139043412258</v>
      </c>
      <c r="X1493" s="11">
        <v>-0.64415926667226853</v>
      </c>
      <c r="Y1493">
        <v>1</v>
      </c>
      <c r="Z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s="6">
        <v>45424</v>
      </c>
      <c r="B1494" t="s">
        <v>36</v>
      </c>
      <c r="C1494" t="s">
        <v>37</v>
      </c>
      <c r="D1494" t="s">
        <v>38</v>
      </c>
      <c r="E1494" t="s">
        <v>39</v>
      </c>
      <c r="F1494">
        <v>125</v>
      </c>
      <c r="G1494">
        <v>320</v>
      </c>
      <c r="H1494">
        <v>173</v>
      </c>
      <c r="I1494">
        <v>71</v>
      </c>
      <c r="J1494" s="8">
        <v>0.56799999999999995</v>
      </c>
      <c r="K1494">
        <v>38</v>
      </c>
      <c r="L1494">
        <v>30</v>
      </c>
      <c r="M1494">
        <v>139</v>
      </c>
      <c r="N1494" s="10">
        <v>717.56</v>
      </c>
      <c r="O1494" s="7">
        <v>14.1</v>
      </c>
      <c r="P1494" s="7">
        <v>28.5</v>
      </c>
      <c r="Q1494">
        <v>6</v>
      </c>
      <c r="R1494" t="s">
        <v>60</v>
      </c>
      <c r="S1494">
        <v>5</v>
      </c>
      <c r="T1494">
        <v>133</v>
      </c>
      <c r="U1494" s="11">
        <v>-0.78183148246802991</v>
      </c>
      <c r="V1494" s="11">
        <v>0.62348980185873337</v>
      </c>
      <c r="W1494" s="11">
        <v>0.76489139043412258</v>
      </c>
      <c r="X1494" s="11">
        <v>-0.64415926667226853</v>
      </c>
      <c r="Y1494">
        <v>1</v>
      </c>
      <c r="Z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6">
        <v>45424</v>
      </c>
      <c r="B1495" t="s">
        <v>41</v>
      </c>
      <c r="C1495" t="s">
        <v>42</v>
      </c>
      <c r="D1495" t="s">
        <v>43</v>
      </c>
      <c r="E1495" t="s">
        <v>44</v>
      </c>
      <c r="F1495">
        <v>85</v>
      </c>
      <c r="G1495">
        <v>210</v>
      </c>
      <c r="H1495">
        <v>128</v>
      </c>
      <c r="I1495">
        <v>60</v>
      </c>
      <c r="J1495" s="8">
        <v>0.70588235294117652</v>
      </c>
      <c r="K1495">
        <v>34</v>
      </c>
      <c r="L1495">
        <v>16</v>
      </c>
      <c r="M1495">
        <v>112</v>
      </c>
      <c r="N1495" s="10">
        <v>643.34</v>
      </c>
      <c r="O1495" s="7">
        <v>14.1</v>
      </c>
      <c r="P1495" s="7">
        <v>28.5</v>
      </c>
      <c r="Q1495">
        <v>6</v>
      </c>
      <c r="R1495" t="s">
        <v>60</v>
      </c>
      <c r="S1495">
        <v>5</v>
      </c>
      <c r="T1495">
        <v>133</v>
      </c>
      <c r="U1495" s="11">
        <v>-0.78183148246802991</v>
      </c>
      <c r="V1495" s="11">
        <v>0.62348980185873337</v>
      </c>
      <c r="W1495" s="11">
        <v>0.76489139043412258</v>
      </c>
      <c r="X1495" s="11">
        <v>-0.64415926667226853</v>
      </c>
      <c r="Y1495">
        <v>1</v>
      </c>
      <c r="Z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6">
        <v>45425</v>
      </c>
      <c r="B1496" t="s">
        <v>31</v>
      </c>
      <c r="C1496" t="s">
        <v>32</v>
      </c>
      <c r="D1496" t="s">
        <v>33</v>
      </c>
      <c r="E1496" t="s">
        <v>34</v>
      </c>
      <c r="F1496">
        <v>140</v>
      </c>
      <c r="G1496">
        <v>360</v>
      </c>
      <c r="H1496">
        <v>158</v>
      </c>
      <c r="I1496">
        <v>70</v>
      </c>
      <c r="J1496" s="8">
        <v>0.5</v>
      </c>
      <c r="K1496">
        <v>39</v>
      </c>
      <c r="L1496">
        <v>23</v>
      </c>
      <c r="M1496">
        <v>135</v>
      </c>
      <c r="N1496" s="10">
        <v>443.89</v>
      </c>
      <c r="O1496" s="7">
        <v>3.6</v>
      </c>
      <c r="P1496" s="7">
        <v>27.1</v>
      </c>
      <c r="Q1496">
        <v>0</v>
      </c>
      <c r="R1496" t="s">
        <v>62</v>
      </c>
      <c r="S1496">
        <v>5</v>
      </c>
      <c r="T1496">
        <v>134</v>
      </c>
      <c r="U1496" s="11">
        <v>0</v>
      </c>
      <c r="V1496" s="11">
        <v>1</v>
      </c>
      <c r="W1496" s="11">
        <v>0.75369766439291397</v>
      </c>
      <c r="X1496" s="11">
        <v>-0.65722129506633187</v>
      </c>
      <c r="Y1496">
        <v>0</v>
      </c>
      <c r="Z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6">
        <v>45425</v>
      </c>
      <c r="B1497" t="s">
        <v>36</v>
      </c>
      <c r="C1497" t="s">
        <v>37</v>
      </c>
      <c r="D1497" t="s">
        <v>38</v>
      </c>
      <c r="E1497" t="s">
        <v>39</v>
      </c>
      <c r="F1497">
        <v>125</v>
      </c>
      <c r="G1497">
        <v>320</v>
      </c>
      <c r="H1497">
        <v>156</v>
      </c>
      <c r="I1497">
        <v>66</v>
      </c>
      <c r="J1497" s="8">
        <v>0.52800000000000002</v>
      </c>
      <c r="K1497">
        <v>27</v>
      </c>
      <c r="L1497">
        <v>30</v>
      </c>
      <c r="M1497">
        <v>136</v>
      </c>
      <c r="N1497" s="10">
        <v>623.01</v>
      </c>
      <c r="O1497" s="7">
        <v>3.6</v>
      </c>
      <c r="P1497" s="7">
        <v>27.1</v>
      </c>
      <c r="Q1497">
        <v>0</v>
      </c>
      <c r="R1497" t="s">
        <v>62</v>
      </c>
      <c r="S1497">
        <v>5</v>
      </c>
      <c r="T1497">
        <v>134</v>
      </c>
      <c r="U1497" s="11">
        <v>0</v>
      </c>
      <c r="V1497" s="11">
        <v>1</v>
      </c>
      <c r="W1497" s="11">
        <v>0.75369766439291397</v>
      </c>
      <c r="X1497" s="11">
        <v>-0.65722129506633187</v>
      </c>
      <c r="Y1497">
        <v>0</v>
      </c>
      <c r="Z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6">
        <v>45425</v>
      </c>
      <c r="B1498" t="s">
        <v>41</v>
      </c>
      <c r="C1498" t="s">
        <v>42</v>
      </c>
      <c r="D1498" t="s">
        <v>43</v>
      </c>
      <c r="E1498" t="s">
        <v>44</v>
      </c>
      <c r="F1498">
        <v>85</v>
      </c>
      <c r="G1498">
        <v>210</v>
      </c>
      <c r="H1498">
        <v>121</v>
      </c>
      <c r="I1498">
        <v>51</v>
      </c>
      <c r="J1498" s="8">
        <v>0.6</v>
      </c>
      <c r="K1498">
        <v>29</v>
      </c>
      <c r="L1498">
        <v>24</v>
      </c>
      <c r="M1498">
        <v>99</v>
      </c>
      <c r="N1498" s="10">
        <v>562.92999999999995</v>
      </c>
      <c r="O1498" s="7">
        <v>3.6</v>
      </c>
      <c r="P1498" s="7">
        <v>27.1</v>
      </c>
      <c r="Q1498">
        <v>0</v>
      </c>
      <c r="R1498" t="s">
        <v>62</v>
      </c>
      <c r="S1498">
        <v>5</v>
      </c>
      <c r="T1498">
        <v>134</v>
      </c>
      <c r="U1498" s="11">
        <v>0</v>
      </c>
      <c r="V1498" s="11">
        <v>1</v>
      </c>
      <c r="W1498" s="11">
        <v>0.75369766439291397</v>
      </c>
      <c r="X1498" s="11">
        <v>-0.65722129506633187</v>
      </c>
      <c r="Y1498">
        <v>0</v>
      </c>
      <c r="Z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6">
        <v>45426</v>
      </c>
      <c r="B1499" t="s">
        <v>31</v>
      </c>
      <c r="C1499" t="s">
        <v>32</v>
      </c>
      <c r="D1499" t="s">
        <v>33</v>
      </c>
      <c r="E1499" t="s">
        <v>34</v>
      </c>
      <c r="F1499">
        <v>140</v>
      </c>
      <c r="G1499">
        <v>360</v>
      </c>
      <c r="H1499">
        <v>156</v>
      </c>
      <c r="I1499">
        <v>66</v>
      </c>
      <c r="J1499" s="8">
        <v>0.47142857142857142</v>
      </c>
      <c r="K1499">
        <v>36</v>
      </c>
      <c r="L1499">
        <v>30</v>
      </c>
      <c r="M1499">
        <v>137</v>
      </c>
      <c r="N1499" s="10">
        <v>447.86</v>
      </c>
      <c r="O1499" s="7">
        <v>18.899999999999999</v>
      </c>
      <c r="P1499" s="7">
        <v>27</v>
      </c>
      <c r="Q1499">
        <v>1</v>
      </c>
      <c r="R1499" t="s">
        <v>63</v>
      </c>
      <c r="S1499">
        <v>5</v>
      </c>
      <c r="T1499">
        <v>135</v>
      </c>
      <c r="U1499" s="11">
        <v>0.7818314824680298</v>
      </c>
      <c r="V1499" s="11">
        <v>0.62348980185873359</v>
      </c>
      <c r="W1499" s="11">
        <v>0.74228090708698202</v>
      </c>
      <c r="X1499" s="11">
        <v>-0.67008884110551126</v>
      </c>
      <c r="Y1499">
        <v>0</v>
      </c>
      <c r="Z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6">
        <v>45426</v>
      </c>
      <c r="B1500" t="s">
        <v>36</v>
      </c>
      <c r="C1500" t="s">
        <v>37</v>
      </c>
      <c r="D1500" t="s">
        <v>38</v>
      </c>
      <c r="E1500" t="s">
        <v>39</v>
      </c>
      <c r="F1500">
        <v>125</v>
      </c>
      <c r="G1500">
        <v>320</v>
      </c>
      <c r="H1500">
        <v>163</v>
      </c>
      <c r="I1500">
        <v>67</v>
      </c>
      <c r="J1500" s="8">
        <v>0.53600000000000003</v>
      </c>
      <c r="K1500">
        <v>32</v>
      </c>
      <c r="L1500">
        <v>38</v>
      </c>
      <c r="M1500">
        <v>149</v>
      </c>
      <c r="N1500" s="10">
        <v>581.46</v>
      </c>
      <c r="O1500" s="7">
        <v>18.899999999999999</v>
      </c>
      <c r="P1500" s="7">
        <v>27</v>
      </c>
      <c r="Q1500">
        <v>1</v>
      </c>
      <c r="R1500" t="s">
        <v>63</v>
      </c>
      <c r="S1500">
        <v>5</v>
      </c>
      <c r="T1500">
        <v>135</v>
      </c>
      <c r="U1500" s="11">
        <v>0.7818314824680298</v>
      </c>
      <c r="V1500" s="11">
        <v>0.62348980185873359</v>
      </c>
      <c r="W1500" s="11">
        <v>0.74228090708698202</v>
      </c>
      <c r="X1500" s="11">
        <v>-0.67008884110551126</v>
      </c>
      <c r="Y1500">
        <v>0</v>
      </c>
      <c r="Z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6">
        <v>45426</v>
      </c>
      <c r="B1501" t="s">
        <v>41</v>
      </c>
      <c r="C1501" t="s">
        <v>42</v>
      </c>
      <c r="D1501" t="s">
        <v>43</v>
      </c>
      <c r="E1501" t="s">
        <v>44</v>
      </c>
      <c r="F1501">
        <v>85</v>
      </c>
      <c r="G1501">
        <v>210</v>
      </c>
      <c r="H1501">
        <v>114</v>
      </c>
      <c r="I1501">
        <v>49</v>
      </c>
      <c r="J1501" s="8">
        <v>0.57647058823529407</v>
      </c>
      <c r="K1501">
        <v>24</v>
      </c>
      <c r="L1501">
        <v>23</v>
      </c>
      <c r="M1501">
        <v>107</v>
      </c>
      <c r="N1501" s="10">
        <v>504.06</v>
      </c>
      <c r="O1501" s="7">
        <v>18.899999999999999</v>
      </c>
      <c r="P1501" s="7">
        <v>27</v>
      </c>
      <c r="Q1501">
        <v>1</v>
      </c>
      <c r="R1501" t="s">
        <v>63</v>
      </c>
      <c r="S1501">
        <v>5</v>
      </c>
      <c r="T1501">
        <v>135</v>
      </c>
      <c r="U1501" s="11">
        <v>0.7818314824680298</v>
      </c>
      <c r="V1501" s="11">
        <v>0.62348980185873359</v>
      </c>
      <c r="W1501" s="11">
        <v>0.74228090708698202</v>
      </c>
      <c r="X1501" s="11">
        <v>-0.67008884110551126</v>
      </c>
      <c r="Y1501">
        <v>0</v>
      </c>
      <c r="Z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6">
        <v>45427</v>
      </c>
      <c r="B1502" t="s">
        <v>31</v>
      </c>
      <c r="C1502" t="s">
        <v>32</v>
      </c>
      <c r="D1502" t="s">
        <v>33</v>
      </c>
      <c r="E1502" t="s">
        <v>34</v>
      </c>
      <c r="F1502">
        <v>140</v>
      </c>
      <c r="G1502">
        <v>360</v>
      </c>
      <c r="H1502">
        <v>182</v>
      </c>
      <c r="I1502">
        <v>76</v>
      </c>
      <c r="J1502" s="8">
        <v>0.54285714285714282</v>
      </c>
      <c r="K1502">
        <v>20</v>
      </c>
      <c r="L1502">
        <v>27</v>
      </c>
      <c r="M1502">
        <v>166</v>
      </c>
      <c r="N1502" s="10">
        <v>461.84</v>
      </c>
      <c r="O1502" s="7">
        <v>8.6999999999999993</v>
      </c>
      <c r="P1502" s="7">
        <v>28.1</v>
      </c>
      <c r="Q1502">
        <v>2</v>
      </c>
      <c r="R1502" t="s">
        <v>64</v>
      </c>
      <c r="S1502">
        <v>5</v>
      </c>
      <c r="T1502">
        <v>136</v>
      </c>
      <c r="U1502" s="11">
        <v>0.97492791218182362</v>
      </c>
      <c r="V1502" s="11">
        <v>-0.22252093395631434</v>
      </c>
      <c r="W1502" s="11">
        <v>0.73064449691849165</v>
      </c>
      <c r="X1502" s="11">
        <v>-0.68275809707591473</v>
      </c>
      <c r="Y1502">
        <v>0</v>
      </c>
      <c r="Z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6">
        <v>45427</v>
      </c>
      <c r="B1503" t="s">
        <v>36</v>
      </c>
      <c r="C1503" t="s">
        <v>37</v>
      </c>
      <c r="D1503" t="s">
        <v>38</v>
      </c>
      <c r="E1503" t="s">
        <v>39</v>
      </c>
      <c r="F1503">
        <v>125</v>
      </c>
      <c r="G1503">
        <v>320</v>
      </c>
      <c r="H1503">
        <v>158</v>
      </c>
      <c r="I1503">
        <v>66</v>
      </c>
      <c r="J1503" s="8">
        <v>0.52800000000000002</v>
      </c>
      <c r="K1503">
        <v>38</v>
      </c>
      <c r="L1503">
        <v>41</v>
      </c>
      <c r="M1503">
        <v>134</v>
      </c>
      <c r="N1503" s="10">
        <v>679.61</v>
      </c>
      <c r="O1503" s="7">
        <v>8.6999999999999993</v>
      </c>
      <c r="P1503" s="7">
        <v>28.1</v>
      </c>
      <c r="Q1503">
        <v>2</v>
      </c>
      <c r="R1503" t="s">
        <v>64</v>
      </c>
      <c r="S1503">
        <v>5</v>
      </c>
      <c r="T1503">
        <v>136</v>
      </c>
      <c r="U1503" s="11">
        <v>0.97492791218182362</v>
      </c>
      <c r="V1503" s="11">
        <v>-0.22252093395631434</v>
      </c>
      <c r="W1503" s="11">
        <v>0.73064449691849165</v>
      </c>
      <c r="X1503" s="11">
        <v>-0.68275809707591473</v>
      </c>
      <c r="Y1503">
        <v>0</v>
      </c>
      <c r="Z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6">
        <v>45427</v>
      </c>
      <c r="B1504" t="s">
        <v>41</v>
      </c>
      <c r="C1504" t="s">
        <v>42</v>
      </c>
      <c r="D1504" t="s">
        <v>43</v>
      </c>
      <c r="E1504" t="s">
        <v>44</v>
      </c>
      <c r="F1504">
        <v>85</v>
      </c>
      <c r="G1504">
        <v>210</v>
      </c>
      <c r="H1504">
        <v>109</v>
      </c>
      <c r="I1504">
        <v>52</v>
      </c>
      <c r="J1504" s="8">
        <v>0.61176470588235299</v>
      </c>
      <c r="K1504">
        <v>31</v>
      </c>
      <c r="L1504">
        <v>25</v>
      </c>
      <c r="M1504">
        <v>91</v>
      </c>
      <c r="N1504" s="10">
        <v>509.47</v>
      </c>
      <c r="O1504" s="7">
        <v>8.6999999999999993</v>
      </c>
      <c r="P1504" s="7">
        <v>28.1</v>
      </c>
      <c r="Q1504">
        <v>2</v>
      </c>
      <c r="R1504" t="s">
        <v>64</v>
      </c>
      <c r="S1504">
        <v>5</v>
      </c>
      <c r="T1504">
        <v>136</v>
      </c>
      <c r="U1504" s="11">
        <v>0.97492791218182362</v>
      </c>
      <c r="V1504" s="11">
        <v>-0.22252093395631434</v>
      </c>
      <c r="W1504" s="11">
        <v>0.73064449691849165</v>
      </c>
      <c r="X1504" s="11">
        <v>-0.68275809707591473</v>
      </c>
      <c r="Y1504">
        <v>0</v>
      </c>
      <c r="Z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6">
        <v>45428</v>
      </c>
      <c r="B1505" t="s">
        <v>31</v>
      </c>
      <c r="C1505" t="s">
        <v>32</v>
      </c>
      <c r="D1505" t="s">
        <v>33</v>
      </c>
      <c r="E1505" t="s">
        <v>34</v>
      </c>
      <c r="F1505">
        <v>140</v>
      </c>
      <c r="G1505">
        <v>360</v>
      </c>
      <c r="H1505">
        <v>146</v>
      </c>
      <c r="I1505">
        <v>62</v>
      </c>
      <c r="J1505" s="8">
        <v>0.44285714285714284</v>
      </c>
      <c r="K1505">
        <v>28</v>
      </c>
      <c r="L1505">
        <v>19</v>
      </c>
      <c r="M1505">
        <v>134</v>
      </c>
      <c r="N1505" s="10">
        <v>443.93</v>
      </c>
      <c r="O1505" s="7">
        <v>15.3</v>
      </c>
      <c r="P1505" s="7">
        <v>29.1</v>
      </c>
      <c r="Q1505">
        <v>3</v>
      </c>
      <c r="R1505" t="s">
        <v>65</v>
      </c>
      <c r="S1505">
        <v>5</v>
      </c>
      <c r="T1505">
        <v>137</v>
      </c>
      <c r="U1505" s="11">
        <v>0.43388373911755823</v>
      </c>
      <c r="V1505" s="11">
        <v>-0.90096886790241903</v>
      </c>
      <c r="W1505" s="11">
        <v>0.7187918772884232</v>
      </c>
      <c r="X1505" s="11">
        <v>-0.69522531394087217</v>
      </c>
      <c r="Y1505">
        <v>0</v>
      </c>
      <c r="Z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6">
        <v>45428</v>
      </c>
      <c r="B1506" t="s">
        <v>36</v>
      </c>
      <c r="C1506" t="s">
        <v>37</v>
      </c>
      <c r="D1506" t="s">
        <v>38</v>
      </c>
      <c r="E1506" t="s">
        <v>39</v>
      </c>
      <c r="F1506">
        <v>125</v>
      </c>
      <c r="G1506">
        <v>320</v>
      </c>
      <c r="H1506">
        <v>145</v>
      </c>
      <c r="I1506">
        <v>62</v>
      </c>
      <c r="J1506" s="8">
        <v>0.496</v>
      </c>
      <c r="K1506">
        <v>27</v>
      </c>
      <c r="L1506">
        <v>45</v>
      </c>
      <c r="M1506">
        <v>130</v>
      </c>
      <c r="N1506" s="10">
        <v>648.37</v>
      </c>
      <c r="O1506" s="7">
        <v>15.3</v>
      </c>
      <c r="P1506" s="7">
        <v>29.1</v>
      </c>
      <c r="Q1506">
        <v>3</v>
      </c>
      <c r="R1506" t="s">
        <v>65</v>
      </c>
      <c r="S1506">
        <v>5</v>
      </c>
      <c r="T1506">
        <v>137</v>
      </c>
      <c r="U1506" s="11">
        <v>0.43388373911755823</v>
      </c>
      <c r="V1506" s="11">
        <v>-0.90096886790241903</v>
      </c>
      <c r="W1506" s="11">
        <v>0.7187918772884232</v>
      </c>
      <c r="X1506" s="11">
        <v>-0.69522531394087217</v>
      </c>
      <c r="Y1506">
        <v>0</v>
      </c>
      <c r="Z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6">
        <v>45428</v>
      </c>
      <c r="B1507" t="s">
        <v>41</v>
      </c>
      <c r="C1507" t="s">
        <v>42</v>
      </c>
      <c r="D1507" t="s">
        <v>43</v>
      </c>
      <c r="E1507" t="s">
        <v>44</v>
      </c>
      <c r="F1507">
        <v>85</v>
      </c>
      <c r="G1507">
        <v>210</v>
      </c>
      <c r="H1507">
        <v>108</v>
      </c>
      <c r="I1507">
        <v>50</v>
      </c>
      <c r="J1507" s="8">
        <v>0.58823529411764708</v>
      </c>
      <c r="K1507">
        <v>21</v>
      </c>
      <c r="L1507">
        <v>18</v>
      </c>
      <c r="M1507">
        <v>87</v>
      </c>
      <c r="N1507" s="10">
        <v>557.98</v>
      </c>
      <c r="O1507" s="7">
        <v>15.3</v>
      </c>
      <c r="P1507" s="7">
        <v>29.1</v>
      </c>
      <c r="Q1507">
        <v>3</v>
      </c>
      <c r="R1507" t="s">
        <v>65</v>
      </c>
      <c r="S1507">
        <v>5</v>
      </c>
      <c r="T1507">
        <v>137</v>
      </c>
      <c r="U1507" s="11">
        <v>0.43388373911755823</v>
      </c>
      <c r="V1507" s="11">
        <v>-0.90096886790241903</v>
      </c>
      <c r="W1507" s="11">
        <v>0.7187918772884232</v>
      </c>
      <c r="X1507" s="11">
        <v>-0.69522531394087217</v>
      </c>
      <c r="Y1507">
        <v>0</v>
      </c>
      <c r="Z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6">
        <v>45429</v>
      </c>
      <c r="B1508" t="s">
        <v>31</v>
      </c>
      <c r="C1508" t="s">
        <v>32</v>
      </c>
      <c r="D1508" t="s">
        <v>33</v>
      </c>
      <c r="E1508" t="s">
        <v>34</v>
      </c>
      <c r="F1508">
        <v>140</v>
      </c>
      <c r="G1508">
        <v>360</v>
      </c>
      <c r="H1508">
        <v>187</v>
      </c>
      <c r="I1508">
        <v>79</v>
      </c>
      <c r="J1508" s="8">
        <v>0.56428571428571428</v>
      </c>
      <c r="K1508">
        <v>31</v>
      </c>
      <c r="L1508">
        <v>33</v>
      </c>
      <c r="M1508">
        <v>172</v>
      </c>
      <c r="N1508" s="10">
        <v>463.34</v>
      </c>
      <c r="O1508" s="7">
        <v>14.8</v>
      </c>
      <c r="P1508" s="7">
        <v>28.8</v>
      </c>
      <c r="Q1508">
        <v>4</v>
      </c>
      <c r="R1508" t="s">
        <v>66</v>
      </c>
      <c r="S1508">
        <v>5</v>
      </c>
      <c r="T1508">
        <v>138</v>
      </c>
      <c r="U1508" s="11">
        <v>-0.43388373911755801</v>
      </c>
      <c r="V1508" s="11">
        <v>-0.90096886790241915</v>
      </c>
      <c r="W1508" s="11">
        <v>0.70672655557761577</v>
      </c>
      <c r="X1508" s="11">
        <v>-0.7074868024503348</v>
      </c>
      <c r="Y1508">
        <v>0</v>
      </c>
      <c r="Z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6">
        <v>45429</v>
      </c>
      <c r="B1509" t="s">
        <v>36</v>
      </c>
      <c r="C1509" t="s">
        <v>37</v>
      </c>
      <c r="D1509" t="s">
        <v>38</v>
      </c>
      <c r="E1509" t="s">
        <v>39</v>
      </c>
      <c r="F1509">
        <v>125</v>
      </c>
      <c r="G1509">
        <v>320</v>
      </c>
      <c r="H1509">
        <v>146</v>
      </c>
      <c r="I1509">
        <v>62</v>
      </c>
      <c r="J1509" s="8">
        <v>0.496</v>
      </c>
      <c r="K1509">
        <v>28</v>
      </c>
      <c r="L1509">
        <v>26</v>
      </c>
      <c r="M1509">
        <v>120</v>
      </c>
      <c r="N1509" s="10">
        <v>643.04</v>
      </c>
      <c r="O1509" s="7">
        <v>14.8</v>
      </c>
      <c r="P1509" s="7">
        <v>28.8</v>
      </c>
      <c r="Q1509">
        <v>4</v>
      </c>
      <c r="R1509" t="s">
        <v>66</v>
      </c>
      <c r="S1509">
        <v>5</v>
      </c>
      <c r="T1509">
        <v>138</v>
      </c>
      <c r="U1509" s="11">
        <v>-0.43388373911755801</v>
      </c>
      <c r="V1509" s="11">
        <v>-0.90096886790241915</v>
      </c>
      <c r="W1509" s="11">
        <v>0.70672655557761577</v>
      </c>
      <c r="X1509" s="11">
        <v>-0.7074868024503348</v>
      </c>
      <c r="Y1509">
        <v>0</v>
      </c>
      <c r="Z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6">
        <v>45429</v>
      </c>
      <c r="B1510" t="s">
        <v>41</v>
      </c>
      <c r="C1510" t="s">
        <v>42</v>
      </c>
      <c r="D1510" t="s">
        <v>43</v>
      </c>
      <c r="E1510" t="s">
        <v>44</v>
      </c>
      <c r="F1510">
        <v>85</v>
      </c>
      <c r="G1510">
        <v>210</v>
      </c>
      <c r="H1510">
        <v>113</v>
      </c>
      <c r="I1510">
        <v>50</v>
      </c>
      <c r="J1510" s="8">
        <v>0.58823529411764708</v>
      </c>
      <c r="K1510">
        <v>26</v>
      </c>
      <c r="L1510">
        <v>18</v>
      </c>
      <c r="M1510">
        <v>102</v>
      </c>
      <c r="N1510" s="10">
        <v>572.89</v>
      </c>
      <c r="O1510" s="7">
        <v>14.8</v>
      </c>
      <c r="P1510" s="7">
        <v>28.8</v>
      </c>
      <c r="Q1510">
        <v>4</v>
      </c>
      <c r="R1510" t="s">
        <v>66</v>
      </c>
      <c r="S1510">
        <v>5</v>
      </c>
      <c r="T1510">
        <v>138</v>
      </c>
      <c r="U1510" s="11">
        <v>-0.43388373911755801</v>
      </c>
      <c r="V1510" s="11">
        <v>-0.90096886790241915</v>
      </c>
      <c r="W1510" s="11">
        <v>0.70672655557761577</v>
      </c>
      <c r="X1510" s="11">
        <v>-0.7074868024503348</v>
      </c>
      <c r="Y1510">
        <v>0</v>
      </c>
      <c r="Z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6">
        <v>45430</v>
      </c>
      <c r="B1511" t="s">
        <v>31</v>
      </c>
      <c r="C1511" t="s">
        <v>32</v>
      </c>
      <c r="D1511" t="s">
        <v>33</v>
      </c>
      <c r="E1511" t="s">
        <v>34</v>
      </c>
      <c r="F1511">
        <v>140</v>
      </c>
      <c r="G1511">
        <v>360</v>
      </c>
      <c r="H1511">
        <v>203</v>
      </c>
      <c r="I1511">
        <v>88</v>
      </c>
      <c r="J1511" s="8">
        <v>0.62857142857142856</v>
      </c>
      <c r="K1511">
        <v>25</v>
      </c>
      <c r="L1511">
        <v>40</v>
      </c>
      <c r="M1511">
        <v>183</v>
      </c>
      <c r="N1511" s="10">
        <v>466.46</v>
      </c>
      <c r="O1511" s="7">
        <v>11.6</v>
      </c>
      <c r="P1511" s="7">
        <v>27.7</v>
      </c>
      <c r="Q1511">
        <v>5</v>
      </c>
      <c r="R1511" t="s">
        <v>67</v>
      </c>
      <c r="S1511">
        <v>5</v>
      </c>
      <c r="T1511">
        <v>139</v>
      </c>
      <c r="U1511" s="11">
        <v>-0.97492791218182362</v>
      </c>
      <c r="V1511" s="11">
        <v>-0.22252093395631459</v>
      </c>
      <c r="W1511" s="11">
        <v>0.69445210210887631</v>
      </c>
      <c r="X1511" s="11">
        <v>-0.71953893423258397</v>
      </c>
      <c r="Y1511">
        <v>1</v>
      </c>
      <c r="Z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6">
        <v>45430</v>
      </c>
      <c r="B1512" t="s">
        <v>36</v>
      </c>
      <c r="C1512" t="s">
        <v>37</v>
      </c>
      <c r="D1512" t="s">
        <v>38</v>
      </c>
      <c r="E1512" t="s">
        <v>39</v>
      </c>
      <c r="F1512">
        <v>125</v>
      </c>
      <c r="G1512">
        <v>320</v>
      </c>
      <c r="H1512">
        <v>170</v>
      </c>
      <c r="I1512">
        <v>70</v>
      </c>
      <c r="J1512" s="8">
        <v>0.56000000000000005</v>
      </c>
      <c r="K1512">
        <v>17</v>
      </c>
      <c r="L1512">
        <v>36</v>
      </c>
      <c r="M1512">
        <v>142</v>
      </c>
      <c r="N1512" s="10">
        <v>669.34</v>
      </c>
      <c r="O1512" s="7">
        <v>11.6</v>
      </c>
      <c r="P1512" s="7">
        <v>27.7</v>
      </c>
      <c r="Q1512">
        <v>5</v>
      </c>
      <c r="R1512" t="s">
        <v>67</v>
      </c>
      <c r="S1512">
        <v>5</v>
      </c>
      <c r="T1512">
        <v>139</v>
      </c>
      <c r="U1512" s="11">
        <v>-0.97492791218182362</v>
      </c>
      <c r="V1512" s="11">
        <v>-0.22252093395631459</v>
      </c>
      <c r="W1512" s="11">
        <v>0.69445210210887631</v>
      </c>
      <c r="X1512" s="11">
        <v>-0.71953893423258397</v>
      </c>
      <c r="Y1512">
        <v>1</v>
      </c>
      <c r="Z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6">
        <v>45430</v>
      </c>
      <c r="B1513" t="s">
        <v>41</v>
      </c>
      <c r="C1513" t="s">
        <v>42</v>
      </c>
      <c r="D1513" t="s">
        <v>43</v>
      </c>
      <c r="E1513" t="s">
        <v>44</v>
      </c>
      <c r="F1513">
        <v>85</v>
      </c>
      <c r="G1513">
        <v>210</v>
      </c>
      <c r="H1513">
        <v>146</v>
      </c>
      <c r="I1513">
        <v>64</v>
      </c>
      <c r="J1513" s="8">
        <v>0.75294117647058822</v>
      </c>
      <c r="K1513">
        <v>27</v>
      </c>
      <c r="L1513">
        <v>24</v>
      </c>
      <c r="M1513">
        <v>137</v>
      </c>
      <c r="N1513" s="10">
        <v>634.9</v>
      </c>
      <c r="O1513" s="7">
        <v>11.6</v>
      </c>
      <c r="P1513" s="7">
        <v>27.7</v>
      </c>
      <c r="Q1513">
        <v>5</v>
      </c>
      <c r="R1513" t="s">
        <v>67</v>
      </c>
      <c r="S1513">
        <v>5</v>
      </c>
      <c r="T1513">
        <v>139</v>
      </c>
      <c r="U1513" s="11">
        <v>-0.97492791218182362</v>
      </c>
      <c r="V1513" s="11">
        <v>-0.22252093395631459</v>
      </c>
      <c r="W1513" s="11">
        <v>0.69445210210887631</v>
      </c>
      <c r="X1513" s="11">
        <v>-0.71953893423258397</v>
      </c>
      <c r="Y1513">
        <v>1</v>
      </c>
      <c r="Z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6">
        <v>45431</v>
      </c>
      <c r="B1514" t="s">
        <v>31</v>
      </c>
      <c r="C1514" t="s">
        <v>32</v>
      </c>
      <c r="D1514" t="s">
        <v>33</v>
      </c>
      <c r="E1514" t="s">
        <v>34</v>
      </c>
      <c r="F1514">
        <v>140</v>
      </c>
      <c r="G1514">
        <v>360</v>
      </c>
      <c r="H1514">
        <v>198</v>
      </c>
      <c r="I1514">
        <v>86</v>
      </c>
      <c r="J1514" s="8">
        <v>0.61428571428571432</v>
      </c>
      <c r="K1514">
        <v>37</v>
      </c>
      <c r="L1514">
        <v>41</v>
      </c>
      <c r="M1514">
        <v>175</v>
      </c>
      <c r="N1514" s="10">
        <v>515.25</v>
      </c>
      <c r="O1514" s="7">
        <v>19.399999999999999</v>
      </c>
      <c r="P1514" s="7">
        <v>27</v>
      </c>
      <c r="Q1514">
        <v>6</v>
      </c>
      <c r="R1514" t="s">
        <v>60</v>
      </c>
      <c r="S1514">
        <v>5</v>
      </c>
      <c r="T1514">
        <v>140</v>
      </c>
      <c r="U1514" s="11">
        <v>-0.78183148246802991</v>
      </c>
      <c r="V1514" s="11">
        <v>0.62348980185873337</v>
      </c>
      <c r="W1514" s="11">
        <v>0.68197214909046289</v>
      </c>
      <c r="X1514" s="11">
        <v>-0.73137814286792535</v>
      </c>
      <c r="Y1514">
        <v>1</v>
      </c>
      <c r="Z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6">
        <v>45431</v>
      </c>
      <c r="B1515" t="s">
        <v>36</v>
      </c>
      <c r="C1515" t="s">
        <v>37</v>
      </c>
      <c r="D1515" t="s">
        <v>38</v>
      </c>
      <c r="E1515" t="s">
        <v>39</v>
      </c>
      <c r="F1515">
        <v>125</v>
      </c>
      <c r="G1515">
        <v>320</v>
      </c>
      <c r="H1515">
        <v>200</v>
      </c>
      <c r="I1515">
        <v>82</v>
      </c>
      <c r="J1515" s="8">
        <v>0.65600000000000003</v>
      </c>
      <c r="K1515">
        <v>44</v>
      </c>
      <c r="L1515">
        <v>38</v>
      </c>
      <c r="M1515">
        <v>179</v>
      </c>
      <c r="N1515" s="10">
        <v>752.74</v>
      </c>
      <c r="O1515" s="7">
        <v>19.399999999999999</v>
      </c>
      <c r="P1515" s="7">
        <v>27</v>
      </c>
      <c r="Q1515">
        <v>6</v>
      </c>
      <c r="R1515" t="s">
        <v>60</v>
      </c>
      <c r="S1515">
        <v>5</v>
      </c>
      <c r="T1515">
        <v>140</v>
      </c>
      <c r="U1515" s="11">
        <v>-0.78183148246802991</v>
      </c>
      <c r="V1515" s="11">
        <v>0.62348980185873337</v>
      </c>
      <c r="W1515" s="11">
        <v>0.68197214909046289</v>
      </c>
      <c r="X1515" s="11">
        <v>-0.73137814286792535</v>
      </c>
      <c r="Y1515">
        <v>1</v>
      </c>
      <c r="Z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6">
        <v>45431</v>
      </c>
      <c r="B1516" t="s">
        <v>41</v>
      </c>
      <c r="C1516" t="s">
        <v>42</v>
      </c>
      <c r="D1516" t="s">
        <v>43</v>
      </c>
      <c r="E1516" t="s">
        <v>44</v>
      </c>
      <c r="F1516">
        <v>85</v>
      </c>
      <c r="G1516">
        <v>210</v>
      </c>
      <c r="H1516">
        <v>141</v>
      </c>
      <c r="I1516">
        <v>64</v>
      </c>
      <c r="J1516" s="8">
        <v>0.75294117647058822</v>
      </c>
      <c r="K1516">
        <v>20</v>
      </c>
      <c r="L1516">
        <v>26</v>
      </c>
      <c r="M1516">
        <v>124</v>
      </c>
      <c r="N1516" s="10">
        <v>548.45000000000005</v>
      </c>
      <c r="O1516" s="7">
        <v>19.399999999999999</v>
      </c>
      <c r="P1516" s="7">
        <v>27</v>
      </c>
      <c r="Q1516">
        <v>6</v>
      </c>
      <c r="R1516" t="s">
        <v>60</v>
      </c>
      <c r="S1516">
        <v>5</v>
      </c>
      <c r="T1516">
        <v>140</v>
      </c>
      <c r="U1516" s="11">
        <v>-0.78183148246802991</v>
      </c>
      <c r="V1516" s="11">
        <v>0.62348980185873337</v>
      </c>
      <c r="W1516" s="11">
        <v>0.68197214909046289</v>
      </c>
      <c r="X1516" s="11">
        <v>-0.73137814286792535</v>
      </c>
      <c r="Y1516">
        <v>1</v>
      </c>
      <c r="Z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6">
        <v>45432</v>
      </c>
      <c r="B1517" t="s">
        <v>31</v>
      </c>
      <c r="C1517" t="s">
        <v>32</v>
      </c>
      <c r="D1517" t="s">
        <v>33</v>
      </c>
      <c r="E1517" t="s">
        <v>34</v>
      </c>
      <c r="F1517">
        <v>140</v>
      </c>
      <c r="G1517">
        <v>360</v>
      </c>
      <c r="H1517">
        <v>152</v>
      </c>
      <c r="I1517">
        <v>66</v>
      </c>
      <c r="J1517" s="8">
        <v>0.47142857142857142</v>
      </c>
      <c r="K1517">
        <v>48</v>
      </c>
      <c r="L1517">
        <v>19</v>
      </c>
      <c r="M1517">
        <v>135</v>
      </c>
      <c r="N1517" s="10">
        <v>446.7</v>
      </c>
      <c r="O1517" s="7">
        <v>5.0999999999999996</v>
      </c>
      <c r="P1517" s="7">
        <v>27.8</v>
      </c>
      <c r="Q1517">
        <v>0</v>
      </c>
      <c r="R1517" t="s">
        <v>62</v>
      </c>
      <c r="S1517">
        <v>5</v>
      </c>
      <c r="T1517">
        <v>141</v>
      </c>
      <c r="U1517" s="11">
        <v>0</v>
      </c>
      <c r="V1517" s="11">
        <v>1</v>
      </c>
      <c r="W1517" s="11">
        <v>0.66929038954125675</v>
      </c>
      <c r="X1517" s="11">
        <v>-0.74300092494404935</v>
      </c>
      <c r="Y1517">
        <v>0</v>
      </c>
      <c r="Z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6">
        <v>45432</v>
      </c>
      <c r="B1518" t="s">
        <v>36</v>
      </c>
      <c r="C1518" t="s">
        <v>37</v>
      </c>
      <c r="D1518" t="s">
        <v>38</v>
      </c>
      <c r="E1518" t="s">
        <v>39</v>
      </c>
      <c r="F1518">
        <v>125</v>
      </c>
      <c r="G1518">
        <v>320</v>
      </c>
      <c r="H1518">
        <v>143</v>
      </c>
      <c r="I1518">
        <v>62</v>
      </c>
      <c r="J1518" s="8">
        <v>0.496</v>
      </c>
      <c r="K1518">
        <v>29</v>
      </c>
      <c r="L1518">
        <v>16</v>
      </c>
      <c r="M1518">
        <v>127</v>
      </c>
      <c r="N1518" s="10">
        <v>587.48</v>
      </c>
      <c r="O1518" s="7">
        <v>5.0999999999999996</v>
      </c>
      <c r="P1518" s="7">
        <v>27.8</v>
      </c>
      <c r="Q1518">
        <v>0</v>
      </c>
      <c r="R1518" t="s">
        <v>62</v>
      </c>
      <c r="S1518">
        <v>5</v>
      </c>
      <c r="T1518">
        <v>141</v>
      </c>
      <c r="U1518" s="11">
        <v>0</v>
      </c>
      <c r="V1518" s="11">
        <v>1</v>
      </c>
      <c r="W1518" s="11">
        <v>0.66929038954125675</v>
      </c>
      <c r="X1518" s="11">
        <v>-0.74300092494404935</v>
      </c>
      <c r="Y1518">
        <v>0</v>
      </c>
      <c r="Z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6">
        <v>45432</v>
      </c>
      <c r="B1519" t="s">
        <v>41</v>
      </c>
      <c r="C1519" t="s">
        <v>42</v>
      </c>
      <c r="D1519" t="s">
        <v>43</v>
      </c>
      <c r="E1519" t="s">
        <v>44</v>
      </c>
      <c r="F1519">
        <v>85</v>
      </c>
      <c r="G1519">
        <v>210</v>
      </c>
      <c r="H1519">
        <v>112</v>
      </c>
      <c r="I1519">
        <v>51</v>
      </c>
      <c r="J1519" s="8">
        <v>0.6</v>
      </c>
      <c r="K1519">
        <v>11</v>
      </c>
      <c r="L1519">
        <v>16</v>
      </c>
      <c r="M1519">
        <v>102</v>
      </c>
      <c r="N1519" s="10">
        <v>478.81</v>
      </c>
      <c r="O1519" s="7">
        <v>5.0999999999999996</v>
      </c>
      <c r="P1519" s="7">
        <v>27.8</v>
      </c>
      <c r="Q1519">
        <v>0</v>
      </c>
      <c r="R1519" t="s">
        <v>62</v>
      </c>
      <c r="S1519">
        <v>5</v>
      </c>
      <c r="T1519">
        <v>141</v>
      </c>
      <c r="U1519" s="11">
        <v>0</v>
      </c>
      <c r="V1519" s="11">
        <v>1</v>
      </c>
      <c r="W1519" s="11">
        <v>0.66929038954125675</v>
      </c>
      <c r="X1519" s="11">
        <v>-0.74300092494404935</v>
      </c>
      <c r="Y1519">
        <v>0</v>
      </c>
      <c r="Z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6">
        <v>45433</v>
      </c>
      <c r="B1520" t="s">
        <v>31</v>
      </c>
      <c r="C1520" t="s">
        <v>32</v>
      </c>
      <c r="D1520" t="s">
        <v>33</v>
      </c>
      <c r="E1520" t="s">
        <v>34</v>
      </c>
      <c r="F1520">
        <v>140</v>
      </c>
      <c r="G1520">
        <v>360</v>
      </c>
      <c r="H1520">
        <v>166</v>
      </c>
      <c r="I1520">
        <v>75</v>
      </c>
      <c r="J1520" s="8">
        <v>0.5357142857142857</v>
      </c>
      <c r="K1520">
        <v>17</v>
      </c>
      <c r="L1520">
        <v>26</v>
      </c>
      <c r="M1520">
        <v>140</v>
      </c>
      <c r="N1520" s="10">
        <v>412.1</v>
      </c>
      <c r="O1520" s="7">
        <v>14.1</v>
      </c>
      <c r="P1520" s="7">
        <v>28.4</v>
      </c>
      <c r="Q1520">
        <v>1</v>
      </c>
      <c r="R1520" t="s">
        <v>63</v>
      </c>
      <c r="S1520">
        <v>5</v>
      </c>
      <c r="T1520">
        <v>142</v>
      </c>
      <c r="U1520" s="11">
        <v>0.7818314824680298</v>
      </c>
      <c r="V1520" s="11">
        <v>0.62348980185873359</v>
      </c>
      <c r="W1520" s="11">
        <v>0.65641057619793808</v>
      </c>
      <c r="X1520" s="11">
        <v>-0.75440384109274716</v>
      </c>
      <c r="Y1520">
        <v>0</v>
      </c>
      <c r="Z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6">
        <v>45433</v>
      </c>
      <c r="B1521" t="s">
        <v>36</v>
      </c>
      <c r="C1521" t="s">
        <v>37</v>
      </c>
      <c r="D1521" t="s">
        <v>38</v>
      </c>
      <c r="E1521" t="s">
        <v>39</v>
      </c>
      <c r="F1521">
        <v>125</v>
      </c>
      <c r="G1521">
        <v>320</v>
      </c>
      <c r="H1521">
        <v>163</v>
      </c>
      <c r="I1521">
        <v>70</v>
      </c>
      <c r="J1521" s="8">
        <v>0.56000000000000005</v>
      </c>
      <c r="K1521">
        <v>30</v>
      </c>
      <c r="L1521">
        <v>32</v>
      </c>
      <c r="M1521">
        <v>136</v>
      </c>
      <c r="N1521" s="10">
        <v>681.36</v>
      </c>
      <c r="O1521" s="7">
        <v>14.1</v>
      </c>
      <c r="P1521" s="7">
        <v>28.4</v>
      </c>
      <c r="Q1521">
        <v>1</v>
      </c>
      <c r="R1521" t="s">
        <v>63</v>
      </c>
      <c r="S1521">
        <v>5</v>
      </c>
      <c r="T1521">
        <v>142</v>
      </c>
      <c r="U1521" s="11">
        <v>0.7818314824680298</v>
      </c>
      <c r="V1521" s="11">
        <v>0.62348980185873359</v>
      </c>
      <c r="W1521" s="11">
        <v>0.65641057619793808</v>
      </c>
      <c r="X1521" s="11">
        <v>-0.75440384109274716</v>
      </c>
      <c r="Y1521">
        <v>0</v>
      </c>
      <c r="Z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6">
        <v>45433</v>
      </c>
      <c r="B1522" t="s">
        <v>41</v>
      </c>
      <c r="C1522" t="s">
        <v>42</v>
      </c>
      <c r="D1522" t="s">
        <v>43</v>
      </c>
      <c r="E1522" t="s">
        <v>44</v>
      </c>
      <c r="F1522">
        <v>85</v>
      </c>
      <c r="G1522">
        <v>210</v>
      </c>
      <c r="H1522">
        <v>116</v>
      </c>
      <c r="I1522">
        <v>51</v>
      </c>
      <c r="J1522" s="8">
        <v>0.6</v>
      </c>
      <c r="K1522">
        <v>30</v>
      </c>
      <c r="L1522">
        <v>26</v>
      </c>
      <c r="M1522">
        <v>98</v>
      </c>
      <c r="N1522" s="10">
        <v>541.80999999999995</v>
      </c>
      <c r="O1522" s="7">
        <v>14.1</v>
      </c>
      <c r="P1522" s="7">
        <v>28.4</v>
      </c>
      <c r="Q1522">
        <v>1</v>
      </c>
      <c r="R1522" t="s">
        <v>63</v>
      </c>
      <c r="S1522">
        <v>5</v>
      </c>
      <c r="T1522">
        <v>142</v>
      </c>
      <c r="U1522" s="11">
        <v>0.7818314824680298</v>
      </c>
      <c r="V1522" s="11">
        <v>0.62348980185873359</v>
      </c>
      <c r="W1522" s="11">
        <v>0.65641057619793808</v>
      </c>
      <c r="X1522" s="11">
        <v>-0.75440384109274716</v>
      </c>
      <c r="Y1522">
        <v>0</v>
      </c>
      <c r="Z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6">
        <v>45434</v>
      </c>
      <c r="B1523" t="s">
        <v>31</v>
      </c>
      <c r="C1523" t="s">
        <v>32</v>
      </c>
      <c r="D1523" t="s">
        <v>33</v>
      </c>
      <c r="E1523" t="s">
        <v>34</v>
      </c>
      <c r="F1523">
        <v>140</v>
      </c>
      <c r="G1523">
        <v>360</v>
      </c>
      <c r="H1523">
        <v>183</v>
      </c>
      <c r="I1523">
        <v>79</v>
      </c>
      <c r="J1523" s="8">
        <v>0.56428571428571428</v>
      </c>
      <c r="K1523">
        <v>51</v>
      </c>
      <c r="L1523">
        <v>35</v>
      </c>
      <c r="M1523">
        <v>151</v>
      </c>
      <c r="N1523" s="10">
        <v>399.32</v>
      </c>
      <c r="O1523" s="7">
        <v>2.7</v>
      </c>
      <c r="P1523" s="7">
        <v>28.7</v>
      </c>
      <c r="Q1523">
        <v>2</v>
      </c>
      <c r="R1523" t="s">
        <v>64</v>
      </c>
      <c r="S1523">
        <v>5</v>
      </c>
      <c r="T1523">
        <v>143</v>
      </c>
      <c r="U1523" s="11">
        <v>0.97492791218182362</v>
      </c>
      <c r="V1523" s="11">
        <v>-0.22252093395631434</v>
      </c>
      <c r="W1523" s="11">
        <v>0.64333652040449174</v>
      </c>
      <c r="X1523" s="11">
        <v>-0.76558351700767502</v>
      </c>
      <c r="Y1523">
        <v>0</v>
      </c>
      <c r="Z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6">
        <v>45434</v>
      </c>
      <c r="B1524" t="s">
        <v>36</v>
      </c>
      <c r="C1524" t="s">
        <v>37</v>
      </c>
      <c r="D1524" t="s">
        <v>38</v>
      </c>
      <c r="E1524" t="s">
        <v>39</v>
      </c>
      <c r="F1524">
        <v>125</v>
      </c>
      <c r="G1524">
        <v>320</v>
      </c>
      <c r="H1524">
        <v>166</v>
      </c>
      <c r="I1524">
        <v>68</v>
      </c>
      <c r="J1524" s="8">
        <v>0.54400000000000004</v>
      </c>
      <c r="K1524">
        <v>51</v>
      </c>
      <c r="L1524">
        <v>36</v>
      </c>
      <c r="M1524">
        <v>152</v>
      </c>
      <c r="N1524" s="10">
        <v>589.25</v>
      </c>
      <c r="O1524" s="7">
        <v>2.7</v>
      </c>
      <c r="P1524" s="7">
        <v>28.7</v>
      </c>
      <c r="Q1524">
        <v>2</v>
      </c>
      <c r="R1524" t="s">
        <v>64</v>
      </c>
      <c r="S1524">
        <v>5</v>
      </c>
      <c r="T1524">
        <v>143</v>
      </c>
      <c r="U1524" s="11">
        <v>0.97492791218182362</v>
      </c>
      <c r="V1524" s="11">
        <v>-0.22252093395631434</v>
      </c>
      <c r="W1524" s="11">
        <v>0.64333652040449174</v>
      </c>
      <c r="X1524" s="11">
        <v>-0.76558351700767502</v>
      </c>
      <c r="Y1524">
        <v>0</v>
      </c>
      <c r="Z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6">
        <v>45434</v>
      </c>
      <c r="B1525" t="s">
        <v>41</v>
      </c>
      <c r="C1525" t="s">
        <v>42</v>
      </c>
      <c r="D1525" t="s">
        <v>43</v>
      </c>
      <c r="E1525" t="s">
        <v>44</v>
      </c>
      <c r="F1525">
        <v>85</v>
      </c>
      <c r="G1525">
        <v>210</v>
      </c>
      <c r="H1525">
        <v>115</v>
      </c>
      <c r="I1525">
        <v>50</v>
      </c>
      <c r="J1525" s="8">
        <v>0.58823529411764708</v>
      </c>
      <c r="K1525">
        <v>22</v>
      </c>
      <c r="L1525">
        <v>27</v>
      </c>
      <c r="M1525">
        <v>96</v>
      </c>
      <c r="N1525" s="10">
        <v>524.51</v>
      </c>
      <c r="O1525" s="7">
        <v>2.7</v>
      </c>
      <c r="P1525" s="7">
        <v>28.7</v>
      </c>
      <c r="Q1525">
        <v>2</v>
      </c>
      <c r="R1525" t="s">
        <v>64</v>
      </c>
      <c r="S1525">
        <v>5</v>
      </c>
      <c r="T1525">
        <v>143</v>
      </c>
      <c r="U1525" s="11">
        <v>0.97492791218182362</v>
      </c>
      <c r="V1525" s="11">
        <v>-0.22252093395631434</v>
      </c>
      <c r="W1525" s="11">
        <v>0.64333652040449174</v>
      </c>
      <c r="X1525" s="11">
        <v>-0.76558351700767502</v>
      </c>
      <c r="Y1525">
        <v>0</v>
      </c>
      <c r="Z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6">
        <v>45435</v>
      </c>
      <c r="B1526" t="s">
        <v>31</v>
      </c>
      <c r="C1526" t="s">
        <v>32</v>
      </c>
      <c r="D1526" t="s">
        <v>33</v>
      </c>
      <c r="E1526" t="s">
        <v>34</v>
      </c>
      <c r="F1526">
        <v>140</v>
      </c>
      <c r="G1526">
        <v>360</v>
      </c>
      <c r="H1526">
        <v>167</v>
      </c>
      <c r="I1526">
        <v>71</v>
      </c>
      <c r="J1526" s="8">
        <v>0.50714285714285712</v>
      </c>
      <c r="K1526">
        <v>24</v>
      </c>
      <c r="L1526">
        <v>34</v>
      </c>
      <c r="M1526">
        <v>142</v>
      </c>
      <c r="N1526" s="10">
        <v>413.78</v>
      </c>
      <c r="O1526" s="7">
        <v>10.6</v>
      </c>
      <c r="P1526" s="7">
        <v>27.3</v>
      </c>
      <c r="Q1526">
        <v>3</v>
      </c>
      <c r="R1526" t="s">
        <v>65</v>
      </c>
      <c r="S1526">
        <v>5</v>
      </c>
      <c r="T1526">
        <v>144</v>
      </c>
      <c r="U1526" s="11">
        <v>0.43388373911755823</v>
      </c>
      <c r="V1526" s="11">
        <v>-0.90096886790241903</v>
      </c>
      <c r="W1526" s="11">
        <v>0.63007209098436867</v>
      </c>
      <c r="X1526" s="11">
        <v>-0.77653664444286552</v>
      </c>
      <c r="Y1526">
        <v>0</v>
      </c>
      <c r="Z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6">
        <v>45435</v>
      </c>
      <c r="B1527" t="s">
        <v>36</v>
      </c>
      <c r="C1527" t="s">
        <v>37</v>
      </c>
      <c r="D1527" t="s">
        <v>38</v>
      </c>
      <c r="E1527" t="s">
        <v>39</v>
      </c>
      <c r="F1527">
        <v>125</v>
      </c>
      <c r="G1527">
        <v>320</v>
      </c>
      <c r="H1527">
        <v>142</v>
      </c>
      <c r="I1527">
        <v>60</v>
      </c>
      <c r="J1527" s="8">
        <v>0.48</v>
      </c>
      <c r="K1527">
        <v>19</v>
      </c>
      <c r="L1527">
        <v>17</v>
      </c>
      <c r="M1527">
        <v>114</v>
      </c>
      <c r="N1527" s="10">
        <v>568.74</v>
      </c>
      <c r="O1527" s="7">
        <v>10.6</v>
      </c>
      <c r="P1527" s="7">
        <v>27.3</v>
      </c>
      <c r="Q1527">
        <v>3</v>
      </c>
      <c r="R1527" t="s">
        <v>65</v>
      </c>
      <c r="S1527">
        <v>5</v>
      </c>
      <c r="T1527">
        <v>144</v>
      </c>
      <c r="U1527" s="11">
        <v>0.43388373911755823</v>
      </c>
      <c r="V1527" s="11">
        <v>-0.90096886790241903</v>
      </c>
      <c r="W1527" s="11">
        <v>0.63007209098436867</v>
      </c>
      <c r="X1527" s="11">
        <v>-0.77653664444286552</v>
      </c>
      <c r="Y1527">
        <v>0</v>
      </c>
      <c r="Z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6">
        <v>45435</v>
      </c>
      <c r="B1528" t="s">
        <v>41</v>
      </c>
      <c r="C1528" t="s">
        <v>42</v>
      </c>
      <c r="D1528" t="s">
        <v>43</v>
      </c>
      <c r="E1528" t="s">
        <v>44</v>
      </c>
      <c r="F1528">
        <v>85</v>
      </c>
      <c r="G1528">
        <v>210</v>
      </c>
      <c r="H1528">
        <v>120</v>
      </c>
      <c r="I1528">
        <v>54</v>
      </c>
      <c r="J1528" s="8">
        <v>0.63529411764705879</v>
      </c>
      <c r="K1528">
        <v>15</v>
      </c>
      <c r="L1528">
        <v>18</v>
      </c>
      <c r="M1528">
        <v>111</v>
      </c>
      <c r="N1528" s="10">
        <v>563.16999999999996</v>
      </c>
      <c r="O1528" s="7">
        <v>10.6</v>
      </c>
      <c r="P1528" s="7">
        <v>27.3</v>
      </c>
      <c r="Q1528">
        <v>3</v>
      </c>
      <c r="R1528" t="s">
        <v>65</v>
      </c>
      <c r="S1528">
        <v>5</v>
      </c>
      <c r="T1528">
        <v>144</v>
      </c>
      <c r="U1528" s="11">
        <v>0.43388373911755823</v>
      </c>
      <c r="V1528" s="11">
        <v>-0.90096886790241903</v>
      </c>
      <c r="W1528" s="11">
        <v>0.63007209098436867</v>
      </c>
      <c r="X1528" s="11">
        <v>-0.77653664444286552</v>
      </c>
      <c r="Y1528">
        <v>0</v>
      </c>
      <c r="Z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6">
        <v>45436</v>
      </c>
      <c r="B1529" t="s">
        <v>31</v>
      </c>
      <c r="C1529" t="s">
        <v>32</v>
      </c>
      <c r="D1529" t="s">
        <v>33</v>
      </c>
      <c r="E1529" t="s">
        <v>34</v>
      </c>
      <c r="F1529">
        <v>140</v>
      </c>
      <c r="G1529">
        <v>360</v>
      </c>
      <c r="H1529">
        <v>186</v>
      </c>
      <c r="I1529">
        <v>77</v>
      </c>
      <c r="J1529" s="8">
        <v>0.55000000000000004</v>
      </c>
      <c r="K1529">
        <v>34</v>
      </c>
      <c r="L1529">
        <v>23</v>
      </c>
      <c r="M1529">
        <v>174</v>
      </c>
      <c r="N1529" s="10">
        <v>420.33</v>
      </c>
      <c r="O1529" s="7">
        <v>8.9</v>
      </c>
      <c r="P1529" s="7">
        <v>26.5</v>
      </c>
      <c r="Q1529">
        <v>4</v>
      </c>
      <c r="R1529" t="s">
        <v>66</v>
      </c>
      <c r="S1529">
        <v>5</v>
      </c>
      <c r="T1529">
        <v>145</v>
      </c>
      <c r="U1529" s="11">
        <v>-0.43388373911755801</v>
      </c>
      <c r="V1529" s="11">
        <v>-0.90096886790241915</v>
      </c>
      <c r="W1529" s="11">
        <v>0.61662121309563822</v>
      </c>
      <c r="X1529" s="11">
        <v>-0.78725998219169224</v>
      </c>
      <c r="Y1529">
        <v>0</v>
      </c>
      <c r="Z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6">
        <v>45436</v>
      </c>
      <c r="B1530" t="s">
        <v>36</v>
      </c>
      <c r="C1530" t="s">
        <v>37</v>
      </c>
      <c r="D1530" t="s">
        <v>38</v>
      </c>
      <c r="E1530" t="s">
        <v>39</v>
      </c>
      <c r="F1530">
        <v>125</v>
      </c>
      <c r="G1530">
        <v>320</v>
      </c>
      <c r="H1530">
        <v>155</v>
      </c>
      <c r="I1530">
        <v>64</v>
      </c>
      <c r="J1530" s="8">
        <v>0.51200000000000001</v>
      </c>
      <c r="K1530">
        <v>15</v>
      </c>
      <c r="L1530">
        <v>31</v>
      </c>
      <c r="M1530">
        <v>140</v>
      </c>
      <c r="N1530" s="10">
        <v>658.76</v>
      </c>
      <c r="O1530" s="7">
        <v>8.9</v>
      </c>
      <c r="P1530" s="7">
        <v>26.5</v>
      </c>
      <c r="Q1530">
        <v>4</v>
      </c>
      <c r="R1530" t="s">
        <v>66</v>
      </c>
      <c r="S1530">
        <v>5</v>
      </c>
      <c r="T1530">
        <v>145</v>
      </c>
      <c r="U1530" s="11">
        <v>-0.43388373911755801</v>
      </c>
      <c r="V1530" s="11">
        <v>-0.90096886790241915</v>
      </c>
      <c r="W1530" s="11">
        <v>0.61662121309563822</v>
      </c>
      <c r="X1530" s="11">
        <v>-0.78725998219169224</v>
      </c>
      <c r="Y1530">
        <v>0</v>
      </c>
      <c r="Z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6">
        <v>45436</v>
      </c>
      <c r="B1531" t="s">
        <v>41</v>
      </c>
      <c r="C1531" t="s">
        <v>42</v>
      </c>
      <c r="D1531" t="s">
        <v>43</v>
      </c>
      <c r="E1531" t="s">
        <v>44</v>
      </c>
      <c r="F1531">
        <v>85</v>
      </c>
      <c r="G1531">
        <v>210</v>
      </c>
      <c r="H1531">
        <v>108</v>
      </c>
      <c r="I1531">
        <v>50</v>
      </c>
      <c r="J1531" s="8">
        <v>0.58823529411764708</v>
      </c>
      <c r="K1531">
        <v>22</v>
      </c>
      <c r="L1531">
        <v>30</v>
      </c>
      <c r="M1531">
        <v>91</v>
      </c>
      <c r="N1531" s="10">
        <v>527.4</v>
      </c>
      <c r="O1531" s="7">
        <v>8.9</v>
      </c>
      <c r="P1531" s="7">
        <v>26.5</v>
      </c>
      <c r="Q1531">
        <v>4</v>
      </c>
      <c r="R1531" t="s">
        <v>66</v>
      </c>
      <c r="S1531">
        <v>5</v>
      </c>
      <c r="T1531">
        <v>145</v>
      </c>
      <c r="U1531" s="11">
        <v>-0.43388373911755801</v>
      </c>
      <c r="V1531" s="11">
        <v>-0.90096886790241915</v>
      </c>
      <c r="W1531" s="11">
        <v>0.61662121309563822</v>
      </c>
      <c r="X1531" s="11">
        <v>-0.78725998219169224</v>
      </c>
      <c r="Y1531">
        <v>0</v>
      </c>
      <c r="Z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6">
        <v>45437</v>
      </c>
      <c r="B1532" t="s">
        <v>31</v>
      </c>
      <c r="C1532" t="s">
        <v>32</v>
      </c>
      <c r="D1532" t="s">
        <v>33</v>
      </c>
      <c r="E1532" t="s">
        <v>34</v>
      </c>
      <c r="F1532">
        <v>140</v>
      </c>
      <c r="G1532">
        <v>360</v>
      </c>
      <c r="H1532">
        <v>211</v>
      </c>
      <c r="I1532">
        <v>89</v>
      </c>
      <c r="J1532" s="8">
        <v>0.63571428571428568</v>
      </c>
      <c r="K1532">
        <v>58</v>
      </c>
      <c r="L1532">
        <v>55</v>
      </c>
      <c r="M1532">
        <v>176</v>
      </c>
      <c r="N1532" s="10">
        <v>466.43</v>
      </c>
      <c r="O1532" s="7">
        <v>7.9</v>
      </c>
      <c r="P1532" s="7">
        <v>26.2</v>
      </c>
      <c r="Q1532">
        <v>5</v>
      </c>
      <c r="R1532" t="s">
        <v>67</v>
      </c>
      <c r="S1532">
        <v>5</v>
      </c>
      <c r="T1532">
        <v>146</v>
      </c>
      <c r="U1532" s="11">
        <v>-0.97492791218182362</v>
      </c>
      <c r="V1532" s="11">
        <v>-0.22252093395631459</v>
      </c>
      <c r="W1532" s="11">
        <v>0.60298786706947138</v>
      </c>
      <c r="X1532" s="11">
        <v>-0.79775035704599317</v>
      </c>
      <c r="Y1532">
        <v>1</v>
      </c>
      <c r="Z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6">
        <v>45437</v>
      </c>
      <c r="B1533" t="s">
        <v>36</v>
      </c>
      <c r="C1533" t="s">
        <v>37</v>
      </c>
      <c r="D1533" t="s">
        <v>38</v>
      </c>
      <c r="E1533" t="s">
        <v>39</v>
      </c>
      <c r="F1533">
        <v>125</v>
      </c>
      <c r="G1533">
        <v>320</v>
      </c>
      <c r="H1533">
        <v>183</v>
      </c>
      <c r="I1533">
        <v>75</v>
      </c>
      <c r="J1533" s="8">
        <v>0.6</v>
      </c>
      <c r="K1533">
        <v>45</v>
      </c>
      <c r="L1533">
        <v>35</v>
      </c>
      <c r="M1533">
        <v>154</v>
      </c>
      <c r="N1533" s="10">
        <v>736.08</v>
      </c>
      <c r="O1533" s="7">
        <v>7.9</v>
      </c>
      <c r="P1533" s="7">
        <v>26.2</v>
      </c>
      <c r="Q1533">
        <v>5</v>
      </c>
      <c r="R1533" t="s">
        <v>67</v>
      </c>
      <c r="S1533">
        <v>5</v>
      </c>
      <c r="T1533">
        <v>146</v>
      </c>
      <c r="U1533" s="11">
        <v>-0.97492791218182362</v>
      </c>
      <c r="V1533" s="11">
        <v>-0.22252093395631459</v>
      </c>
      <c r="W1533" s="11">
        <v>0.60298786706947138</v>
      </c>
      <c r="X1533" s="11">
        <v>-0.79775035704599317</v>
      </c>
      <c r="Y1533">
        <v>1</v>
      </c>
      <c r="Z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6">
        <v>45437</v>
      </c>
      <c r="B1534" t="s">
        <v>41</v>
      </c>
      <c r="C1534" t="s">
        <v>42</v>
      </c>
      <c r="D1534" t="s">
        <v>43</v>
      </c>
      <c r="E1534" t="s">
        <v>44</v>
      </c>
      <c r="F1534">
        <v>85</v>
      </c>
      <c r="G1534">
        <v>210</v>
      </c>
      <c r="H1534">
        <v>152</v>
      </c>
      <c r="I1534">
        <v>68</v>
      </c>
      <c r="J1534" s="8">
        <v>0.8</v>
      </c>
      <c r="K1534">
        <v>38</v>
      </c>
      <c r="L1534">
        <v>30</v>
      </c>
      <c r="M1534">
        <v>130</v>
      </c>
      <c r="N1534" s="10">
        <v>607.67999999999995</v>
      </c>
      <c r="O1534" s="7">
        <v>7.9</v>
      </c>
      <c r="P1534" s="7">
        <v>26.2</v>
      </c>
      <c r="Q1534">
        <v>5</v>
      </c>
      <c r="R1534" t="s">
        <v>67</v>
      </c>
      <c r="S1534">
        <v>5</v>
      </c>
      <c r="T1534">
        <v>146</v>
      </c>
      <c r="U1534" s="11">
        <v>-0.97492791218182362</v>
      </c>
      <c r="V1534" s="11">
        <v>-0.22252093395631459</v>
      </c>
      <c r="W1534" s="11">
        <v>0.60298786706947138</v>
      </c>
      <c r="X1534" s="11">
        <v>-0.79775035704599317</v>
      </c>
      <c r="Y1534">
        <v>1</v>
      </c>
      <c r="Z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6">
        <v>45438</v>
      </c>
      <c r="B1535" t="s">
        <v>31</v>
      </c>
      <c r="C1535" t="s">
        <v>32</v>
      </c>
      <c r="D1535" t="s">
        <v>33</v>
      </c>
      <c r="E1535" t="s">
        <v>34</v>
      </c>
      <c r="F1535">
        <v>140</v>
      </c>
      <c r="G1535">
        <v>360</v>
      </c>
      <c r="H1535">
        <v>197</v>
      </c>
      <c r="I1535">
        <v>81</v>
      </c>
      <c r="J1535" s="8">
        <v>0.57857142857142863</v>
      </c>
      <c r="K1535">
        <v>51</v>
      </c>
      <c r="L1535">
        <v>23</v>
      </c>
      <c r="M1535">
        <v>172</v>
      </c>
      <c r="N1535" s="10">
        <v>466.24</v>
      </c>
      <c r="O1535" s="7">
        <v>7.7</v>
      </c>
      <c r="P1535" s="7">
        <v>27.5</v>
      </c>
      <c r="Q1535">
        <v>6</v>
      </c>
      <c r="R1535" t="s">
        <v>60</v>
      </c>
      <c r="S1535">
        <v>5</v>
      </c>
      <c r="T1535">
        <v>147</v>
      </c>
      <c r="U1535" s="11">
        <v>-0.78183148246802991</v>
      </c>
      <c r="V1535" s="11">
        <v>0.62348980185873337</v>
      </c>
      <c r="W1535" s="11">
        <v>0.58917608723229631</v>
      </c>
      <c r="X1535" s="11">
        <v>-0.80800466473507537</v>
      </c>
      <c r="Y1535">
        <v>1</v>
      </c>
      <c r="Z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6">
        <v>45438</v>
      </c>
      <c r="B1536" t="s">
        <v>36</v>
      </c>
      <c r="C1536" t="s">
        <v>37</v>
      </c>
      <c r="D1536" t="s">
        <v>38</v>
      </c>
      <c r="E1536" t="s">
        <v>39</v>
      </c>
      <c r="F1536">
        <v>125</v>
      </c>
      <c r="G1536">
        <v>320</v>
      </c>
      <c r="H1536">
        <v>163</v>
      </c>
      <c r="I1536">
        <v>68</v>
      </c>
      <c r="J1536" s="8">
        <v>0.54400000000000004</v>
      </c>
      <c r="K1536">
        <v>32</v>
      </c>
      <c r="L1536">
        <v>45</v>
      </c>
      <c r="M1536">
        <v>144</v>
      </c>
      <c r="N1536" s="10">
        <v>674.22</v>
      </c>
      <c r="O1536" s="7">
        <v>7.7</v>
      </c>
      <c r="P1536" s="7">
        <v>27.5</v>
      </c>
      <c r="Q1536">
        <v>6</v>
      </c>
      <c r="R1536" t="s">
        <v>60</v>
      </c>
      <c r="S1536">
        <v>5</v>
      </c>
      <c r="T1536">
        <v>147</v>
      </c>
      <c r="U1536" s="11">
        <v>-0.78183148246802991</v>
      </c>
      <c r="V1536" s="11">
        <v>0.62348980185873337</v>
      </c>
      <c r="W1536" s="11">
        <v>0.58917608723229631</v>
      </c>
      <c r="X1536" s="11">
        <v>-0.80800466473507537</v>
      </c>
      <c r="Y1536">
        <v>1</v>
      </c>
      <c r="Z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6">
        <v>45438</v>
      </c>
      <c r="B1537" t="s">
        <v>41</v>
      </c>
      <c r="C1537" t="s">
        <v>42</v>
      </c>
      <c r="D1537" t="s">
        <v>43</v>
      </c>
      <c r="E1537" t="s">
        <v>44</v>
      </c>
      <c r="F1537">
        <v>85</v>
      </c>
      <c r="G1537">
        <v>210</v>
      </c>
      <c r="H1537">
        <v>115</v>
      </c>
      <c r="I1537">
        <v>55</v>
      </c>
      <c r="J1537" s="8">
        <v>0.6470588235294118</v>
      </c>
      <c r="K1537">
        <v>18</v>
      </c>
      <c r="L1537">
        <v>29</v>
      </c>
      <c r="M1537">
        <v>104</v>
      </c>
      <c r="N1537" s="10">
        <v>647.22</v>
      </c>
      <c r="O1537" s="7">
        <v>7.7</v>
      </c>
      <c r="P1537" s="7">
        <v>27.5</v>
      </c>
      <c r="Q1537">
        <v>6</v>
      </c>
      <c r="R1537" t="s">
        <v>60</v>
      </c>
      <c r="S1537">
        <v>5</v>
      </c>
      <c r="T1537">
        <v>147</v>
      </c>
      <c r="U1537" s="11">
        <v>-0.78183148246802991</v>
      </c>
      <c r="V1537" s="11">
        <v>0.62348980185873337</v>
      </c>
      <c r="W1537" s="11">
        <v>0.58917608723229631</v>
      </c>
      <c r="X1537" s="11">
        <v>-0.80800466473507537</v>
      </c>
      <c r="Y1537">
        <v>1</v>
      </c>
      <c r="Z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 s="6">
        <v>45439</v>
      </c>
      <c r="B1538" t="s">
        <v>31</v>
      </c>
      <c r="C1538" t="s">
        <v>32</v>
      </c>
      <c r="D1538" t="s">
        <v>33</v>
      </c>
      <c r="E1538" t="s">
        <v>34</v>
      </c>
      <c r="F1538">
        <v>140</v>
      </c>
      <c r="G1538">
        <v>360</v>
      </c>
      <c r="H1538">
        <v>186</v>
      </c>
      <c r="I1538">
        <v>79</v>
      </c>
      <c r="J1538" s="8">
        <v>0.56428571428571428</v>
      </c>
      <c r="K1538">
        <v>47</v>
      </c>
      <c r="L1538">
        <v>42</v>
      </c>
      <c r="M1538">
        <v>164</v>
      </c>
      <c r="N1538" s="10">
        <v>461.44</v>
      </c>
      <c r="O1538" s="7">
        <v>3.9</v>
      </c>
      <c r="P1538" s="7">
        <v>27.2</v>
      </c>
      <c r="Q1538">
        <v>0</v>
      </c>
      <c r="R1538" t="s">
        <v>62</v>
      </c>
      <c r="S1538">
        <v>5</v>
      </c>
      <c r="T1538">
        <v>148</v>
      </c>
      <c r="U1538" s="11">
        <v>0</v>
      </c>
      <c r="V1538" s="11">
        <v>1</v>
      </c>
      <c r="W1538" s="11">
        <v>0.57518996071197748</v>
      </c>
      <c r="X1538" s="11">
        <v>-0.81801987084431749</v>
      </c>
      <c r="Y1538">
        <v>0</v>
      </c>
      <c r="Z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6">
        <v>45439</v>
      </c>
      <c r="B1539" t="s">
        <v>36</v>
      </c>
      <c r="C1539" t="s">
        <v>37</v>
      </c>
      <c r="D1539" t="s">
        <v>38</v>
      </c>
      <c r="E1539" t="s">
        <v>39</v>
      </c>
      <c r="F1539">
        <v>125</v>
      </c>
      <c r="G1539">
        <v>320</v>
      </c>
      <c r="H1539">
        <v>172</v>
      </c>
      <c r="I1539">
        <v>71</v>
      </c>
      <c r="J1539" s="8">
        <v>0.56799999999999995</v>
      </c>
      <c r="K1539">
        <v>28</v>
      </c>
      <c r="L1539">
        <v>23</v>
      </c>
      <c r="M1539">
        <v>160</v>
      </c>
      <c r="N1539" s="10">
        <v>679.53</v>
      </c>
      <c r="O1539" s="7">
        <v>3.9</v>
      </c>
      <c r="P1539" s="7">
        <v>27.2</v>
      </c>
      <c r="Q1539">
        <v>0</v>
      </c>
      <c r="R1539" t="s">
        <v>62</v>
      </c>
      <c r="S1539">
        <v>5</v>
      </c>
      <c r="T1539">
        <v>148</v>
      </c>
      <c r="U1539" s="11">
        <v>0</v>
      </c>
      <c r="V1539" s="11">
        <v>1</v>
      </c>
      <c r="W1539" s="11">
        <v>0.57518996071197748</v>
      </c>
      <c r="X1539" s="11">
        <v>-0.81801987084431749</v>
      </c>
      <c r="Y1539">
        <v>0</v>
      </c>
      <c r="Z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6">
        <v>45439</v>
      </c>
      <c r="B1540" t="s">
        <v>41</v>
      </c>
      <c r="C1540" t="s">
        <v>42</v>
      </c>
      <c r="D1540" t="s">
        <v>43</v>
      </c>
      <c r="E1540" t="s">
        <v>44</v>
      </c>
      <c r="F1540">
        <v>85</v>
      </c>
      <c r="G1540">
        <v>210</v>
      </c>
      <c r="H1540">
        <v>118</v>
      </c>
      <c r="I1540">
        <v>51</v>
      </c>
      <c r="J1540" s="8">
        <v>0.6</v>
      </c>
      <c r="K1540">
        <v>16</v>
      </c>
      <c r="L1540">
        <v>20</v>
      </c>
      <c r="M1540">
        <v>106</v>
      </c>
      <c r="N1540" s="10">
        <v>531.79</v>
      </c>
      <c r="O1540" s="7">
        <v>3.9</v>
      </c>
      <c r="P1540" s="7">
        <v>27.2</v>
      </c>
      <c r="Q1540">
        <v>0</v>
      </c>
      <c r="R1540" t="s">
        <v>62</v>
      </c>
      <c r="S1540">
        <v>5</v>
      </c>
      <c r="T1540">
        <v>148</v>
      </c>
      <c r="U1540" s="11">
        <v>0</v>
      </c>
      <c r="V1540" s="11">
        <v>1</v>
      </c>
      <c r="W1540" s="11">
        <v>0.57518996071197748</v>
      </c>
      <c r="X1540" s="11">
        <v>-0.81801987084431749</v>
      </c>
      <c r="Y1540">
        <v>0</v>
      </c>
      <c r="Z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6">
        <v>45440</v>
      </c>
      <c r="B1541" t="s">
        <v>31</v>
      </c>
      <c r="C1541" t="s">
        <v>32</v>
      </c>
      <c r="D1541" t="s">
        <v>33</v>
      </c>
      <c r="E1541" t="s">
        <v>34</v>
      </c>
      <c r="F1541">
        <v>140</v>
      </c>
      <c r="G1541">
        <v>360</v>
      </c>
      <c r="H1541">
        <v>194</v>
      </c>
      <c r="I1541">
        <v>80</v>
      </c>
      <c r="J1541" s="8">
        <v>0.5714285714285714</v>
      </c>
      <c r="K1541">
        <v>29</v>
      </c>
      <c r="L1541">
        <v>30</v>
      </c>
      <c r="M1541">
        <v>156</v>
      </c>
      <c r="N1541" s="10">
        <v>426.41</v>
      </c>
      <c r="O1541" s="7">
        <v>12.5</v>
      </c>
      <c r="P1541" s="7">
        <v>27.8</v>
      </c>
      <c r="Q1541">
        <v>1</v>
      </c>
      <c r="R1541" t="s">
        <v>63</v>
      </c>
      <c r="S1541">
        <v>5</v>
      </c>
      <c r="T1541">
        <v>149</v>
      </c>
      <c r="U1541" s="11">
        <v>0.7818314824680298</v>
      </c>
      <c r="V1541" s="11">
        <v>0.62348980185873359</v>
      </c>
      <c r="W1541" s="11">
        <v>0.56103362622836772</v>
      </c>
      <c r="X1541" s="11">
        <v>-0.82779301171310216</v>
      </c>
      <c r="Y1541">
        <v>0</v>
      </c>
      <c r="Z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6">
        <v>45440</v>
      </c>
      <c r="B1542" t="s">
        <v>36</v>
      </c>
      <c r="C1542" t="s">
        <v>37</v>
      </c>
      <c r="D1542" t="s">
        <v>38</v>
      </c>
      <c r="E1542" t="s">
        <v>39</v>
      </c>
      <c r="F1542">
        <v>125</v>
      </c>
      <c r="G1542">
        <v>320</v>
      </c>
      <c r="H1542">
        <v>166</v>
      </c>
      <c r="I1542">
        <v>69</v>
      </c>
      <c r="J1542" s="8">
        <v>0.55200000000000005</v>
      </c>
      <c r="K1542">
        <v>29</v>
      </c>
      <c r="L1542">
        <v>23</v>
      </c>
      <c r="M1542">
        <v>135</v>
      </c>
      <c r="N1542" s="10">
        <v>658</v>
      </c>
      <c r="O1542" s="7">
        <v>12.5</v>
      </c>
      <c r="P1542" s="7">
        <v>27.8</v>
      </c>
      <c r="Q1542">
        <v>1</v>
      </c>
      <c r="R1542" t="s">
        <v>63</v>
      </c>
      <c r="S1542">
        <v>5</v>
      </c>
      <c r="T1542">
        <v>149</v>
      </c>
      <c r="U1542" s="11">
        <v>0.7818314824680298</v>
      </c>
      <c r="V1542" s="11">
        <v>0.62348980185873359</v>
      </c>
      <c r="W1542" s="11">
        <v>0.56103362622836772</v>
      </c>
      <c r="X1542" s="11">
        <v>-0.82779301171310216</v>
      </c>
      <c r="Y1542">
        <v>0</v>
      </c>
      <c r="Z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6">
        <v>45440</v>
      </c>
      <c r="B1543" t="s">
        <v>41</v>
      </c>
      <c r="C1543" t="s">
        <v>42</v>
      </c>
      <c r="D1543" t="s">
        <v>43</v>
      </c>
      <c r="E1543" t="s">
        <v>44</v>
      </c>
      <c r="F1543">
        <v>85</v>
      </c>
      <c r="G1543">
        <v>210</v>
      </c>
      <c r="H1543">
        <v>99</v>
      </c>
      <c r="I1543">
        <v>47</v>
      </c>
      <c r="J1543" s="8">
        <v>0.55294117647058827</v>
      </c>
      <c r="K1543">
        <v>20</v>
      </c>
      <c r="L1543">
        <v>16</v>
      </c>
      <c r="M1543">
        <v>85</v>
      </c>
      <c r="N1543" s="10">
        <v>496.18</v>
      </c>
      <c r="O1543" s="7">
        <v>12.5</v>
      </c>
      <c r="P1543" s="7">
        <v>27.8</v>
      </c>
      <c r="Q1543">
        <v>1</v>
      </c>
      <c r="R1543" t="s">
        <v>63</v>
      </c>
      <c r="S1543">
        <v>5</v>
      </c>
      <c r="T1543">
        <v>149</v>
      </c>
      <c r="U1543" s="11">
        <v>0.7818314824680298</v>
      </c>
      <c r="V1543" s="11">
        <v>0.62348980185873359</v>
      </c>
      <c r="W1543" s="11">
        <v>0.56103362622836772</v>
      </c>
      <c r="X1543" s="11">
        <v>-0.82779301171310216</v>
      </c>
      <c r="Y1543">
        <v>0</v>
      </c>
      <c r="Z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6">
        <v>45441</v>
      </c>
      <c r="B1544" t="s">
        <v>31</v>
      </c>
      <c r="C1544" t="s">
        <v>32</v>
      </c>
      <c r="D1544" t="s">
        <v>33</v>
      </c>
      <c r="E1544" t="s">
        <v>34</v>
      </c>
      <c r="F1544">
        <v>140</v>
      </c>
      <c r="G1544">
        <v>360</v>
      </c>
      <c r="H1544">
        <v>195</v>
      </c>
      <c r="I1544">
        <v>83</v>
      </c>
      <c r="J1544" s="8">
        <v>0.59285714285714286</v>
      </c>
      <c r="K1544">
        <v>51</v>
      </c>
      <c r="L1544">
        <v>31</v>
      </c>
      <c r="M1544">
        <v>168</v>
      </c>
      <c r="N1544" s="10">
        <v>463.23</v>
      </c>
      <c r="O1544" s="7">
        <v>0.6</v>
      </c>
      <c r="P1544" s="7">
        <v>27.3</v>
      </c>
      <c r="Q1544">
        <v>2</v>
      </c>
      <c r="R1544" t="s">
        <v>64</v>
      </c>
      <c r="S1544">
        <v>5</v>
      </c>
      <c r="T1544">
        <v>150</v>
      </c>
      <c r="U1544" s="11">
        <v>0.97492791218182362</v>
      </c>
      <c r="V1544" s="11">
        <v>-0.22252093395631434</v>
      </c>
      <c r="W1544" s="11">
        <v>0.54671127286859389</v>
      </c>
      <c r="X1544" s="11">
        <v>-0.83732119531181215</v>
      </c>
      <c r="Y1544">
        <v>0</v>
      </c>
      <c r="Z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6">
        <v>45441</v>
      </c>
      <c r="B1545" t="s">
        <v>36</v>
      </c>
      <c r="C1545" t="s">
        <v>37</v>
      </c>
      <c r="D1545" t="s">
        <v>38</v>
      </c>
      <c r="E1545" t="s">
        <v>39</v>
      </c>
      <c r="F1545">
        <v>125</v>
      </c>
      <c r="G1545">
        <v>320</v>
      </c>
      <c r="H1545">
        <v>162</v>
      </c>
      <c r="I1545">
        <v>66</v>
      </c>
      <c r="J1545" s="8">
        <v>0.52800000000000002</v>
      </c>
      <c r="K1545">
        <v>26</v>
      </c>
      <c r="L1545">
        <v>30</v>
      </c>
      <c r="M1545">
        <v>136</v>
      </c>
      <c r="N1545" s="10">
        <v>629.25</v>
      </c>
      <c r="O1545" s="7">
        <v>0.6</v>
      </c>
      <c r="P1545" s="7">
        <v>27.3</v>
      </c>
      <c r="Q1545">
        <v>2</v>
      </c>
      <c r="R1545" t="s">
        <v>64</v>
      </c>
      <c r="S1545">
        <v>5</v>
      </c>
      <c r="T1545">
        <v>150</v>
      </c>
      <c r="U1545" s="11">
        <v>0.97492791218182362</v>
      </c>
      <c r="V1545" s="11">
        <v>-0.22252093395631434</v>
      </c>
      <c r="W1545" s="11">
        <v>0.54671127286859389</v>
      </c>
      <c r="X1545" s="11">
        <v>-0.83732119531181215</v>
      </c>
      <c r="Y1545">
        <v>0</v>
      </c>
      <c r="Z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6">
        <v>45441</v>
      </c>
      <c r="B1546" t="s">
        <v>41</v>
      </c>
      <c r="C1546" t="s">
        <v>42</v>
      </c>
      <c r="D1546" t="s">
        <v>43</v>
      </c>
      <c r="E1546" t="s">
        <v>44</v>
      </c>
      <c r="F1546">
        <v>85</v>
      </c>
      <c r="G1546">
        <v>210</v>
      </c>
      <c r="H1546">
        <v>119</v>
      </c>
      <c r="I1546">
        <v>53</v>
      </c>
      <c r="J1546" s="8">
        <v>0.62352941176470589</v>
      </c>
      <c r="K1546">
        <v>19</v>
      </c>
      <c r="L1546">
        <v>29</v>
      </c>
      <c r="M1546">
        <v>99</v>
      </c>
      <c r="N1546" s="10">
        <v>562.47</v>
      </c>
      <c r="O1546" s="7">
        <v>0.6</v>
      </c>
      <c r="P1546" s="7">
        <v>27.3</v>
      </c>
      <c r="Q1546">
        <v>2</v>
      </c>
      <c r="R1546" t="s">
        <v>64</v>
      </c>
      <c r="S1546">
        <v>5</v>
      </c>
      <c r="T1546">
        <v>150</v>
      </c>
      <c r="U1546" s="11">
        <v>0.97492791218182362</v>
      </c>
      <c r="V1546" s="11">
        <v>-0.22252093395631434</v>
      </c>
      <c r="W1546" s="11">
        <v>0.54671127286859389</v>
      </c>
      <c r="X1546" s="11">
        <v>-0.83732119531181215</v>
      </c>
      <c r="Y1546">
        <v>0</v>
      </c>
      <c r="Z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6">
        <v>45442</v>
      </c>
      <c r="B1547" t="s">
        <v>31</v>
      </c>
      <c r="C1547" t="s">
        <v>32</v>
      </c>
      <c r="D1547" t="s">
        <v>33</v>
      </c>
      <c r="E1547" t="s">
        <v>34</v>
      </c>
      <c r="F1547">
        <v>140</v>
      </c>
      <c r="G1547">
        <v>360</v>
      </c>
      <c r="H1547">
        <v>167</v>
      </c>
      <c r="I1547">
        <v>70</v>
      </c>
      <c r="J1547" s="8">
        <v>0.5</v>
      </c>
      <c r="K1547">
        <v>33</v>
      </c>
      <c r="L1547">
        <v>44</v>
      </c>
      <c r="M1547">
        <v>156</v>
      </c>
      <c r="N1547" s="10">
        <v>417.07</v>
      </c>
      <c r="O1547" s="7">
        <v>9.3000000000000007</v>
      </c>
      <c r="P1547" s="7">
        <v>26.4</v>
      </c>
      <c r="Q1547">
        <v>3</v>
      </c>
      <c r="R1547" t="s">
        <v>65</v>
      </c>
      <c r="S1547">
        <v>5</v>
      </c>
      <c r="T1547">
        <v>151</v>
      </c>
      <c r="U1547" s="11">
        <v>0.43388373911755823</v>
      </c>
      <c r="V1547" s="11">
        <v>-0.90096886790241903</v>
      </c>
      <c r="W1547" s="11">
        <v>0.53222713884743966</v>
      </c>
      <c r="X1547" s="11">
        <v>-0.84660160209762669</v>
      </c>
      <c r="Y1547">
        <v>0</v>
      </c>
      <c r="Z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6">
        <v>45442</v>
      </c>
      <c r="B1548" t="s">
        <v>36</v>
      </c>
      <c r="C1548" t="s">
        <v>37</v>
      </c>
      <c r="D1548" t="s">
        <v>38</v>
      </c>
      <c r="E1548" t="s">
        <v>39</v>
      </c>
      <c r="F1548">
        <v>125</v>
      </c>
      <c r="G1548">
        <v>320</v>
      </c>
      <c r="H1548">
        <v>155</v>
      </c>
      <c r="I1548">
        <v>67</v>
      </c>
      <c r="J1548" s="8">
        <v>0.53600000000000003</v>
      </c>
      <c r="K1548">
        <v>22</v>
      </c>
      <c r="L1548">
        <v>15</v>
      </c>
      <c r="M1548">
        <v>130</v>
      </c>
      <c r="N1548" s="10">
        <v>623.59</v>
      </c>
      <c r="O1548" s="7">
        <v>9.3000000000000007</v>
      </c>
      <c r="P1548" s="7">
        <v>26.4</v>
      </c>
      <c r="Q1548">
        <v>3</v>
      </c>
      <c r="R1548" t="s">
        <v>65</v>
      </c>
      <c r="S1548">
        <v>5</v>
      </c>
      <c r="T1548">
        <v>151</v>
      </c>
      <c r="U1548" s="11">
        <v>0.43388373911755823</v>
      </c>
      <c r="V1548" s="11">
        <v>-0.90096886790241903</v>
      </c>
      <c r="W1548" s="11">
        <v>0.53222713884743966</v>
      </c>
      <c r="X1548" s="11">
        <v>-0.84660160209762669</v>
      </c>
      <c r="Y1548">
        <v>0</v>
      </c>
      <c r="Z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6">
        <v>45442</v>
      </c>
      <c r="B1549" t="s">
        <v>41</v>
      </c>
      <c r="C1549" t="s">
        <v>42</v>
      </c>
      <c r="D1549" t="s">
        <v>43</v>
      </c>
      <c r="E1549" t="s">
        <v>44</v>
      </c>
      <c r="F1549">
        <v>85</v>
      </c>
      <c r="G1549">
        <v>210</v>
      </c>
      <c r="H1549">
        <v>113</v>
      </c>
      <c r="I1549">
        <v>52</v>
      </c>
      <c r="J1549" s="8">
        <v>0.61176470588235299</v>
      </c>
      <c r="K1549">
        <v>22</v>
      </c>
      <c r="L1549">
        <v>34</v>
      </c>
      <c r="M1549">
        <v>102</v>
      </c>
      <c r="N1549" s="10">
        <v>564.4</v>
      </c>
      <c r="O1549" s="7">
        <v>9.3000000000000007</v>
      </c>
      <c r="P1549" s="7">
        <v>26.4</v>
      </c>
      <c r="Q1549">
        <v>3</v>
      </c>
      <c r="R1549" t="s">
        <v>65</v>
      </c>
      <c r="S1549">
        <v>5</v>
      </c>
      <c r="T1549">
        <v>151</v>
      </c>
      <c r="U1549" s="11">
        <v>0.43388373911755823</v>
      </c>
      <c r="V1549" s="11">
        <v>-0.90096886790241903</v>
      </c>
      <c r="W1549" s="11">
        <v>0.53222713884743966</v>
      </c>
      <c r="X1549" s="11">
        <v>-0.84660160209762669</v>
      </c>
      <c r="Y1549">
        <v>0</v>
      </c>
      <c r="Z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6">
        <v>45443</v>
      </c>
      <c r="B1550" t="s">
        <v>31</v>
      </c>
      <c r="C1550" t="s">
        <v>32</v>
      </c>
      <c r="D1550" t="s">
        <v>33</v>
      </c>
      <c r="E1550" t="s">
        <v>34</v>
      </c>
      <c r="F1550">
        <v>140</v>
      </c>
      <c r="G1550">
        <v>360</v>
      </c>
      <c r="H1550">
        <v>151</v>
      </c>
      <c r="I1550">
        <v>66</v>
      </c>
      <c r="J1550" s="8">
        <v>0.47142857142857142</v>
      </c>
      <c r="K1550">
        <v>32</v>
      </c>
      <c r="L1550">
        <v>21</v>
      </c>
      <c r="M1550">
        <v>132</v>
      </c>
      <c r="N1550" s="10">
        <v>469.18</v>
      </c>
      <c r="O1550" s="7">
        <v>4.9000000000000004</v>
      </c>
      <c r="P1550" s="7">
        <v>26.4</v>
      </c>
      <c r="Q1550">
        <v>4</v>
      </c>
      <c r="R1550" t="s">
        <v>66</v>
      </c>
      <c r="S1550">
        <v>5</v>
      </c>
      <c r="T1550">
        <v>152</v>
      </c>
      <c r="U1550" s="11">
        <v>-0.43388373911755801</v>
      </c>
      <c r="V1550" s="11">
        <v>-0.90096886790241915</v>
      </c>
      <c r="W1550" s="11">
        <v>0.51758551025318889</v>
      </c>
      <c r="X1550" s="11">
        <v>-0.85563148584887061</v>
      </c>
      <c r="Y1550">
        <v>0</v>
      </c>
      <c r="Z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6">
        <v>45443</v>
      </c>
      <c r="B1551" t="s">
        <v>36</v>
      </c>
      <c r="C1551" t="s">
        <v>37</v>
      </c>
      <c r="D1551" t="s">
        <v>38</v>
      </c>
      <c r="E1551" t="s">
        <v>39</v>
      </c>
      <c r="F1551">
        <v>125</v>
      </c>
      <c r="G1551">
        <v>320</v>
      </c>
      <c r="H1551">
        <v>173</v>
      </c>
      <c r="I1551">
        <v>71</v>
      </c>
      <c r="J1551" s="8">
        <v>0.56799999999999995</v>
      </c>
      <c r="K1551">
        <v>46</v>
      </c>
      <c r="L1551">
        <v>19</v>
      </c>
      <c r="M1551">
        <v>161</v>
      </c>
      <c r="N1551" s="10">
        <v>614.53</v>
      </c>
      <c r="O1551" s="7">
        <v>4.9000000000000004</v>
      </c>
      <c r="P1551" s="7">
        <v>26.4</v>
      </c>
      <c r="Q1551">
        <v>4</v>
      </c>
      <c r="R1551" t="s">
        <v>66</v>
      </c>
      <c r="S1551">
        <v>5</v>
      </c>
      <c r="T1551">
        <v>152</v>
      </c>
      <c r="U1551" s="11">
        <v>-0.43388373911755801</v>
      </c>
      <c r="V1551" s="11">
        <v>-0.90096886790241915</v>
      </c>
      <c r="W1551" s="11">
        <v>0.51758551025318889</v>
      </c>
      <c r="X1551" s="11">
        <v>-0.85563148584887061</v>
      </c>
      <c r="Y1551">
        <v>0</v>
      </c>
      <c r="Z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6">
        <v>45443</v>
      </c>
      <c r="B1552" t="s">
        <v>41</v>
      </c>
      <c r="C1552" t="s">
        <v>42</v>
      </c>
      <c r="D1552" t="s">
        <v>43</v>
      </c>
      <c r="E1552" t="s">
        <v>44</v>
      </c>
      <c r="F1552">
        <v>85</v>
      </c>
      <c r="G1552">
        <v>210</v>
      </c>
      <c r="H1552">
        <v>122</v>
      </c>
      <c r="I1552">
        <v>53</v>
      </c>
      <c r="J1552" s="8">
        <v>0.62352941176470589</v>
      </c>
      <c r="K1552">
        <v>24</v>
      </c>
      <c r="L1552">
        <v>24</v>
      </c>
      <c r="M1552">
        <v>105</v>
      </c>
      <c r="N1552" s="10">
        <v>486.56</v>
      </c>
      <c r="O1552" s="7">
        <v>4.9000000000000004</v>
      </c>
      <c r="P1552" s="7">
        <v>26.4</v>
      </c>
      <c r="Q1552">
        <v>4</v>
      </c>
      <c r="R1552" t="s">
        <v>66</v>
      </c>
      <c r="S1552">
        <v>5</v>
      </c>
      <c r="T1552">
        <v>152</v>
      </c>
      <c r="U1552" s="11">
        <v>-0.43388373911755801</v>
      </c>
      <c r="V1552" s="11">
        <v>-0.90096886790241915</v>
      </c>
      <c r="W1552" s="11">
        <v>0.51758551025318889</v>
      </c>
      <c r="X1552" s="11">
        <v>-0.85563148584887061</v>
      </c>
      <c r="Y1552">
        <v>0</v>
      </c>
      <c r="Z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6">
        <v>45444</v>
      </c>
      <c r="B1553" t="s">
        <v>31</v>
      </c>
      <c r="C1553" t="s">
        <v>32</v>
      </c>
      <c r="D1553" t="s">
        <v>33</v>
      </c>
      <c r="E1553" t="s">
        <v>34</v>
      </c>
      <c r="F1553">
        <v>140</v>
      </c>
      <c r="G1553">
        <v>360</v>
      </c>
      <c r="H1553">
        <v>204</v>
      </c>
      <c r="I1553">
        <v>88</v>
      </c>
      <c r="J1553" s="8">
        <v>0.62857142857142856</v>
      </c>
      <c r="K1553">
        <v>36</v>
      </c>
      <c r="L1553">
        <v>23</v>
      </c>
      <c r="M1553">
        <v>171</v>
      </c>
      <c r="N1553" s="10">
        <v>464.12</v>
      </c>
      <c r="O1553" s="7">
        <v>4</v>
      </c>
      <c r="P1553" s="7">
        <v>25.7</v>
      </c>
      <c r="Q1553">
        <v>5</v>
      </c>
      <c r="R1553" t="s">
        <v>67</v>
      </c>
      <c r="S1553">
        <v>6</v>
      </c>
      <c r="T1553">
        <v>153</v>
      </c>
      <c r="U1553" s="11">
        <v>-0.97492791218182362</v>
      </c>
      <c r="V1553" s="11">
        <v>-0.22252093395631459</v>
      </c>
      <c r="W1553" s="11">
        <v>0.50279071977930434</v>
      </c>
      <c r="X1553" s="11">
        <v>-0.86440817447766483</v>
      </c>
      <c r="Y1553">
        <v>1</v>
      </c>
      <c r="Z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6">
        <v>45444</v>
      </c>
      <c r="B1554" t="s">
        <v>36</v>
      </c>
      <c r="C1554" t="s">
        <v>37</v>
      </c>
      <c r="D1554" t="s">
        <v>38</v>
      </c>
      <c r="E1554" t="s">
        <v>39</v>
      </c>
      <c r="F1554">
        <v>125</v>
      </c>
      <c r="G1554">
        <v>320</v>
      </c>
      <c r="H1554">
        <v>202</v>
      </c>
      <c r="I1554">
        <v>85</v>
      </c>
      <c r="J1554" s="8">
        <v>0.68</v>
      </c>
      <c r="K1554">
        <v>32</v>
      </c>
      <c r="L1554">
        <v>20</v>
      </c>
      <c r="M1554">
        <v>168</v>
      </c>
      <c r="N1554" s="10">
        <v>694.65</v>
      </c>
      <c r="O1554" s="7">
        <v>4</v>
      </c>
      <c r="P1554" s="7">
        <v>25.7</v>
      </c>
      <c r="Q1554">
        <v>5</v>
      </c>
      <c r="R1554" t="s">
        <v>67</v>
      </c>
      <c r="S1554">
        <v>6</v>
      </c>
      <c r="T1554">
        <v>153</v>
      </c>
      <c r="U1554" s="11">
        <v>-0.97492791218182362</v>
      </c>
      <c r="V1554" s="11">
        <v>-0.22252093395631459</v>
      </c>
      <c r="W1554" s="11">
        <v>0.50279071977930434</v>
      </c>
      <c r="X1554" s="11">
        <v>-0.86440817447766483</v>
      </c>
      <c r="Y1554">
        <v>1</v>
      </c>
      <c r="Z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6">
        <v>45444</v>
      </c>
      <c r="B1555" t="s">
        <v>41</v>
      </c>
      <c r="C1555" t="s">
        <v>42</v>
      </c>
      <c r="D1555" t="s">
        <v>43</v>
      </c>
      <c r="E1555" t="s">
        <v>44</v>
      </c>
      <c r="F1555">
        <v>85</v>
      </c>
      <c r="G1555">
        <v>210</v>
      </c>
      <c r="H1555">
        <v>146</v>
      </c>
      <c r="I1555">
        <v>64</v>
      </c>
      <c r="J1555" s="8">
        <v>0.75294117647058822</v>
      </c>
      <c r="K1555">
        <v>24</v>
      </c>
      <c r="L1555">
        <v>21</v>
      </c>
      <c r="M1555">
        <v>118</v>
      </c>
      <c r="N1555" s="10">
        <v>643.37</v>
      </c>
      <c r="O1555" s="7">
        <v>4</v>
      </c>
      <c r="P1555" s="7">
        <v>25.7</v>
      </c>
      <c r="Q1555">
        <v>5</v>
      </c>
      <c r="R1555" t="s">
        <v>67</v>
      </c>
      <c r="S1555">
        <v>6</v>
      </c>
      <c r="T1555">
        <v>153</v>
      </c>
      <c r="U1555" s="11">
        <v>-0.97492791218182362</v>
      </c>
      <c r="V1555" s="11">
        <v>-0.22252093395631459</v>
      </c>
      <c r="W1555" s="11">
        <v>0.50279071977930434</v>
      </c>
      <c r="X1555" s="11">
        <v>-0.86440817447766483</v>
      </c>
      <c r="Y1555">
        <v>1</v>
      </c>
      <c r="Z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6">
        <v>45445</v>
      </c>
      <c r="B1556" t="s">
        <v>31</v>
      </c>
      <c r="C1556" t="s">
        <v>32</v>
      </c>
      <c r="D1556" t="s">
        <v>33</v>
      </c>
      <c r="E1556" t="s">
        <v>34</v>
      </c>
      <c r="F1556">
        <v>140</v>
      </c>
      <c r="G1556">
        <v>360</v>
      </c>
      <c r="H1556">
        <v>216</v>
      </c>
      <c r="I1556">
        <v>93</v>
      </c>
      <c r="J1556" s="8">
        <v>0.66428571428571426</v>
      </c>
      <c r="K1556">
        <v>41</v>
      </c>
      <c r="L1556">
        <v>32</v>
      </c>
      <c r="M1556">
        <v>200</v>
      </c>
      <c r="N1556" s="10">
        <v>453.81</v>
      </c>
      <c r="O1556" s="7">
        <v>6.6</v>
      </c>
      <c r="P1556" s="7">
        <v>28.2</v>
      </c>
      <c r="Q1556">
        <v>6</v>
      </c>
      <c r="R1556" t="s">
        <v>60</v>
      </c>
      <c r="S1556">
        <v>6</v>
      </c>
      <c r="T1556">
        <v>154</v>
      </c>
      <c r="U1556" s="11">
        <v>-0.78183148246802991</v>
      </c>
      <c r="V1556" s="11">
        <v>0.62348980185873337</v>
      </c>
      <c r="W1556" s="11">
        <v>0.48784714544231189</v>
      </c>
      <c r="X1556" s="11">
        <v>-0.87292907082064108</v>
      </c>
      <c r="Y1556">
        <v>1</v>
      </c>
      <c r="Z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6">
        <v>45445</v>
      </c>
      <c r="B1557" t="s">
        <v>36</v>
      </c>
      <c r="C1557" t="s">
        <v>37</v>
      </c>
      <c r="D1557" t="s">
        <v>38</v>
      </c>
      <c r="E1557" t="s">
        <v>39</v>
      </c>
      <c r="F1557">
        <v>125</v>
      </c>
      <c r="G1557">
        <v>320</v>
      </c>
      <c r="H1557">
        <v>187</v>
      </c>
      <c r="I1557">
        <v>78</v>
      </c>
      <c r="J1557" s="8">
        <v>0.624</v>
      </c>
      <c r="K1557">
        <v>49</v>
      </c>
      <c r="L1557">
        <v>35</v>
      </c>
      <c r="M1557">
        <v>171</v>
      </c>
      <c r="N1557" s="10">
        <v>703.08</v>
      </c>
      <c r="O1557" s="7">
        <v>6.6</v>
      </c>
      <c r="P1557" s="7">
        <v>28.2</v>
      </c>
      <c r="Q1557">
        <v>6</v>
      </c>
      <c r="R1557" t="s">
        <v>60</v>
      </c>
      <c r="S1557">
        <v>6</v>
      </c>
      <c r="T1557">
        <v>154</v>
      </c>
      <c r="U1557" s="11">
        <v>-0.78183148246802991</v>
      </c>
      <c r="V1557" s="11">
        <v>0.62348980185873337</v>
      </c>
      <c r="W1557" s="11">
        <v>0.48784714544231189</v>
      </c>
      <c r="X1557" s="11">
        <v>-0.87292907082064108</v>
      </c>
      <c r="Y1557">
        <v>1</v>
      </c>
      <c r="Z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6">
        <v>45445</v>
      </c>
      <c r="B1558" t="s">
        <v>41</v>
      </c>
      <c r="C1558" t="s">
        <v>42</v>
      </c>
      <c r="D1558" t="s">
        <v>43</v>
      </c>
      <c r="E1558" t="s">
        <v>44</v>
      </c>
      <c r="F1558">
        <v>85</v>
      </c>
      <c r="G1558">
        <v>210</v>
      </c>
      <c r="H1558">
        <v>134</v>
      </c>
      <c r="I1558">
        <v>61</v>
      </c>
      <c r="J1558" s="8">
        <v>0.71764705882352942</v>
      </c>
      <c r="K1558">
        <v>38</v>
      </c>
      <c r="L1558">
        <v>29</v>
      </c>
      <c r="M1558">
        <v>117</v>
      </c>
      <c r="N1558" s="10">
        <v>597.85</v>
      </c>
      <c r="O1558" s="7">
        <v>6.6</v>
      </c>
      <c r="P1558" s="7">
        <v>28.2</v>
      </c>
      <c r="Q1558">
        <v>6</v>
      </c>
      <c r="R1558" t="s">
        <v>60</v>
      </c>
      <c r="S1558">
        <v>6</v>
      </c>
      <c r="T1558">
        <v>154</v>
      </c>
      <c r="U1558" s="11">
        <v>-0.78183148246802991</v>
      </c>
      <c r="V1558" s="11">
        <v>0.62348980185873337</v>
      </c>
      <c r="W1558" s="11">
        <v>0.48784714544231189</v>
      </c>
      <c r="X1558" s="11">
        <v>-0.87292907082064108</v>
      </c>
      <c r="Y1558">
        <v>1</v>
      </c>
      <c r="Z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6">
        <v>45446</v>
      </c>
      <c r="B1559" t="s">
        <v>31</v>
      </c>
      <c r="C1559" t="s">
        <v>32</v>
      </c>
      <c r="D1559" t="s">
        <v>33</v>
      </c>
      <c r="E1559" t="s">
        <v>34</v>
      </c>
      <c r="F1559">
        <v>140</v>
      </c>
      <c r="G1559">
        <v>360</v>
      </c>
      <c r="H1559">
        <v>203</v>
      </c>
      <c r="I1559">
        <v>83</v>
      </c>
      <c r="J1559" s="8">
        <v>0.59285714285714286</v>
      </c>
      <c r="K1559">
        <v>48</v>
      </c>
      <c r="L1559">
        <v>51</v>
      </c>
      <c r="M1559">
        <v>168</v>
      </c>
      <c r="N1559" s="10">
        <v>429.73</v>
      </c>
      <c r="O1559" s="7">
        <v>6.2</v>
      </c>
      <c r="P1559" s="7">
        <v>27.7</v>
      </c>
      <c r="Q1559">
        <v>0</v>
      </c>
      <c r="R1559" t="s">
        <v>62</v>
      </c>
      <c r="S1559">
        <v>6</v>
      </c>
      <c r="T1559">
        <v>155</v>
      </c>
      <c r="U1559" s="11">
        <v>0</v>
      </c>
      <c r="V1559" s="11">
        <v>1</v>
      </c>
      <c r="W1559" s="11">
        <v>0.47275920928627757</v>
      </c>
      <c r="X1559" s="11">
        <v>-0.88119165340748296</v>
      </c>
      <c r="Y1559">
        <v>0</v>
      </c>
      <c r="Z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6">
        <v>45446</v>
      </c>
      <c r="B1560" t="s">
        <v>36</v>
      </c>
      <c r="C1560" t="s">
        <v>37</v>
      </c>
      <c r="D1560" t="s">
        <v>38</v>
      </c>
      <c r="E1560" t="s">
        <v>39</v>
      </c>
      <c r="F1560">
        <v>125</v>
      </c>
      <c r="G1560">
        <v>320</v>
      </c>
      <c r="H1560">
        <v>173</v>
      </c>
      <c r="I1560">
        <v>72</v>
      </c>
      <c r="J1560" s="8">
        <v>0.57599999999999996</v>
      </c>
      <c r="K1560">
        <v>39</v>
      </c>
      <c r="L1560">
        <v>21</v>
      </c>
      <c r="M1560">
        <v>144</v>
      </c>
      <c r="N1560" s="10">
        <v>645.86</v>
      </c>
      <c r="O1560" s="7">
        <v>6.2</v>
      </c>
      <c r="P1560" s="7">
        <v>27.7</v>
      </c>
      <c r="Q1560">
        <v>0</v>
      </c>
      <c r="R1560" t="s">
        <v>62</v>
      </c>
      <c r="S1560">
        <v>6</v>
      </c>
      <c r="T1560">
        <v>155</v>
      </c>
      <c r="U1560" s="11">
        <v>0</v>
      </c>
      <c r="V1560" s="11">
        <v>1</v>
      </c>
      <c r="W1560" s="11">
        <v>0.47275920928627757</v>
      </c>
      <c r="X1560" s="11">
        <v>-0.88119165340748296</v>
      </c>
      <c r="Y1560">
        <v>0</v>
      </c>
      <c r="Z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6">
        <v>45446</v>
      </c>
      <c r="B1561" t="s">
        <v>41</v>
      </c>
      <c r="C1561" t="s">
        <v>42</v>
      </c>
      <c r="D1561" t="s">
        <v>43</v>
      </c>
      <c r="E1561" t="s">
        <v>44</v>
      </c>
      <c r="F1561">
        <v>85</v>
      </c>
      <c r="G1561">
        <v>210</v>
      </c>
      <c r="H1561">
        <v>118</v>
      </c>
      <c r="I1561">
        <v>51</v>
      </c>
      <c r="J1561" s="8">
        <v>0.6</v>
      </c>
      <c r="K1561">
        <v>16</v>
      </c>
      <c r="L1561">
        <v>28</v>
      </c>
      <c r="M1561">
        <v>109</v>
      </c>
      <c r="N1561" s="10">
        <v>519.65</v>
      </c>
      <c r="O1561" s="7">
        <v>6.2</v>
      </c>
      <c r="P1561" s="7">
        <v>27.7</v>
      </c>
      <c r="Q1561">
        <v>0</v>
      </c>
      <c r="R1561" t="s">
        <v>62</v>
      </c>
      <c r="S1561">
        <v>6</v>
      </c>
      <c r="T1561">
        <v>155</v>
      </c>
      <c r="U1561" s="11">
        <v>0</v>
      </c>
      <c r="V1561" s="11">
        <v>1</v>
      </c>
      <c r="W1561" s="11">
        <v>0.47275920928627757</v>
      </c>
      <c r="X1561" s="11">
        <v>-0.88119165340748296</v>
      </c>
      <c r="Y1561">
        <v>0</v>
      </c>
      <c r="Z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6">
        <v>45447</v>
      </c>
      <c r="B1562" t="s">
        <v>31</v>
      </c>
      <c r="C1562" t="s">
        <v>32</v>
      </c>
      <c r="D1562" t="s">
        <v>33</v>
      </c>
      <c r="E1562" t="s">
        <v>34</v>
      </c>
      <c r="F1562">
        <v>140</v>
      </c>
      <c r="G1562">
        <v>360</v>
      </c>
      <c r="H1562">
        <v>180</v>
      </c>
      <c r="I1562">
        <v>76</v>
      </c>
      <c r="J1562" s="8">
        <v>0.54285714285714282</v>
      </c>
      <c r="K1562">
        <v>44</v>
      </c>
      <c r="L1562">
        <v>45</v>
      </c>
      <c r="M1562">
        <v>148</v>
      </c>
      <c r="N1562" s="10">
        <v>434.88</v>
      </c>
      <c r="O1562" s="7">
        <v>13.9</v>
      </c>
      <c r="P1562" s="7">
        <v>28.1</v>
      </c>
      <c r="Q1562">
        <v>1</v>
      </c>
      <c r="R1562" t="s">
        <v>63</v>
      </c>
      <c r="S1562">
        <v>6</v>
      </c>
      <c r="T1562">
        <v>156</v>
      </c>
      <c r="U1562" s="11">
        <v>0.7818314824680298</v>
      </c>
      <c r="V1562" s="11">
        <v>0.62348980185873359</v>
      </c>
      <c r="W1562" s="11">
        <v>0.45753137607425121</v>
      </c>
      <c r="X1562" s="11">
        <v>-0.88919347720707109</v>
      </c>
      <c r="Y1562">
        <v>0</v>
      </c>
      <c r="Z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6">
        <v>45447</v>
      </c>
      <c r="B1563" t="s">
        <v>36</v>
      </c>
      <c r="C1563" t="s">
        <v>37</v>
      </c>
      <c r="D1563" t="s">
        <v>38</v>
      </c>
      <c r="E1563" t="s">
        <v>39</v>
      </c>
      <c r="F1563">
        <v>125</v>
      </c>
      <c r="G1563">
        <v>320</v>
      </c>
      <c r="H1563">
        <v>150</v>
      </c>
      <c r="I1563">
        <v>64</v>
      </c>
      <c r="J1563" s="8">
        <v>0.51200000000000001</v>
      </c>
      <c r="K1563">
        <v>26</v>
      </c>
      <c r="L1563">
        <v>42</v>
      </c>
      <c r="M1563">
        <v>127</v>
      </c>
      <c r="N1563" s="10">
        <v>619.41999999999996</v>
      </c>
      <c r="O1563" s="7">
        <v>13.9</v>
      </c>
      <c r="P1563" s="7">
        <v>28.1</v>
      </c>
      <c r="Q1563">
        <v>1</v>
      </c>
      <c r="R1563" t="s">
        <v>63</v>
      </c>
      <c r="S1563">
        <v>6</v>
      </c>
      <c r="T1563">
        <v>156</v>
      </c>
      <c r="U1563" s="11">
        <v>0.7818314824680298</v>
      </c>
      <c r="V1563" s="11">
        <v>0.62348980185873359</v>
      </c>
      <c r="W1563" s="11">
        <v>0.45753137607425121</v>
      </c>
      <c r="X1563" s="11">
        <v>-0.88919347720707109</v>
      </c>
      <c r="Y1563">
        <v>0</v>
      </c>
      <c r="Z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6">
        <v>45447</v>
      </c>
      <c r="B1564" t="s">
        <v>41</v>
      </c>
      <c r="C1564" t="s">
        <v>42</v>
      </c>
      <c r="D1564" t="s">
        <v>43</v>
      </c>
      <c r="E1564" t="s">
        <v>44</v>
      </c>
      <c r="F1564">
        <v>85</v>
      </c>
      <c r="G1564">
        <v>210</v>
      </c>
      <c r="H1564">
        <v>121</v>
      </c>
      <c r="I1564">
        <v>54</v>
      </c>
      <c r="J1564" s="8">
        <v>0.63529411764705879</v>
      </c>
      <c r="K1564">
        <v>19</v>
      </c>
      <c r="L1564">
        <v>14</v>
      </c>
      <c r="M1564">
        <v>103</v>
      </c>
      <c r="N1564" s="10">
        <v>561.69000000000005</v>
      </c>
      <c r="O1564" s="7">
        <v>13.9</v>
      </c>
      <c r="P1564" s="7">
        <v>28.1</v>
      </c>
      <c r="Q1564">
        <v>1</v>
      </c>
      <c r="R1564" t="s">
        <v>63</v>
      </c>
      <c r="S1564">
        <v>6</v>
      </c>
      <c r="T1564">
        <v>156</v>
      </c>
      <c r="U1564" s="11">
        <v>0.7818314824680298</v>
      </c>
      <c r="V1564" s="11">
        <v>0.62348980185873359</v>
      </c>
      <c r="W1564" s="11">
        <v>0.45753137607425121</v>
      </c>
      <c r="X1564" s="11">
        <v>-0.88919347720707109</v>
      </c>
      <c r="Y1564">
        <v>0</v>
      </c>
      <c r="Z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6">
        <v>45448</v>
      </c>
      <c r="B1565" t="s">
        <v>31</v>
      </c>
      <c r="C1565" t="s">
        <v>32</v>
      </c>
      <c r="D1565" t="s">
        <v>33</v>
      </c>
      <c r="E1565" t="s">
        <v>34</v>
      </c>
      <c r="F1565">
        <v>140</v>
      </c>
      <c r="G1565">
        <v>360</v>
      </c>
      <c r="H1565">
        <v>185</v>
      </c>
      <c r="I1565">
        <v>78</v>
      </c>
      <c r="J1565" s="8">
        <v>0.55714285714285716</v>
      </c>
      <c r="K1565">
        <v>48</v>
      </c>
      <c r="L1565">
        <v>28</v>
      </c>
      <c r="M1565">
        <v>151</v>
      </c>
      <c r="N1565" s="10">
        <v>466.72</v>
      </c>
      <c r="O1565" s="7">
        <v>10.4</v>
      </c>
      <c r="P1565" s="7">
        <v>27.7</v>
      </c>
      <c r="Q1565">
        <v>2</v>
      </c>
      <c r="R1565" t="s">
        <v>64</v>
      </c>
      <c r="S1565">
        <v>6</v>
      </c>
      <c r="T1565">
        <v>157</v>
      </c>
      <c r="U1565" s="11">
        <v>0.97492791218182362</v>
      </c>
      <c r="V1565" s="11">
        <v>-0.22252093395631434</v>
      </c>
      <c r="W1565" s="11">
        <v>0.44216815196707204</v>
      </c>
      <c r="X1565" s="11">
        <v>-0.89693217435100647</v>
      </c>
      <c r="Y1565">
        <v>0</v>
      </c>
      <c r="Z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6">
        <v>45448</v>
      </c>
      <c r="B1566" t="s">
        <v>36</v>
      </c>
      <c r="C1566" t="s">
        <v>37</v>
      </c>
      <c r="D1566" t="s">
        <v>38</v>
      </c>
      <c r="E1566" t="s">
        <v>39</v>
      </c>
      <c r="F1566">
        <v>125</v>
      </c>
      <c r="G1566">
        <v>320</v>
      </c>
      <c r="H1566">
        <v>148</v>
      </c>
      <c r="I1566">
        <v>62</v>
      </c>
      <c r="J1566" s="8">
        <v>0.496</v>
      </c>
      <c r="K1566">
        <v>25</v>
      </c>
      <c r="L1566">
        <v>32</v>
      </c>
      <c r="M1566">
        <v>133</v>
      </c>
      <c r="N1566" s="10">
        <v>644.59</v>
      </c>
      <c r="O1566" s="7">
        <v>10.4</v>
      </c>
      <c r="P1566" s="7">
        <v>27.7</v>
      </c>
      <c r="Q1566">
        <v>2</v>
      </c>
      <c r="R1566" t="s">
        <v>64</v>
      </c>
      <c r="S1566">
        <v>6</v>
      </c>
      <c r="T1566">
        <v>157</v>
      </c>
      <c r="U1566" s="11">
        <v>0.97492791218182362</v>
      </c>
      <c r="V1566" s="11">
        <v>-0.22252093395631434</v>
      </c>
      <c r="W1566" s="11">
        <v>0.44216815196707204</v>
      </c>
      <c r="X1566" s="11">
        <v>-0.89693217435100647</v>
      </c>
      <c r="Y1566">
        <v>0</v>
      </c>
      <c r="Z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6">
        <v>45448</v>
      </c>
      <c r="B1567" t="s">
        <v>41</v>
      </c>
      <c r="C1567" t="s">
        <v>42</v>
      </c>
      <c r="D1567" t="s">
        <v>43</v>
      </c>
      <c r="E1567" t="s">
        <v>44</v>
      </c>
      <c r="F1567">
        <v>85</v>
      </c>
      <c r="G1567">
        <v>210</v>
      </c>
      <c r="H1567">
        <v>114</v>
      </c>
      <c r="I1567">
        <v>51</v>
      </c>
      <c r="J1567" s="8">
        <v>0.6</v>
      </c>
      <c r="K1567">
        <v>18</v>
      </c>
      <c r="L1567">
        <v>29</v>
      </c>
      <c r="M1567">
        <v>92</v>
      </c>
      <c r="N1567" s="10">
        <v>495.84</v>
      </c>
      <c r="O1567" s="7">
        <v>10.4</v>
      </c>
      <c r="P1567" s="7">
        <v>27.7</v>
      </c>
      <c r="Q1567">
        <v>2</v>
      </c>
      <c r="R1567" t="s">
        <v>64</v>
      </c>
      <c r="S1567">
        <v>6</v>
      </c>
      <c r="T1567">
        <v>157</v>
      </c>
      <c r="U1567" s="11">
        <v>0.97492791218182362</v>
      </c>
      <c r="V1567" s="11">
        <v>-0.22252093395631434</v>
      </c>
      <c r="W1567" s="11">
        <v>0.44216815196707204</v>
      </c>
      <c r="X1567" s="11">
        <v>-0.89693217435100647</v>
      </c>
      <c r="Y1567">
        <v>0</v>
      </c>
      <c r="Z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6">
        <v>45449</v>
      </c>
      <c r="B1568" t="s">
        <v>31</v>
      </c>
      <c r="C1568" t="s">
        <v>32</v>
      </c>
      <c r="D1568" t="s">
        <v>33</v>
      </c>
      <c r="E1568" t="s">
        <v>34</v>
      </c>
      <c r="F1568">
        <v>140</v>
      </c>
      <c r="G1568">
        <v>360</v>
      </c>
      <c r="H1568">
        <v>190</v>
      </c>
      <c r="I1568">
        <v>81</v>
      </c>
      <c r="J1568" s="8">
        <v>0.57857142857142863</v>
      </c>
      <c r="K1568">
        <v>37</v>
      </c>
      <c r="L1568">
        <v>21</v>
      </c>
      <c r="M1568">
        <v>155</v>
      </c>
      <c r="N1568" s="10">
        <v>438.2</v>
      </c>
      <c r="O1568" s="7">
        <v>13.4</v>
      </c>
      <c r="P1568" s="7">
        <v>26.7</v>
      </c>
      <c r="Q1568">
        <v>3</v>
      </c>
      <c r="R1568" t="s">
        <v>65</v>
      </c>
      <c r="S1568">
        <v>6</v>
      </c>
      <c r="T1568">
        <v>158</v>
      </c>
      <c r="U1568" s="11">
        <v>0.43388373911755823</v>
      </c>
      <c r="V1568" s="11">
        <v>-0.90096886790241903</v>
      </c>
      <c r="W1568" s="11">
        <v>0.42667408318992467</v>
      </c>
      <c r="X1568" s="11">
        <v>-0.90440545483430013</v>
      </c>
      <c r="Y1568">
        <v>0</v>
      </c>
      <c r="Z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6">
        <v>45449</v>
      </c>
      <c r="B1569" t="s">
        <v>36</v>
      </c>
      <c r="C1569" t="s">
        <v>37</v>
      </c>
      <c r="D1569" t="s">
        <v>38</v>
      </c>
      <c r="E1569" t="s">
        <v>39</v>
      </c>
      <c r="F1569">
        <v>125</v>
      </c>
      <c r="G1569">
        <v>320</v>
      </c>
      <c r="H1569">
        <v>182</v>
      </c>
      <c r="I1569">
        <v>76</v>
      </c>
      <c r="J1569" s="8">
        <v>0.60799999999999998</v>
      </c>
      <c r="K1569">
        <v>28</v>
      </c>
      <c r="L1569">
        <v>34</v>
      </c>
      <c r="M1569">
        <v>161</v>
      </c>
      <c r="N1569" s="10">
        <v>652.37</v>
      </c>
      <c r="O1569" s="7">
        <v>13.4</v>
      </c>
      <c r="P1569" s="7">
        <v>26.7</v>
      </c>
      <c r="Q1569">
        <v>3</v>
      </c>
      <c r="R1569" t="s">
        <v>65</v>
      </c>
      <c r="S1569">
        <v>6</v>
      </c>
      <c r="T1569">
        <v>158</v>
      </c>
      <c r="U1569" s="11">
        <v>0.43388373911755823</v>
      </c>
      <c r="V1569" s="11">
        <v>-0.90096886790241903</v>
      </c>
      <c r="W1569" s="11">
        <v>0.42667408318992467</v>
      </c>
      <c r="X1569" s="11">
        <v>-0.90440545483430013</v>
      </c>
      <c r="Y1569">
        <v>0</v>
      </c>
      <c r="Z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6">
        <v>45449</v>
      </c>
      <c r="B1570" t="s">
        <v>41</v>
      </c>
      <c r="C1570" t="s">
        <v>42</v>
      </c>
      <c r="D1570" t="s">
        <v>43</v>
      </c>
      <c r="E1570" t="s">
        <v>44</v>
      </c>
      <c r="F1570">
        <v>85</v>
      </c>
      <c r="G1570">
        <v>210</v>
      </c>
      <c r="H1570">
        <v>124</v>
      </c>
      <c r="I1570">
        <v>52</v>
      </c>
      <c r="J1570" s="8">
        <v>0.61176470588235299</v>
      </c>
      <c r="K1570">
        <v>30</v>
      </c>
      <c r="L1570">
        <v>12</v>
      </c>
      <c r="M1570">
        <v>112</v>
      </c>
      <c r="N1570" s="10">
        <v>499.98</v>
      </c>
      <c r="O1570" s="7">
        <v>13.4</v>
      </c>
      <c r="P1570" s="7">
        <v>26.7</v>
      </c>
      <c r="Q1570">
        <v>3</v>
      </c>
      <c r="R1570" t="s">
        <v>65</v>
      </c>
      <c r="S1570">
        <v>6</v>
      </c>
      <c r="T1570">
        <v>158</v>
      </c>
      <c r="U1570" s="11">
        <v>0.43388373911755823</v>
      </c>
      <c r="V1570" s="11">
        <v>-0.90096886790241903</v>
      </c>
      <c r="W1570" s="11">
        <v>0.42667408318992467</v>
      </c>
      <c r="X1570" s="11">
        <v>-0.90440545483430013</v>
      </c>
      <c r="Y1570">
        <v>0</v>
      </c>
      <c r="Z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6">
        <v>45450</v>
      </c>
      <c r="B1571" t="s">
        <v>31</v>
      </c>
      <c r="C1571" t="s">
        <v>32</v>
      </c>
      <c r="D1571" t="s">
        <v>33</v>
      </c>
      <c r="E1571" t="s">
        <v>34</v>
      </c>
      <c r="F1571">
        <v>140</v>
      </c>
      <c r="G1571">
        <v>360</v>
      </c>
      <c r="H1571">
        <v>186</v>
      </c>
      <c r="I1571">
        <v>82</v>
      </c>
      <c r="J1571" s="8">
        <v>0.58571428571428574</v>
      </c>
      <c r="K1571">
        <v>40</v>
      </c>
      <c r="L1571">
        <v>37</v>
      </c>
      <c r="M1571">
        <v>162</v>
      </c>
      <c r="N1571" s="10">
        <v>407.19</v>
      </c>
      <c r="O1571" s="7">
        <v>0</v>
      </c>
      <c r="P1571" s="7">
        <v>27</v>
      </c>
      <c r="Q1571">
        <v>4</v>
      </c>
      <c r="R1571" t="s">
        <v>66</v>
      </c>
      <c r="S1571">
        <v>6</v>
      </c>
      <c r="T1571">
        <v>159</v>
      </c>
      <c r="U1571" s="11">
        <v>-0.43388373911755801</v>
      </c>
      <c r="V1571" s="11">
        <v>-0.90096886790241915</v>
      </c>
      <c r="W1571" s="11">
        <v>0.41105375468703509</v>
      </c>
      <c r="X1571" s="11">
        <v>-0.91161110719302385</v>
      </c>
      <c r="Y1571">
        <v>0</v>
      </c>
      <c r="Z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6">
        <v>45450</v>
      </c>
      <c r="B1572" t="s">
        <v>36</v>
      </c>
      <c r="C1572" t="s">
        <v>37</v>
      </c>
      <c r="D1572" t="s">
        <v>38</v>
      </c>
      <c r="E1572" t="s">
        <v>39</v>
      </c>
      <c r="F1572">
        <v>125</v>
      </c>
      <c r="G1572">
        <v>320</v>
      </c>
      <c r="H1572">
        <v>162</v>
      </c>
      <c r="I1572">
        <v>67</v>
      </c>
      <c r="J1572" s="8">
        <v>0.53600000000000003</v>
      </c>
      <c r="K1572">
        <v>22</v>
      </c>
      <c r="L1572">
        <v>24</v>
      </c>
      <c r="M1572">
        <v>134</v>
      </c>
      <c r="N1572" s="10">
        <v>674.52</v>
      </c>
      <c r="O1572" s="7">
        <v>0</v>
      </c>
      <c r="P1572" s="7">
        <v>27</v>
      </c>
      <c r="Q1572">
        <v>4</v>
      </c>
      <c r="R1572" t="s">
        <v>66</v>
      </c>
      <c r="S1572">
        <v>6</v>
      </c>
      <c r="T1572">
        <v>159</v>
      </c>
      <c r="U1572" s="11">
        <v>-0.43388373911755801</v>
      </c>
      <c r="V1572" s="11">
        <v>-0.90096886790241915</v>
      </c>
      <c r="W1572" s="11">
        <v>0.41105375468703509</v>
      </c>
      <c r="X1572" s="11">
        <v>-0.91161110719302385</v>
      </c>
      <c r="Y1572">
        <v>0</v>
      </c>
      <c r="Z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6">
        <v>45450</v>
      </c>
      <c r="B1573" t="s">
        <v>41</v>
      </c>
      <c r="C1573" t="s">
        <v>42</v>
      </c>
      <c r="D1573" t="s">
        <v>43</v>
      </c>
      <c r="E1573" t="s">
        <v>44</v>
      </c>
      <c r="F1573">
        <v>85</v>
      </c>
      <c r="G1573">
        <v>210</v>
      </c>
      <c r="H1573">
        <v>117</v>
      </c>
      <c r="I1573">
        <v>52</v>
      </c>
      <c r="J1573" s="8">
        <v>0.61176470588235299</v>
      </c>
      <c r="K1573">
        <v>16</v>
      </c>
      <c r="L1573">
        <v>23</v>
      </c>
      <c r="M1573">
        <v>96</v>
      </c>
      <c r="N1573" s="10">
        <v>519.20000000000005</v>
      </c>
      <c r="O1573" s="7">
        <v>0</v>
      </c>
      <c r="P1573" s="7">
        <v>27</v>
      </c>
      <c r="Q1573">
        <v>4</v>
      </c>
      <c r="R1573" t="s">
        <v>66</v>
      </c>
      <c r="S1573">
        <v>6</v>
      </c>
      <c r="T1573">
        <v>159</v>
      </c>
      <c r="U1573" s="11">
        <v>-0.43388373911755801</v>
      </c>
      <c r="V1573" s="11">
        <v>-0.90096886790241915</v>
      </c>
      <c r="W1573" s="11">
        <v>0.41105375468703509</v>
      </c>
      <c r="X1573" s="11">
        <v>-0.91161110719302385</v>
      </c>
      <c r="Y1573">
        <v>0</v>
      </c>
      <c r="Z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6">
        <v>45451</v>
      </c>
      <c r="B1574" t="s">
        <v>31</v>
      </c>
      <c r="C1574" t="s">
        <v>32</v>
      </c>
      <c r="D1574" t="s">
        <v>33</v>
      </c>
      <c r="E1574" t="s">
        <v>34</v>
      </c>
      <c r="F1574">
        <v>140</v>
      </c>
      <c r="G1574">
        <v>360</v>
      </c>
      <c r="H1574">
        <v>231</v>
      </c>
      <c r="I1574">
        <v>96</v>
      </c>
      <c r="J1574" s="8">
        <v>0.68571428571428572</v>
      </c>
      <c r="K1574">
        <v>59</v>
      </c>
      <c r="L1574">
        <v>60</v>
      </c>
      <c r="M1574">
        <v>201</v>
      </c>
      <c r="N1574" s="10">
        <v>498.64</v>
      </c>
      <c r="O1574" s="7">
        <v>2.2999999999999998</v>
      </c>
      <c r="P1574" s="7">
        <v>26.8</v>
      </c>
      <c r="Q1574">
        <v>5</v>
      </c>
      <c r="R1574" t="s">
        <v>67</v>
      </c>
      <c r="S1574">
        <v>6</v>
      </c>
      <c r="T1574">
        <v>160</v>
      </c>
      <c r="U1574" s="11">
        <v>-0.97492791218182362</v>
      </c>
      <c r="V1574" s="11">
        <v>-0.22252093395631459</v>
      </c>
      <c r="W1574" s="11">
        <v>0.39531178876491507</v>
      </c>
      <c r="X1574" s="11">
        <v>-0.91854699915871652</v>
      </c>
      <c r="Y1574">
        <v>1</v>
      </c>
      <c r="Z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6">
        <v>45451</v>
      </c>
      <c r="B1575" t="s">
        <v>36</v>
      </c>
      <c r="C1575" t="s">
        <v>37</v>
      </c>
      <c r="D1575" t="s">
        <v>38</v>
      </c>
      <c r="E1575" t="s">
        <v>39</v>
      </c>
      <c r="F1575">
        <v>125</v>
      </c>
      <c r="G1575">
        <v>320</v>
      </c>
      <c r="H1575">
        <v>199</v>
      </c>
      <c r="I1575">
        <v>81</v>
      </c>
      <c r="J1575" s="8">
        <v>0.64800000000000002</v>
      </c>
      <c r="K1575">
        <v>53</v>
      </c>
      <c r="L1575">
        <v>23</v>
      </c>
      <c r="M1575">
        <v>181</v>
      </c>
      <c r="N1575" s="10">
        <v>674.48</v>
      </c>
      <c r="O1575" s="7">
        <v>2.2999999999999998</v>
      </c>
      <c r="P1575" s="7">
        <v>26.8</v>
      </c>
      <c r="Q1575">
        <v>5</v>
      </c>
      <c r="R1575" t="s">
        <v>67</v>
      </c>
      <c r="S1575">
        <v>6</v>
      </c>
      <c r="T1575">
        <v>160</v>
      </c>
      <c r="U1575" s="11">
        <v>-0.97492791218182362</v>
      </c>
      <c r="V1575" s="11">
        <v>-0.22252093395631459</v>
      </c>
      <c r="W1575" s="11">
        <v>0.39531178876491507</v>
      </c>
      <c r="X1575" s="11">
        <v>-0.91854699915871652</v>
      </c>
      <c r="Y1575">
        <v>1</v>
      </c>
      <c r="Z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6">
        <v>45451</v>
      </c>
      <c r="B1576" t="s">
        <v>41</v>
      </c>
      <c r="C1576" t="s">
        <v>42</v>
      </c>
      <c r="D1576" t="s">
        <v>43</v>
      </c>
      <c r="E1576" t="s">
        <v>44</v>
      </c>
      <c r="F1576">
        <v>85</v>
      </c>
      <c r="G1576">
        <v>210</v>
      </c>
      <c r="H1576">
        <v>145</v>
      </c>
      <c r="I1576">
        <v>65</v>
      </c>
      <c r="J1576" s="8">
        <v>0.76470588235294112</v>
      </c>
      <c r="K1576">
        <v>28</v>
      </c>
      <c r="L1576">
        <v>32</v>
      </c>
      <c r="M1576">
        <v>128</v>
      </c>
      <c r="N1576" s="10">
        <v>591.94000000000005</v>
      </c>
      <c r="O1576" s="7">
        <v>2.2999999999999998</v>
      </c>
      <c r="P1576" s="7">
        <v>26.8</v>
      </c>
      <c r="Q1576">
        <v>5</v>
      </c>
      <c r="R1576" t="s">
        <v>67</v>
      </c>
      <c r="S1576">
        <v>6</v>
      </c>
      <c r="T1576">
        <v>160</v>
      </c>
      <c r="U1576" s="11">
        <v>-0.97492791218182362</v>
      </c>
      <c r="V1576" s="11">
        <v>-0.22252093395631459</v>
      </c>
      <c r="W1576" s="11">
        <v>0.39531178876491507</v>
      </c>
      <c r="X1576" s="11">
        <v>-0.91854699915871652</v>
      </c>
      <c r="Y1576">
        <v>1</v>
      </c>
      <c r="Z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6">
        <v>45452</v>
      </c>
      <c r="B1577" t="s">
        <v>31</v>
      </c>
      <c r="C1577" t="s">
        <v>32</v>
      </c>
      <c r="D1577" t="s">
        <v>33</v>
      </c>
      <c r="E1577" t="s">
        <v>34</v>
      </c>
      <c r="F1577">
        <v>140</v>
      </c>
      <c r="G1577">
        <v>360</v>
      </c>
      <c r="H1577">
        <v>200</v>
      </c>
      <c r="I1577">
        <v>84</v>
      </c>
      <c r="J1577" s="8">
        <v>0.6</v>
      </c>
      <c r="K1577">
        <v>35</v>
      </c>
      <c r="L1577">
        <v>30</v>
      </c>
      <c r="M1577">
        <v>177</v>
      </c>
      <c r="N1577" s="10">
        <v>514.73</v>
      </c>
      <c r="O1577" s="7">
        <v>10.1</v>
      </c>
      <c r="P1577" s="7">
        <v>27.5</v>
      </c>
      <c r="Q1577">
        <v>6</v>
      </c>
      <c r="R1577" t="s">
        <v>60</v>
      </c>
      <c r="S1577">
        <v>6</v>
      </c>
      <c r="T1577">
        <v>161</v>
      </c>
      <c r="U1577" s="11">
        <v>-0.78183148246802991</v>
      </c>
      <c r="V1577" s="11">
        <v>0.62348980185873337</v>
      </c>
      <c r="W1577" s="11">
        <v>0.37945284372454435</v>
      </c>
      <c r="X1577" s="11">
        <v>-0.925211078289358</v>
      </c>
      <c r="Y1577">
        <v>1</v>
      </c>
      <c r="Z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6">
        <v>45452</v>
      </c>
      <c r="B1578" t="s">
        <v>36</v>
      </c>
      <c r="C1578" t="s">
        <v>37</v>
      </c>
      <c r="D1578" t="s">
        <v>38</v>
      </c>
      <c r="E1578" t="s">
        <v>39</v>
      </c>
      <c r="F1578">
        <v>125</v>
      </c>
      <c r="G1578">
        <v>320</v>
      </c>
      <c r="H1578">
        <v>188</v>
      </c>
      <c r="I1578">
        <v>80</v>
      </c>
      <c r="J1578" s="8">
        <v>0.64</v>
      </c>
      <c r="K1578">
        <v>37</v>
      </c>
      <c r="L1578">
        <v>35</v>
      </c>
      <c r="M1578">
        <v>159</v>
      </c>
      <c r="N1578" s="10">
        <v>710.51</v>
      </c>
      <c r="O1578" s="7">
        <v>10.1</v>
      </c>
      <c r="P1578" s="7">
        <v>27.5</v>
      </c>
      <c r="Q1578">
        <v>6</v>
      </c>
      <c r="R1578" t="s">
        <v>60</v>
      </c>
      <c r="S1578">
        <v>6</v>
      </c>
      <c r="T1578">
        <v>161</v>
      </c>
      <c r="U1578" s="11">
        <v>-0.78183148246802991</v>
      </c>
      <c r="V1578" s="11">
        <v>0.62348980185873337</v>
      </c>
      <c r="W1578" s="11">
        <v>0.37945284372454435</v>
      </c>
      <c r="X1578" s="11">
        <v>-0.925211078289358</v>
      </c>
      <c r="Y1578">
        <v>1</v>
      </c>
      <c r="Z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6">
        <v>45452</v>
      </c>
      <c r="B1579" t="s">
        <v>41</v>
      </c>
      <c r="C1579" t="s">
        <v>42</v>
      </c>
      <c r="D1579" t="s">
        <v>43</v>
      </c>
      <c r="E1579" t="s">
        <v>44</v>
      </c>
      <c r="F1579">
        <v>85</v>
      </c>
      <c r="G1579">
        <v>210</v>
      </c>
      <c r="H1579">
        <v>133</v>
      </c>
      <c r="I1579">
        <v>60</v>
      </c>
      <c r="J1579" s="8">
        <v>0.70588235294117652</v>
      </c>
      <c r="K1579">
        <v>26</v>
      </c>
      <c r="L1579">
        <v>27</v>
      </c>
      <c r="M1579">
        <v>108</v>
      </c>
      <c r="N1579" s="10">
        <v>564.94000000000005</v>
      </c>
      <c r="O1579" s="7">
        <v>10.1</v>
      </c>
      <c r="P1579" s="7">
        <v>27.5</v>
      </c>
      <c r="Q1579">
        <v>6</v>
      </c>
      <c r="R1579" t="s">
        <v>60</v>
      </c>
      <c r="S1579">
        <v>6</v>
      </c>
      <c r="T1579">
        <v>161</v>
      </c>
      <c r="U1579" s="11">
        <v>-0.78183148246802991</v>
      </c>
      <c r="V1579" s="11">
        <v>0.62348980185873337</v>
      </c>
      <c r="W1579" s="11">
        <v>0.37945284372454435</v>
      </c>
      <c r="X1579" s="11">
        <v>-0.925211078289358</v>
      </c>
      <c r="Y1579">
        <v>1</v>
      </c>
      <c r="Z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6">
        <v>45453</v>
      </c>
      <c r="B1580" t="s">
        <v>31</v>
      </c>
      <c r="C1580" t="s">
        <v>32</v>
      </c>
      <c r="D1580" t="s">
        <v>33</v>
      </c>
      <c r="E1580" t="s">
        <v>34</v>
      </c>
      <c r="F1580">
        <v>140</v>
      </c>
      <c r="G1580">
        <v>360</v>
      </c>
      <c r="H1580">
        <v>189</v>
      </c>
      <c r="I1580">
        <v>80</v>
      </c>
      <c r="J1580" s="8">
        <v>0.5714285714285714</v>
      </c>
      <c r="K1580">
        <v>46</v>
      </c>
      <c r="L1580">
        <v>45</v>
      </c>
      <c r="M1580">
        <v>159</v>
      </c>
      <c r="N1580" s="10">
        <v>453.68</v>
      </c>
      <c r="O1580" s="7">
        <v>13.4</v>
      </c>
      <c r="P1580" s="7">
        <v>28.7</v>
      </c>
      <c r="Q1580">
        <v>0</v>
      </c>
      <c r="R1580" t="s">
        <v>62</v>
      </c>
      <c r="S1580">
        <v>6</v>
      </c>
      <c r="T1580">
        <v>162</v>
      </c>
      <c r="U1580" s="11">
        <v>0</v>
      </c>
      <c r="V1580" s="11">
        <v>1</v>
      </c>
      <c r="W1580" s="11">
        <v>0.36348161248290634</v>
      </c>
      <c r="X1580" s="11">
        <v>-0.93160137257671871</v>
      </c>
      <c r="Y1580">
        <v>0</v>
      </c>
      <c r="Z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6">
        <v>45453</v>
      </c>
      <c r="B1581" t="s">
        <v>36</v>
      </c>
      <c r="C1581" t="s">
        <v>37</v>
      </c>
      <c r="D1581" t="s">
        <v>38</v>
      </c>
      <c r="E1581" t="s">
        <v>39</v>
      </c>
      <c r="F1581">
        <v>125</v>
      </c>
      <c r="G1581">
        <v>320</v>
      </c>
      <c r="H1581">
        <v>166</v>
      </c>
      <c r="I1581">
        <v>67</v>
      </c>
      <c r="J1581" s="8">
        <v>0.53600000000000003</v>
      </c>
      <c r="K1581">
        <v>37</v>
      </c>
      <c r="L1581">
        <v>30</v>
      </c>
      <c r="M1581">
        <v>145</v>
      </c>
      <c r="N1581" s="10">
        <v>594.70000000000005</v>
      </c>
      <c r="O1581" s="7">
        <v>13.4</v>
      </c>
      <c r="P1581" s="7">
        <v>28.7</v>
      </c>
      <c r="Q1581">
        <v>0</v>
      </c>
      <c r="R1581" t="s">
        <v>62</v>
      </c>
      <c r="S1581">
        <v>6</v>
      </c>
      <c r="T1581">
        <v>162</v>
      </c>
      <c r="U1581" s="11">
        <v>0</v>
      </c>
      <c r="V1581" s="11">
        <v>1</v>
      </c>
      <c r="W1581" s="11">
        <v>0.36348161248290634</v>
      </c>
      <c r="X1581" s="11">
        <v>-0.93160137257671871</v>
      </c>
      <c r="Y1581">
        <v>0</v>
      </c>
      <c r="Z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6">
        <v>45453</v>
      </c>
      <c r="B1582" t="s">
        <v>41</v>
      </c>
      <c r="C1582" t="s">
        <v>42</v>
      </c>
      <c r="D1582" t="s">
        <v>43</v>
      </c>
      <c r="E1582" t="s">
        <v>44</v>
      </c>
      <c r="F1582">
        <v>85</v>
      </c>
      <c r="G1582">
        <v>210</v>
      </c>
      <c r="H1582">
        <v>110</v>
      </c>
      <c r="I1582">
        <v>50</v>
      </c>
      <c r="J1582" s="8">
        <v>0.58823529411764708</v>
      </c>
      <c r="K1582">
        <v>20</v>
      </c>
      <c r="L1582">
        <v>12</v>
      </c>
      <c r="M1582">
        <v>92</v>
      </c>
      <c r="N1582" s="10">
        <v>525.73</v>
      </c>
      <c r="O1582" s="7">
        <v>13.4</v>
      </c>
      <c r="P1582" s="7">
        <v>28.7</v>
      </c>
      <c r="Q1582">
        <v>0</v>
      </c>
      <c r="R1582" t="s">
        <v>62</v>
      </c>
      <c r="S1582">
        <v>6</v>
      </c>
      <c r="T1582">
        <v>162</v>
      </c>
      <c r="U1582" s="11">
        <v>0</v>
      </c>
      <c r="V1582" s="11">
        <v>1</v>
      </c>
      <c r="W1582" s="11">
        <v>0.36348161248290634</v>
      </c>
      <c r="X1582" s="11">
        <v>-0.93160137257671871</v>
      </c>
      <c r="Y1582">
        <v>0</v>
      </c>
      <c r="Z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6">
        <v>45454</v>
      </c>
      <c r="B1583" t="s">
        <v>31</v>
      </c>
      <c r="C1583" t="s">
        <v>32</v>
      </c>
      <c r="D1583" t="s">
        <v>33</v>
      </c>
      <c r="E1583" t="s">
        <v>34</v>
      </c>
      <c r="F1583">
        <v>140</v>
      </c>
      <c r="G1583">
        <v>360</v>
      </c>
      <c r="H1583">
        <v>183</v>
      </c>
      <c r="I1583">
        <v>80</v>
      </c>
      <c r="J1583" s="8">
        <v>0.5714285714285714</v>
      </c>
      <c r="K1583">
        <v>25</v>
      </c>
      <c r="L1583">
        <v>22</v>
      </c>
      <c r="M1583">
        <v>154</v>
      </c>
      <c r="N1583" s="10">
        <v>399.9</v>
      </c>
      <c r="O1583" s="7">
        <v>12.1</v>
      </c>
      <c r="P1583" s="7">
        <v>27.7</v>
      </c>
      <c r="Q1583">
        <v>1</v>
      </c>
      <c r="R1583" t="s">
        <v>63</v>
      </c>
      <c r="S1583">
        <v>6</v>
      </c>
      <c r="T1583">
        <v>163</v>
      </c>
      <c r="U1583" s="11">
        <v>0.7818314824680298</v>
      </c>
      <c r="V1583" s="11">
        <v>0.62348980185873359</v>
      </c>
      <c r="W1583" s="11">
        <v>0.3474028211842774</v>
      </c>
      <c r="X1583" s="11">
        <v>-0.93771599102990932</v>
      </c>
      <c r="Y1583">
        <v>0</v>
      </c>
      <c r="Z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6">
        <v>45454</v>
      </c>
      <c r="B1584" t="s">
        <v>36</v>
      </c>
      <c r="C1584" t="s">
        <v>37</v>
      </c>
      <c r="D1584" t="s">
        <v>38</v>
      </c>
      <c r="E1584" t="s">
        <v>39</v>
      </c>
      <c r="F1584">
        <v>125</v>
      </c>
      <c r="G1584">
        <v>320</v>
      </c>
      <c r="H1584">
        <v>152</v>
      </c>
      <c r="I1584">
        <v>61</v>
      </c>
      <c r="J1584" s="8">
        <v>0.48799999999999999</v>
      </c>
      <c r="K1584">
        <v>27</v>
      </c>
      <c r="L1584">
        <v>38</v>
      </c>
      <c r="M1584">
        <v>122</v>
      </c>
      <c r="N1584" s="10">
        <v>581.38</v>
      </c>
      <c r="O1584" s="7">
        <v>12.1</v>
      </c>
      <c r="P1584" s="7">
        <v>27.7</v>
      </c>
      <c r="Q1584">
        <v>1</v>
      </c>
      <c r="R1584" t="s">
        <v>63</v>
      </c>
      <c r="S1584">
        <v>6</v>
      </c>
      <c r="T1584">
        <v>163</v>
      </c>
      <c r="U1584" s="11">
        <v>0.7818314824680298</v>
      </c>
      <c r="V1584" s="11">
        <v>0.62348980185873359</v>
      </c>
      <c r="W1584" s="11">
        <v>0.3474028211842774</v>
      </c>
      <c r="X1584" s="11">
        <v>-0.93771599102990932</v>
      </c>
      <c r="Y1584">
        <v>0</v>
      </c>
      <c r="Z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6">
        <v>45454</v>
      </c>
      <c r="B1585" t="s">
        <v>41</v>
      </c>
      <c r="C1585" t="s">
        <v>42</v>
      </c>
      <c r="D1585" t="s">
        <v>43</v>
      </c>
      <c r="E1585" t="s">
        <v>44</v>
      </c>
      <c r="F1585">
        <v>85</v>
      </c>
      <c r="G1585">
        <v>210</v>
      </c>
      <c r="H1585">
        <v>122</v>
      </c>
      <c r="I1585">
        <v>53</v>
      </c>
      <c r="J1585" s="8">
        <v>0.62352941176470589</v>
      </c>
      <c r="K1585">
        <v>28</v>
      </c>
      <c r="L1585">
        <v>25</v>
      </c>
      <c r="M1585">
        <v>113</v>
      </c>
      <c r="N1585" s="10">
        <v>537.04999999999995</v>
      </c>
      <c r="O1585" s="7">
        <v>12.1</v>
      </c>
      <c r="P1585" s="7">
        <v>27.7</v>
      </c>
      <c r="Q1585">
        <v>1</v>
      </c>
      <c r="R1585" t="s">
        <v>63</v>
      </c>
      <c r="S1585">
        <v>6</v>
      </c>
      <c r="T1585">
        <v>163</v>
      </c>
      <c r="U1585" s="11">
        <v>0.7818314824680298</v>
      </c>
      <c r="V1585" s="11">
        <v>0.62348980185873359</v>
      </c>
      <c r="W1585" s="11">
        <v>0.3474028211842774</v>
      </c>
      <c r="X1585" s="11">
        <v>-0.93771599102990932</v>
      </c>
      <c r="Y1585">
        <v>0</v>
      </c>
      <c r="Z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6">
        <v>45455</v>
      </c>
      <c r="B1586" t="s">
        <v>31</v>
      </c>
      <c r="C1586" t="s">
        <v>32</v>
      </c>
      <c r="D1586" t="s">
        <v>33</v>
      </c>
      <c r="E1586" t="s">
        <v>34</v>
      </c>
      <c r="F1586">
        <v>140</v>
      </c>
      <c r="G1586">
        <v>360</v>
      </c>
      <c r="H1586">
        <v>176</v>
      </c>
      <c r="I1586">
        <v>74</v>
      </c>
      <c r="J1586" s="8">
        <v>0.52857142857142858</v>
      </c>
      <c r="K1586">
        <v>37</v>
      </c>
      <c r="L1586">
        <v>42</v>
      </c>
      <c r="M1586">
        <v>143</v>
      </c>
      <c r="N1586" s="10">
        <v>433.5</v>
      </c>
      <c r="O1586" s="7">
        <v>17.899999999999999</v>
      </c>
      <c r="P1586" s="7">
        <v>28.3</v>
      </c>
      <c r="Q1586">
        <v>2</v>
      </c>
      <c r="R1586" t="s">
        <v>64</v>
      </c>
      <c r="S1586">
        <v>6</v>
      </c>
      <c r="T1586">
        <v>164</v>
      </c>
      <c r="U1586" s="11">
        <v>0.97492791218182362</v>
      </c>
      <c r="V1586" s="11">
        <v>-0.22252093395631434</v>
      </c>
      <c r="W1586" s="11">
        <v>0.3312212278016865</v>
      </c>
      <c r="X1586" s="11">
        <v>-0.94355312423495441</v>
      </c>
      <c r="Y1586">
        <v>0</v>
      </c>
      <c r="Z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6">
        <v>45455</v>
      </c>
      <c r="B1587" t="s">
        <v>36</v>
      </c>
      <c r="C1587" t="s">
        <v>37</v>
      </c>
      <c r="D1587" t="s">
        <v>38</v>
      </c>
      <c r="E1587" t="s">
        <v>39</v>
      </c>
      <c r="F1587">
        <v>125</v>
      </c>
      <c r="G1587">
        <v>320</v>
      </c>
      <c r="H1587">
        <v>165</v>
      </c>
      <c r="I1587">
        <v>69</v>
      </c>
      <c r="J1587" s="8">
        <v>0.55200000000000005</v>
      </c>
      <c r="K1587">
        <v>42</v>
      </c>
      <c r="L1587">
        <v>43</v>
      </c>
      <c r="M1587">
        <v>154</v>
      </c>
      <c r="N1587" s="10">
        <v>647.96</v>
      </c>
      <c r="O1587" s="7">
        <v>17.899999999999999</v>
      </c>
      <c r="P1587" s="7">
        <v>28.3</v>
      </c>
      <c r="Q1587">
        <v>2</v>
      </c>
      <c r="R1587" t="s">
        <v>64</v>
      </c>
      <c r="S1587">
        <v>6</v>
      </c>
      <c r="T1587">
        <v>164</v>
      </c>
      <c r="U1587" s="11">
        <v>0.97492791218182362</v>
      </c>
      <c r="V1587" s="11">
        <v>-0.22252093395631434</v>
      </c>
      <c r="W1587" s="11">
        <v>0.3312212278016865</v>
      </c>
      <c r="X1587" s="11">
        <v>-0.94355312423495441</v>
      </c>
      <c r="Y1587">
        <v>0</v>
      </c>
      <c r="Z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6">
        <v>45455</v>
      </c>
      <c r="B1588" t="s">
        <v>41</v>
      </c>
      <c r="C1588" t="s">
        <v>42</v>
      </c>
      <c r="D1588" t="s">
        <v>43</v>
      </c>
      <c r="E1588" t="s">
        <v>44</v>
      </c>
      <c r="F1588">
        <v>85</v>
      </c>
      <c r="G1588">
        <v>210</v>
      </c>
      <c r="H1588">
        <v>110</v>
      </c>
      <c r="I1588">
        <v>51</v>
      </c>
      <c r="J1588" s="8">
        <v>0.6</v>
      </c>
      <c r="K1588">
        <v>29</v>
      </c>
      <c r="L1588">
        <v>25</v>
      </c>
      <c r="M1588">
        <v>96</v>
      </c>
      <c r="N1588" s="10">
        <v>479.47</v>
      </c>
      <c r="O1588" s="7">
        <v>17.899999999999999</v>
      </c>
      <c r="P1588" s="7">
        <v>28.3</v>
      </c>
      <c r="Q1588">
        <v>2</v>
      </c>
      <c r="R1588" t="s">
        <v>64</v>
      </c>
      <c r="S1588">
        <v>6</v>
      </c>
      <c r="T1588">
        <v>164</v>
      </c>
      <c r="U1588" s="11">
        <v>0.97492791218182362</v>
      </c>
      <c r="V1588" s="11">
        <v>-0.22252093395631434</v>
      </c>
      <c r="W1588" s="11">
        <v>0.3312212278016865</v>
      </c>
      <c r="X1588" s="11">
        <v>-0.94355312423495441</v>
      </c>
      <c r="Y1588">
        <v>0</v>
      </c>
      <c r="Z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6">
        <v>45456</v>
      </c>
      <c r="B1589" t="s">
        <v>31</v>
      </c>
      <c r="C1589" t="s">
        <v>32</v>
      </c>
      <c r="D1589" t="s">
        <v>33</v>
      </c>
      <c r="E1589" t="s">
        <v>34</v>
      </c>
      <c r="F1589">
        <v>140</v>
      </c>
      <c r="G1589">
        <v>360</v>
      </c>
      <c r="H1589">
        <v>199</v>
      </c>
      <c r="I1589">
        <v>85</v>
      </c>
      <c r="J1589" s="8">
        <v>0.6071428571428571</v>
      </c>
      <c r="K1589">
        <v>31</v>
      </c>
      <c r="L1589">
        <v>51</v>
      </c>
      <c r="M1589">
        <v>170</v>
      </c>
      <c r="N1589" s="10">
        <v>410.07</v>
      </c>
      <c r="O1589" s="7">
        <v>8.5</v>
      </c>
      <c r="P1589" s="7">
        <v>26.9</v>
      </c>
      <c r="Q1589">
        <v>3</v>
      </c>
      <c r="R1589" t="s">
        <v>65</v>
      </c>
      <c r="S1589">
        <v>6</v>
      </c>
      <c r="T1589">
        <v>165</v>
      </c>
      <c r="U1589" s="11">
        <v>0.43388373911755823</v>
      </c>
      <c r="V1589" s="11">
        <v>-0.90096886790241903</v>
      </c>
      <c r="W1589" s="11">
        <v>0.31494162072895193</v>
      </c>
      <c r="X1589" s="11">
        <v>-0.94911104489022835</v>
      </c>
      <c r="Y1589">
        <v>0</v>
      </c>
      <c r="Z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6">
        <v>45456</v>
      </c>
      <c r="B1590" t="s">
        <v>36</v>
      </c>
      <c r="C1590" t="s">
        <v>37</v>
      </c>
      <c r="D1590" t="s">
        <v>38</v>
      </c>
      <c r="E1590" t="s">
        <v>39</v>
      </c>
      <c r="F1590">
        <v>125</v>
      </c>
      <c r="G1590">
        <v>320</v>
      </c>
      <c r="H1590">
        <v>181</v>
      </c>
      <c r="I1590">
        <v>75</v>
      </c>
      <c r="J1590" s="8">
        <v>0.6</v>
      </c>
      <c r="K1590">
        <v>40</v>
      </c>
      <c r="L1590">
        <v>35</v>
      </c>
      <c r="M1590">
        <v>145</v>
      </c>
      <c r="N1590" s="10">
        <v>636.26</v>
      </c>
      <c r="O1590" s="7">
        <v>8.5</v>
      </c>
      <c r="P1590" s="7">
        <v>26.9</v>
      </c>
      <c r="Q1590">
        <v>3</v>
      </c>
      <c r="R1590" t="s">
        <v>65</v>
      </c>
      <c r="S1590">
        <v>6</v>
      </c>
      <c r="T1590">
        <v>165</v>
      </c>
      <c r="U1590" s="11">
        <v>0.43388373911755823</v>
      </c>
      <c r="V1590" s="11">
        <v>-0.90096886790241903</v>
      </c>
      <c r="W1590" s="11">
        <v>0.31494162072895193</v>
      </c>
      <c r="X1590" s="11">
        <v>-0.94911104489022835</v>
      </c>
      <c r="Y1590">
        <v>0</v>
      </c>
      <c r="Z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6">
        <v>45456</v>
      </c>
      <c r="B1591" t="s">
        <v>41</v>
      </c>
      <c r="C1591" t="s">
        <v>42</v>
      </c>
      <c r="D1591" t="s">
        <v>43</v>
      </c>
      <c r="E1591" t="s">
        <v>44</v>
      </c>
      <c r="F1591">
        <v>85</v>
      </c>
      <c r="G1591">
        <v>210</v>
      </c>
      <c r="H1591">
        <v>121</v>
      </c>
      <c r="I1591">
        <v>55</v>
      </c>
      <c r="J1591" s="8">
        <v>0.6470588235294118</v>
      </c>
      <c r="K1591">
        <v>17</v>
      </c>
      <c r="L1591">
        <v>23</v>
      </c>
      <c r="M1591">
        <v>108</v>
      </c>
      <c r="N1591" s="10">
        <v>552.51</v>
      </c>
      <c r="O1591" s="7">
        <v>8.5</v>
      </c>
      <c r="P1591" s="7">
        <v>26.9</v>
      </c>
      <c r="Q1591">
        <v>3</v>
      </c>
      <c r="R1591" t="s">
        <v>65</v>
      </c>
      <c r="S1591">
        <v>6</v>
      </c>
      <c r="T1591">
        <v>165</v>
      </c>
      <c r="U1591" s="11">
        <v>0.43388373911755823</v>
      </c>
      <c r="V1591" s="11">
        <v>-0.90096886790241903</v>
      </c>
      <c r="W1591" s="11">
        <v>0.31494162072895193</v>
      </c>
      <c r="X1591" s="11">
        <v>-0.94911104489022835</v>
      </c>
      <c r="Y1591">
        <v>0</v>
      </c>
      <c r="Z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6">
        <v>45457</v>
      </c>
      <c r="B1592" t="s">
        <v>31</v>
      </c>
      <c r="C1592" t="s">
        <v>32</v>
      </c>
      <c r="D1592" t="s">
        <v>33</v>
      </c>
      <c r="E1592" t="s">
        <v>34</v>
      </c>
      <c r="F1592">
        <v>140</v>
      </c>
      <c r="G1592">
        <v>360</v>
      </c>
      <c r="H1592">
        <v>180</v>
      </c>
      <c r="I1592">
        <v>76</v>
      </c>
      <c r="J1592" s="8">
        <v>0.54285714285714282</v>
      </c>
      <c r="K1592">
        <v>53</v>
      </c>
      <c r="L1592">
        <v>28</v>
      </c>
      <c r="M1592">
        <v>165</v>
      </c>
      <c r="N1592" s="10">
        <v>446.38</v>
      </c>
      <c r="O1592" s="7">
        <v>8</v>
      </c>
      <c r="P1592" s="7">
        <v>27</v>
      </c>
      <c r="Q1592">
        <v>4</v>
      </c>
      <c r="R1592" t="s">
        <v>66</v>
      </c>
      <c r="S1592">
        <v>6</v>
      </c>
      <c r="T1592">
        <v>166</v>
      </c>
      <c r="U1592" s="11">
        <v>-0.43388373911755801</v>
      </c>
      <c r="V1592" s="11">
        <v>-0.90096886790241915</v>
      </c>
      <c r="W1592" s="11">
        <v>0.29856881736372021</v>
      </c>
      <c r="X1592" s="11">
        <v>-0.9543881083175908</v>
      </c>
      <c r="Y1592">
        <v>0</v>
      </c>
      <c r="Z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6">
        <v>45457</v>
      </c>
      <c r="B1593" t="s">
        <v>36</v>
      </c>
      <c r="C1593" t="s">
        <v>37</v>
      </c>
      <c r="D1593" t="s">
        <v>38</v>
      </c>
      <c r="E1593" t="s">
        <v>39</v>
      </c>
      <c r="F1593">
        <v>125</v>
      </c>
      <c r="G1593">
        <v>320</v>
      </c>
      <c r="H1593">
        <v>155</v>
      </c>
      <c r="I1593">
        <v>66</v>
      </c>
      <c r="J1593" s="8">
        <v>0.52800000000000002</v>
      </c>
      <c r="K1593">
        <v>26</v>
      </c>
      <c r="L1593">
        <v>31</v>
      </c>
      <c r="M1593">
        <v>137</v>
      </c>
      <c r="N1593" s="10">
        <v>596.47</v>
      </c>
      <c r="O1593" s="7">
        <v>8</v>
      </c>
      <c r="P1593" s="7">
        <v>27</v>
      </c>
      <c r="Q1593">
        <v>4</v>
      </c>
      <c r="R1593" t="s">
        <v>66</v>
      </c>
      <c r="S1593">
        <v>6</v>
      </c>
      <c r="T1593">
        <v>166</v>
      </c>
      <c r="U1593" s="11">
        <v>-0.43388373911755801</v>
      </c>
      <c r="V1593" s="11">
        <v>-0.90096886790241915</v>
      </c>
      <c r="W1593" s="11">
        <v>0.29856881736372021</v>
      </c>
      <c r="X1593" s="11">
        <v>-0.9543881083175908</v>
      </c>
      <c r="Y1593">
        <v>0</v>
      </c>
      <c r="Z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6">
        <v>45457</v>
      </c>
      <c r="B1594" t="s">
        <v>41</v>
      </c>
      <c r="C1594" t="s">
        <v>42</v>
      </c>
      <c r="D1594" t="s">
        <v>43</v>
      </c>
      <c r="E1594" t="s">
        <v>44</v>
      </c>
      <c r="F1594">
        <v>85</v>
      </c>
      <c r="G1594">
        <v>210</v>
      </c>
      <c r="H1594">
        <v>121</v>
      </c>
      <c r="I1594">
        <v>53</v>
      </c>
      <c r="J1594" s="8">
        <v>0.62352941176470589</v>
      </c>
      <c r="K1594">
        <v>30</v>
      </c>
      <c r="L1594">
        <v>15</v>
      </c>
      <c r="M1594">
        <v>106</v>
      </c>
      <c r="N1594" s="10">
        <v>484.28</v>
      </c>
      <c r="O1594" s="7">
        <v>8</v>
      </c>
      <c r="P1594" s="7">
        <v>27</v>
      </c>
      <c r="Q1594">
        <v>4</v>
      </c>
      <c r="R1594" t="s">
        <v>66</v>
      </c>
      <c r="S1594">
        <v>6</v>
      </c>
      <c r="T1594">
        <v>166</v>
      </c>
      <c r="U1594" s="11">
        <v>-0.43388373911755801</v>
      </c>
      <c r="V1594" s="11">
        <v>-0.90096886790241915</v>
      </c>
      <c r="W1594" s="11">
        <v>0.29856881736372021</v>
      </c>
      <c r="X1594" s="11">
        <v>-0.9543881083175908</v>
      </c>
      <c r="Y1594">
        <v>0</v>
      </c>
      <c r="Z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6">
        <v>45458</v>
      </c>
      <c r="B1595" t="s">
        <v>31</v>
      </c>
      <c r="C1595" t="s">
        <v>32</v>
      </c>
      <c r="D1595" t="s">
        <v>33</v>
      </c>
      <c r="E1595" t="s">
        <v>34</v>
      </c>
      <c r="F1595">
        <v>140</v>
      </c>
      <c r="G1595">
        <v>360</v>
      </c>
      <c r="H1595">
        <v>192</v>
      </c>
      <c r="I1595">
        <v>85</v>
      </c>
      <c r="J1595" s="8">
        <v>0.6071428571428571</v>
      </c>
      <c r="K1595">
        <v>44</v>
      </c>
      <c r="L1595">
        <v>22</v>
      </c>
      <c r="M1595">
        <v>173</v>
      </c>
      <c r="N1595" s="10">
        <v>520.14</v>
      </c>
      <c r="O1595" s="7">
        <v>15.5</v>
      </c>
      <c r="P1595" s="7">
        <v>28.4</v>
      </c>
      <c r="Q1595">
        <v>5</v>
      </c>
      <c r="R1595" t="s">
        <v>67</v>
      </c>
      <c r="S1595">
        <v>6</v>
      </c>
      <c r="T1595">
        <v>167</v>
      </c>
      <c r="U1595" s="11">
        <v>-0.97492791218182362</v>
      </c>
      <c r="V1595" s="11">
        <v>-0.22252093395631459</v>
      </c>
      <c r="W1595" s="11">
        <v>0.28210766268191939</v>
      </c>
      <c r="X1595" s="11">
        <v>-0.95938275294907427</v>
      </c>
      <c r="Y1595">
        <v>1</v>
      </c>
      <c r="Z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6">
        <v>45458</v>
      </c>
      <c r="B1596" t="s">
        <v>36</v>
      </c>
      <c r="C1596" t="s">
        <v>37</v>
      </c>
      <c r="D1596" t="s">
        <v>38</v>
      </c>
      <c r="E1596" t="s">
        <v>39</v>
      </c>
      <c r="F1596">
        <v>125</v>
      </c>
      <c r="G1596">
        <v>320</v>
      </c>
      <c r="H1596">
        <v>191</v>
      </c>
      <c r="I1596">
        <v>77</v>
      </c>
      <c r="J1596" s="8">
        <v>0.61599999999999999</v>
      </c>
      <c r="K1596">
        <v>33</v>
      </c>
      <c r="L1596">
        <v>32</v>
      </c>
      <c r="M1596">
        <v>153</v>
      </c>
      <c r="N1596" s="10">
        <v>659.98</v>
      </c>
      <c r="O1596" s="7">
        <v>15.5</v>
      </c>
      <c r="P1596" s="7">
        <v>28.4</v>
      </c>
      <c r="Q1596">
        <v>5</v>
      </c>
      <c r="R1596" t="s">
        <v>67</v>
      </c>
      <c r="S1596">
        <v>6</v>
      </c>
      <c r="T1596">
        <v>167</v>
      </c>
      <c r="U1596" s="11">
        <v>-0.97492791218182362</v>
      </c>
      <c r="V1596" s="11">
        <v>-0.22252093395631459</v>
      </c>
      <c r="W1596" s="11">
        <v>0.28210766268191939</v>
      </c>
      <c r="X1596" s="11">
        <v>-0.95938275294907427</v>
      </c>
      <c r="Y1596">
        <v>1</v>
      </c>
      <c r="Z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6">
        <v>45458</v>
      </c>
      <c r="B1597" t="s">
        <v>41</v>
      </c>
      <c r="C1597" t="s">
        <v>42</v>
      </c>
      <c r="D1597" t="s">
        <v>43</v>
      </c>
      <c r="E1597" t="s">
        <v>44</v>
      </c>
      <c r="F1597">
        <v>85</v>
      </c>
      <c r="G1597">
        <v>210</v>
      </c>
      <c r="H1597">
        <v>155</v>
      </c>
      <c r="I1597">
        <v>65</v>
      </c>
      <c r="J1597" s="8">
        <v>0.76470588235294112</v>
      </c>
      <c r="K1597">
        <v>27</v>
      </c>
      <c r="L1597">
        <v>31</v>
      </c>
      <c r="M1597">
        <v>136</v>
      </c>
      <c r="N1597" s="10">
        <v>635.65</v>
      </c>
      <c r="O1597" s="7">
        <v>15.5</v>
      </c>
      <c r="P1597" s="7">
        <v>28.4</v>
      </c>
      <c r="Q1597">
        <v>5</v>
      </c>
      <c r="R1597" t="s">
        <v>67</v>
      </c>
      <c r="S1597">
        <v>6</v>
      </c>
      <c r="T1597">
        <v>167</v>
      </c>
      <c r="U1597" s="11">
        <v>-0.97492791218182362</v>
      </c>
      <c r="V1597" s="11">
        <v>-0.22252093395631459</v>
      </c>
      <c r="W1597" s="11">
        <v>0.28210766268191939</v>
      </c>
      <c r="X1597" s="11">
        <v>-0.95938275294907427</v>
      </c>
      <c r="Y1597">
        <v>1</v>
      </c>
      <c r="Z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6">
        <v>45459</v>
      </c>
      <c r="B1598" t="s">
        <v>31</v>
      </c>
      <c r="C1598" t="s">
        <v>32</v>
      </c>
      <c r="D1598" t="s">
        <v>33</v>
      </c>
      <c r="E1598" t="s">
        <v>34</v>
      </c>
      <c r="F1598">
        <v>140</v>
      </c>
      <c r="G1598">
        <v>360</v>
      </c>
      <c r="H1598">
        <v>240</v>
      </c>
      <c r="I1598">
        <v>99</v>
      </c>
      <c r="J1598" s="8">
        <v>0.70714285714285718</v>
      </c>
      <c r="K1598">
        <v>35</v>
      </c>
      <c r="L1598">
        <v>35</v>
      </c>
      <c r="M1598">
        <v>216</v>
      </c>
      <c r="N1598" s="10">
        <v>501.73</v>
      </c>
      <c r="O1598" s="7">
        <v>19.8</v>
      </c>
      <c r="P1598" s="7">
        <v>28.3</v>
      </c>
      <c r="Q1598">
        <v>6</v>
      </c>
      <c r="R1598" t="s">
        <v>60</v>
      </c>
      <c r="S1598">
        <v>6</v>
      </c>
      <c r="T1598">
        <v>168</v>
      </c>
      <c r="U1598" s="11">
        <v>-0.78183148246802991</v>
      </c>
      <c r="V1598" s="11">
        <v>0.62348980185873337</v>
      </c>
      <c r="W1598" s="11">
        <v>0.26556302780405594</v>
      </c>
      <c r="X1598" s="11">
        <v>-0.96409350078897549</v>
      </c>
      <c r="Y1598">
        <v>1</v>
      </c>
      <c r="Z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6">
        <v>45459</v>
      </c>
      <c r="B1599" t="s">
        <v>36</v>
      </c>
      <c r="C1599" t="s">
        <v>37</v>
      </c>
      <c r="D1599" t="s">
        <v>38</v>
      </c>
      <c r="E1599" t="s">
        <v>39</v>
      </c>
      <c r="F1599">
        <v>125</v>
      </c>
      <c r="G1599">
        <v>320</v>
      </c>
      <c r="H1599">
        <v>189</v>
      </c>
      <c r="I1599">
        <v>81</v>
      </c>
      <c r="J1599" s="8">
        <v>0.64800000000000002</v>
      </c>
      <c r="K1599">
        <v>48</v>
      </c>
      <c r="L1599">
        <v>26</v>
      </c>
      <c r="M1599">
        <v>174</v>
      </c>
      <c r="N1599" s="10">
        <v>651.70000000000005</v>
      </c>
      <c r="O1599" s="7">
        <v>19.8</v>
      </c>
      <c r="P1599" s="7">
        <v>28.3</v>
      </c>
      <c r="Q1599">
        <v>6</v>
      </c>
      <c r="R1599" t="s">
        <v>60</v>
      </c>
      <c r="S1599">
        <v>6</v>
      </c>
      <c r="T1599">
        <v>168</v>
      </c>
      <c r="U1599" s="11">
        <v>-0.78183148246802991</v>
      </c>
      <c r="V1599" s="11">
        <v>0.62348980185873337</v>
      </c>
      <c r="W1599" s="11">
        <v>0.26556302780405594</v>
      </c>
      <c r="X1599" s="11">
        <v>-0.96409350078897549</v>
      </c>
      <c r="Y1599">
        <v>1</v>
      </c>
      <c r="Z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6">
        <v>45459</v>
      </c>
      <c r="B1600" t="s">
        <v>41</v>
      </c>
      <c r="C1600" t="s">
        <v>42</v>
      </c>
      <c r="D1600" t="s">
        <v>43</v>
      </c>
      <c r="E1600" t="s">
        <v>44</v>
      </c>
      <c r="F1600">
        <v>85</v>
      </c>
      <c r="G1600">
        <v>210</v>
      </c>
      <c r="H1600">
        <v>135</v>
      </c>
      <c r="I1600">
        <v>59</v>
      </c>
      <c r="J1600" s="8">
        <v>0.69411764705882351</v>
      </c>
      <c r="K1600">
        <v>27</v>
      </c>
      <c r="L1600">
        <v>21</v>
      </c>
      <c r="M1600">
        <v>121</v>
      </c>
      <c r="N1600" s="10">
        <v>622.51</v>
      </c>
      <c r="O1600" s="7">
        <v>19.8</v>
      </c>
      <c r="P1600" s="7">
        <v>28.3</v>
      </c>
      <c r="Q1600">
        <v>6</v>
      </c>
      <c r="R1600" t="s">
        <v>60</v>
      </c>
      <c r="S1600">
        <v>6</v>
      </c>
      <c r="T1600">
        <v>168</v>
      </c>
      <c r="U1600" s="11">
        <v>-0.78183148246802991</v>
      </c>
      <c r="V1600" s="11">
        <v>0.62348980185873337</v>
      </c>
      <c r="W1600" s="11">
        <v>0.26556302780405594</v>
      </c>
      <c r="X1600" s="11">
        <v>-0.96409350078897549</v>
      </c>
      <c r="Y1600">
        <v>1</v>
      </c>
      <c r="Z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6">
        <v>45460</v>
      </c>
      <c r="B1601" t="s">
        <v>31</v>
      </c>
      <c r="C1601" t="s">
        <v>32</v>
      </c>
      <c r="D1601" t="s">
        <v>33</v>
      </c>
      <c r="E1601" t="s">
        <v>34</v>
      </c>
      <c r="F1601">
        <v>140</v>
      </c>
      <c r="G1601">
        <v>360</v>
      </c>
      <c r="H1601">
        <v>211</v>
      </c>
      <c r="I1601">
        <v>90</v>
      </c>
      <c r="J1601" s="8">
        <v>0.6428571428571429</v>
      </c>
      <c r="K1601">
        <v>53</v>
      </c>
      <c r="L1601">
        <v>56</v>
      </c>
      <c r="M1601">
        <v>172</v>
      </c>
      <c r="N1601" s="10">
        <v>434.1</v>
      </c>
      <c r="O1601" s="7">
        <v>16.7</v>
      </c>
      <c r="P1601" s="7">
        <v>27.8</v>
      </c>
      <c r="Q1601">
        <v>0</v>
      </c>
      <c r="R1601" t="s">
        <v>62</v>
      </c>
      <c r="S1601">
        <v>6</v>
      </c>
      <c r="T1601">
        <v>169</v>
      </c>
      <c r="U1601" s="11">
        <v>0</v>
      </c>
      <c r="V1601" s="11">
        <v>1</v>
      </c>
      <c r="W1601" s="11">
        <v>0.24893980855376657</v>
      </c>
      <c r="X1601" s="11">
        <v>-0.96851895785122044</v>
      </c>
      <c r="Y1601">
        <v>0</v>
      </c>
      <c r="Z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6">
        <v>45460</v>
      </c>
      <c r="B1602" t="s">
        <v>36</v>
      </c>
      <c r="C1602" t="s">
        <v>37</v>
      </c>
      <c r="D1602" t="s">
        <v>38</v>
      </c>
      <c r="E1602" t="s">
        <v>39</v>
      </c>
      <c r="F1602">
        <v>125</v>
      </c>
      <c r="G1602">
        <v>320</v>
      </c>
      <c r="H1602">
        <v>166</v>
      </c>
      <c r="I1602">
        <v>68</v>
      </c>
      <c r="J1602" s="8">
        <v>0.54400000000000004</v>
      </c>
      <c r="K1602">
        <v>43</v>
      </c>
      <c r="L1602">
        <v>30</v>
      </c>
      <c r="M1602">
        <v>146</v>
      </c>
      <c r="N1602" s="10">
        <v>633.25</v>
      </c>
      <c r="O1602" s="7">
        <v>16.7</v>
      </c>
      <c r="P1602" s="7">
        <v>27.8</v>
      </c>
      <c r="Q1602">
        <v>0</v>
      </c>
      <c r="R1602" t="s">
        <v>62</v>
      </c>
      <c r="S1602">
        <v>6</v>
      </c>
      <c r="T1602">
        <v>169</v>
      </c>
      <c r="U1602" s="11">
        <v>0</v>
      </c>
      <c r="V1602" s="11">
        <v>1</v>
      </c>
      <c r="W1602" s="11">
        <v>0.24893980855376657</v>
      </c>
      <c r="X1602" s="11">
        <v>-0.96851895785122044</v>
      </c>
      <c r="Y1602">
        <v>0</v>
      </c>
      <c r="Z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6">
        <v>45460</v>
      </c>
      <c r="B1603" t="s">
        <v>41</v>
      </c>
      <c r="C1603" t="s">
        <v>42</v>
      </c>
      <c r="D1603" t="s">
        <v>43</v>
      </c>
      <c r="E1603" t="s">
        <v>44</v>
      </c>
      <c r="F1603">
        <v>85</v>
      </c>
      <c r="G1603">
        <v>210</v>
      </c>
      <c r="H1603">
        <v>127</v>
      </c>
      <c r="I1603">
        <v>54</v>
      </c>
      <c r="J1603" s="8">
        <v>0.63529411764705879</v>
      </c>
      <c r="K1603">
        <v>19</v>
      </c>
      <c r="L1603">
        <v>32</v>
      </c>
      <c r="M1603">
        <v>108</v>
      </c>
      <c r="N1603" s="10">
        <v>554.35</v>
      </c>
      <c r="O1603" s="7">
        <v>16.7</v>
      </c>
      <c r="P1603" s="7">
        <v>27.8</v>
      </c>
      <c r="Q1603">
        <v>0</v>
      </c>
      <c r="R1603" t="s">
        <v>62</v>
      </c>
      <c r="S1603">
        <v>6</v>
      </c>
      <c r="T1603">
        <v>169</v>
      </c>
      <c r="U1603" s="11">
        <v>0</v>
      </c>
      <c r="V1603" s="11">
        <v>1</v>
      </c>
      <c r="W1603" s="11">
        <v>0.24893980855376657</v>
      </c>
      <c r="X1603" s="11">
        <v>-0.96851895785122044</v>
      </c>
      <c r="Y1603">
        <v>0</v>
      </c>
      <c r="Z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6">
        <v>45461</v>
      </c>
      <c r="B1604" t="s">
        <v>31</v>
      </c>
      <c r="C1604" t="s">
        <v>32</v>
      </c>
      <c r="D1604" t="s">
        <v>33</v>
      </c>
      <c r="E1604" t="s">
        <v>34</v>
      </c>
      <c r="F1604">
        <v>140</v>
      </c>
      <c r="G1604">
        <v>360</v>
      </c>
      <c r="H1604">
        <v>226</v>
      </c>
      <c r="I1604">
        <v>95</v>
      </c>
      <c r="J1604" s="8">
        <v>0.6785714285714286</v>
      </c>
      <c r="K1604">
        <v>37</v>
      </c>
      <c r="L1604">
        <v>32</v>
      </c>
      <c r="M1604">
        <v>203</v>
      </c>
      <c r="N1604" s="10">
        <v>393.17</v>
      </c>
      <c r="O1604" s="7">
        <v>8.5</v>
      </c>
      <c r="P1604" s="7">
        <v>27.5</v>
      </c>
      <c r="Q1604">
        <v>1</v>
      </c>
      <c r="R1604" t="s">
        <v>63</v>
      </c>
      <c r="S1604">
        <v>6</v>
      </c>
      <c r="T1604">
        <v>170</v>
      </c>
      <c r="U1604" s="11">
        <v>0.7818314824680298</v>
      </c>
      <c r="V1604" s="11">
        <v>0.62348980185873359</v>
      </c>
      <c r="W1604" s="11">
        <v>0.23224292400907015</v>
      </c>
      <c r="X1604" s="11">
        <v>-0.9726578145718654</v>
      </c>
      <c r="Y1604">
        <v>0</v>
      </c>
      <c r="Z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6">
        <v>45461</v>
      </c>
      <c r="B1605" t="s">
        <v>36</v>
      </c>
      <c r="C1605" t="s">
        <v>37</v>
      </c>
      <c r="D1605" t="s">
        <v>38</v>
      </c>
      <c r="E1605" t="s">
        <v>39</v>
      </c>
      <c r="F1605">
        <v>125</v>
      </c>
      <c r="G1605">
        <v>320</v>
      </c>
      <c r="H1605">
        <v>147</v>
      </c>
      <c r="I1605">
        <v>66</v>
      </c>
      <c r="J1605" s="8">
        <v>0.52800000000000002</v>
      </c>
      <c r="K1605">
        <v>20</v>
      </c>
      <c r="L1605">
        <v>30</v>
      </c>
      <c r="M1605">
        <v>121</v>
      </c>
      <c r="N1605" s="10">
        <v>626.25</v>
      </c>
      <c r="O1605" s="7">
        <v>8.5</v>
      </c>
      <c r="P1605" s="7">
        <v>27.5</v>
      </c>
      <c r="Q1605">
        <v>1</v>
      </c>
      <c r="R1605" t="s">
        <v>63</v>
      </c>
      <c r="S1605">
        <v>6</v>
      </c>
      <c r="T1605">
        <v>170</v>
      </c>
      <c r="U1605" s="11">
        <v>0.7818314824680298</v>
      </c>
      <c r="V1605" s="11">
        <v>0.62348980185873359</v>
      </c>
      <c r="W1605" s="11">
        <v>0.23224292400907015</v>
      </c>
      <c r="X1605" s="11">
        <v>-0.9726578145718654</v>
      </c>
      <c r="Y1605">
        <v>0</v>
      </c>
      <c r="Z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6">
        <v>45461</v>
      </c>
      <c r="B1606" t="s">
        <v>41</v>
      </c>
      <c r="C1606" t="s">
        <v>42</v>
      </c>
      <c r="D1606" t="s">
        <v>43</v>
      </c>
      <c r="E1606" t="s">
        <v>44</v>
      </c>
      <c r="F1606">
        <v>85</v>
      </c>
      <c r="G1606">
        <v>210</v>
      </c>
      <c r="H1606">
        <v>113</v>
      </c>
      <c r="I1606">
        <v>51</v>
      </c>
      <c r="J1606" s="8">
        <v>0.6</v>
      </c>
      <c r="K1606">
        <v>20</v>
      </c>
      <c r="L1606">
        <v>32</v>
      </c>
      <c r="M1606">
        <v>91</v>
      </c>
      <c r="N1606" s="10">
        <v>479.7</v>
      </c>
      <c r="O1606" s="7">
        <v>8.5</v>
      </c>
      <c r="P1606" s="7">
        <v>27.5</v>
      </c>
      <c r="Q1606">
        <v>1</v>
      </c>
      <c r="R1606" t="s">
        <v>63</v>
      </c>
      <c r="S1606">
        <v>6</v>
      </c>
      <c r="T1606">
        <v>170</v>
      </c>
      <c r="U1606" s="11">
        <v>0.7818314824680298</v>
      </c>
      <c r="V1606" s="11">
        <v>0.62348980185873359</v>
      </c>
      <c r="W1606" s="11">
        <v>0.23224292400907015</v>
      </c>
      <c r="X1606" s="11">
        <v>-0.9726578145718654</v>
      </c>
      <c r="Y1606">
        <v>0</v>
      </c>
      <c r="Z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6">
        <v>45462</v>
      </c>
      <c r="B1607" t="s">
        <v>31</v>
      </c>
      <c r="C1607" t="s">
        <v>32</v>
      </c>
      <c r="D1607" t="s">
        <v>33</v>
      </c>
      <c r="E1607" t="s">
        <v>34</v>
      </c>
      <c r="F1607">
        <v>140</v>
      </c>
      <c r="G1607">
        <v>360</v>
      </c>
      <c r="H1607">
        <v>183</v>
      </c>
      <c r="I1607">
        <v>80</v>
      </c>
      <c r="J1607" s="8">
        <v>0.5714285714285714</v>
      </c>
      <c r="K1607">
        <v>52</v>
      </c>
      <c r="L1607">
        <v>41</v>
      </c>
      <c r="M1607">
        <v>169</v>
      </c>
      <c r="N1607" s="10">
        <v>437.51</v>
      </c>
      <c r="O1607" s="7">
        <v>15.1</v>
      </c>
      <c r="P1607" s="7">
        <v>28.7</v>
      </c>
      <c r="Q1607">
        <v>2</v>
      </c>
      <c r="R1607" t="s">
        <v>64</v>
      </c>
      <c r="S1607">
        <v>6</v>
      </c>
      <c r="T1607">
        <v>171</v>
      </c>
      <c r="U1607" s="11">
        <v>0.97492791218182362</v>
      </c>
      <c r="V1607" s="11">
        <v>-0.22252093395631434</v>
      </c>
      <c r="W1607" s="11">
        <v>0.21547731504673012</v>
      </c>
      <c r="X1607" s="11">
        <v>-0.97650884619661904</v>
      </c>
      <c r="Y1607">
        <v>0</v>
      </c>
      <c r="Z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6">
        <v>45462</v>
      </c>
      <c r="B1608" t="s">
        <v>36</v>
      </c>
      <c r="C1608" t="s">
        <v>37</v>
      </c>
      <c r="D1608" t="s">
        <v>38</v>
      </c>
      <c r="E1608" t="s">
        <v>39</v>
      </c>
      <c r="F1608">
        <v>125</v>
      </c>
      <c r="G1608">
        <v>320</v>
      </c>
      <c r="H1608">
        <v>172</v>
      </c>
      <c r="I1608">
        <v>74</v>
      </c>
      <c r="J1608" s="8">
        <v>0.59199999999999997</v>
      </c>
      <c r="K1608">
        <v>30</v>
      </c>
      <c r="L1608">
        <v>43</v>
      </c>
      <c r="M1608">
        <v>160</v>
      </c>
      <c r="N1608" s="10">
        <v>610.84</v>
      </c>
      <c r="O1608" s="7">
        <v>15.1</v>
      </c>
      <c r="P1608" s="7">
        <v>28.7</v>
      </c>
      <c r="Q1608">
        <v>2</v>
      </c>
      <c r="R1608" t="s">
        <v>64</v>
      </c>
      <c r="S1608">
        <v>6</v>
      </c>
      <c r="T1608">
        <v>171</v>
      </c>
      <c r="U1608" s="11">
        <v>0.97492791218182362</v>
      </c>
      <c r="V1608" s="11">
        <v>-0.22252093395631434</v>
      </c>
      <c r="W1608" s="11">
        <v>0.21547731504673012</v>
      </c>
      <c r="X1608" s="11">
        <v>-0.97650884619661904</v>
      </c>
      <c r="Y1608">
        <v>0</v>
      </c>
      <c r="Z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6">
        <v>45462</v>
      </c>
      <c r="B1609" t="s">
        <v>41</v>
      </c>
      <c r="C1609" t="s">
        <v>42</v>
      </c>
      <c r="D1609" t="s">
        <v>43</v>
      </c>
      <c r="E1609" t="s">
        <v>44</v>
      </c>
      <c r="F1609">
        <v>85</v>
      </c>
      <c r="G1609">
        <v>210</v>
      </c>
      <c r="H1609">
        <v>127</v>
      </c>
      <c r="I1609">
        <v>53</v>
      </c>
      <c r="J1609" s="8">
        <v>0.62352941176470589</v>
      </c>
      <c r="K1609">
        <v>38</v>
      </c>
      <c r="L1609">
        <v>32</v>
      </c>
      <c r="M1609">
        <v>107</v>
      </c>
      <c r="N1609" s="10">
        <v>507.81</v>
      </c>
      <c r="O1609" s="7">
        <v>15.1</v>
      </c>
      <c r="P1609" s="7">
        <v>28.7</v>
      </c>
      <c r="Q1609">
        <v>2</v>
      </c>
      <c r="R1609" t="s">
        <v>64</v>
      </c>
      <c r="S1609">
        <v>6</v>
      </c>
      <c r="T1609">
        <v>171</v>
      </c>
      <c r="U1609" s="11">
        <v>0.97492791218182362</v>
      </c>
      <c r="V1609" s="11">
        <v>-0.22252093395631434</v>
      </c>
      <c r="W1609" s="11">
        <v>0.21547731504673012</v>
      </c>
      <c r="X1609" s="11">
        <v>-0.97650884619661904</v>
      </c>
      <c r="Y1609">
        <v>0</v>
      </c>
      <c r="Z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6">
        <v>45463</v>
      </c>
      <c r="B1610" t="s">
        <v>31</v>
      </c>
      <c r="C1610" t="s">
        <v>32</v>
      </c>
      <c r="D1610" t="s">
        <v>33</v>
      </c>
      <c r="E1610" t="s">
        <v>34</v>
      </c>
      <c r="F1610">
        <v>140</v>
      </c>
      <c r="G1610">
        <v>360</v>
      </c>
      <c r="H1610">
        <v>221</v>
      </c>
      <c r="I1610">
        <v>96</v>
      </c>
      <c r="J1610" s="8">
        <v>0.68571428571428572</v>
      </c>
      <c r="K1610">
        <v>64</v>
      </c>
      <c r="L1610">
        <v>21</v>
      </c>
      <c r="M1610">
        <v>186</v>
      </c>
      <c r="N1610" s="10">
        <v>429.21</v>
      </c>
      <c r="O1610" s="7">
        <v>10.5</v>
      </c>
      <c r="P1610" s="7">
        <v>27.4</v>
      </c>
      <c r="Q1610">
        <v>3</v>
      </c>
      <c r="R1610" t="s">
        <v>65</v>
      </c>
      <c r="S1610">
        <v>6</v>
      </c>
      <c r="T1610">
        <v>172</v>
      </c>
      <c r="U1610" s="11">
        <v>0.43388373911755823</v>
      </c>
      <c r="V1610" s="11">
        <v>-0.90096886790241903</v>
      </c>
      <c r="W1610" s="11">
        <v>0.19864794288017112</v>
      </c>
      <c r="X1610" s="11">
        <v>-0.98007091314326655</v>
      </c>
      <c r="Y1610">
        <v>0</v>
      </c>
      <c r="Z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6">
        <v>45463</v>
      </c>
      <c r="B1611" t="s">
        <v>36</v>
      </c>
      <c r="C1611" t="s">
        <v>37</v>
      </c>
      <c r="D1611" t="s">
        <v>38</v>
      </c>
      <c r="E1611" t="s">
        <v>39</v>
      </c>
      <c r="F1611">
        <v>125</v>
      </c>
      <c r="G1611">
        <v>320</v>
      </c>
      <c r="H1611">
        <v>166</v>
      </c>
      <c r="I1611">
        <v>73</v>
      </c>
      <c r="J1611" s="8">
        <v>0.58399999999999996</v>
      </c>
      <c r="K1611">
        <v>25</v>
      </c>
      <c r="L1611">
        <v>25</v>
      </c>
      <c r="M1611">
        <v>147</v>
      </c>
      <c r="N1611" s="10">
        <v>629.92999999999995</v>
      </c>
      <c r="O1611" s="7">
        <v>10.5</v>
      </c>
      <c r="P1611" s="7">
        <v>27.4</v>
      </c>
      <c r="Q1611">
        <v>3</v>
      </c>
      <c r="R1611" t="s">
        <v>65</v>
      </c>
      <c r="S1611">
        <v>6</v>
      </c>
      <c r="T1611">
        <v>172</v>
      </c>
      <c r="U1611" s="11">
        <v>0.43388373911755823</v>
      </c>
      <c r="V1611" s="11">
        <v>-0.90096886790241903</v>
      </c>
      <c r="W1611" s="11">
        <v>0.19864794288017112</v>
      </c>
      <c r="X1611" s="11">
        <v>-0.98007091314326655</v>
      </c>
      <c r="Y1611">
        <v>0</v>
      </c>
      <c r="Z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6">
        <v>45463</v>
      </c>
      <c r="B1612" t="s">
        <v>41</v>
      </c>
      <c r="C1612" t="s">
        <v>42</v>
      </c>
      <c r="D1612" t="s">
        <v>43</v>
      </c>
      <c r="E1612" t="s">
        <v>44</v>
      </c>
      <c r="F1612">
        <v>85</v>
      </c>
      <c r="G1612">
        <v>210</v>
      </c>
      <c r="H1612">
        <v>118</v>
      </c>
      <c r="I1612">
        <v>53</v>
      </c>
      <c r="J1612" s="8">
        <v>0.62352941176470589</v>
      </c>
      <c r="K1612">
        <v>34</v>
      </c>
      <c r="L1612">
        <v>20</v>
      </c>
      <c r="M1612">
        <v>104</v>
      </c>
      <c r="N1612" s="10">
        <v>549.79</v>
      </c>
      <c r="O1612" s="7">
        <v>10.5</v>
      </c>
      <c r="P1612" s="7">
        <v>27.4</v>
      </c>
      <c r="Q1612">
        <v>3</v>
      </c>
      <c r="R1612" t="s">
        <v>65</v>
      </c>
      <c r="S1612">
        <v>6</v>
      </c>
      <c r="T1612">
        <v>172</v>
      </c>
      <c r="U1612" s="11">
        <v>0.43388373911755823</v>
      </c>
      <c r="V1612" s="11">
        <v>-0.90096886790241903</v>
      </c>
      <c r="W1612" s="11">
        <v>0.19864794288017112</v>
      </c>
      <c r="X1612" s="11">
        <v>-0.98007091314326655</v>
      </c>
      <c r="Y1612">
        <v>0</v>
      </c>
      <c r="Z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6">
        <v>45464</v>
      </c>
      <c r="B1613" t="s">
        <v>31</v>
      </c>
      <c r="C1613" t="s">
        <v>32</v>
      </c>
      <c r="D1613" t="s">
        <v>33</v>
      </c>
      <c r="E1613" t="s">
        <v>34</v>
      </c>
      <c r="F1613">
        <v>140</v>
      </c>
      <c r="G1613">
        <v>360</v>
      </c>
      <c r="H1613">
        <v>184</v>
      </c>
      <c r="I1613">
        <v>80</v>
      </c>
      <c r="J1613" s="8">
        <v>0.5714285714285714</v>
      </c>
      <c r="K1613">
        <v>49</v>
      </c>
      <c r="L1613">
        <v>33</v>
      </c>
      <c r="M1613">
        <v>171</v>
      </c>
      <c r="N1613" s="10">
        <v>448.44</v>
      </c>
      <c r="O1613" s="7">
        <v>18.600000000000001</v>
      </c>
      <c r="P1613" s="7">
        <v>29.3</v>
      </c>
      <c r="Q1613">
        <v>4</v>
      </c>
      <c r="R1613" t="s">
        <v>66</v>
      </c>
      <c r="S1613">
        <v>6</v>
      </c>
      <c r="T1613">
        <v>173</v>
      </c>
      <c r="U1613" s="11">
        <v>-0.43388373911755801</v>
      </c>
      <c r="V1613" s="11">
        <v>-0.90096886790241915</v>
      </c>
      <c r="W1613" s="11">
        <v>0.18175978759137534</v>
      </c>
      <c r="X1613" s="11">
        <v>-0.98334296133889021</v>
      </c>
      <c r="Y1613">
        <v>0</v>
      </c>
      <c r="Z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6">
        <v>45464</v>
      </c>
      <c r="B1614" t="s">
        <v>36</v>
      </c>
      <c r="C1614" t="s">
        <v>37</v>
      </c>
      <c r="D1614" t="s">
        <v>38</v>
      </c>
      <c r="E1614" t="s">
        <v>39</v>
      </c>
      <c r="F1614">
        <v>125</v>
      </c>
      <c r="G1614">
        <v>320</v>
      </c>
      <c r="H1614">
        <v>176</v>
      </c>
      <c r="I1614">
        <v>76</v>
      </c>
      <c r="J1614" s="8">
        <v>0.60799999999999998</v>
      </c>
      <c r="K1614">
        <v>33</v>
      </c>
      <c r="L1614">
        <v>44</v>
      </c>
      <c r="M1614">
        <v>159</v>
      </c>
      <c r="N1614" s="10">
        <v>604.03</v>
      </c>
      <c r="O1614" s="7">
        <v>18.600000000000001</v>
      </c>
      <c r="P1614" s="7">
        <v>29.3</v>
      </c>
      <c r="Q1614">
        <v>4</v>
      </c>
      <c r="R1614" t="s">
        <v>66</v>
      </c>
      <c r="S1614">
        <v>6</v>
      </c>
      <c r="T1614">
        <v>173</v>
      </c>
      <c r="U1614" s="11">
        <v>-0.43388373911755801</v>
      </c>
      <c r="V1614" s="11">
        <v>-0.90096886790241915</v>
      </c>
      <c r="W1614" s="11">
        <v>0.18175978759137534</v>
      </c>
      <c r="X1614" s="11">
        <v>-0.98334296133889021</v>
      </c>
      <c r="Y1614">
        <v>0</v>
      </c>
      <c r="Z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6">
        <v>45464</v>
      </c>
      <c r="B1615" t="s">
        <v>41</v>
      </c>
      <c r="C1615" t="s">
        <v>42</v>
      </c>
      <c r="D1615" t="s">
        <v>43</v>
      </c>
      <c r="E1615" t="s">
        <v>44</v>
      </c>
      <c r="F1615">
        <v>85</v>
      </c>
      <c r="G1615">
        <v>210</v>
      </c>
      <c r="H1615">
        <v>118</v>
      </c>
      <c r="I1615">
        <v>52</v>
      </c>
      <c r="J1615" s="8">
        <v>0.61176470588235299</v>
      </c>
      <c r="K1615">
        <v>17</v>
      </c>
      <c r="L1615">
        <v>24</v>
      </c>
      <c r="M1615">
        <v>97</v>
      </c>
      <c r="N1615" s="10">
        <v>485.6</v>
      </c>
      <c r="O1615" s="7">
        <v>18.600000000000001</v>
      </c>
      <c r="P1615" s="7">
        <v>29.3</v>
      </c>
      <c r="Q1615">
        <v>4</v>
      </c>
      <c r="R1615" t="s">
        <v>66</v>
      </c>
      <c r="S1615">
        <v>6</v>
      </c>
      <c r="T1615">
        <v>173</v>
      </c>
      <c r="U1615" s="11">
        <v>-0.43388373911755801</v>
      </c>
      <c r="V1615" s="11">
        <v>-0.90096886790241915</v>
      </c>
      <c r="W1615" s="11">
        <v>0.18175978759137534</v>
      </c>
      <c r="X1615" s="11">
        <v>-0.98334296133889021</v>
      </c>
      <c r="Y1615">
        <v>0</v>
      </c>
      <c r="Z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6">
        <v>45465</v>
      </c>
      <c r="B1616" t="s">
        <v>31</v>
      </c>
      <c r="C1616" t="s">
        <v>32</v>
      </c>
      <c r="D1616" t="s">
        <v>33</v>
      </c>
      <c r="E1616" t="s">
        <v>34</v>
      </c>
      <c r="F1616">
        <v>140</v>
      </c>
      <c r="G1616">
        <v>360</v>
      </c>
      <c r="H1616">
        <v>238</v>
      </c>
      <c r="I1616">
        <v>99</v>
      </c>
      <c r="J1616" s="8">
        <v>0.70714285714285718</v>
      </c>
      <c r="K1616">
        <v>47</v>
      </c>
      <c r="L1616">
        <v>35</v>
      </c>
      <c r="M1616">
        <v>213</v>
      </c>
      <c r="N1616" s="10">
        <v>441.91</v>
      </c>
      <c r="O1616" s="7">
        <v>10</v>
      </c>
      <c r="P1616" s="7">
        <v>27.7</v>
      </c>
      <c r="Q1616">
        <v>5</v>
      </c>
      <c r="R1616" t="s">
        <v>67</v>
      </c>
      <c r="S1616">
        <v>6</v>
      </c>
      <c r="T1616">
        <v>174</v>
      </c>
      <c r="U1616" s="11">
        <v>-0.97492791218182362</v>
      </c>
      <c r="V1616" s="11">
        <v>-0.22252093395631459</v>
      </c>
      <c r="W1616" s="11">
        <v>0.16481784665719793</v>
      </c>
      <c r="X1616" s="11">
        <v>-0.98632402253178664</v>
      </c>
      <c r="Y1616">
        <v>1</v>
      </c>
      <c r="Z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6">
        <v>45465</v>
      </c>
      <c r="B1617" t="s">
        <v>36</v>
      </c>
      <c r="C1617" t="s">
        <v>37</v>
      </c>
      <c r="D1617" t="s">
        <v>38</v>
      </c>
      <c r="E1617" t="s">
        <v>39</v>
      </c>
      <c r="F1617">
        <v>125</v>
      </c>
      <c r="G1617">
        <v>320</v>
      </c>
      <c r="H1617">
        <v>196</v>
      </c>
      <c r="I1617">
        <v>82</v>
      </c>
      <c r="J1617" s="8">
        <v>0.65600000000000003</v>
      </c>
      <c r="K1617">
        <v>38</v>
      </c>
      <c r="L1617">
        <v>24</v>
      </c>
      <c r="M1617">
        <v>177</v>
      </c>
      <c r="N1617" s="10">
        <v>723.86</v>
      </c>
      <c r="O1617" s="7">
        <v>10</v>
      </c>
      <c r="P1617" s="7">
        <v>27.7</v>
      </c>
      <c r="Q1617">
        <v>5</v>
      </c>
      <c r="R1617" t="s">
        <v>67</v>
      </c>
      <c r="S1617">
        <v>6</v>
      </c>
      <c r="T1617">
        <v>174</v>
      </c>
      <c r="U1617" s="11">
        <v>-0.97492791218182362</v>
      </c>
      <c r="V1617" s="11">
        <v>-0.22252093395631459</v>
      </c>
      <c r="W1617" s="11">
        <v>0.16481784665719793</v>
      </c>
      <c r="X1617" s="11">
        <v>-0.98632402253178664</v>
      </c>
      <c r="Y1617">
        <v>1</v>
      </c>
      <c r="Z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6">
        <v>45465</v>
      </c>
      <c r="B1618" t="s">
        <v>41</v>
      </c>
      <c r="C1618" t="s">
        <v>42</v>
      </c>
      <c r="D1618" t="s">
        <v>43</v>
      </c>
      <c r="E1618" t="s">
        <v>44</v>
      </c>
      <c r="F1618">
        <v>85</v>
      </c>
      <c r="G1618">
        <v>210</v>
      </c>
      <c r="H1618">
        <v>153</v>
      </c>
      <c r="I1618">
        <v>65</v>
      </c>
      <c r="J1618" s="8">
        <v>0.76470588235294112</v>
      </c>
      <c r="K1618">
        <v>28</v>
      </c>
      <c r="L1618">
        <v>44</v>
      </c>
      <c r="M1618">
        <v>140</v>
      </c>
      <c r="N1618" s="10">
        <v>622.22</v>
      </c>
      <c r="O1618" s="7">
        <v>10</v>
      </c>
      <c r="P1618" s="7">
        <v>27.7</v>
      </c>
      <c r="Q1618">
        <v>5</v>
      </c>
      <c r="R1618" t="s">
        <v>67</v>
      </c>
      <c r="S1618">
        <v>6</v>
      </c>
      <c r="T1618">
        <v>174</v>
      </c>
      <c r="U1618" s="11">
        <v>-0.97492791218182362</v>
      </c>
      <c r="V1618" s="11">
        <v>-0.22252093395631459</v>
      </c>
      <c r="W1618" s="11">
        <v>0.16481784665719793</v>
      </c>
      <c r="X1618" s="11">
        <v>-0.98632402253178664</v>
      </c>
      <c r="Y1618">
        <v>1</v>
      </c>
      <c r="Z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6">
        <v>45466</v>
      </c>
      <c r="B1619" t="s">
        <v>31</v>
      </c>
      <c r="C1619" t="s">
        <v>32</v>
      </c>
      <c r="D1619" t="s">
        <v>33</v>
      </c>
      <c r="E1619" t="s">
        <v>34</v>
      </c>
      <c r="F1619">
        <v>140</v>
      </c>
      <c r="G1619">
        <v>360</v>
      </c>
      <c r="H1619">
        <v>207</v>
      </c>
      <c r="I1619">
        <v>91</v>
      </c>
      <c r="J1619" s="8">
        <v>0.65</v>
      </c>
      <c r="K1619">
        <v>23</v>
      </c>
      <c r="L1619">
        <v>37</v>
      </c>
      <c r="M1619">
        <v>190</v>
      </c>
      <c r="N1619" s="10">
        <v>514.02</v>
      </c>
      <c r="O1619" s="7">
        <v>13.8</v>
      </c>
      <c r="P1619" s="7">
        <v>27.3</v>
      </c>
      <c r="Q1619">
        <v>6</v>
      </c>
      <c r="R1619" t="s">
        <v>60</v>
      </c>
      <c r="S1619">
        <v>6</v>
      </c>
      <c r="T1619">
        <v>175</v>
      </c>
      <c r="U1619" s="11">
        <v>-0.78183148246802991</v>
      </c>
      <c r="V1619" s="11">
        <v>0.62348980185873337</v>
      </c>
      <c r="W1619" s="11">
        <v>0.14782713347053048</v>
      </c>
      <c r="X1619" s="11">
        <v>-0.9890132145779883</v>
      </c>
      <c r="Y1619">
        <v>1</v>
      </c>
      <c r="Z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6">
        <v>45466</v>
      </c>
      <c r="B1620" t="s">
        <v>36</v>
      </c>
      <c r="C1620" t="s">
        <v>37</v>
      </c>
      <c r="D1620" t="s">
        <v>38</v>
      </c>
      <c r="E1620" t="s">
        <v>39</v>
      </c>
      <c r="F1620">
        <v>125</v>
      </c>
      <c r="G1620">
        <v>320</v>
      </c>
      <c r="H1620">
        <v>193</v>
      </c>
      <c r="I1620">
        <v>78</v>
      </c>
      <c r="J1620" s="8">
        <v>0.624</v>
      </c>
      <c r="K1620">
        <v>37</v>
      </c>
      <c r="L1620">
        <v>54</v>
      </c>
      <c r="M1620">
        <v>166</v>
      </c>
      <c r="N1620" s="10">
        <v>632.89</v>
      </c>
      <c r="O1620" s="7">
        <v>13.8</v>
      </c>
      <c r="P1620" s="7">
        <v>27.3</v>
      </c>
      <c r="Q1620">
        <v>6</v>
      </c>
      <c r="R1620" t="s">
        <v>60</v>
      </c>
      <c r="S1620">
        <v>6</v>
      </c>
      <c r="T1620">
        <v>175</v>
      </c>
      <c r="U1620" s="11">
        <v>-0.78183148246802991</v>
      </c>
      <c r="V1620" s="11">
        <v>0.62348980185873337</v>
      </c>
      <c r="W1620" s="11">
        <v>0.14782713347053048</v>
      </c>
      <c r="X1620" s="11">
        <v>-0.9890132145779883</v>
      </c>
      <c r="Y1620">
        <v>1</v>
      </c>
      <c r="Z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6">
        <v>45466</v>
      </c>
      <c r="B1621" t="s">
        <v>41</v>
      </c>
      <c r="C1621" t="s">
        <v>42</v>
      </c>
      <c r="D1621" t="s">
        <v>43</v>
      </c>
      <c r="E1621" t="s">
        <v>44</v>
      </c>
      <c r="F1621">
        <v>85</v>
      </c>
      <c r="G1621">
        <v>210</v>
      </c>
      <c r="H1621">
        <v>168</v>
      </c>
      <c r="I1621">
        <v>73</v>
      </c>
      <c r="J1621" s="8">
        <v>0.85882352941176465</v>
      </c>
      <c r="K1621">
        <v>23</v>
      </c>
      <c r="L1621">
        <v>26</v>
      </c>
      <c r="M1621">
        <v>154</v>
      </c>
      <c r="N1621" s="10">
        <v>651.80999999999995</v>
      </c>
      <c r="O1621" s="7">
        <v>13.8</v>
      </c>
      <c r="P1621" s="7">
        <v>27.3</v>
      </c>
      <c r="Q1621">
        <v>6</v>
      </c>
      <c r="R1621" t="s">
        <v>60</v>
      </c>
      <c r="S1621">
        <v>6</v>
      </c>
      <c r="T1621">
        <v>175</v>
      </c>
      <c r="U1621" s="11">
        <v>-0.78183148246802991</v>
      </c>
      <c r="V1621" s="11">
        <v>0.62348980185873337</v>
      </c>
      <c r="W1621" s="11">
        <v>0.14782713347053048</v>
      </c>
      <c r="X1621" s="11">
        <v>-0.9890132145779883</v>
      </c>
      <c r="Y1621">
        <v>1</v>
      </c>
      <c r="Z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6">
        <v>45467</v>
      </c>
      <c r="B1622" t="s">
        <v>31</v>
      </c>
      <c r="C1622" t="s">
        <v>32</v>
      </c>
      <c r="D1622" t="s">
        <v>33</v>
      </c>
      <c r="E1622" t="s">
        <v>34</v>
      </c>
      <c r="F1622">
        <v>140</v>
      </c>
      <c r="G1622">
        <v>360</v>
      </c>
      <c r="H1622">
        <v>201</v>
      </c>
      <c r="I1622">
        <v>84</v>
      </c>
      <c r="J1622" s="8">
        <v>0.6</v>
      </c>
      <c r="K1622">
        <v>57</v>
      </c>
      <c r="L1622">
        <v>36</v>
      </c>
      <c r="M1622">
        <v>175</v>
      </c>
      <c r="N1622" s="10">
        <v>420.52</v>
      </c>
      <c r="O1622" s="7">
        <v>2.2999999999999998</v>
      </c>
      <c r="P1622" s="7">
        <v>28</v>
      </c>
      <c r="Q1622">
        <v>0</v>
      </c>
      <c r="R1622" t="s">
        <v>62</v>
      </c>
      <c r="S1622">
        <v>6</v>
      </c>
      <c r="T1622">
        <v>176</v>
      </c>
      <c r="U1622" s="11">
        <v>0</v>
      </c>
      <c r="V1622" s="11">
        <v>1</v>
      </c>
      <c r="W1622" s="11">
        <v>0.13079267585675922</v>
      </c>
      <c r="X1622" s="11">
        <v>-0.99140974170230378</v>
      </c>
      <c r="Y1622">
        <v>0</v>
      </c>
      <c r="Z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6">
        <v>45467</v>
      </c>
      <c r="B1623" t="s">
        <v>36</v>
      </c>
      <c r="C1623" t="s">
        <v>37</v>
      </c>
      <c r="D1623" t="s">
        <v>38</v>
      </c>
      <c r="E1623" t="s">
        <v>39</v>
      </c>
      <c r="F1623">
        <v>125</v>
      </c>
      <c r="G1623">
        <v>320</v>
      </c>
      <c r="H1623">
        <v>185</v>
      </c>
      <c r="I1623">
        <v>76</v>
      </c>
      <c r="J1623" s="8">
        <v>0.60799999999999998</v>
      </c>
      <c r="K1623">
        <v>38</v>
      </c>
      <c r="L1623">
        <v>22</v>
      </c>
      <c r="M1623">
        <v>155</v>
      </c>
      <c r="N1623" s="10">
        <v>570.58000000000004</v>
      </c>
      <c r="O1623" s="7">
        <v>2.2999999999999998</v>
      </c>
      <c r="P1623" s="7">
        <v>28</v>
      </c>
      <c r="Q1623">
        <v>0</v>
      </c>
      <c r="R1623" t="s">
        <v>62</v>
      </c>
      <c r="S1623">
        <v>6</v>
      </c>
      <c r="T1623">
        <v>176</v>
      </c>
      <c r="U1623" s="11">
        <v>0</v>
      </c>
      <c r="V1623" s="11">
        <v>1</v>
      </c>
      <c r="W1623" s="11">
        <v>0.13079267585675922</v>
      </c>
      <c r="X1623" s="11">
        <v>-0.99140974170230378</v>
      </c>
      <c r="Y1623">
        <v>0</v>
      </c>
      <c r="Z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6">
        <v>45467</v>
      </c>
      <c r="B1624" t="s">
        <v>41</v>
      </c>
      <c r="C1624" t="s">
        <v>42</v>
      </c>
      <c r="D1624" t="s">
        <v>43</v>
      </c>
      <c r="E1624" t="s">
        <v>44</v>
      </c>
      <c r="F1624">
        <v>85</v>
      </c>
      <c r="G1624">
        <v>210</v>
      </c>
      <c r="H1624">
        <v>137</v>
      </c>
      <c r="I1624">
        <v>58</v>
      </c>
      <c r="J1624" s="8">
        <v>0.68235294117647061</v>
      </c>
      <c r="K1624">
        <v>23</v>
      </c>
      <c r="L1624">
        <v>19</v>
      </c>
      <c r="M1624">
        <v>121</v>
      </c>
      <c r="N1624" s="10">
        <v>576.35</v>
      </c>
      <c r="O1624" s="7">
        <v>2.2999999999999998</v>
      </c>
      <c r="P1624" s="7">
        <v>28</v>
      </c>
      <c r="Q1624">
        <v>0</v>
      </c>
      <c r="R1624" t="s">
        <v>62</v>
      </c>
      <c r="S1624">
        <v>6</v>
      </c>
      <c r="T1624">
        <v>176</v>
      </c>
      <c r="U1624" s="11">
        <v>0</v>
      </c>
      <c r="V1624" s="11">
        <v>1</v>
      </c>
      <c r="W1624" s="11">
        <v>0.13079267585675922</v>
      </c>
      <c r="X1624" s="11">
        <v>-0.99140974170230378</v>
      </c>
      <c r="Y1624">
        <v>0</v>
      </c>
      <c r="Z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6">
        <v>45468</v>
      </c>
      <c r="B1625" t="s">
        <v>31</v>
      </c>
      <c r="C1625" t="s">
        <v>32</v>
      </c>
      <c r="D1625" t="s">
        <v>33</v>
      </c>
      <c r="E1625" t="s">
        <v>34</v>
      </c>
      <c r="F1625">
        <v>140</v>
      </c>
      <c r="G1625">
        <v>360</v>
      </c>
      <c r="H1625">
        <v>196</v>
      </c>
      <c r="I1625">
        <v>85</v>
      </c>
      <c r="J1625" s="8">
        <v>0.6071428571428571</v>
      </c>
      <c r="K1625">
        <v>33</v>
      </c>
      <c r="L1625">
        <v>57</v>
      </c>
      <c r="M1625">
        <v>166</v>
      </c>
      <c r="N1625" s="10">
        <v>421.48</v>
      </c>
      <c r="O1625" s="7">
        <v>22.4</v>
      </c>
      <c r="P1625" s="7">
        <v>27.1</v>
      </c>
      <c r="Q1625">
        <v>1</v>
      </c>
      <c r="R1625" t="s">
        <v>63</v>
      </c>
      <c r="S1625">
        <v>6</v>
      </c>
      <c r="T1625">
        <v>177</v>
      </c>
      <c r="U1625" s="11">
        <v>0.7818314824680298</v>
      </c>
      <c r="V1625" s="11">
        <v>0.62348980185873359</v>
      </c>
      <c r="W1625" s="11">
        <v>0.11371951458594969</v>
      </c>
      <c r="X1625" s="11">
        <v>-0.99351289473380067</v>
      </c>
      <c r="Y1625">
        <v>0</v>
      </c>
      <c r="Z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6">
        <v>45468</v>
      </c>
      <c r="B1626" t="s">
        <v>36</v>
      </c>
      <c r="C1626" t="s">
        <v>37</v>
      </c>
      <c r="D1626" t="s">
        <v>38</v>
      </c>
      <c r="E1626" t="s">
        <v>39</v>
      </c>
      <c r="F1626">
        <v>125</v>
      </c>
      <c r="G1626">
        <v>320</v>
      </c>
      <c r="H1626">
        <v>174</v>
      </c>
      <c r="I1626">
        <v>73</v>
      </c>
      <c r="J1626" s="8">
        <v>0.58399999999999996</v>
      </c>
      <c r="K1626">
        <v>44</v>
      </c>
      <c r="L1626">
        <v>36</v>
      </c>
      <c r="M1626">
        <v>145</v>
      </c>
      <c r="N1626" s="10">
        <v>636.05999999999995</v>
      </c>
      <c r="O1626" s="7">
        <v>22.4</v>
      </c>
      <c r="P1626" s="7">
        <v>27.1</v>
      </c>
      <c r="Q1626">
        <v>1</v>
      </c>
      <c r="R1626" t="s">
        <v>63</v>
      </c>
      <c r="S1626">
        <v>6</v>
      </c>
      <c r="T1626">
        <v>177</v>
      </c>
      <c r="U1626" s="11">
        <v>0.7818314824680298</v>
      </c>
      <c r="V1626" s="11">
        <v>0.62348980185873359</v>
      </c>
      <c r="W1626" s="11">
        <v>0.11371951458594969</v>
      </c>
      <c r="X1626" s="11">
        <v>-0.99351289473380067</v>
      </c>
      <c r="Y1626">
        <v>0</v>
      </c>
      <c r="Z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6">
        <v>45468</v>
      </c>
      <c r="B1627" t="s">
        <v>41</v>
      </c>
      <c r="C1627" t="s">
        <v>42</v>
      </c>
      <c r="D1627" t="s">
        <v>43</v>
      </c>
      <c r="E1627" t="s">
        <v>44</v>
      </c>
      <c r="F1627">
        <v>85</v>
      </c>
      <c r="G1627">
        <v>210</v>
      </c>
      <c r="H1627">
        <v>129</v>
      </c>
      <c r="I1627">
        <v>56</v>
      </c>
      <c r="J1627" s="8">
        <v>0.6588235294117647</v>
      </c>
      <c r="K1627">
        <v>33</v>
      </c>
      <c r="L1627">
        <v>21</v>
      </c>
      <c r="M1627">
        <v>112</v>
      </c>
      <c r="N1627" s="10">
        <v>525.6</v>
      </c>
      <c r="O1627" s="7">
        <v>22.4</v>
      </c>
      <c r="P1627" s="7">
        <v>27.1</v>
      </c>
      <c r="Q1627">
        <v>1</v>
      </c>
      <c r="R1627" t="s">
        <v>63</v>
      </c>
      <c r="S1627">
        <v>6</v>
      </c>
      <c r="T1627">
        <v>177</v>
      </c>
      <c r="U1627" s="11">
        <v>0.7818314824680298</v>
      </c>
      <c r="V1627" s="11">
        <v>0.62348980185873359</v>
      </c>
      <c r="W1627" s="11">
        <v>0.11371951458594969</v>
      </c>
      <c r="X1627" s="11">
        <v>-0.99351289473380067</v>
      </c>
      <c r="Y1627">
        <v>0</v>
      </c>
      <c r="Z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6">
        <v>45469</v>
      </c>
      <c r="B1628" t="s">
        <v>31</v>
      </c>
      <c r="C1628" t="s">
        <v>32</v>
      </c>
      <c r="D1628" t="s">
        <v>33</v>
      </c>
      <c r="E1628" t="s">
        <v>34</v>
      </c>
      <c r="F1628">
        <v>140</v>
      </c>
      <c r="G1628">
        <v>360</v>
      </c>
      <c r="H1628">
        <v>197</v>
      </c>
      <c r="I1628">
        <v>86</v>
      </c>
      <c r="J1628" s="8">
        <v>0.61428571428571432</v>
      </c>
      <c r="K1628">
        <v>53</v>
      </c>
      <c r="L1628">
        <v>24</v>
      </c>
      <c r="M1628">
        <v>170</v>
      </c>
      <c r="N1628" s="10">
        <v>464.93</v>
      </c>
      <c r="O1628" s="7">
        <v>8.1999999999999993</v>
      </c>
      <c r="P1628" s="7">
        <v>27.4</v>
      </c>
      <c r="Q1628">
        <v>2</v>
      </c>
      <c r="R1628" t="s">
        <v>64</v>
      </c>
      <c r="S1628">
        <v>6</v>
      </c>
      <c r="T1628">
        <v>178</v>
      </c>
      <c r="U1628" s="11">
        <v>0.97492791218182362</v>
      </c>
      <c r="V1628" s="11">
        <v>-0.22252093395631434</v>
      </c>
      <c r="W1628" s="11">
        <v>9.6612701881203106E-2</v>
      </c>
      <c r="X1628" s="11">
        <v>-0.99532205131566021</v>
      </c>
      <c r="Y1628">
        <v>0</v>
      </c>
      <c r="Z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6">
        <v>45469</v>
      </c>
      <c r="B1629" t="s">
        <v>36</v>
      </c>
      <c r="C1629" t="s">
        <v>37</v>
      </c>
      <c r="D1629" t="s">
        <v>38</v>
      </c>
      <c r="E1629" t="s">
        <v>39</v>
      </c>
      <c r="F1629">
        <v>125</v>
      </c>
      <c r="G1629">
        <v>320</v>
      </c>
      <c r="H1629">
        <v>164</v>
      </c>
      <c r="I1629">
        <v>71</v>
      </c>
      <c r="J1629" s="8">
        <v>0.56799999999999995</v>
      </c>
      <c r="K1629">
        <v>26</v>
      </c>
      <c r="L1629">
        <v>40</v>
      </c>
      <c r="M1629">
        <v>154</v>
      </c>
      <c r="N1629" s="10">
        <v>563.54999999999995</v>
      </c>
      <c r="O1629" s="7">
        <v>8.1999999999999993</v>
      </c>
      <c r="P1629" s="7">
        <v>27.4</v>
      </c>
      <c r="Q1629">
        <v>2</v>
      </c>
      <c r="R1629" t="s">
        <v>64</v>
      </c>
      <c r="S1629">
        <v>6</v>
      </c>
      <c r="T1629">
        <v>178</v>
      </c>
      <c r="U1629" s="11">
        <v>0.97492791218182362</v>
      </c>
      <c r="V1629" s="11">
        <v>-0.22252093395631434</v>
      </c>
      <c r="W1629" s="11">
        <v>9.6612701881203106E-2</v>
      </c>
      <c r="X1629" s="11">
        <v>-0.99532205131566021</v>
      </c>
      <c r="Y1629">
        <v>0</v>
      </c>
      <c r="Z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6">
        <v>45469</v>
      </c>
      <c r="B1630" t="s">
        <v>41</v>
      </c>
      <c r="C1630" t="s">
        <v>42</v>
      </c>
      <c r="D1630" t="s">
        <v>43</v>
      </c>
      <c r="E1630" t="s">
        <v>44</v>
      </c>
      <c r="F1630">
        <v>85</v>
      </c>
      <c r="G1630">
        <v>210</v>
      </c>
      <c r="H1630">
        <v>123</v>
      </c>
      <c r="I1630">
        <v>57</v>
      </c>
      <c r="J1630" s="8">
        <v>0.6705882352941176</v>
      </c>
      <c r="K1630">
        <v>22</v>
      </c>
      <c r="L1630">
        <v>18</v>
      </c>
      <c r="M1630">
        <v>102</v>
      </c>
      <c r="N1630" s="10">
        <v>534.47</v>
      </c>
      <c r="O1630" s="7">
        <v>8.1999999999999993</v>
      </c>
      <c r="P1630" s="7">
        <v>27.4</v>
      </c>
      <c r="Q1630">
        <v>2</v>
      </c>
      <c r="R1630" t="s">
        <v>64</v>
      </c>
      <c r="S1630">
        <v>6</v>
      </c>
      <c r="T1630">
        <v>178</v>
      </c>
      <c r="U1630" s="11">
        <v>0.97492791218182362</v>
      </c>
      <c r="V1630" s="11">
        <v>-0.22252093395631434</v>
      </c>
      <c r="W1630" s="11">
        <v>9.6612701881203106E-2</v>
      </c>
      <c r="X1630" s="11">
        <v>-0.99532205131566021</v>
      </c>
      <c r="Y1630">
        <v>0</v>
      </c>
      <c r="Z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6">
        <v>45470</v>
      </c>
      <c r="B1631" t="s">
        <v>31</v>
      </c>
      <c r="C1631" t="s">
        <v>32</v>
      </c>
      <c r="D1631" t="s">
        <v>33</v>
      </c>
      <c r="E1631" t="s">
        <v>34</v>
      </c>
      <c r="F1631">
        <v>140</v>
      </c>
      <c r="G1631">
        <v>360</v>
      </c>
      <c r="H1631">
        <v>193</v>
      </c>
      <c r="I1631">
        <v>85</v>
      </c>
      <c r="J1631" s="8">
        <v>0.6071428571428571</v>
      </c>
      <c r="K1631">
        <v>39</v>
      </c>
      <c r="L1631">
        <v>24</v>
      </c>
      <c r="M1631">
        <v>173</v>
      </c>
      <c r="N1631" s="10">
        <v>450.44</v>
      </c>
      <c r="O1631" s="7">
        <v>5</v>
      </c>
      <c r="P1631" s="7">
        <v>27.7</v>
      </c>
      <c r="Q1631">
        <v>3</v>
      </c>
      <c r="R1631" t="s">
        <v>65</v>
      </c>
      <c r="S1631">
        <v>6</v>
      </c>
      <c r="T1631">
        <v>179</v>
      </c>
      <c r="U1631" s="11">
        <v>0.43388373911755823</v>
      </c>
      <c r="V1631" s="11">
        <v>-0.90096886790241903</v>
      </c>
      <c r="W1631" s="11">
        <v>7.9477299923620973E-2</v>
      </c>
      <c r="X1631" s="11">
        <v>-0.99683667608934357</v>
      </c>
      <c r="Y1631">
        <v>0</v>
      </c>
      <c r="Z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6">
        <v>45470</v>
      </c>
      <c r="B1632" t="s">
        <v>36</v>
      </c>
      <c r="C1632" t="s">
        <v>37</v>
      </c>
      <c r="D1632" t="s">
        <v>38</v>
      </c>
      <c r="E1632" t="s">
        <v>39</v>
      </c>
      <c r="F1632">
        <v>125</v>
      </c>
      <c r="G1632">
        <v>320</v>
      </c>
      <c r="H1632">
        <v>196</v>
      </c>
      <c r="I1632">
        <v>82</v>
      </c>
      <c r="J1632" s="8">
        <v>0.65600000000000003</v>
      </c>
      <c r="K1632">
        <v>23</v>
      </c>
      <c r="L1632">
        <v>42</v>
      </c>
      <c r="M1632">
        <v>162</v>
      </c>
      <c r="N1632" s="10">
        <v>613.96</v>
      </c>
      <c r="O1632" s="7">
        <v>5</v>
      </c>
      <c r="P1632" s="7">
        <v>27.7</v>
      </c>
      <c r="Q1632">
        <v>3</v>
      </c>
      <c r="R1632" t="s">
        <v>65</v>
      </c>
      <c r="S1632">
        <v>6</v>
      </c>
      <c r="T1632">
        <v>179</v>
      </c>
      <c r="U1632" s="11">
        <v>0.43388373911755823</v>
      </c>
      <c r="V1632" s="11">
        <v>-0.90096886790241903</v>
      </c>
      <c r="W1632" s="11">
        <v>7.9477299923620973E-2</v>
      </c>
      <c r="X1632" s="11">
        <v>-0.99683667608934357</v>
      </c>
      <c r="Y1632">
        <v>0</v>
      </c>
      <c r="Z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6">
        <v>45470</v>
      </c>
      <c r="B1633" t="s">
        <v>41</v>
      </c>
      <c r="C1633" t="s">
        <v>42</v>
      </c>
      <c r="D1633" t="s">
        <v>43</v>
      </c>
      <c r="E1633" t="s">
        <v>44</v>
      </c>
      <c r="F1633">
        <v>85</v>
      </c>
      <c r="G1633">
        <v>210</v>
      </c>
      <c r="H1633">
        <v>136</v>
      </c>
      <c r="I1633">
        <v>61</v>
      </c>
      <c r="J1633" s="8">
        <v>0.71764705882352942</v>
      </c>
      <c r="K1633">
        <v>20</v>
      </c>
      <c r="L1633">
        <v>30</v>
      </c>
      <c r="M1633">
        <v>126</v>
      </c>
      <c r="N1633" s="10">
        <v>570.22</v>
      </c>
      <c r="O1633" s="7">
        <v>5</v>
      </c>
      <c r="P1633" s="7">
        <v>27.7</v>
      </c>
      <c r="Q1633">
        <v>3</v>
      </c>
      <c r="R1633" t="s">
        <v>65</v>
      </c>
      <c r="S1633">
        <v>6</v>
      </c>
      <c r="T1633">
        <v>179</v>
      </c>
      <c r="U1633" s="11">
        <v>0.43388373911755823</v>
      </c>
      <c r="V1633" s="11">
        <v>-0.90096886790241903</v>
      </c>
      <c r="W1633" s="11">
        <v>7.9477299923620973E-2</v>
      </c>
      <c r="X1633" s="11">
        <v>-0.99683667608934357</v>
      </c>
      <c r="Y1633">
        <v>0</v>
      </c>
      <c r="Z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6">
        <v>45471</v>
      </c>
      <c r="B1634" t="s">
        <v>31</v>
      </c>
      <c r="C1634" t="s">
        <v>32</v>
      </c>
      <c r="D1634" t="s">
        <v>33</v>
      </c>
      <c r="E1634" t="s">
        <v>34</v>
      </c>
      <c r="F1634">
        <v>140</v>
      </c>
      <c r="G1634">
        <v>360</v>
      </c>
      <c r="H1634">
        <v>210</v>
      </c>
      <c r="I1634">
        <v>89</v>
      </c>
      <c r="J1634" s="8">
        <v>0.63571428571428568</v>
      </c>
      <c r="K1634">
        <v>38</v>
      </c>
      <c r="L1634">
        <v>31</v>
      </c>
      <c r="M1634">
        <v>176</v>
      </c>
      <c r="N1634" s="10">
        <v>448.65</v>
      </c>
      <c r="O1634" s="7">
        <v>6.3</v>
      </c>
      <c r="P1634" s="7">
        <v>29.3</v>
      </c>
      <c r="Q1634">
        <v>4</v>
      </c>
      <c r="R1634" t="s">
        <v>66</v>
      </c>
      <c r="S1634">
        <v>6</v>
      </c>
      <c r="T1634">
        <v>180</v>
      </c>
      <c r="U1634" s="11">
        <v>-0.43388373911755801</v>
      </c>
      <c r="V1634" s="11">
        <v>-0.90096886790241915</v>
      </c>
      <c r="W1634" s="11">
        <v>6.2318379354325076E-2</v>
      </c>
      <c r="X1634" s="11">
        <v>-0.99805632085301199</v>
      </c>
      <c r="Y1634">
        <v>0</v>
      </c>
      <c r="Z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6">
        <v>45471</v>
      </c>
      <c r="B1635" t="s">
        <v>36</v>
      </c>
      <c r="C1635" t="s">
        <v>37</v>
      </c>
      <c r="D1635" t="s">
        <v>38</v>
      </c>
      <c r="E1635" t="s">
        <v>39</v>
      </c>
      <c r="F1635">
        <v>125</v>
      </c>
      <c r="G1635">
        <v>320</v>
      </c>
      <c r="H1635">
        <v>158</v>
      </c>
      <c r="I1635">
        <v>66</v>
      </c>
      <c r="J1635" s="8">
        <v>0.52800000000000002</v>
      </c>
      <c r="K1635">
        <v>29</v>
      </c>
      <c r="L1635">
        <v>43</v>
      </c>
      <c r="M1635">
        <v>146</v>
      </c>
      <c r="N1635" s="10">
        <v>642.4</v>
      </c>
      <c r="O1635" s="7">
        <v>6.3</v>
      </c>
      <c r="P1635" s="7">
        <v>29.3</v>
      </c>
      <c r="Q1635">
        <v>4</v>
      </c>
      <c r="R1635" t="s">
        <v>66</v>
      </c>
      <c r="S1635">
        <v>6</v>
      </c>
      <c r="T1635">
        <v>180</v>
      </c>
      <c r="U1635" s="11">
        <v>-0.43388373911755801</v>
      </c>
      <c r="V1635" s="11">
        <v>-0.90096886790241915</v>
      </c>
      <c r="W1635" s="11">
        <v>6.2318379354325076E-2</v>
      </c>
      <c r="X1635" s="11">
        <v>-0.99805632085301199</v>
      </c>
      <c r="Y1635">
        <v>0</v>
      </c>
      <c r="Z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6">
        <v>45471</v>
      </c>
      <c r="B1636" t="s">
        <v>41</v>
      </c>
      <c r="C1636" t="s">
        <v>42</v>
      </c>
      <c r="D1636" t="s">
        <v>43</v>
      </c>
      <c r="E1636" t="s">
        <v>44</v>
      </c>
      <c r="F1636">
        <v>85</v>
      </c>
      <c r="G1636">
        <v>210</v>
      </c>
      <c r="H1636">
        <v>125</v>
      </c>
      <c r="I1636">
        <v>55</v>
      </c>
      <c r="J1636" s="8">
        <v>0.6470588235294118</v>
      </c>
      <c r="K1636">
        <v>16</v>
      </c>
      <c r="L1636">
        <v>32</v>
      </c>
      <c r="M1636">
        <v>110</v>
      </c>
      <c r="N1636" s="10">
        <v>579.54999999999995</v>
      </c>
      <c r="O1636" s="7">
        <v>6.3</v>
      </c>
      <c r="P1636" s="7">
        <v>29.3</v>
      </c>
      <c r="Q1636">
        <v>4</v>
      </c>
      <c r="R1636" t="s">
        <v>66</v>
      </c>
      <c r="S1636">
        <v>6</v>
      </c>
      <c r="T1636">
        <v>180</v>
      </c>
      <c r="U1636" s="11">
        <v>-0.43388373911755801</v>
      </c>
      <c r="V1636" s="11">
        <v>-0.90096886790241915</v>
      </c>
      <c r="W1636" s="11">
        <v>6.2318379354325076E-2</v>
      </c>
      <c r="X1636" s="11">
        <v>-0.99805632085301199</v>
      </c>
      <c r="Y1636">
        <v>0</v>
      </c>
      <c r="Z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6">
        <v>45472</v>
      </c>
      <c r="B1637" t="s">
        <v>31</v>
      </c>
      <c r="C1637" t="s">
        <v>32</v>
      </c>
      <c r="D1637" t="s">
        <v>33</v>
      </c>
      <c r="E1637" t="s">
        <v>34</v>
      </c>
      <c r="F1637">
        <v>140</v>
      </c>
      <c r="G1637">
        <v>360</v>
      </c>
      <c r="H1637">
        <v>223</v>
      </c>
      <c r="I1637">
        <v>95</v>
      </c>
      <c r="J1637" s="8">
        <v>0.6785714285714286</v>
      </c>
      <c r="K1637">
        <v>53</v>
      </c>
      <c r="L1637">
        <v>53</v>
      </c>
      <c r="M1637">
        <v>180</v>
      </c>
      <c r="N1637" s="10">
        <v>492.91</v>
      </c>
      <c r="O1637" s="7">
        <v>11.3</v>
      </c>
      <c r="P1637" s="7">
        <v>28.2</v>
      </c>
      <c r="Q1637">
        <v>5</v>
      </c>
      <c r="R1637" t="s">
        <v>67</v>
      </c>
      <c r="S1637">
        <v>6</v>
      </c>
      <c r="T1637">
        <v>181</v>
      </c>
      <c r="U1637" s="11">
        <v>-0.97492791218182362</v>
      </c>
      <c r="V1637" s="11">
        <v>-0.22252093395631459</v>
      </c>
      <c r="W1637" s="11">
        <v>4.5141017773971927E-2</v>
      </c>
      <c r="X1637" s="11">
        <v>-0.99898062469415794</v>
      </c>
      <c r="Y1637">
        <v>1</v>
      </c>
      <c r="Z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6">
        <v>45472</v>
      </c>
      <c r="B1638" t="s">
        <v>36</v>
      </c>
      <c r="C1638" t="s">
        <v>37</v>
      </c>
      <c r="D1638" t="s">
        <v>38</v>
      </c>
      <c r="E1638" t="s">
        <v>39</v>
      </c>
      <c r="F1638">
        <v>125</v>
      </c>
      <c r="G1638">
        <v>320</v>
      </c>
      <c r="H1638">
        <v>201</v>
      </c>
      <c r="I1638">
        <v>85</v>
      </c>
      <c r="J1638" s="8">
        <v>0.68</v>
      </c>
      <c r="K1638">
        <v>33</v>
      </c>
      <c r="L1638">
        <v>50</v>
      </c>
      <c r="M1638">
        <v>179</v>
      </c>
      <c r="N1638" s="10">
        <v>718.62</v>
      </c>
      <c r="O1638" s="7">
        <v>11.3</v>
      </c>
      <c r="P1638" s="7">
        <v>28.2</v>
      </c>
      <c r="Q1638">
        <v>5</v>
      </c>
      <c r="R1638" t="s">
        <v>67</v>
      </c>
      <c r="S1638">
        <v>6</v>
      </c>
      <c r="T1638">
        <v>181</v>
      </c>
      <c r="U1638" s="11">
        <v>-0.97492791218182362</v>
      </c>
      <c r="V1638" s="11">
        <v>-0.22252093395631459</v>
      </c>
      <c r="W1638" s="11">
        <v>4.5141017773971927E-2</v>
      </c>
      <c r="X1638" s="11">
        <v>-0.99898062469415794</v>
      </c>
      <c r="Y1638">
        <v>1</v>
      </c>
      <c r="Z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6">
        <v>45472</v>
      </c>
      <c r="B1639" t="s">
        <v>41</v>
      </c>
      <c r="C1639" t="s">
        <v>42</v>
      </c>
      <c r="D1639" t="s">
        <v>43</v>
      </c>
      <c r="E1639" t="s">
        <v>44</v>
      </c>
      <c r="F1639">
        <v>85</v>
      </c>
      <c r="G1639">
        <v>210</v>
      </c>
      <c r="H1639">
        <v>150</v>
      </c>
      <c r="I1639">
        <v>67</v>
      </c>
      <c r="J1639" s="8">
        <v>0.78823529411764703</v>
      </c>
      <c r="K1639">
        <v>15</v>
      </c>
      <c r="L1639">
        <v>27</v>
      </c>
      <c r="M1639">
        <v>124</v>
      </c>
      <c r="N1639" s="10">
        <v>553.74</v>
      </c>
      <c r="O1639" s="7">
        <v>11.3</v>
      </c>
      <c r="P1639" s="7">
        <v>28.2</v>
      </c>
      <c r="Q1639">
        <v>5</v>
      </c>
      <c r="R1639" t="s">
        <v>67</v>
      </c>
      <c r="S1639">
        <v>6</v>
      </c>
      <c r="T1639">
        <v>181</v>
      </c>
      <c r="U1639" s="11">
        <v>-0.97492791218182362</v>
      </c>
      <c r="V1639" s="11">
        <v>-0.22252093395631459</v>
      </c>
      <c r="W1639" s="11">
        <v>4.5141017773971927E-2</v>
      </c>
      <c r="X1639" s="11">
        <v>-0.99898062469415794</v>
      </c>
      <c r="Y1639">
        <v>1</v>
      </c>
      <c r="Z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6">
        <v>45473</v>
      </c>
      <c r="B1640" t="s">
        <v>31</v>
      </c>
      <c r="C1640" t="s">
        <v>32</v>
      </c>
      <c r="D1640" t="s">
        <v>33</v>
      </c>
      <c r="E1640" t="s">
        <v>34</v>
      </c>
      <c r="F1640">
        <v>140</v>
      </c>
      <c r="G1640">
        <v>360</v>
      </c>
      <c r="H1640">
        <v>230</v>
      </c>
      <c r="I1640">
        <v>99</v>
      </c>
      <c r="J1640" s="8">
        <v>0.70714285714285718</v>
      </c>
      <c r="K1640">
        <v>56</v>
      </c>
      <c r="L1640">
        <v>29</v>
      </c>
      <c r="M1640">
        <v>206</v>
      </c>
      <c r="N1640" s="10">
        <v>496.76</v>
      </c>
      <c r="O1640" s="7">
        <v>5.3</v>
      </c>
      <c r="P1640" s="7">
        <v>28.1</v>
      </c>
      <c r="Q1640">
        <v>6</v>
      </c>
      <c r="R1640" t="s">
        <v>60</v>
      </c>
      <c r="S1640">
        <v>6</v>
      </c>
      <c r="T1640">
        <v>182</v>
      </c>
      <c r="U1640" s="11">
        <v>-0.78183148246802991</v>
      </c>
      <c r="V1640" s="11">
        <v>0.62348980185873337</v>
      </c>
      <c r="W1640" s="11">
        <v>2.7950298240210319E-2</v>
      </c>
      <c r="X1640" s="11">
        <v>-0.99960931409640397</v>
      </c>
      <c r="Y1640">
        <v>1</v>
      </c>
      <c r="Z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6">
        <v>45473</v>
      </c>
      <c r="B1641" t="s">
        <v>36</v>
      </c>
      <c r="C1641" t="s">
        <v>37</v>
      </c>
      <c r="D1641" t="s">
        <v>38</v>
      </c>
      <c r="E1641" t="s">
        <v>39</v>
      </c>
      <c r="F1641">
        <v>125</v>
      </c>
      <c r="G1641">
        <v>320</v>
      </c>
      <c r="H1641">
        <v>219</v>
      </c>
      <c r="I1641">
        <v>91</v>
      </c>
      <c r="J1641" s="8">
        <v>0.72799999999999998</v>
      </c>
      <c r="K1641">
        <v>44</v>
      </c>
      <c r="L1641">
        <v>24</v>
      </c>
      <c r="M1641">
        <v>199</v>
      </c>
      <c r="N1641" s="10">
        <v>650.1</v>
      </c>
      <c r="O1641" s="7">
        <v>5.3</v>
      </c>
      <c r="P1641" s="7">
        <v>28.1</v>
      </c>
      <c r="Q1641">
        <v>6</v>
      </c>
      <c r="R1641" t="s">
        <v>60</v>
      </c>
      <c r="S1641">
        <v>6</v>
      </c>
      <c r="T1641">
        <v>182</v>
      </c>
      <c r="U1641" s="11">
        <v>-0.78183148246802991</v>
      </c>
      <c r="V1641" s="11">
        <v>0.62348980185873337</v>
      </c>
      <c r="W1641" s="11">
        <v>2.7950298240210319E-2</v>
      </c>
      <c r="X1641" s="11">
        <v>-0.99960931409640397</v>
      </c>
      <c r="Y1641">
        <v>1</v>
      </c>
      <c r="Z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6">
        <v>45473</v>
      </c>
      <c r="B1642" t="s">
        <v>41</v>
      </c>
      <c r="C1642" t="s">
        <v>42</v>
      </c>
      <c r="D1642" t="s">
        <v>43</v>
      </c>
      <c r="E1642" t="s">
        <v>44</v>
      </c>
      <c r="F1642">
        <v>85</v>
      </c>
      <c r="G1642">
        <v>210</v>
      </c>
      <c r="H1642">
        <v>140</v>
      </c>
      <c r="I1642">
        <v>66</v>
      </c>
      <c r="J1642" s="8">
        <v>0.77647058823529413</v>
      </c>
      <c r="K1642">
        <v>25</v>
      </c>
      <c r="L1642">
        <v>32</v>
      </c>
      <c r="M1642">
        <v>131</v>
      </c>
      <c r="N1642" s="10">
        <v>587.12</v>
      </c>
      <c r="O1642" s="7">
        <v>5.3</v>
      </c>
      <c r="P1642" s="7">
        <v>28.1</v>
      </c>
      <c r="Q1642">
        <v>6</v>
      </c>
      <c r="R1642" t="s">
        <v>60</v>
      </c>
      <c r="S1642">
        <v>6</v>
      </c>
      <c r="T1642">
        <v>182</v>
      </c>
      <c r="U1642" s="11">
        <v>-0.78183148246802991</v>
      </c>
      <c r="V1642" s="11">
        <v>0.62348980185873337</v>
      </c>
      <c r="W1642" s="11">
        <v>2.7950298240210319E-2</v>
      </c>
      <c r="X1642" s="11">
        <v>-0.99960931409640397</v>
      </c>
      <c r="Y1642">
        <v>1</v>
      </c>
      <c r="Z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6">
        <v>45474</v>
      </c>
      <c r="B1643" t="s">
        <v>31</v>
      </c>
      <c r="C1643" t="s">
        <v>32</v>
      </c>
      <c r="D1643" t="s">
        <v>33</v>
      </c>
      <c r="E1643" t="s">
        <v>34</v>
      </c>
      <c r="F1643">
        <v>140</v>
      </c>
      <c r="G1643">
        <v>360</v>
      </c>
      <c r="H1643">
        <v>227</v>
      </c>
      <c r="I1643">
        <v>98</v>
      </c>
      <c r="J1643" s="8">
        <v>0.7</v>
      </c>
      <c r="K1643">
        <v>59</v>
      </c>
      <c r="L1643">
        <v>21</v>
      </c>
      <c r="M1643">
        <v>203</v>
      </c>
      <c r="N1643" s="10">
        <v>478.12</v>
      </c>
      <c r="O1643" s="7">
        <v>12</v>
      </c>
      <c r="P1643" s="7">
        <v>26.9</v>
      </c>
      <c r="Q1643">
        <v>0</v>
      </c>
      <c r="R1643" t="s">
        <v>62</v>
      </c>
      <c r="S1643">
        <v>7</v>
      </c>
      <c r="T1643">
        <v>183</v>
      </c>
      <c r="U1643" s="11">
        <v>0</v>
      </c>
      <c r="V1643" s="11">
        <v>1</v>
      </c>
      <c r="W1643" s="11">
        <v>1.075130776352193E-2</v>
      </c>
      <c r="X1643" s="11">
        <v>-0.99994220302044157</v>
      </c>
      <c r="Y1643">
        <v>0</v>
      </c>
      <c r="Z1643">
        <v>0</v>
      </c>
      <c r="AB1643">
        <v>1</v>
      </c>
      <c r="AC1643">
        <v>0</v>
      </c>
      <c r="AD1643">
        <v>0</v>
      </c>
      <c r="AE1643">
        <v>0</v>
      </c>
    </row>
    <row r="1644" spans="1:31">
      <c r="A1644" s="6">
        <v>45474</v>
      </c>
      <c r="B1644" t="s">
        <v>36</v>
      </c>
      <c r="C1644" t="s">
        <v>37</v>
      </c>
      <c r="D1644" t="s">
        <v>38</v>
      </c>
      <c r="E1644" t="s">
        <v>39</v>
      </c>
      <c r="F1644">
        <v>125</v>
      </c>
      <c r="G1644">
        <v>320</v>
      </c>
      <c r="H1644">
        <v>243</v>
      </c>
      <c r="I1644">
        <v>100</v>
      </c>
      <c r="J1644" s="8">
        <v>0.8</v>
      </c>
      <c r="K1644">
        <v>60</v>
      </c>
      <c r="L1644">
        <v>52</v>
      </c>
      <c r="M1644">
        <v>223</v>
      </c>
      <c r="N1644" s="10">
        <v>659.43</v>
      </c>
      <c r="O1644" s="7">
        <v>12</v>
      </c>
      <c r="P1644" s="7">
        <v>26.9</v>
      </c>
      <c r="Q1644">
        <v>0</v>
      </c>
      <c r="R1644" t="s">
        <v>62</v>
      </c>
      <c r="S1644">
        <v>7</v>
      </c>
      <c r="T1644">
        <v>183</v>
      </c>
      <c r="U1644" s="11">
        <v>0</v>
      </c>
      <c r="V1644" s="11">
        <v>1</v>
      </c>
      <c r="W1644" s="11">
        <v>1.075130776352193E-2</v>
      </c>
      <c r="X1644" s="11">
        <v>-0.99994220302044157</v>
      </c>
      <c r="Y1644">
        <v>0</v>
      </c>
      <c r="Z1644">
        <v>0</v>
      </c>
      <c r="AB1644">
        <v>1</v>
      </c>
      <c r="AC1644">
        <v>0</v>
      </c>
      <c r="AD1644">
        <v>0</v>
      </c>
      <c r="AE1644">
        <v>0</v>
      </c>
    </row>
    <row r="1645" spans="1:31">
      <c r="A1645" s="6">
        <v>45474</v>
      </c>
      <c r="B1645" t="s">
        <v>41</v>
      </c>
      <c r="C1645" t="s">
        <v>42</v>
      </c>
      <c r="D1645" t="s">
        <v>43</v>
      </c>
      <c r="E1645" t="s">
        <v>44</v>
      </c>
      <c r="F1645">
        <v>85</v>
      </c>
      <c r="G1645">
        <v>210</v>
      </c>
      <c r="H1645">
        <v>164</v>
      </c>
      <c r="I1645">
        <v>72</v>
      </c>
      <c r="J1645" s="8">
        <v>0.84705882352941175</v>
      </c>
      <c r="K1645">
        <v>27</v>
      </c>
      <c r="L1645">
        <v>28</v>
      </c>
      <c r="M1645">
        <v>134</v>
      </c>
      <c r="N1645" s="10">
        <v>518.97</v>
      </c>
      <c r="O1645" s="7">
        <v>12</v>
      </c>
      <c r="P1645" s="7">
        <v>26.9</v>
      </c>
      <c r="Q1645">
        <v>0</v>
      </c>
      <c r="R1645" t="s">
        <v>62</v>
      </c>
      <c r="S1645">
        <v>7</v>
      </c>
      <c r="T1645">
        <v>183</v>
      </c>
      <c r="U1645" s="11">
        <v>0</v>
      </c>
      <c r="V1645" s="11">
        <v>1</v>
      </c>
      <c r="W1645" s="11">
        <v>1.075130776352193E-2</v>
      </c>
      <c r="X1645" s="11">
        <v>-0.99994220302044157</v>
      </c>
      <c r="Y1645">
        <v>0</v>
      </c>
      <c r="Z1645">
        <v>0</v>
      </c>
      <c r="AB1645">
        <v>1</v>
      </c>
      <c r="AC1645">
        <v>0</v>
      </c>
      <c r="AD1645">
        <v>0</v>
      </c>
      <c r="AE1645">
        <v>0</v>
      </c>
    </row>
    <row r="1646" spans="1:31">
      <c r="A1646" s="6">
        <v>45475</v>
      </c>
      <c r="B1646" t="s">
        <v>31</v>
      </c>
      <c r="C1646" t="s">
        <v>32</v>
      </c>
      <c r="D1646" t="s">
        <v>33</v>
      </c>
      <c r="E1646" t="s">
        <v>34</v>
      </c>
      <c r="F1646">
        <v>140</v>
      </c>
      <c r="G1646">
        <v>360</v>
      </c>
      <c r="H1646">
        <v>207</v>
      </c>
      <c r="I1646">
        <v>89</v>
      </c>
      <c r="J1646" s="8">
        <v>0.63571428571428568</v>
      </c>
      <c r="K1646">
        <v>40</v>
      </c>
      <c r="L1646">
        <v>30</v>
      </c>
      <c r="M1646">
        <v>185</v>
      </c>
      <c r="N1646" s="10">
        <v>448.56</v>
      </c>
      <c r="O1646" s="7">
        <v>0.2</v>
      </c>
      <c r="P1646" s="7">
        <v>27.8</v>
      </c>
      <c r="Q1646">
        <v>1</v>
      </c>
      <c r="R1646" t="s">
        <v>63</v>
      </c>
      <c r="S1646">
        <v>7</v>
      </c>
      <c r="T1646">
        <v>184</v>
      </c>
      <c r="U1646" s="11">
        <v>0.7818314824680298</v>
      </c>
      <c r="V1646" s="11">
        <v>0.62348980185873359</v>
      </c>
      <c r="W1646" s="11">
        <v>-6.4508641981051501E-3</v>
      </c>
      <c r="X1646" s="11">
        <v>-0.99997919295908233</v>
      </c>
      <c r="Y1646">
        <v>0</v>
      </c>
      <c r="Z1646">
        <v>0</v>
      </c>
      <c r="AB1646">
        <v>1</v>
      </c>
      <c r="AC1646">
        <v>0</v>
      </c>
      <c r="AD1646">
        <v>0</v>
      </c>
      <c r="AE1646">
        <v>0</v>
      </c>
    </row>
    <row r="1647" spans="1:31">
      <c r="A1647" s="6">
        <v>45475</v>
      </c>
      <c r="B1647" t="s">
        <v>36</v>
      </c>
      <c r="C1647" t="s">
        <v>37</v>
      </c>
      <c r="D1647" t="s">
        <v>38</v>
      </c>
      <c r="E1647" t="s">
        <v>39</v>
      </c>
      <c r="F1647">
        <v>125</v>
      </c>
      <c r="G1647">
        <v>320</v>
      </c>
      <c r="H1647">
        <v>222</v>
      </c>
      <c r="I1647">
        <v>92</v>
      </c>
      <c r="J1647" s="8">
        <v>0.73599999999999999</v>
      </c>
      <c r="K1647">
        <v>45</v>
      </c>
      <c r="L1647">
        <v>57</v>
      </c>
      <c r="M1647">
        <v>200</v>
      </c>
      <c r="N1647" s="10">
        <v>675.75</v>
      </c>
      <c r="O1647" s="7">
        <v>0.2</v>
      </c>
      <c r="P1647" s="7">
        <v>27.8</v>
      </c>
      <c r="Q1647">
        <v>1</v>
      </c>
      <c r="R1647" t="s">
        <v>63</v>
      </c>
      <c r="S1647">
        <v>7</v>
      </c>
      <c r="T1647">
        <v>184</v>
      </c>
      <c r="U1647" s="11">
        <v>0.7818314824680298</v>
      </c>
      <c r="V1647" s="11">
        <v>0.62348980185873359</v>
      </c>
      <c r="W1647" s="11">
        <v>-6.4508641981051501E-3</v>
      </c>
      <c r="X1647" s="11">
        <v>-0.99997919295908233</v>
      </c>
      <c r="Y1647">
        <v>0</v>
      </c>
      <c r="Z1647">
        <v>0</v>
      </c>
      <c r="AB1647">
        <v>1</v>
      </c>
      <c r="AC1647">
        <v>0</v>
      </c>
      <c r="AD1647">
        <v>0</v>
      </c>
      <c r="AE1647">
        <v>0</v>
      </c>
    </row>
    <row r="1648" spans="1:31">
      <c r="A1648" s="6">
        <v>45475</v>
      </c>
      <c r="B1648" t="s">
        <v>41</v>
      </c>
      <c r="C1648" t="s">
        <v>42</v>
      </c>
      <c r="D1648" t="s">
        <v>43</v>
      </c>
      <c r="E1648" t="s">
        <v>44</v>
      </c>
      <c r="F1648">
        <v>85</v>
      </c>
      <c r="G1648">
        <v>210</v>
      </c>
      <c r="H1648">
        <v>162</v>
      </c>
      <c r="I1648">
        <v>73</v>
      </c>
      <c r="J1648" s="8">
        <v>0.85882352941176465</v>
      </c>
      <c r="K1648">
        <v>42</v>
      </c>
      <c r="L1648">
        <v>42</v>
      </c>
      <c r="M1648">
        <v>152</v>
      </c>
      <c r="N1648" s="10">
        <v>583.83000000000004</v>
      </c>
      <c r="O1648" s="7">
        <v>0.2</v>
      </c>
      <c r="P1648" s="7">
        <v>27.8</v>
      </c>
      <c r="Q1648">
        <v>1</v>
      </c>
      <c r="R1648" t="s">
        <v>63</v>
      </c>
      <c r="S1648">
        <v>7</v>
      </c>
      <c r="T1648">
        <v>184</v>
      </c>
      <c r="U1648" s="11">
        <v>0.7818314824680298</v>
      </c>
      <c r="V1648" s="11">
        <v>0.62348980185873359</v>
      </c>
      <c r="W1648" s="11">
        <v>-6.4508641981051501E-3</v>
      </c>
      <c r="X1648" s="11">
        <v>-0.99997919295908233</v>
      </c>
      <c r="Y1648">
        <v>0</v>
      </c>
      <c r="Z1648">
        <v>0</v>
      </c>
      <c r="AB1648">
        <v>1</v>
      </c>
      <c r="AC1648">
        <v>0</v>
      </c>
      <c r="AD1648">
        <v>0</v>
      </c>
      <c r="AE1648">
        <v>0</v>
      </c>
    </row>
    <row r="1649" spans="1:31">
      <c r="A1649" s="6">
        <v>45476</v>
      </c>
      <c r="B1649" t="s">
        <v>31</v>
      </c>
      <c r="C1649" t="s">
        <v>32</v>
      </c>
      <c r="D1649" t="s">
        <v>33</v>
      </c>
      <c r="E1649" t="s">
        <v>34</v>
      </c>
      <c r="F1649">
        <v>140</v>
      </c>
      <c r="G1649">
        <v>360</v>
      </c>
      <c r="H1649">
        <v>238</v>
      </c>
      <c r="I1649">
        <v>101</v>
      </c>
      <c r="J1649" s="8">
        <v>0.72142857142857142</v>
      </c>
      <c r="K1649">
        <v>40</v>
      </c>
      <c r="L1649">
        <v>29</v>
      </c>
      <c r="M1649">
        <v>207</v>
      </c>
      <c r="N1649" s="10">
        <v>430.47</v>
      </c>
      <c r="O1649" s="7">
        <v>5.4</v>
      </c>
      <c r="P1649" s="7">
        <v>27.5</v>
      </c>
      <c r="Q1649">
        <v>2</v>
      </c>
      <c r="R1649" t="s">
        <v>64</v>
      </c>
      <c r="S1649">
        <v>7</v>
      </c>
      <c r="T1649">
        <v>185</v>
      </c>
      <c r="U1649" s="11">
        <v>0.97492791218182362</v>
      </c>
      <c r="V1649" s="11">
        <v>-0.22252093395631434</v>
      </c>
      <c r="W1649" s="11">
        <v>-2.3651127245231586E-2</v>
      </c>
      <c r="X1649" s="11">
        <v>-0.99972027296640831</v>
      </c>
      <c r="Y1649">
        <v>0</v>
      </c>
      <c r="Z1649">
        <v>0</v>
      </c>
      <c r="AB1649">
        <v>1</v>
      </c>
      <c r="AC1649">
        <v>0</v>
      </c>
      <c r="AD1649">
        <v>0</v>
      </c>
      <c r="AE1649">
        <v>0</v>
      </c>
    </row>
    <row r="1650" spans="1:31">
      <c r="A1650" s="6">
        <v>45476</v>
      </c>
      <c r="B1650" t="s">
        <v>36</v>
      </c>
      <c r="C1650" t="s">
        <v>37</v>
      </c>
      <c r="D1650" t="s">
        <v>38</v>
      </c>
      <c r="E1650" t="s">
        <v>39</v>
      </c>
      <c r="F1650">
        <v>125</v>
      </c>
      <c r="G1650">
        <v>320</v>
      </c>
      <c r="H1650">
        <v>226</v>
      </c>
      <c r="I1650">
        <v>93</v>
      </c>
      <c r="J1650" s="8">
        <v>0.74399999999999999</v>
      </c>
      <c r="K1650">
        <v>51</v>
      </c>
      <c r="L1650">
        <v>34</v>
      </c>
      <c r="M1650">
        <v>187</v>
      </c>
      <c r="N1650" s="10">
        <v>658.28</v>
      </c>
      <c r="O1650" s="7">
        <v>5.4</v>
      </c>
      <c r="P1650" s="7">
        <v>27.5</v>
      </c>
      <c r="Q1650">
        <v>2</v>
      </c>
      <c r="R1650" t="s">
        <v>64</v>
      </c>
      <c r="S1650">
        <v>7</v>
      </c>
      <c r="T1650">
        <v>185</v>
      </c>
      <c r="U1650" s="11">
        <v>0.97492791218182362</v>
      </c>
      <c r="V1650" s="11">
        <v>-0.22252093395631434</v>
      </c>
      <c r="W1650" s="11">
        <v>-2.3651127245231586E-2</v>
      </c>
      <c r="X1650" s="11">
        <v>-0.99972027296640831</v>
      </c>
      <c r="Y1650">
        <v>0</v>
      </c>
      <c r="Z1650">
        <v>0</v>
      </c>
      <c r="AB1650">
        <v>1</v>
      </c>
      <c r="AC1650">
        <v>0</v>
      </c>
      <c r="AD1650">
        <v>0</v>
      </c>
      <c r="AE1650">
        <v>0</v>
      </c>
    </row>
    <row r="1651" spans="1:31">
      <c r="A1651" s="6">
        <v>45476</v>
      </c>
      <c r="B1651" t="s">
        <v>41</v>
      </c>
      <c r="C1651" t="s">
        <v>42</v>
      </c>
      <c r="D1651" t="s">
        <v>43</v>
      </c>
      <c r="E1651" t="s">
        <v>44</v>
      </c>
      <c r="F1651">
        <v>85</v>
      </c>
      <c r="G1651">
        <v>210</v>
      </c>
      <c r="H1651">
        <v>157</v>
      </c>
      <c r="I1651">
        <v>69</v>
      </c>
      <c r="J1651" s="8">
        <v>0.81176470588235294</v>
      </c>
      <c r="K1651">
        <v>39</v>
      </c>
      <c r="L1651">
        <v>16</v>
      </c>
      <c r="M1651">
        <v>137</v>
      </c>
      <c r="N1651" s="10">
        <v>586.83000000000004</v>
      </c>
      <c r="O1651" s="7">
        <v>5.4</v>
      </c>
      <c r="P1651" s="7">
        <v>27.5</v>
      </c>
      <c r="Q1651">
        <v>2</v>
      </c>
      <c r="R1651" t="s">
        <v>64</v>
      </c>
      <c r="S1651">
        <v>7</v>
      </c>
      <c r="T1651">
        <v>185</v>
      </c>
      <c r="U1651" s="11">
        <v>0.97492791218182362</v>
      </c>
      <c r="V1651" s="11">
        <v>-0.22252093395631434</v>
      </c>
      <c r="W1651" s="11">
        <v>-2.3651127245231586E-2</v>
      </c>
      <c r="X1651" s="11">
        <v>-0.99972027296640831</v>
      </c>
      <c r="Y1651">
        <v>0</v>
      </c>
      <c r="Z1651">
        <v>0</v>
      </c>
      <c r="AB1651">
        <v>1</v>
      </c>
      <c r="AC1651">
        <v>0</v>
      </c>
      <c r="AD1651">
        <v>0</v>
      </c>
      <c r="AE1651">
        <v>0</v>
      </c>
    </row>
    <row r="1652" spans="1:31">
      <c r="A1652" s="6">
        <v>45477</v>
      </c>
      <c r="B1652" t="s">
        <v>31</v>
      </c>
      <c r="C1652" t="s">
        <v>32</v>
      </c>
      <c r="D1652" t="s">
        <v>33</v>
      </c>
      <c r="E1652" t="s">
        <v>34</v>
      </c>
      <c r="F1652">
        <v>140</v>
      </c>
      <c r="G1652">
        <v>360</v>
      </c>
      <c r="H1652">
        <v>203</v>
      </c>
      <c r="I1652">
        <v>86</v>
      </c>
      <c r="J1652" s="8">
        <v>0.61428571428571432</v>
      </c>
      <c r="K1652">
        <v>40</v>
      </c>
      <c r="L1652">
        <v>42</v>
      </c>
      <c r="M1652">
        <v>191</v>
      </c>
      <c r="N1652" s="10">
        <v>493.94</v>
      </c>
      <c r="O1652" s="7">
        <v>13</v>
      </c>
      <c r="P1652" s="7">
        <v>29</v>
      </c>
      <c r="Q1652">
        <v>3</v>
      </c>
      <c r="R1652" t="s">
        <v>65</v>
      </c>
      <c r="S1652">
        <v>7</v>
      </c>
      <c r="T1652">
        <v>186</v>
      </c>
      <c r="U1652" s="11">
        <v>0.43388373911755823</v>
      </c>
      <c r="V1652" s="11">
        <v>-0.90096886790241903</v>
      </c>
      <c r="W1652" s="11">
        <v>-4.084439154329611E-2</v>
      </c>
      <c r="X1652" s="11">
        <v>-0.99916551966101086</v>
      </c>
      <c r="Y1652">
        <v>0</v>
      </c>
      <c r="Z1652">
        <v>0</v>
      </c>
      <c r="AB1652">
        <v>1</v>
      </c>
      <c r="AC1652">
        <v>0</v>
      </c>
      <c r="AD1652">
        <v>0</v>
      </c>
      <c r="AE1652">
        <v>0</v>
      </c>
    </row>
    <row r="1653" spans="1:31">
      <c r="A1653" s="6">
        <v>45477</v>
      </c>
      <c r="B1653" t="s">
        <v>36</v>
      </c>
      <c r="C1653" t="s">
        <v>37</v>
      </c>
      <c r="D1653" t="s">
        <v>38</v>
      </c>
      <c r="E1653" t="s">
        <v>39</v>
      </c>
      <c r="F1653">
        <v>125</v>
      </c>
      <c r="G1653">
        <v>320</v>
      </c>
      <c r="H1653">
        <v>209</v>
      </c>
      <c r="I1653">
        <v>86</v>
      </c>
      <c r="J1653" s="8">
        <v>0.68799999999999994</v>
      </c>
      <c r="K1653">
        <v>50</v>
      </c>
      <c r="L1653">
        <v>36</v>
      </c>
      <c r="M1653">
        <v>178</v>
      </c>
      <c r="N1653" s="10">
        <v>624.55999999999995</v>
      </c>
      <c r="O1653" s="7">
        <v>13</v>
      </c>
      <c r="P1653" s="7">
        <v>29</v>
      </c>
      <c r="Q1653">
        <v>3</v>
      </c>
      <c r="R1653" t="s">
        <v>65</v>
      </c>
      <c r="S1653">
        <v>7</v>
      </c>
      <c r="T1653">
        <v>186</v>
      </c>
      <c r="U1653" s="11">
        <v>0.43388373911755823</v>
      </c>
      <c r="V1653" s="11">
        <v>-0.90096886790241903</v>
      </c>
      <c r="W1653" s="11">
        <v>-4.084439154329611E-2</v>
      </c>
      <c r="X1653" s="11">
        <v>-0.99916551966101086</v>
      </c>
      <c r="Y1653">
        <v>0</v>
      </c>
      <c r="Z1653">
        <v>0</v>
      </c>
      <c r="AB1653">
        <v>1</v>
      </c>
      <c r="AC1653">
        <v>0</v>
      </c>
      <c r="AD1653">
        <v>0</v>
      </c>
      <c r="AE1653">
        <v>0</v>
      </c>
    </row>
    <row r="1654" spans="1:31">
      <c r="A1654" s="6">
        <v>45477</v>
      </c>
      <c r="B1654" t="s">
        <v>41</v>
      </c>
      <c r="C1654" t="s">
        <v>42</v>
      </c>
      <c r="D1654" t="s">
        <v>43</v>
      </c>
      <c r="E1654" t="s">
        <v>44</v>
      </c>
      <c r="F1654">
        <v>85</v>
      </c>
      <c r="G1654">
        <v>210</v>
      </c>
      <c r="H1654">
        <v>155</v>
      </c>
      <c r="I1654">
        <v>72</v>
      </c>
      <c r="J1654" s="8">
        <v>0.84705882352941175</v>
      </c>
      <c r="K1654">
        <v>28</v>
      </c>
      <c r="L1654">
        <v>33</v>
      </c>
      <c r="M1654">
        <v>128</v>
      </c>
      <c r="N1654" s="10">
        <v>608</v>
      </c>
      <c r="O1654" s="7">
        <v>13</v>
      </c>
      <c r="P1654" s="7">
        <v>29</v>
      </c>
      <c r="Q1654">
        <v>3</v>
      </c>
      <c r="R1654" t="s">
        <v>65</v>
      </c>
      <c r="S1654">
        <v>7</v>
      </c>
      <c r="T1654">
        <v>186</v>
      </c>
      <c r="U1654" s="11">
        <v>0.43388373911755823</v>
      </c>
      <c r="V1654" s="11">
        <v>-0.90096886790241903</v>
      </c>
      <c r="W1654" s="11">
        <v>-4.084439154329611E-2</v>
      </c>
      <c r="X1654" s="11">
        <v>-0.99916551966101086</v>
      </c>
      <c r="Y1654">
        <v>0</v>
      </c>
      <c r="Z1654">
        <v>0</v>
      </c>
      <c r="AB1654">
        <v>1</v>
      </c>
      <c r="AC1654">
        <v>0</v>
      </c>
      <c r="AD1654">
        <v>0</v>
      </c>
      <c r="AE1654">
        <v>0</v>
      </c>
    </row>
    <row r="1655" spans="1:31">
      <c r="A1655" s="6">
        <v>45478</v>
      </c>
      <c r="B1655" t="s">
        <v>31</v>
      </c>
      <c r="C1655" t="s">
        <v>32</v>
      </c>
      <c r="D1655" t="s">
        <v>33</v>
      </c>
      <c r="E1655" t="s">
        <v>34</v>
      </c>
      <c r="F1655">
        <v>140</v>
      </c>
      <c r="G1655">
        <v>360</v>
      </c>
      <c r="H1655">
        <v>211</v>
      </c>
      <c r="I1655">
        <v>91</v>
      </c>
      <c r="J1655" s="8">
        <v>0.65</v>
      </c>
      <c r="K1655">
        <v>31</v>
      </c>
      <c r="L1655">
        <v>25</v>
      </c>
      <c r="M1655">
        <v>187</v>
      </c>
      <c r="N1655" s="10">
        <v>430.95</v>
      </c>
      <c r="O1655" s="7">
        <v>0</v>
      </c>
      <c r="P1655" s="7">
        <v>28.4</v>
      </c>
      <c r="Q1655">
        <v>4</v>
      </c>
      <c r="R1655" t="s">
        <v>66</v>
      </c>
      <c r="S1655">
        <v>7</v>
      </c>
      <c r="T1655">
        <v>187</v>
      </c>
      <c r="U1655" s="11">
        <v>-0.43388373911755801</v>
      </c>
      <c r="V1655" s="11">
        <v>-0.90096886790241915</v>
      </c>
      <c r="W1655" s="11">
        <v>-5.8025569328780349E-2</v>
      </c>
      <c r="X1655" s="11">
        <v>-0.99831509720331835</v>
      </c>
      <c r="Y1655">
        <v>0</v>
      </c>
      <c r="Z1655">
        <v>0</v>
      </c>
      <c r="AB1655">
        <v>1</v>
      </c>
      <c r="AC1655">
        <v>0</v>
      </c>
      <c r="AD1655">
        <v>0</v>
      </c>
      <c r="AE1655">
        <v>0</v>
      </c>
    </row>
    <row r="1656" spans="1:31">
      <c r="A1656" s="6">
        <v>45478</v>
      </c>
      <c r="B1656" t="s">
        <v>36</v>
      </c>
      <c r="C1656" t="s">
        <v>37</v>
      </c>
      <c r="D1656" t="s">
        <v>38</v>
      </c>
      <c r="E1656" t="s">
        <v>39</v>
      </c>
      <c r="F1656">
        <v>125</v>
      </c>
      <c r="G1656">
        <v>320</v>
      </c>
      <c r="H1656">
        <v>236</v>
      </c>
      <c r="I1656">
        <v>99</v>
      </c>
      <c r="J1656" s="8">
        <v>0.79200000000000004</v>
      </c>
      <c r="K1656">
        <v>40</v>
      </c>
      <c r="L1656">
        <v>46</v>
      </c>
      <c r="M1656">
        <v>204</v>
      </c>
      <c r="N1656" s="10">
        <v>694.11</v>
      </c>
      <c r="O1656" s="7">
        <v>0</v>
      </c>
      <c r="P1656" s="7">
        <v>28.4</v>
      </c>
      <c r="Q1656">
        <v>4</v>
      </c>
      <c r="R1656" t="s">
        <v>66</v>
      </c>
      <c r="S1656">
        <v>7</v>
      </c>
      <c r="T1656">
        <v>187</v>
      </c>
      <c r="U1656" s="11">
        <v>-0.43388373911755801</v>
      </c>
      <c r="V1656" s="11">
        <v>-0.90096886790241915</v>
      </c>
      <c r="W1656" s="11">
        <v>-5.8025569328780349E-2</v>
      </c>
      <c r="X1656" s="11">
        <v>-0.99831509720331835</v>
      </c>
      <c r="Y1656">
        <v>0</v>
      </c>
      <c r="Z1656">
        <v>0</v>
      </c>
      <c r="AB1656">
        <v>1</v>
      </c>
      <c r="AC1656">
        <v>0</v>
      </c>
      <c r="AD1656">
        <v>0</v>
      </c>
      <c r="AE1656">
        <v>0</v>
      </c>
    </row>
    <row r="1657" spans="1:31">
      <c r="A1657" s="6">
        <v>45478</v>
      </c>
      <c r="B1657" t="s">
        <v>41</v>
      </c>
      <c r="C1657" t="s">
        <v>42</v>
      </c>
      <c r="D1657" t="s">
        <v>43</v>
      </c>
      <c r="E1657" t="s">
        <v>44</v>
      </c>
      <c r="F1657">
        <v>85</v>
      </c>
      <c r="G1657">
        <v>210</v>
      </c>
      <c r="H1657">
        <v>162</v>
      </c>
      <c r="I1657">
        <v>74</v>
      </c>
      <c r="J1657" s="8">
        <v>0.87058823529411766</v>
      </c>
      <c r="K1657">
        <v>45</v>
      </c>
      <c r="L1657">
        <v>24</v>
      </c>
      <c r="M1657">
        <v>142</v>
      </c>
      <c r="N1657" s="10">
        <v>564</v>
      </c>
      <c r="O1657" s="7">
        <v>0</v>
      </c>
      <c r="P1657" s="7">
        <v>28.4</v>
      </c>
      <c r="Q1657">
        <v>4</v>
      </c>
      <c r="R1657" t="s">
        <v>66</v>
      </c>
      <c r="S1657">
        <v>7</v>
      </c>
      <c r="T1657">
        <v>187</v>
      </c>
      <c r="U1657" s="11">
        <v>-0.43388373911755801</v>
      </c>
      <c r="V1657" s="11">
        <v>-0.90096886790241915</v>
      </c>
      <c r="W1657" s="11">
        <v>-5.8025569328780349E-2</v>
      </c>
      <c r="X1657" s="11">
        <v>-0.99831509720331835</v>
      </c>
      <c r="Y1657">
        <v>0</v>
      </c>
      <c r="Z1657">
        <v>0</v>
      </c>
      <c r="AB1657">
        <v>1</v>
      </c>
      <c r="AC1657">
        <v>0</v>
      </c>
      <c r="AD1657">
        <v>0</v>
      </c>
      <c r="AE1657">
        <v>0</v>
      </c>
    </row>
    <row r="1658" spans="1:31">
      <c r="A1658" s="6">
        <v>45479</v>
      </c>
      <c r="B1658" t="s">
        <v>31</v>
      </c>
      <c r="C1658" t="s">
        <v>32</v>
      </c>
      <c r="D1658" t="s">
        <v>33</v>
      </c>
      <c r="E1658" t="s">
        <v>34</v>
      </c>
      <c r="F1658">
        <v>140</v>
      </c>
      <c r="G1658">
        <v>360</v>
      </c>
      <c r="H1658">
        <v>255</v>
      </c>
      <c r="I1658">
        <v>109</v>
      </c>
      <c r="J1658" s="8">
        <v>0.77857142857142858</v>
      </c>
      <c r="K1658">
        <v>40</v>
      </c>
      <c r="L1658">
        <v>63</v>
      </c>
      <c r="M1658">
        <v>223</v>
      </c>
      <c r="N1658" s="10">
        <v>481.77</v>
      </c>
      <c r="O1658" s="7">
        <v>21.9</v>
      </c>
      <c r="P1658" s="7">
        <v>28.2</v>
      </c>
      <c r="Q1658">
        <v>5</v>
      </c>
      <c r="R1658" t="s">
        <v>67</v>
      </c>
      <c r="S1658">
        <v>7</v>
      </c>
      <c r="T1658">
        <v>188</v>
      </c>
      <c r="U1658" s="11">
        <v>-0.97492791218182362</v>
      </c>
      <c r="V1658" s="11">
        <v>-0.22252093395631459</v>
      </c>
      <c r="W1658" s="11">
        <v>-7.5189576414758555E-2</v>
      </c>
      <c r="X1658" s="11">
        <v>-0.99716925724701777</v>
      </c>
      <c r="Y1658">
        <v>1</v>
      </c>
      <c r="Z1658">
        <v>0</v>
      </c>
      <c r="AB1658">
        <v>1</v>
      </c>
      <c r="AC1658">
        <v>0</v>
      </c>
      <c r="AD1658">
        <v>0</v>
      </c>
      <c r="AE1658">
        <v>0</v>
      </c>
    </row>
    <row r="1659" spans="1:31">
      <c r="A1659" s="6">
        <v>45479</v>
      </c>
      <c r="B1659" t="s">
        <v>36</v>
      </c>
      <c r="C1659" t="s">
        <v>37</v>
      </c>
      <c r="D1659" t="s">
        <v>38</v>
      </c>
      <c r="E1659" t="s">
        <v>39</v>
      </c>
      <c r="F1659">
        <v>125</v>
      </c>
      <c r="G1659">
        <v>320</v>
      </c>
      <c r="H1659">
        <v>250</v>
      </c>
      <c r="I1659">
        <v>101</v>
      </c>
      <c r="J1659" s="8">
        <v>0.80800000000000005</v>
      </c>
      <c r="K1659">
        <v>65</v>
      </c>
      <c r="L1659">
        <v>31</v>
      </c>
      <c r="M1659">
        <v>212</v>
      </c>
      <c r="N1659" s="10">
        <v>755.41</v>
      </c>
      <c r="O1659" s="7">
        <v>21.9</v>
      </c>
      <c r="P1659" s="7">
        <v>28.2</v>
      </c>
      <c r="Q1659">
        <v>5</v>
      </c>
      <c r="R1659" t="s">
        <v>67</v>
      </c>
      <c r="S1659">
        <v>7</v>
      </c>
      <c r="T1659">
        <v>188</v>
      </c>
      <c r="U1659" s="11">
        <v>-0.97492791218182362</v>
      </c>
      <c r="V1659" s="11">
        <v>-0.22252093395631459</v>
      </c>
      <c r="W1659" s="11">
        <v>-7.5189576414758555E-2</v>
      </c>
      <c r="X1659" s="11">
        <v>-0.99716925724701777</v>
      </c>
      <c r="Y1659">
        <v>1</v>
      </c>
      <c r="Z1659">
        <v>0</v>
      </c>
      <c r="AB1659">
        <v>1</v>
      </c>
      <c r="AC1659">
        <v>0</v>
      </c>
      <c r="AD1659">
        <v>0</v>
      </c>
      <c r="AE1659">
        <v>0</v>
      </c>
    </row>
    <row r="1660" spans="1:31">
      <c r="A1660" s="6">
        <v>45479</v>
      </c>
      <c r="B1660" t="s">
        <v>41</v>
      </c>
      <c r="C1660" t="s">
        <v>42</v>
      </c>
      <c r="D1660" t="s">
        <v>43</v>
      </c>
      <c r="E1660" t="s">
        <v>44</v>
      </c>
      <c r="F1660">
        <v>85</v>
      </c>
      <c r="G1660">
        <v>210</v>
      </c>
      <c r="H1660">
        <v>175</v>
      </c>
      <c r="I1660">
        <v>80</v>
      </c>
      <c r="J1660" s="8">
        <v>0.94117647058823528</v>
      </c>
      <c r="K1660">
        <v>32</v>
      </c>
      <c r="L1660">
        <v>40</v>
      </c>
      <c r="M1660">
        <v>160</v>
      </c>
      <c r="N1660" s="10">
        <v>686.7</v>
      </c>
      <c r="O1660" s="7">
        <v>21.9</v>
      </c>
      <c r="P1660" s="7">
        <v>28.2</v>
      </c>
      <c r="Q1660">
        <v>5</v>
      </c>
      <c r="R1660" t="s">
        <v>67</v>
      </c>
      <c r="S1660">
        <v>7</v>
      </c>
      <c r="T1660">
        <v>188</v>
      </c>
      <c r="U1660" s="11">
        <v>-0.97492791218182362</v>
      </c>
      <c r="V1660" s="11">
        <v>-0.22252093395631459</v>
      </c>
      <c r="W1660" s="11">
        <v>-7.5189576414758555E-2</v>
      </c>
      <c r="X1660" s="11">
        <v>-0.99716925724701777</v>
      </c>
      <c r="Y1660">
        <v>1</v>
      </c>
      <c r="Z1660">
        <v>0</v>
      </c>
      <c r="AB1660">
        <v>1</v>
      </c>
      <c r="AC1660">
        <v>0</v>
      </c>
      <c r="AD1660">
        <v>0</v>
      </c>
      <c r="AE1660">
        <v>0</v>
      </c>
    </row>
    <row r="1661" spans="1:31">
      <c r="A1661" s="6">
        <v>45480</v>
      </c>
      <c r="B1661" t="s">
        <v>31</v>
      </c>
      <c r="C1661" t="s">
        <v>32</v>
      </c>
      <c r="D1661" t="s">
        <v>33</v>
      </c>
      <c r="E1661" t="s">
        <v>34</v>
      </c>
      <c r="F1661">
        <v>140</v>
      </c>
      <c r="G1661">
        <v>360</v>
      </c>
      <c r="H1661">
        <v>221</v>
      </c>
      <c r="I1661">
        <v>97</v>
      </c>
      <c r="J1661" s="8">
        <v>0.69285714285714284</v>
      </c>
      <c r="K1661">
        <v>52</v>
      </c>
      <c r="L1661">
        <v>42</v>
      </c>
      <c r="M1661">
        <v>182</v>
      </c>
      <c r="N1661" s="10">
        <v>543.33000000000004</v>
      </c>
      <c r="O1661" s="7">
        <v>1.5</v>
      </c>
      <c r="P1661" s="7">
        <v>28.3</v>
      </c>
      <c r="Q1661">
        <v>6</v>
      </c>
      <c r="R1661" t="s">
        <v>60</v>
      </c>
      <c r="S1661">
        <v>7</v>
      </c>
      <c r="T1661">
        <v>189</v>
      </c>
      <c r="U1661" s="11">
        <v>-0.78183148246802991</v>
      </c>
      <c r="V1661" s="11">
        <v>0.62348980185873337</v>
      </c>
      <c r="W1661" s="11">
        <v>-9.2331333695391218E-2</v>
      </c>
      <c r="X1661" s="11">
        <v>-0.99572833886458723</v>
      </c>
      <c r="Y1661">
        <v>1</v>
      </c>
      <c r="Z1661">
        <v>0</v>
      </c>
      <c r="AB1661">
        <v>1</v>
      </c>
      <c r="AC1661">
        <v>0</v>
      </c>
      <c r="AD1661">
        <v>0</v>
      </c>
      <c r="AE1661">
        <v>0</v>
      </c>
    </row>
    <row r="1662" spans="1:31">
      <c r="A1662" s="6">
        <v>45480</v>
      </c>
      <c r="B1662" t="s">
        <v>36</v>
      </c>
      <c r="C1662" t="s">
        <v>37</v>
      </c>
      <c r="D1662" t="s">
        <v>38</v>
      </c>
      <c r="E1662" t="s">
        <v>39</v>
      </c>
      <c r="F1662">
        <v>125</v>
      </c>
      <c r="G1662">
        <v>320</v>
      </c>
      <c r="H1662">
        <v>259</v>
      </c>
      <c r="I1662">
        <v>109</v>
      </c>
      <c r="J1662" s="8">
        <v>0.872</v>
      </c>
      <c r="K1662">
        <v>50</v>
      </c>
      <c r="L1662">
        <v>68</v>
      </c>
      <c r="M1662">
        <v>243</v>
      </c>
      <c r="N1662" s="10">
        <v>743.6</v>
      </c>
      <c r="O1662" s="7">
        <v>1.5</v>
      </c>
      <c r="P1662" s="7">
        <v>28.3</v>
      </c>
      <c r="Q1662">
        <v>6</v>
      </c>
      <c r="R1662" t="s">
        <v>60</v>
      </c>
      <c r="S1662">
        <v>7</v>
      </c>
      <c r="T1662">
        <v>189</v>
      </c>
      <c r="U1662" s="11">
        <v>-0.78183148246802991</v>
      </c>
      <c r="V1662" s="11">
        <v>0.62348980185873337</v>
      </c>
      <c r="W1662" s="11">
        <v>-9.2331333695391218E-2</v>
      </c>
      <c r="X1662" s="11">
        <v>-0.99572833886458723</v>
      </c>
      <c r="Y1662">
        <v>1</v>
      </c>
      <c r="Z1662">
        <v>0</v>
      </c>
      <c r="AB1662">
        <v>1</v>
      </c>
      <c r="AC1662">
        <v>0</v>
      </c>
      <c r="AD1662">
        <v>0</v>
      </c>
      <c r="AE1662">
        <v>0</v>
      </c>
    </row>
    <row r="1663" spans="1:31">
      <c r="A1663" s="6">
        <v>45480</v>
      </c>
      <c r="B1663" t="s">
        <v>41</v>
      </c>
      <c r="C1663" t="s">
        <v>42</v>
      </c>
      <c r="D1663" t="s">
        <v>43</v>
      </c>
      <c r="E1663" t="s">
        <v>44</v>
      </c>
      <c r="F1663">
        <v>85</v>
      </c>
      <c r="G1663">
        <v>210</v>
      </c>
      <c r="H1663">
        <v>180</v>
      </c>
      <c r="I1663">
        <v>78</v>
      </c>
      <c r="J1663" s="8">
        <v>0.91764705882352937</v>
      </c>
      <c r="K1663">
        <v>44</v>
      </c>
      <c r="L1663">
        <v>45</v>
      </c>
      <c r="M1663">
        <v>158</v>
      </c>
      <c r="N1663" s="10">
        <v>668.92</v>
      </c>
      <c r="O1663" s="7">
        <v>1.5</v>
      </c>
      <c r="P1663" s="7">
        <v>28.3</v>
      </c>
      <c r="Q1663">
        <v>6</v>
      </c>
      <c r="R1663" t="s">
        <v>60</v>
      </c>
      <c r="S1663">
        <v>7</v>
      </c>
      <c r="T1663">
        <v>189</v>
      </c>
      <c r="U1663" s="11">
        <v>-0.78183148246802991</v>
      </c>
      <c r="V1663" s="11">
        <v>0.62348980185873337</v>
      </c>
      <c r="W1663" s="11">
        <v>-9.2331333695391218E-2</v>
      </c>
      <c r="X1663" s="11">
        <v>-0.99572833886458723</v>
      </c>
      <c r="Y1663">
        <v>1</v>
      </c>
      <c r="Z1663">
        <v>0</v>
      </c>
      <c r="AB1663">
        <v>1</v>
      </c>
      <c r="AC1663">
        <v>0</v>
      </c>
      <c r="AD1663">
        <v>0</v>
      </c>
      <c r="AE1663">
        <v>0</v>
      </c>
    </row>
    <row r="1664" spans="1:31">
      <c r="A1664" s="6">
        <v>45481</v>
      </c>
      <c r="B1664" t="s">
        <v>31</v>
      </c>
      <c r="C1664" t="s">
        <v>32</v>
      </c>
      <c r="D1664" t="s">
        <v>33</v>
      </c>
      <c r="E1664" t="s">
        <v>34</v>
      </c>
      <c r="F1664">
        <v>140</v>
      </c>
      <c r="G1664">
        <v>360</v>
      </c>
      <c r="H1664">
        <v>245</v>
      </c>
      <c r="I1664">
        <v>105</v>
      </c>
      <c r="J1664" s="8">
        <v>0.75</v>
      </c>
      <c r="K1664">
        <v>42</v>
      </c>
      <c r="L1664">
        <v>25</v>
      </c>
      <c r="M1664">
        <v>222</v>
      </c>
      <c r="N1664" s="10">
        <v>425.83</v>
      </c>
      <c r="O1664" s="7">
        <v>0</v>
      </c>
      <c r="P1664" s="7">
        <v>28.6</v>
      </c>
      <c r="Q1664">
        <v>0</v>
      </c>
      <c r="R1664" t="s">
        <v>62</v>
      </c>
      <c r="S1664">
        <v>7</v>
      </c>
      <c r="T1664">
        <v>190</v>
      </c>
      <c r="U1664" s="11">
        <v>0</v>
      </c>
      <c r="V1664" s="11">
        <v>1</v>
      </c>
      <c r="W1664" s="11">
        <v>-0.10944576864891556</v>
      </c>
      <c r="X1664" s="11">
        <v>-0.99399276844695805</v>
      </c>
      <c r="Y1664">
        <v>0</v>
      </c>
      <c r="Z1664">
        <v>0</v>
      </c>
      <c r="AB1664">
        <v>1</v>
      </c>
      <c r="AC1664">
        <v>0</v>
      </c>
      <c r="AD1664">
        <v>0</v>
      </c>
      <c r="AE1664">
        <v>0</v>
      </c>
    </row>
    <row r="1665" spans="1:31">
      <c r="A1665" s="6">
        <v>45481</v>
      </c>
      <c r="B1665" t="s">
        <v>36</v>
      </c>
      <c r="C1665" t="s">
        <v>37</v>
      </c>
      <c r="D1665" t="s">
        <v>38</v>
      </c>
      <c r="E1665" t="s">
        <v>39</v>
      </c>
      <c r="F1665">
        <v>125</v>
      </c>
      <c r="G1665">
        <v>320</v>
      </c>
      <c r="H1665">
        <v>218</v>
      </c>
      <c r="I1665">
        <v>91</v>
      </c>
      <c r="J1665" s="8">
        <v>0.72799999999999998</v>
      </c>
      <c r="K1665">
        <v>33</v>
      </c>
      <c r="L1665">
        <v>59</v>
      </c>
      <c r="M1665">
        <v>178</v>
      </c>
      <c r="N1665" s="10">
        <v>702.51</v>
      </c>
      <c r="O1665" s="7">
        <v>0</v>
      </c>
      <c r="P1665" s="7">
        <v>28.6</v>
      </c>
      <c r="Q1665">
        <v>0</v>
      </c>
      <c r="R1665" t="s">
        <v>62</v>
      </c>
      <c r="S1665">
        <v>7</v>
      </c>
      <c r="T1665">
        <v>190</v>
      </c>
      <c r="U1665" s="11">
        <v>0</v>
      </c>
      <c r="V1665" s="11">
        <v>1</v>
      </c>
      <c r="W1665" s="11">
        <v>-0.10944576864891556</v>
      </c>
      <c r="X1665" s="11">
        <v>-0.99399276844695805</v>
      </c>
      <c r="Y1665">
        <v>0</v>
      </c>
      <c r="Z1665">
        <v>0</v>
      </c>
      <c r="AB1665">
        <v>1</v>
      </c>
      <c r="AC1665">
        <v>0</v>
      </c>
      <c r="AD1665">
        <v>0</v>
      </c>
      <c r="AE1665">
        <v>0</v>
      </c>
    </row>
    <row r="1666" spans="1:31">
      <c r="A1666" s="6">
        <v>45481</v>
      </c>
      <c r="B1666" t="s">
        <v>41</v>
      </c>
      <c r="C1666" t="s">
        <v>42</v>
      </c>
      <c r="D1666" t="s">
        <v>43</v>
      </c>
      <c r="E1666" t="s">
        <v>44</v>
      </c>
      <c r="F1666">
        <v>85</v>
      </c>
      <c r="G1666">
        <v>210</v>
      </c>
      <c r="H1666">
        <v>160</v>
      </c>
      <c r="I1666">
        <v>71</v>
      </c>
      <c r="J1666" s="8">
        <v>0.83529411764705885</v>
      </c>
      <c r="K1666">
        <v>22</v>
      </c>
      <c r="L1666">
        <v>33</v>
      </c>
      <c r="M1666">
        <v>135</v>
      </c>
      <c r="N1666" s="10">
        <v>518.97</v>
      </c>
      <c r="O1666" s="7">
        <v>0</v>
      </c>
      <c r="P1666" s="7">
        <v>28.6</v>
      </c>
      <c r="Q1666">
        <v>0</v>
      </c>
      <c r="R1666" t="s">
        <v>62</v>
      </c>
      <c r="S1666">
        <v>7</v>
      </c>
      <c r="T1666">
        <v>190</v>
      </c>
      <c r="U1666" s="11">
        <v>0</v>
      </c>
      <c r="V1666" s="11">
        <v>1</v>
      </c>
      <c r="W1666" s="11">
        <v>-0.10944576864891556</v>
      </c>
      <c r="X1666" s="11">
        <v>-0.99399276844695805</v>
      </c>
      <c r="Y1666">
        <v>0</v>
      </c>
      <c r="Z1666">
        <v>0</v>
      </c>
      <c r="AB1666">
        <v>1</v>
      </c>
      <c r="AC1666">
        <v>0</v>
      </c>
      <c r="AD1666">
        <v>0</v>
      </c>
      <c r="AE1666">
        <v>0</v>
      </c>
    </row>
    <row r="1667" spans="1:31">
      <c r="A1667" s="6">
        <v>45482</v>
      </c>
      <c r="B1667" t="s">
        <v>31</v>
      </c>
      <c r="C1667" t="s">
        <v>32</v>
      </c>
      <c r="D1667" t="s">
        <v>33</v>
      </c>
      <c r="E1667" t="s">
        <v>34</v>
      </c>
      <c r="F1667">
        <v>140</v>
      </c>
      <c r="G1667">
        <v>360</v>
      </c>
      <c r="H1667">
        <v>207</v>
      </c>
      <c r="I1667">
        <v>89</v>
      </c>
      <c r="J1667" s="8">
        <v>0.63571428571428568</v>
      </c>
      <c r="K1667">
        <v>38</v>
      </c>
      <c r="L1667">
        <v>57</v>
      </c>
      <c r="M1667">
        <v>189</v>
      </c>
      <c r="N1667" s="10">
        <v>501.71</v>
      </c>
      <c r="O1667" s="7">
        <v>17.600000000000001</v>
      </c>
      <c r="P1667" s="7">
        <v>28</v>
      </c>
      <c r="Q1667">
        <v>1</v>
      </c>
      <c r="R1667" t="s">
        <v>63</v>
      </c>
      <c r="S1667">
        <v>7</v>
      </c>
      <c r="T1667">
        <v>191</v>
      </c>
      <c r="U1667" s="11">
        <v>0.7818314824680298</v>
      </c>
      <c r="V1667" s="11">
        <v>0.62348980185873359</v>
      </c>
      <c r="W1667" s="11">
        <v>-0.12652781683868314</v>
      </c>
      <c r="X1667" s="11">
        <v>-0.99196305957733966</v>
      </c>
      <c r="Y1667">
        <v>0</v>
      </c>
      <c r="Z1667">
        <v>0</v>
      </c>
      <c r="AB1667">
        <v>1</v>
      </c>
      <c r="AC1667">
        <v>0</v>
      </c>
      <c r="AD1667">
        <v>0</v>
      </c>
      <c r="AE1667">
        <v>0</v>
      </c>
    </row>
    <row r="1668" spans="1:31">
      <c r="A1668" s="6">
        <v>45482</v>
      </c>
      <c r="B1668" t="s">
        <v>36</v>
      </c>
      <c r="C1668" t="s">
        <v>37</v>
      </c>
      <c r="D1668" t="s">
        <v>38</v>
      </c>
      <c r="E1668" t="s">
        <v>39</v>
      </c>
      <c r="F1668">
        <v>125</v>
      </c>
      <c r="G1668">
        <v>320</v>
      </c>
      <c r="H1668">
        <v>230</v>
      </c>
      <c r="I1668">
        <v>96</v>
      </c>
      <c r="J1668" s="8">
        <v>0.76800000000000002</v>
      </c>
      <c r="K1668">
        <v>56</v>
      </c>
      <c r="L1668">
        <v>56</v>
      </c>
      <c r="M1668">
        <v>196</v>
      </c>
      <c r="N1668" s="10">
        <v>612.86</v>
      </c>
      <c r="O1668" s="7">
        <v>17.600000000000001</v>
      </c>
      <c r="P1668" s="7">
        <v>28</v>
      </c>
      <c r="Q1668">
        <v>1</v>
      </c>
      <c r="R1668" t="s">
        <v>63</v>
      </c>
      <c r="S1668">
        <v>7</v>
      </c>
      <c r="T1668">
        <v>191</v>
      </c>
      <c r="U1668" s="11">
        <v>0.7818314824680298</v>
      </c>
      <c r="V1668" s="11">
        <v>0.62348980185873359</v>
      </c>
      <c r="W1668" s="11">
        <v>-0.12652781683868314</v>
      </c>
      <c r="X1668" s="11">
        <v>-0.99196305957733966</v>
      </c>
      <c r="Y1668">
        <v>0</v>
      </c>
      <c r="Z1668">
        <v>0</v>
      </c>
      <c r="AB1668">
        <v>1</v>
      </c>
      <c r="AC1668">
        <v>0</v>
      </c>
      <c r="AD1668">
        <v>0</v>
      </c>
      <c r="AE1668">
        <v>0</v>
      </c>
    </row>
    <row r="1669" spans="1:31">
      <c r="A1669" s="6">
        <v>45482</v>
      </c>
      <c r="B1669" t="s">
        <v>41</v>
      </c>
      <c r="C1669" t="s">
        <v>42</v>
      </c>
      <c r="D1669" t="s">
        <v>43</v>
      </c>
      <c r="E1669" t="s">
        <v>44</v>
      </c>
      <c r="F1669">
        <v>85</v>
      </c>
      <c r="G1669">
        <v>210</v>
      </c>
      <c r="H1669">
        <v>150</v>
      </c>
      <c r="I1669">
        <v>67</v>
      </c>
      <c r="J1669" s="8">
        <v>0.78823529411764703</v>
      </c>
      <c r="K1669">
        <v>28</v>
      </c>
      <c r="L1669">
        <v>31</v>
      </c>
      <c r="M1669">
        <v>137</v>
      </c>
      <c r="N1669" s="10">
        <v>585.04</v>
      </c>
      <c r="O1669" s="7">
        <v>17.600000000000001</v>
      </c>
      <c r="P1669" s="7">
        <v>28</v>
      </c>
      <c r="Q1669">
        <v>1</v>
      </c>
      <c r="R1669" t="s">
        <v>63</v>
      </c>
      <c r="S1669">
        <v>7</v>
      </c>
      <c r="T1669">
        <v>191</v>
      </c>
      <c r="U1669" s="11">
        <v>0.7818314824680298</v>
      </c>
      <c r="V1669" s="11">
        <v>0.62348980185873359</v>
      </c>
      <c r="W1669" s="11">
        <v>-0.12652781683868314</v>
      </c>
      <c r="X1669" s="11">
        <v>-0.99196305957733966</v>
      </c>
      <c r="Y1669">
        <v>0</v>
      </c>
      <c r="Z1669">
        <v>0</v>
      </c>
      <c r="AB1669">
        <v>1</v>
      </c>
      <c r="AC1669">
        <v>0</v>
      </c>
      <c r="AD1669">
        <v>0</v>
      </c>
      <c r="AE1669">
        <v>0</v>
      </c>
    </row>
    <row r="1670" spans="1:31">
      <c r="A1670" s="6">
        <v>45483</v>
      </c>
      <c r="B1670" t="s">
        <v>31</v>
      </c>
      <c r="C1670" t="s">
        <v>32</v>
      </c>
      <c r="D1670" t="s">
        <v>33</v>
      </c>
      <c r="E1670" t="s">
        <v>34</v>
      </c>
      <c r="F1670">
        <v>140</v>
      </c>
      <c r="G1670">
        <v>360</v>
      </c>
      <c r="H1670">
        <v>225</v>
      </c>
      <c r="I1670">
        <v>98</v>
      </c>
      <c r="J1670" s="8">
        <v>0.7</v>
      </c>
      <c r="K1670">
        <v>54</v>
      </c>
      <c r="L1670">
        <v>41</v>
      </c>
      <c r="M1670">
        <v>202</v>
      </c>
      <c r="N1670" s="10">
        <v>448.98</v>
      </c>
      <c r="O1670" s="7">
        <v>15.6</v>
      </c>
      <c r="P1670" s="7">
        <v>28.3</v>
      </c>
      <c r="Q1670">
        <v>2</v>
      </c>
      <c r="R1670" t="s">
        <v>64</v>
      </c>
      <c r="S1670">
        <v>7</v>
      </c>
      <c r="T1670">
        <v>192</v>
      </c>
      <c r="U1670" s="11">
        <v>0.97492791218182362</v>
      </c>
      <c r="V1670" s="11">
        <v>-0.22252093395631434</v>
      </c>
      <c r="W1670" s="11">
        <v>-0.14357242341181131</v>
      </c>
      <c r="X1670" s="11">
        <v>-0.98963981287924119</v>
      </c>
      <c r="Y1670">
        <v>0</v>
      </c>
      <c r="Z1670">
        <v>0</v>
      </c>
      <c r="AB1670">
        <v>1</v>
      </c>
      <c r="AC1670">
        <v>0</v>
      </c>
      <c r="AD1670">
        <v>0</v>
      </c>
      <c r="AE1670">
        <v>0</v>
      </c>
    </row>
    <row r="1671" spans="1:31">
      <c r="A1671" s="6">
        <v>45483</v>
      </c>
      <c r="B1671" t="s">
        <v>36</v>
      </c>
      <c r="C1671" t="s">
        <v>37</v>
      </c>
      <c r="D1671" t="s">
        <v>38</v>
      </c>
      <c r="E1671" t="s">
        <v>39</v>
      </c>
      <c r="F1671">
        <v>125</v>
      </c>
      <c r="G1671">
        <v>320</v>
      </c>
      <c r="H1671">
        <v>217</v>
      </c>
      <c r="I1671">
        <v>91</v>
      </c>
      <c r="J1671" s="8">
        <v>0.72799999999999998</v>
      </c>
      <c r="K1671">
        <v>52</v>
      </c>
      <c r="L1671">
        <v>48</v>
      </c>
      <c r="M1671">
        <v>188</v>
      </c>
      <c r="N1671" s="10">
        <v>665.75</v>
      </c>
      <c r="O1671" s="7">
        <v>15.6</v>
      </c>
      <c r="P1671" s="7">
        <v>28.3</v>
      </c>
      <c r="Q1671">
        <v>2</v>
      </c>
      <c r="R1671" t="s">
        <v>64</v>
      </c>
      <c r="S1671">
        <v>7</v>
      </c>
      <c r="T1671">
        <v>192</v>
      </c>
      <c r="U1671" s="11">
        <v>0.97492791218182362</v>
      </c>
      <c r="V1671" s="11">
        <v>-0.22252093395631434</v>
      </c>
      <c r="W1671" s="11">
        <v>-0.14357242341181131</v>
      </c>
      <c r="X1671" s="11">
        <v>-0.98963981287924119</v>
      </c>
      <c r="Y1671">
        <v>0</v>
      </c>
      <c r="Z1671">
        <v>0</v>
      </c>
      <c r="AB1671">
        <v>1</v>
      </c>
      <c r="AC1671">
        <v>0</v>
      </c>
      <c r="AD1671">
        <v>0</v>
      </c>
      <c r="AE1671">
        <v>0</v>
      </c>
    </row>
    <row r="1672" spans="1:31">
      <c r="A1672" s="6">
        <v>45483</v>
      </c>
      <c r="B1672" t="s">
        <v>41</v>
      </c>
      <c r="C1672" t="s">
        <v>42</v>
      </c>
      <c r="D1672" t="s">
        <v>43</v>
      </c>
      <c r="E1672" t="s">
        <v>44</v>
      </c>
      <c r="F1672">
        <v>85</v>
      </c>
      <c r="G1672">
        <v>210</v>
      </c>
      <c r="H1672">
        <v>158</v>
      </c>
      <c r="I1672">
        <v>71</v>
      </c>
      <c r="J1672" s="8">
        <v>0.83529411764705885</v>
      </c>
      <c r="K1672">
        <v>43</v>
      </c>
      <c r="L1672">
        <v>25</v>
      </c>
      <c r="M1672">
        <v>130</v>
      </c>
      <c r="N1672" s="10">
        <v>578.27</v>
      </c>
      <c r="O1672" s="7">
        <v>15.6</v>
      </c>
      <c r="P1672" s="7">
        <v>28.3</v>
      </c>
      <c r="Q1672">
        <v>2</v>
      </c>
      <c r="R1672" t="s">
        <v>64</v>
      </c>
      <c r="S1672">
        <v>7</v>
      </c>
      <c r="T1672">
        <v>192</v>
      </c>
      <c r="U1672" s="11">
        <v>0.97492791218182362</v>
      </c>
      <c r="V1672" s="11">
        <v>-0.22252093395631434</v>
      </c>
      <c r="W1672" s="11">
        <v>-0.14357242341181131</v>
      </c>
      <c r="X1672" s="11">
        <v>-0.98963981287924119</v>
      </c>
      <c r="Y1672">
        <v>0</v>
      </c>
      <c r="Z1672">
        <v>0</v>
      </c>
      <c r="AB1672">
        <v>1</v>
      </c>
      <c r="AC1672">
        <v>0</v>
      </c>
      <c r="AD1672">
        <v>0</v>
      </c>
      <c r="AE1672">
        <v>0</v>
      </c>
    </row>
    <row r="1673" spans="1:31">
      <c r="A1673" s="6">
        <v>45484</v>
      </c>
      <c r="B1673" t="s">
        <v>31</v>
      </c>
      <c r="C1673" t="s">
        <v>32</v>
      </c>
      <c r="D1673" t="s">
        <v>33</v>
      </c>
      <c r="E1673" t="s">
        <v>34</v>
      </c>
      <c r="F1673">
        <v>140</v>
      </c>
      <c r="G1673">
        <v>360</v>
      </c>
      <c r="H1673">
        <v>210</v>
      </c>
      <c r="I1673">
        <v>91</v>
      </c>
      <c r="J1673" s="8">
        <v>0.65</v>
      </c>
      <c r="K1673">
        <v>33</v>
      </c>
      <c r="L1673">
        <v>44</v>
      </c>
      <c r="M1673">
        <v>196</v>
      </c>
      <c r="N1673" s="10">
        <v>451.17</v>
      </c>
      <c r="O1673" s="7">
        <v>9.1999999999999993</v>
      </c>
      <c r="P1673" s="7">
        <v>30.4</v>
      </c>
      <c r="Q1673">
        <v>3</v>
      </c>
      <c r="R1673" t="s">
        <v>65</v>
      </c>
      <c r="S1673">
        <v>7</v>
      </c>
      <c r="T1673">
        <v>193</v>
      </c>
      <c r="U1673" s="11">
        <v>0.43388373911755823</v>
      </c>
      <c r="V1673" s="11">
        <v>-0.90096886790241903</v>
      </c>
      <c r="W1673" s="11">
        <v>-0.16057454459499376</v>
      </c>
      <c r="X1673" s="11">
        <v>-0.98702371583873827</v>
      </c>
      <c r="Y1673">
        <v>0</v>
      </c>
      <c r="Z1673">
        <v>0</v>
      </c>
      <c r="AB1673">
        <v>1</v>
      </c>
      <c r="AC1673">
        <v>0</v>
      </c>
      <c r="AD1673">
        <v>0</v>
      </c>
      <c r="AE1673">
        <v>0</v>
      </c>
    </row>
    <row r="1674" spans="1:31">
      <c r="A1674" s="6">
        <v>45484</v>
      </c>
      <c r="B1674" t="s">
        <v>36</v>
      </c>
      <c r="C1674" t="s">
        <v>37</v>
      </c>
      <c r="D1674" t="s">
        <v>38</v>
      </c>
      <c r="E1674" t="s">
        <v>39</v>
      </c>
      <c r="F1674">
        <v>125</v>
      </c>
      <c r="G1674">
        <v>320</v>
      </c>
      <c r="H1674">
        <v>213</v>
      </c>
      <c r="I1674">
        <v>87</v>
      </c>
      <c r="J1674" s="8">
        <v>0.69599999999999995</v>
      </c>
      <c r="K1674">
        <v>52</v>
      </c>
      <c r="L1674">
        <v>36</v>
      </c>
      <c r="M1674">
        <v>176</v>
      </c>
      <c r="N1674" s="10">
        <v>634.41999999999996</v>
      </c>
      <c r="O1674" s="7">
        <v>9.1999999999999993</v>
      </c>
      <c r="P1674" s="7">
        <v>30.4</v>
      </c>
      <c r="Q1674">
        <v>3</v>
      </c>
      <c r="R1674" t="s">
        <v>65</v>
      </c>
      <c r="S1674">
        <v>7</v>
      </c>
      <c r="T1674">
        <v>193</v>
      </c>
      <c r="U1674" s="11">
        <v>0.43388373911755823</v>
      </c>
      <c r="V1674" s="11">
        <v>-0.90096886790241903</v>
      </c>
      <c r="W1674" s="11">
        <v>-0.16057454459499376</v>
      </c>
      <c r="X1674" s="11">
        <v>-0.98702371583873827</v>
      </c>
      <c r="Y1674">
        <v>0</v>
      </c>
      <c r="Z1674">
        <v>0</v>
      </c>
      <c r="AB1674">
        <v>1</v>
      </c>
      <c r="AC1674">
        <v>0</v>
      </c>
      <c r="AD1674">
        <v>0</v>
      </c>
      <c r="AE1674">
        <v>0</v>
      </c>
    </row>
    <row r="1675" spans="1:31">
      <c r="A1675" s="6">
        <v>45484</v>
      </c>
      <c r="B1675" t="s">
        <v>41</v>
      </c>
      <c r="C1675" t="s">
        <v>42</v>
      </c>
      <c r="D1675" t="s">
        <v>43</v>
      </c>
      <c r="E1675" t="s">
        <v>44</v>
      </c>
      <c r="F1675">
        <v>85</v>
      </c>
      <c r="G1675">
        <v>210</v>
      </c>
      <c r="H1675">
        <v>162</v>
      </c>
      <c r="I1675">
        <v>72</v>
      </c>
      <c r="J1675" s="8">
        <v>0.84705882352941175</v>
      </c>
      <c r="K1675">
        <v>27</v>
      </c>
      <c r="L1675">
        <v>17</v>
      </c>
      <c r="M1675">
        <v>138</v>
      </c>
      <c r="N1675" s="10">
        <v>591.80999999999995</v>
      </c>
      <c r="O1675" s="7">
        <v>9.1999999999999993</v>
      </c>
      <c r="P1675" s="7">
        <v>30.4</v>
      </c>
      <c r="Q1675">
        <v>3</v>
      </c>
      <c r="R1675" t="s">
        <v>65</v>
      </c>
      <c r="S1675">
        <v>7</v>
      </c>
      <c r="T1675">
        <v>193</v>
      </c>
      <c r="U1675" s="11">
        <v>0.43388373911755823</v>
      </c>
      <c r="V1675" s="11">
        <v>-0.90096886790241903</v>
      </c>
      <c r="W1675" s="11">
        <v>-0.16057454459499376</v>
      </c>
      <c r="X1675" s="11">
        <v>-0.98702371583873827</v>
      </c>
      <c r="Y1675">
        <v>0</v>
      </c>
      <c r="Z1675">
        <v>0</v>
      </c>
      <c r="AB1675">
        <v>1</v>
      </c>
      <c r="AC1675">
        <v>0</v>
      </c>
      <c r="AD1675">
        <v>0</v>
      </c>
      <c r="AE1675">
        <v>0</v>
      </c>
    </row>
    <row r="1676" spans="1:31">
      <c r="A1676" s="6">
        <v>45485</v>
      </c>
      <c r="B1676" t="s">
        <v>31</v>
      </c>
      <c r="C1676" t="s">
        <v>32</v>
      </c>
      <c r="D1676" t="s">
        <v>33</v>
      </c>
      <c r="E1676" t="s">
        <v>34</v>
      </c>
      <c r="F1676">
        <v>140</v>
      </c>
      <c r="G1676">
        <v>360</v>
      </c>
      <c r="H1676">
        <v>225</v>
      </c>
      <c r="I1676">
        <v>94</v>
      </c>
      <c r="J1676" s="8">
        <v>0.67142857142857137</v>
      </c>
      <c r="K1676">
        <v>54</v>
      </c>
      <c r="L1676">
        <v>41</v>
      </c>
      <c r="M1676">
        <v>190</v>
      </c>
      <c r="N1676" s="10">
        <v>442.69</v>
      </c>
      <c r="O1676" s="7">
        <v>3.5</v>
      </c>
      <c r="P1676" s="7">
        <v>28.4</v>
      </c>
      <c r="Q1676">
        <v>4</v>
      </c>
      <c r="R1676" t="s">
        <v>66</v>
      </c>
      <c r="S1676">
        <v>7</v>
      </c>
      <c r="T1676">
        <v>194</v>
      </c>
      <c r="U1676" s="11">
        <v>-0.43388373911755801</v>
      </c>
      <c r="V1676" s="11">
        <v>-0.90096886790241915</v>
      </c>
      <c r="W1676" s="11">
        <v>-0.17752914918703497</v>
      </c>
      <c r="X1676" s="11">
        <v>-0.98411554260103395</v>
      </c>
      <c r="Y1676">
        <v>0</v>
      </c>
      <c r="Z1676">
        <v>0</v>
      </c>
      <c r="AB1676">
        <v>1</v>
      </c>
      <c r="AC1676">
        <v>0</v>
      </c>
      <c r="AD1676">
        <v>0</v>
      </c>
      <c r="AE1676">
        <v>0</v>
      </c>
    </row>
    <row r="1677" spans="1:31">
      <c r="A1677" s="6">
        <v>45485</v>
      </c>
      <c r="B1677" t="s">
        <v>36</v>
      </c>
      <c r="C1677" t="s">
        <v>37</v>
      </c>
      <c r="D1677" t="s">
        <v>38</v>
      </c>
      <c r="E1677" t="s">
        <v>39</v>
      </c>
      <c r="F1677">
        <v>125</v>
      </c>
      <c r="G1677">
        <v>320</v>
      </c>
      <c r="H1677">
        <v>234</v>
      </c>
      <c r="I1677">
        <v>98</v>
      </c>
      <c r="J1677" s="8">
        <v>0.78400000000000003</v>
      </c>
      <c r="K1677">
        <v>51</v>
      </c>
      <c r="L1677">
        <v>32</v>
      </c>
      <c r="M1677">
        <v>198</v>
      </c>
      <c r="N1677" s="10">
        <v>714.95</v>
      </c>
      <c r="O1677" s="7">
        <v>3.5</v>
      </c>
      <c r="P1677" s="7">
        <v>28.4</v>
      </c>
      <c r="Q1677">
        <v>4</v>
      </c>
      <c r="R1677" t="s">
        <v>66</v>
      </c>
      <c r="S1677">
        <v>7</v>
      </c>
      <c r="T1677">
        <v>194</v>
      </c>
      <c r="U1677" s="11">
        <v>-0.43388373911755801</v>
      </c>
      <c r="V1677" s="11">
        <v>-0.90096886790241915</v>
      </c>
      <c r="W1677" s="11">
        <v>-0.17752914918703497</v>
      </c>
      <c r="X1677" s="11">
        <v>-0.98411554260103395</v>
      </c>
      <c r="Y1677">
        <v>0</v>
      </c>
      <c r="Z1677">
        <v>0</v>
      </c>
      <c r="AB1677">
        <v>1</v>
      </c>
      <c r="AC1677">
        <v>0</v>
      </c>
      <c r="AD1677">
        <v>0</v>
      </c>
      <c r="AE1677">
        <v>0</v>
      </c>
    </row>
    <row r="1678" spans="1:31">
      <c r="A1678" s="6">
        <v>45485</v>
      </c>
      <c r="B1678" t="s">
        <v>41</v>
      </c>
      <c r="C1678" t="s">
        <v>42</v>
      </c>
      <c r="D1678" t="s">
        <v>43</v>
      </c>
      <c r="E1678" t="s">
        <v>44</v>
      </c>
      <c r="F1678">
        <v>85</v>
      </c>
      <c r="G1678">
        <v>210</v>
      </c>
      <c r="H1678">
        <v>145</v>
      </c>
      <c r="I1678">
        <v>67</v>
      </c>
      <c r="J1678" s="8">
        <v>0.78823529411764703</v>
      </c>
      <c r="K1678">
        <v>26</v>
      </c>
      <c r="L1678">
        <v>17</v>
      </c>
      <c r="M1678">
        <v>124</v>
      </c>
      <c r="N1678" s="10">
        <v>536.26</v>
      </c>
      <c r="O1678" s="7">
        <v>3.5</v>
      </c>
      <c r="P1678" s="7">
        <v>28.4</v>
      </c>
      <c r="Q1678">
        <v>4</v>
      </c>
      <c r="R1678" t="s">
        <v>66</v>
      </c>
      <c r="S1678">
        <v>7</v>
      </c>
      <c r="T1678">
        <v>194</v>
      </c>
      <c r="U1678" s="11">
        <v>-0.43388373911755801</v>
      </c>
      <c r="V1678" s="11">
        <v>-0.90096886790241915</v>
      </c>
      <c r="W1678" s="11">
        <v>-0.17752914918703497</v>
      </c>
      <c r="X1678" s="11">
        <v>-0.98411554260103395</v>
      </c>
      <c r="Y1678">
        <v>0</v>
      </c>
      <c r="Z1678">
        <v>0</v>
      </c>
      <c r="AB1678">
        <v>1</v>
      </c>
      <c r="AC1678">
        <v>0</v>
      </c>
      <c r="AD1678">
        <v>0</v>
      </c>
      <c r="AE1678">
        <v>0</v>
      </c>
    </row>
    <row r="1679" spans="1:31">
      <c r="A1679" s="6">
        <v>45486</v>
      </c>
      <c r="B1679" t="s">
        <v>31</v>
      </c>
      <c r="C1679" t="s">
        <v>32</v>
      </c>
      <c r="D1679" t="s">
        <v>33</v>
      </c>
      <c r="E1679" t="s">
        <v>34</v>
      </c>
      <c r="F1679">
        <v>140</v>
      </c>
      <c r="G1679">
        <v>360</v>
      </c>
      <c r="H1679">
        <v>265</v>
      </c>
      <c r="I1679">
        <v>115</v>
      </c>
      <c r="J1679" s="8">
        <v>0.8214285714285714</v>
      </c>
      <c r="K1679">
        <v>43</v>
      </c>
      <c r="L1679">
        <v>58</v>
      </c>
      <c r="M1679">
        <v>217</v>
      </c>
      <c r="N1679" s="10">
        <v>495.21</v>
      </c>
      <c r="O1679" s="7">
        <v>13.9</v>
      </c>
      <c r="P1679" s="7">
        <v>29.1</v>
      </c>
      <c r="Q1679">
        <v>5</v>
      </c>
      <c r="R1679" t="s">
        <v>67</v>
      </c>
      <c r="S1679">
        <v>7</v>
      </c>
      <c r="T1679">
        <v>195</v>
      </c>
      <c r="U1679" s="11">
        <v>-0.97492791218182362</v>
      </c>
      <c r="V1679" s="11">
        <v>-0.22252093395631459</v>
      </c>
      <c r="W1679" s="11">
        <v>-0.19443122004766195</v>
      </c>
      <c r="X1679" s="11">
        <v>-0.98091615374137742</v>
      </c>
      <c r="Y1679">
        <v>1</v>
      </c>
      <c r="Z1679">
        <v>0</v>
      </c>
      <c r="AB1679">
        <v>1</v>
      </c>
      <c r="AC1679">
        <v>0</v>
      </c>
      <c r="AD1679">
        <v>0</v>
      </c>
      <c r="AE1679">
        <v>0</v>
      </c>
    </row>
    <row r="1680" spans="1:31">
      <c r="A1680" s="6">
        <v>45486</v>
      </c>
      <c r="B1680" t="s">
        <v>36</v>
      </c>
      <c r="C1680" t="s">
        <v>37</v>
      </c>
      <c r="D1680" t="s">
        <v>38</v>
      </c>
      <c r="E1680" t="s">
        <v>39</v>
      </c>
      <c r="F1680">
        <v>125</v>
      </c>
      <c r="G1680">
        <v>320</v>
      </c>
      <c r="H1680">
        <v>245</v>
      </c>
      <c r="I1680">
        <v>102</v>
      </c>
      <c r="J1680" s="8">
        <v>0.81599999999999995</v>
      </c>
      <c r="K1680">
        <v>57</v>
      </c>
      <c r="L1680">
        <v>36</v>
      </c>
      <c r="M1680">
        <v>215</v>
      </c>
      <c r="N1680" s="10">
        <v>823.46</v>
      </c>
      <c r="O1680" s="7">
        <v>13.9</v>
      </c>
      <c r="P1680" s="7">
        <v>29.1</v>
      </c>
      <c r="Q1680">
        <v>5</v>
      </c>
      <c r="R1680" t="s">
        <v>67</v>
      </c>
      <c r="S1680">
        <v>7</v>
      </c>
      <c r="T1680">
        <v>195</v>
      </c>
      <c r="U1680" s="11">
        <v>-0.97492791218182362</v>
      </c>
      <c r="V1680" s="11">
        <v>-0.22252093395631459</v>
      </c>
      <c r="W1680" s="11">
        <v>-0.19443122004766195</v>
      </c>
      <c r="X1680" s="11">
        <v>-0.98091615374137742</v>
      </c>
      <c r="Y1680">
        <v>1</v>
      </c>
      <c r="Z1680">
        <v>0</v>
      </c>
      <c r="AB1680">
        <v>1</v>
      </c>
      <c r="AC1680">
        <v>0</v>
      </c>
      <c r="AD1680">
        <v>0</v>
      </c>
      <c r="AE1680">
        <v>0</v>
      </c>
    </row>
    <row r="1681" spans="1:31">
      <c r="A1681" s="6">
        <v>45486</v>
      </c>
      <c r="B1681" t="s">
        <v>41</v>
      </c>
      <c r="C1681" t="s">
        <v>42</v>
      </c>
      <c r="D1681" t="s">
        <v>43</v>
      </c>
      <c r="E1681" t="s">
        <v>44</v>
      </c>
      <c r="F1681">
        <v>85</v>
      </c>
      <c r="G1681">
        <v>210</v>
      </c>
      <c r="H1681">
        <v>188</v>
      </c>
      <c r="I1681">
        <v>80</v>
      </c>
      <c r="J1681" s="8">
        <v>0.94117647058823528</v>
      </c>
      <c r="K1681">
        <v>25</v>
      </c>
      <c r="L1681">
        <v>29</v>
      </c>
      <c r="M1681">
        <v>176</v>
      </c>
      <c r="N1681" s="10">
        <v>584.38</v>
      </c>
      <c r="O1681" s="7">
        <v>13.9</v>
      </c>
      <c r="P1681" s="7">
        <v>29.1</v>
      </c>
      <c r="Q1681">
        <v>5</v>
      </c>
      <c r="R1681" t="s">
        <v>67</v>
      </c>
      <c r="S1681">
        <v>7</v>
      </c>
      <c r="T1681">
        <v>195</v>
      </c>
      <c r="U1681" s="11">
        <v>-0.97492791218182362</v>
      </c>
      <c r="V1681" s="11">
        <v>-0.22252093395631459</v>
      </c>
      <c r="W1681" s="11">
        <v>-0.19443122004766195</v>
      </c>
      <c r="X1681" s="11">
        <v>-0.98091615374137742</v>
      </c>
      <c r="Y1681">
        <v>1</v>
      </c>
      <c r="Z1681">
        <v>0</v>
      </c>
      <c r="AB1681">
        <v>1</v>
      </c>
      <c r="AC1681">
        <v>0</v>
      </c>
      <c r="AD1681">
        <v>0</v>
      </c>
      <c r="AE1681">
        <v>0</v>
      </c>
    </row>
    <row r="1682" spans="1:31">
      <c r="A1682" s="6">
        <v>45487</v>
      </c>
      <c r="B1682" t="s">
        <v>31</v>
      </c>
      <c r="C1682" t="s">
        <v>32</v>
      </c>
      <c r="D1682" t="s">
        <v>33</v>
      </c>
      <c r="E1682" t="s">
        <v>34</v>
      </c>
      <c r="F1682">
        <v>140</v>
      </c>
      <c r="G1682">
        <v>360</v>
      </c>
      <c r="H1682">
        <v>256</v>
      </c>
      <c r="I1682">
        <v>108</v>
      </c>
      <c r="J1682" s="8">
        <v>0.77142857142857146</v>
      </c>
      <c r="K1682">
        <v>64</v>
      </c>
      <c r="L1682">
        <v>54</v>
      </c>
      <c r="M1682">
        <v>235</v>
      </c>
      <c r="N1682" s="10">
        <v>535.28</v>
      </c>
      <c r="O1682" s="7">
        <v>7.9</v>
      </c>
      <c r="P1682" s="7">
        <v>27.2</v>
      </c>
      <c r="Q1682">
        <v>6</v>
      </c>
      <c r="R1682" t="s">
        <v>60</v>
      </c>
      <c r="S1682">
        <v>7</v>
      </c>
      <c r="T1682">
        <v>196</v>
      </c>
      <c r="U1682" s="11">
        <v>-0.78183148246802991</v>
      </c>
      <c r="V1682" s="11">
        <v>0.62348980185873337</v>
      </c>
      <c r="W1682" s="11">
        <v>-0.21127575558217929</v>
      </c>
      <c r="X1682" s="11">
        <v>-0.97742649601040554</v>
      </c>
      <c r="Y1682">
        <v>1</v>
      </c>
      <c r="Z1682">
        <v>0</v>
      </c>
      <c r="AB1682">
        <v>1</v>
      </c>
      <c r="AC1682">
        <v>0</v>
      </c>
      <c r="AD1682">
        <v>0</v>
      </c>
      <c r="AE1682">
        <v>0</v>
      </c>
    </row>
    <row r="1683" spans="1:31">
      <c r="A1683" s="6">
        <v>45487</v>
      </c>
      <c r="B1683" t="s">
        <v>36</v>
      </c>
      <c r="C1683" t="s">
        <v>37</v>
      </c>
      <c r="D1683" t="s">
        <v>38</v>
      </c>
      <c r="E1683" t="s">
        <v>39</v>
      </c>
      <c r="F1683">
        <v>125</v>
      </c>
      <c r="G1683">
        <v>320</v>
      </c>
      <c r="H1683">
        <v>251</v>
      </c>
      <c r="I1683">
        <v>104</v>
      </c>
      <c r="J1683" s="8">
        <v>0.83199999999999996</v>
      </c>
      <c r="K1683">
        <v>64</v>
      </c>
      <c r="L1683">
        <v>59</v>
      </c>
      <c r="M1683">
        <v>232</v>
      </c>
      <c r="N1683" s="10">
        <v>806.6</v>
      </c>
      <c r="O1683" s="7">
        <v>7.9</v>
      </c>
      <c r="P1683" s="7">
        <v>27.2</v>
      </c>
      <c r="Q1683">
        <v>6</v>
      </c>
      <c r="R1683" t="s">
        <v>60</v>
      </c>
      <c r="S1683">
        <v>7</v>
      </c>
      <c r="T1683">
        <v>196</v>
      </c>
      <c r="U1683" s="11">
        <v>-0.78183148246802991</v>
      </c>
      <c r="V1683" s="11">
        <v>0.62348980185873337</v>
      </c>
      <c r="W1683" s="11">
        <v>-0.21127575558217929</v>
      </c>
      <c r="X1683" s="11">
        <v>-0.97742649601040554</v>
      </c>
      <c r="Y1683">
        <v>1</v>
      </c>
      <c r="Z1683">
        <v>0</v>
      </c>
      <c r="AB1683">
        <v>1</v>
      </c>
      <c r="AC1683">
        <v>0</v>
      </c>
      <c r="AD1683">
        <v>0</v>
      </c>
      <c r="AE1683">
        <v>0</v>
      </c>
    </row>
    <row r="1684" spans="1:31">
      <c r="A1684" s="6">
        <v>45487</v>
      </c>
      <c r="B1684" t="s">
        <v>41</v>
      </c>
      <c r="C1684" t="s">
        <v>42</v>
      </c>
      <c r="D1684" t="s">
        <v>43</v>
      </c>
      <c r="E1684" t="s">
        <v>44</v>
      </c>
      <c r="F1684">
        <v>85</v>
      </c>
      <c r="G1684">
        <v>210</v>
      </c>
      <c r="H1684">
        <v>187</v>
      </c>
      <c r="I1684">
        <v>82</v>
      </c>
      <c r="J1684" s="8">
        <v>0.96470588235294119</v>
      </c>
      <c r="K1684">
        <v>46</v>
      </c>
      <c r="L1684">
        <v>40</v>
      </c>
      <c r="M1684">
        <v>161</v>
      </c>
      <c r="N1684" s="10">
        <v>691.97</v>
      </c>
      <c r="O1684" s="7">
        <v>7.9</v>
      </c>
      <c r="P1684" s="7">
        <v>27.2</v>
      </c>
      <c r="Q1684">
        <v>6</v>
      </c>
      <c r="R1684" t="s">
        <v>60</v>
      </c>
      <c r="S1684">
        <v>7</v>
      </c>
      <c r="T1684">
        <v>196</v>
      </c>
      <c r="U1684" s="11">
        <v>-0.78183148246802991</v>
      </c>
      <c r="V1684" s="11">
        <v>0.62348980185873337</v>
      </c>
      <c r="W1684" s="11">
        <v>-0.21127575558217929</v>
      </c>
      <c r="X1684" s="11">
        <v>-0.97742649601040554</v>
      </c>
      <c r="Y1684">
        <v>1</v>
      </c>
      <c r="Z1684">
        <v>0</v>
      </c>
      <c r="AB1684">
        <v>1</v>
      </c>
      <c r="AC1684">
        <v>0</v>
      </c>
      <c r="AD1684">
        <v>0</v>
      </c>
      <c r="AE1684">
        <v>0</v>
      </c>
    </row>
    <row r="1685" spans="1:31">
      <c r="A1685" s="6">
        <v>45488</v>
      </c>
      <c r="B1685" t="s">
        <v>31</v>
      </c>
      <c r="C1685" t="s">
        <v>32</v>
      </c>
      <c r="D1685" t="s">
        <v>33</v>
      </c>
      <c r="E1685" t="s">
        <v>34</v>
      </c>
      <c r="F1685">
        <v>140</v>
      </c>
      <c r="G1685">
        <v>360</v>
      </c>
      <c r="H1685">
        <v>273</v>
      </c>
      <c r="I1685">
        <v>119</v>
      </c>
      <c r="J1685" s="8">
        <v>0.85</v>
      </c>
      <c r="K1685">
        <v>72</v>
      </c>
      <c r="L1685">
        <v>60</v>
      </c>
      <c r="M1685">
        <v>238</v>
      </c>
      <c r="N1685" s="10">
        <v>463.25</v>
      </c>
      <c r="O1685" s="7">
        <v>10.5</v>
      </c>
      <c r="P1685" s="7">
        <v>27.6</v>
      </c>
      <c r="Q1685">
        <v>0</v>
      </c>
      <c r="R1685" t="s">
        <v>62</v>
      </c>
      <c r="S1685">
        <v>7</v>
      </c>
      <c r="T1685">
        <v>197</v>
      </c>
      <c r="U1685" s="11">
        <v>0</v>
      </c>
      <c r="V1685" s="11">
        <v>1</v>
      </c>
      <c r="W1685" s="11">
        <v>-0.22805777122151979</v>
      </c>
      <c r="X1685" s="11">
        <v>-0.97364760205398382</v>
      </c>
      <c r="Y1685">
        <v>0</v>
      </c>
      <c r="Z1685">
        <v>0</v>
      </c>
      <c r="AB1685">
        <v>1</v>
      </c>
      <c r="AC1685">
        <v>0</v>
      </c>
      <c r="AD1685">
        <v>0</v>
      </c>
      <c r="AE1685">
        <v>1</v>
      </c>
    </row>
    <row r="1686" spans="1:31">
      <c r="A1686" s="6">
        <v>45488</v>
      </c>
      <c r="B1686" t="s">
        <v>36</v>
      </c>
      <c r="C1686" t="s">
        <v>37</v>
      </c>
      <c r="D1686" t="s">
        <v>38</v>
      </c>
      <c r="E1686" t="s">
        <v>39</v>
      </c>
      <c r="F1686">
        <v>125</v>
      </c>
      <c r="G1686">
        <v>320</v>
      </c>
      <c r="H1686">
        <v>261</v>
      </c>
      <c r="I1686">
        <v>106</v>
      </c>
      <c r="J1686" s="8">
        <v>0.84799999999999998</v>
      </c>
      <c r="K1686">
        <v>53</v>
      </c>
      <c r="L1686">
        <v>65</v>
      </c>
      <c r="M1686">
        <v>241</v>
      </c>
      <c r="N1686" s="10">
        <v>631.58000000000004</v>
      </c>
      <c r="O1686" s="7">
        <v>10.5</v>
      </c>
      <c r="P1686" s="7">
        <v>27.6</v>
      </c>
      <c r="Q1686">
        <v>0</v>
      </c>
      <c r="R1686" t="s">
        <v>62</v>
      </c>
      <c r="S1686">
        <v>7</v>
      </c>
      <c r="T1686">
        <v>197</v>
      </c>
      <c r="U1686" s="11">
        <v>0</v>
      </c>
      <c r="V1686" s="11">
        <v>1</v>
      </c>
      <c r="W1686" s="11">
        <v>-0.22805777122151979</v>
      </c>
      <c r="X1686" s="11">
        <v>-0.97364760205398382</v>
      </c>
      <c r="Y1686">
        <v>0</v>
      </c>
      <c r="Z1686">
        <v>0</v>
      </c>
      <c r="AB1686">
        <v>1</v>
      </c>
      <c r="AC1686">
        <v>0</v>
      </c>
      <c r="AD1686">
        <v>0</v>
      </c>
      <c r="AE1686">
        <v>1</v>
      </c>
    </row>
    <row r="1687" spans="1:31">
      <c r="A1687" s="6">
        <v>45488</v>
      </c>
      <c r="B1687" t="s">
        <v>41</v>
      </c>
      <c r="C1687" t="s">
        <v>42</v>
      </c>
      <c r="D1687" t="s">
        <v>43</v>
      </c>
      <c r="E1687" t="s">
        <v>44</v>
      </c>
      <c r="F1687">
        <v>85</v>
      </c>
      <c r="G1687">
        <v>210</v>
      </c>
      <c r="H1687">
        <v>174</v>
      </c>
      <c r="I1687">
        <v>77</v>
      </c>
      <c r="J1687" s="8">
        <v>0.90588235294117647</v>
      </c>
      <c r="K1687">
        <v>37</v>
      </c>
      <c r="L1687">
        <v>24</v>
      </c>
      <c r="M1687">
        <v>158</v>
      </c>
      <c r="N1687" s="10">
        <v>610.16999999999996</v>
      </c>
      <c r="O1687" s="7">
        <v>10.5</v>
      </c>
      <c r="P1687" s="7">
        <v>27.6</v>
      </c>
      <c r="Q1687">
        <v>0</v>
      </c>
      <c r="R1687" t="s">
        <v>62</v>
      </c>
      <c r="S1687">
        <v>7</v>
      </c>
      <c r="T1687">
        <v>197</v>
      </c>
      <c r="U1687" s="11">
        <v>0</v>
      </c>
      <c r="V1687" s="11">
        <v>1</v>
      </c>
      <c r="W1687" s="11">
        <v>-0.22805777122151979</v>
      </c>
      <c r="X1687" s="11">
        <v>-0.97364760205398382</v>
      </c>
      <c r="Y1687">
        <v>0</v>
      </c>
      <c r="Z1687">
        <v>0</v>
      </c>
      <c r="AB1687">
        <v>1</v>
      </c>
      <c r="AC1687">
        <v>0</v>
      </c>
      <c r="AD1687">
        <v>0</v>
      </c>
      <c r="AE1687">
        <v>1</v>
      </c>
    </row>
    <row r="1688" spans="1:31">
      <c r="A1688" s="6">
        <v>45489</v>
      </c>
      <c r="B1688" t="s">
        <v>31</v>
      </c>
      <c r="C1688" t="s">
        <v>32</v>
      </c>
      <c r="D1688" t="s">
        <v>33</v>
      </c>
      <c r="E1688" t="s">
        <v>34</v>
      </c>
      <c r="F1688">
        <v>140</v>
      </c>
      <c r="G1688">
        <v>360</v>
      </c>
      <c r="H1688">
        <v>251</v>
      </c>
      <c r="I1688">
        <v>109</v>
      </c>
      <c r="J1688" s="8">
        <v>0.77857142857142858</v>
      </c>
      <c r="K1688">
        <v>47</v>
      </c>
      <c r="L1688">
        <v>64</v>
      </c>
      <c r="M1688">
        <v>231</v>
      </c>
      <c r="N1688" s="10">
        <v>452.48</v>
      </c>
      <c r="O1688" s="7">
        <v>15.1</v>
      </c>
      <c r="P1688" s="7">
        <v>29.6</v>
      </c>
      <c r="Q1688">
        <v>1</v>
      </c>
      <c r="R1688" t="s">
        <v>63</v>
      </c>
      <c r="S1688">
        <v>7</v>
      </c>
      <c r="T1688">
        <v>198</v>
      </c>
      <c r="U1688" s="11">
        <v>0.7818314824680298</v>
      </c>
      <c r="V1688" s="11">
        <v>0.62348980185873359</v>
      </c>
      <c r="W1688" s="11">
        <v>-0.24477230089725957</v>
      </c>
      <c r="X1688" s="11">
        <v>-0.96958059010763076</v>
      </c>
      <c r="Y1688">
        <v>0</v>
      </c>
      <c r="Z1688">
        <v>0</v>
      </c>
      <c r="AB1688">
        <v>1</v>
      </c>
      <c r="AC1688">
        <v>0</v>
      </c>
      <c r="AD1688">
        <v>0</v>
      </c>
      <c r="AE1688">
        <v>1</v>
      </c>
    </row>
    <row r="1689" spans="1:31">
      <c r="A1689" s="6">
        <v>45489</v>
      </c>
      <c r="B1689" t="s">
        <v>36</v>
      </c>
      <c r="C1689" t="s">
        <v>37</v>
      </c>
      <c r="D1689" t="s">
        <v>38</v>
      </c>
      <c r="E1689" t="s">
        <v>39</v>
      </c>
      <c r="F1689">
        <v>125</v>
      </c>
      <c r="G1689">
        <v>320</v>
      </c>
      <c r="H1689">
        <v>235</v>
      </c>
      <c r="I1689">
        <v>98</v>
      </c>
      <c r="J1689" s="8">
        <v>0.78400000000000003</v>
      </c>
      <c r="K1689">
        <v>44</v>
      </c>
      <c r="L1689">
        <v>56</v>
      </c>
      <c r="M1689">
        <v>206</v>
      </c>
      <c r="N1689" s="10">
        <v>631.77</v>
      </c>
      <c r="O1689" s="7">
        <v>15.1</v>
      </c>
      <c r="P1689" s="7">
        <v>29.6</v>
      </c>
      <c r="Q1689">
        <v>1</v>
      </c>
      <c r="R1689" t="s">
        <v>63</v>
      </c>
      <c r="S1689">
        <v>7</v>
      </c>
      <c r="T1689">
        <v>198</v>
      </c>
      <c r="U1689" s="11">
        <v>0.7818314824680298</v>
      </c>
      <c r="V1689" s="11">
        <v>0.62348980185873359</v>
      </c>
      <c r="W1689" s="11">
        <v>-0.24477230089725957</v>
      </c>
      <c r="X1689" s="11">
        <v>-0.96958059010763076</v>
      </c>
      <c r="Y1689">
        <v>0</v>
      </c>
      <c r="Z1689">
        <v>0</v>
      </c>
      <c r="AB1689">
        <v>1</v>
      </c>
      <c r="AC1689">
        <v>0</v>
      </c>
      <c r="AD1689">
        <v>0</v>
      </c>
      <c r="AE1689">
        <v>1</v>
      </c>
    </row>
    <row r="1690" spans="1:31">
      <c r="A1690" s="6">
        <v>45489</v>
      </c>
      <c r="B1690" t="s">
        <v>41</v>
      </c>
      <c r="C1690" t="s">
        <v>42</v>
      </c>
      <c r="D1690" t="s">
        <v>43</v>
      </c>
      <c r="E1690" t="s">
        <v>44</v>
      </c>
      <c r="F1690">
        <v>85</v>
      </c>
      <c r="G1690">
        <v>210</v>
      </c>
      <c r="H1690">
        <v>178</v>
      </c>
      <c r="I1690">
        <v>79</v>
      </c>
      <c r="J1690" s="8">
        <v>0.92941176470588238</v>
      </c>
      <c r="K1690">
        <v>35</v>
      </c>
      <c r="L1690">
        <v>22</v>
      </c>
      <c r="M1690">
        <v>159</v>
      </c>
      <c r="N1690" s="10">
        <v>600.24</v>
      </c>
      <c r="O1690" s="7">
        <v>15.1</v>
      </c>
      <c r="P1690" s="7">
        <v>29.6</v>
      </c>
      <c r="Q1690">
        <v>1</v>
      </c>
      <c r="R1690" t="s">
        <v>63</v>
      </c>
      <c r="S1690">
        <v>7</v>
      </c>
      <c r="T1690">
        <v>198</v>
      </c>
      <c r="U1690" s="11">
        <v>0.7818314824680298</v>
      </c>
      <c r="V1690" s="11">
        <v>0.62348980185873359</v>
      </c>
      <c r="W1690" s="11">
        <v>-0.24477230089725957</v>
      </c>
      <c r="X1690" s="11">
        <v>-0.96958059010763076</v>
      </c>
      <c r="Y1690">
        <v>0</v>
      </c>
      <c r="Z1690">
        <v>0</v>
      </c>
      <c r="AB1690">
        <v>1</v>
      </c>
      <c r="AC1690">
        <v>0</v>
      </c>
      <c r="AD1690">
        <v>0</v>
      </c>
      <c r="AE1690">
        <v>1</v>
      </c>
    </row>
    <row r="1691" spans="1:31">
      <c r="A1691" s="6">
        <v>45490</v>
      </c>
      <c r="B1691" t="s">
        <v>31</v>
      </c>
      <c r="C1691" t="s">
        <v>32</v>
      </c>
      <c r="D1691" t="s">
        <v>33</v>
      </c>
      <c r="E1691" t="s">
        <v>34</v>
      </c>
      <c r="F1691">
        <v>140</v>
      </c>
      <c r="G1691">
        <v>360</v>
      </c>
      <c r="H1691">
        <v>239</v>
      </c>
      <c r="I1691">
        <v>99</v>
      </c>
      <c r="J1691" s="8">
        <v>0.70714285714285718</v>
      </c>
      <c r="K1691">
        <v>42</v>
      </c>
      <c r="L1691">
        <v>37</v>
      </c>
      <c r="M1691">
        <v>208</v>
      </c>
      <c r="N1691" s="10">
        <v>440.03</v>
      </c>
      <c r="O1691" s="7">
        <v>18.3</v>
      </c>
      <c r="P1691" s="7">
        <v>27.5</v>
      </c>
      <c r="Q1691">
        <v>2</v>
      </c>
      <c r="R1691" t="s">
        <v>64</v>
      </c>
      <c r="S1691">
        <v>7</v>
      </c>
      <c r="T1691">
        <v>199</v>
      </c>
      <c r="U1691" s="11">
        <v>0.97492791218182362</v>
      </c>
      <c r="V1691" s="11">
        <v>-0.22252093395631434</v>
      </c>
      <c r="W1691" s="11">
        <v>-0.26141439851115622</v>
      </c>
      <c r="X1691" s="11">
        <v>-0.96522666366561305</v>
      </c>
      <c r="Y1691">
        <v>0</v>
      </c>
      <c r="Z1691">
        <v>0</v>
      </c>
      <c r="AB1691">
        <v>1</v>
      </c>
      <c r="AC1691">
        <v>0</v>
      </c>
      <c r="AD1691">
        <v>0</v>
      </c>
      <c r="AE1691">
        <v>0</v>
      </c>
    </row>
    <row r="1692" spans="1:31">
      <c r="A1692" s="6">
        <v>45490</v>
      </c>
      <c r="B1692" t="s">
        <v>36</v>
      </c>
      <c r="C1692" t="s">
        <v>37</v>
      </c>
      <c r="D1692" t="s">
        <v>38</v>
      </c>
      <c r="E1692" t="s">
        <v>39</v>
      </c>
      <c r="F1692">
        <v>125</v>
      </c>
      <c r="G1692">
        <v>320</v>
      </c>
      <c r="H1692">
        <v>206</v>
      </c>
      <c r="I1692">
        <v>89</v>
      </c>
      <c r="J1692" s="8">
        <v>0.71199999999999997</v>
      </c>
      <c r="K1692">
        <v>60</v>
      </c>
      <c r="L1692">
        <v>30</v>
      </c>
      <c r="M1692">
        <v>177</v>
      </c>
      <c r="N1692" s="10">
        <v>725.82</v>
      </c>
      <c r="O1692" s="7">
        <v>18.3</v>
      </c>
      <c r="P1692" s="7">
        <v>27.5</v>
      </c>
      <c r="Q1692">
        <v>2</v>
      </c>
      <c r="R1692" t="s">
        <v>64</v>
      </c>
      <c r="S1692">
        <v>7</v>
      </c>
      <c r="T1692">
        <v>199</v>
      </c>
      <c r="U1692" s="11">
        <v>0.97492791218182362</v>
      </c>
      <c r="V1692" s="11">
        <v>-0.22252093395631434</v>
      </c>
      <c r="W1692" s="11">
        <v>-0.26141439851115622</v>
      </c>
      <c r="X1692" s="11">
        <v>-0.96522666366561305</v>
      </c>
      <c r="Y1692">
        <v>0</v>
      </c>
      <c r="Z1692">
        <v>0</v>
      </c>
      <c r="AB1692">
        <v>1</v>
      </c>
      <c r="AC1692">
        <v>0</v>
      </c>
      <c r="AD1692">
        <v>0</v>
      </c>
      <c r="AE1692">
        <v>0</v>
      </c>
    </row>
    <row r="1693" spans="1:31">
      <c r="A1693" s="6">
        <v>45490</v>
      </c>
      <c r="B1693" t="s">
        <v>41</v>
      </c>
      <c r="C1693" t="s">
        <v>42</v>
      </c>
      <c r="D1693" t="s">
        <v>43</v>
      </c>
      <c r="E1693" t="s">
        <v>44</v>
      </c>
      <c r="F1693">
        <v>85</v>
      </c>
      <c r="G1693">
        <v>210</v>
      </c>
      <c r="H1693">
        <v>158</v>
      </c>
      <c r="I1693">
        <v>70</v>
      </c>
      <c r="J1693" s="8">
        <v>0.82352941176470584</v>
      </c>
      <c r="K1693">
        <v>39</v>
      </c>
      <c r="L1693">
        <v>22</v>
      </c>
      <c r="M1693">
        <v>134</v>
      </c>
      <c r="N1693" s="10">
        <v>556.52</v>
      </c>
      <c r="O1693" s="7">
        <v>18.3</v>
      </c>
      <c r="P1693" s="7">
        <v>27.5</v>
      </c>
      <c r="Q1693">
        <v>2</v>
      </c>
      <c r="R1693" t="s">
        <v>64</v>
      </c>
      <c r="S1693">
        <v>7</v>
      </c>
      <c r="T1693">
        <v>199</v>
      </c>
      <c r="U1693" s="11">
        <v>0.97492791218182362</v>
      </c>
      <c r="V1693" s="11">
        <v>-0.22252093395631434</v>
      </c>
      <c r="W1693" s="11">
        <v>-0.26141439851115622</v>
      </c>
      <c r="X1693" s="11">
        <v>-0.96522666366561305</v>
      </c>
      <c r="Y1693">
        <v>0</v>
      </c>
      <c r="Z1693">
        <v>0</v>
      </c>
      <c r="AB1693">
        <v>1</v>
      </c>
      <c r="AC1693">
        <v>0</v>
      </c>
      <c r="AD1693">
        <v>0</v>
      </c>
      <c r="AE1693">
        <v>0</v>
      </c>
    </row>
    <row r="1694" spans="1:31">
      <c r="A1694" s="6">
        <v>45491</v>
      </c>
      <c r="B1694" t="s">
        <v>31</v>
      </c>
      <c r="C1694" t="s">
        <v>32</v>
      </c>
      <c r="D1694" t="s">
        <v>33</v>
      </c>
      <c r="E1694" t="s">
        <v>34</v>
      </c>
      <c r="F1694">
        <v>140</v>
      </c>
      <c r="G1694">
        <v>360</v>
      </c>
      <c r="H1694">
        <v>227</v>
      </c>
      <c r="I1694">
        <v>98</v>
      </c>
      <c r="J1694" s="8">
        <v>0.7</v>
      </c>
      <c r="K1694">
        <v>47</v>
      </c>
      <c r="L1694">
        <v>55</v>
      </c>
      <c r="M1694">
        <v>212</v>
      </c>
      <c r="N1694" s="10">
        <v>474.32</v>
      </c>
      <c r="O1694" s="7">
        <v>3.4</v>
      </c>
      <c r="P1694" s="7">
        <v>29.6</v>
      </c>
      <c r="Q1694">
        <v>3</v>
      </c>
      <c r="R1694" t="s">
        <v>65</v>
      </c>
      <c r="S1694">
        <v>7</v>
      </c>
      <c r="T1694">
        <v>200</v>
      </c>
      <c r="U1694" s="11">
        <v>0.43388373911755823</v>
      </c>
      <c r="V1694" s="11">
        <v>-0.90096886790241903</v>
      </c>
      <c r="W1694" s="11">
        <v>-0.27797913939878011</v>
      </c>
      <c r="X1694" s="11">
        <v>-0.96058711112481288</v>
      </c>
      <c r="Y1694">
        <v>0</v>
      </c>
      <c r="Z1694">
        <v>0</v>
      </c>
      <c r="AB1694">
        <v>1</v>
      </c>
      <c r="AC1694">
        <v>0</v>
      </c>
      <c r="AD1694">
        <v>0</v>
      </c>
      <c r="AE1694">
        <v>0</v>
      </c>
    </row>
    <row r="1695" spans="1:31">
      <c r="A1695" s="6">
        <v>45491</v>
      </c>
      <c r="B1695" t="s">
        <v>36</v>
      </c>
      <c r="C1695" t="s">
        <v>37</v>
      </c>
      <c r="D1695" t="s">
        <v>38</v>
      </c>
      <c r="E1695" t="s">
        <v>39</v>
      </c>
      <c r="F1695">
        <v>125</v>
      </c>
      <c r="G1695">
        <v>320</v>
      </c>
      <c r="H1695">
        <v>240</v>
      </c>
      <c r="I1695">
        <v>100</v>
      </c>
      <c r="J1695" s="8">
        <v>0.8</v>
      </c>
      <c r="K1695">
        <v>60</v>
      </c>
      <c r="L1695">
        <v>50</v>
      </c>
      <c r="M1695">
        <v>194</v>
      </c>
      <c r="N1695" s="10">
        <v>715.15</v>
      </c>
      <c r="O1695" s="7">
        <v>3.4</v>
      </c>
      <c r="P1695" s="7">
        <v>29.6</v>
      </c>
      <c r="Q1695">
        <v>3</v>
      </c>
      <c r="R1695" t="s">
        <v>65</v>
      </c>
      <c r="S1695">
        <v>7</v>
      </c>
      <c r="T1695">
        <v>200</v>
      </c>
      <c r="U1695" s="11">
        <v>0.43388373911755823</v>
      </c>
      <c r="V1695" s="11">
        <v>-0.90096886790241903</v>
      </c>
      <c r="W1695" s="11">
        <v>-0.27797913939878011</v>
      </c>
      <c r="X1695" s="11">
        <v>-0.96058711112481288</v>
      </c>
      <c r="Y1695">
        <v>0</v>
      </c>
      <c r="Z1695">
        <v>0</v>
      </c>
      <c r="AB1695">
        <v>1</v>
      </c>
      <c r="AC1695">
        <v>0</v>
      </c>
      <c r="AD1695">
        <v>0</v>
      </c>
      <c r="AE1695">
        <v>0</v>
      </c>
    </row>
    <row r="1696" spans="1:31">
      <c r="A1696" s="6">
        <v>45491</v>
      </c>
      <c r="B1696" t="s">
        <v>41</v>
      </c>
      <c r="C1696" t="s">
        <v>42</v>
      </c>
      <c r="D1696" t="s">
        <v>43</v>
      </c>
      <c r="E1696" t="s">
        <v>44</v>
      </c>
      <c r="F1696">
        <v>85</v>
      </c>
      <c r="G1696">
        <v>210</v>
      </c>
      <c r="H1696">
        <v>167</v>
      </c>
      <c r="I1696">
        <v>72</v>
      </c>
      <c r="J1696" s="8">
        <v>0.84705882352941175</v>
      </c>
      <c r="K1696">
        <v>40</v>
      </c>
      <c r="L1696">
        <v>35</v>
      </c>
      <c r="M1696">
        <v>134</v>
      </c>
      <c r="N1696" s="10">
        <v>548.21</v>
      </c>
      <c r="O1696" s="7">
        <v>3.4</v>
      </c>
      <c r="P1696" s="7">
        <v>29.6</v>
      </c>
      <c r="Q1696">
        <v>3</v>
      </c>
      <c r="R1696" t="s">
        <v>65</v>
      </c>
      <c r="S1696">
        <v>7</v>
      </c>
      <c r="T1696">
        <v>200</v>
      </c>
      <c r="U1696" s="11">
        <v>0.43388373911755823</v>
      </c>
      <c r="V1696" s="11">
        <v>-0.90096886790241903</v>
      </c>
      <c r="W1696" s="11">
        <v>-0.27797913939878011</v>
      </c>
      <c r="X1696" s="11">
        <v>-0.96058711112481288</v>
      </c>
      <c r="Y1696">
        <v>0</v>
      </c>
      <c r="Z1696">
        <v>0</v>
      </c>
      <c r="AB1696">
        <v>1</v>
      </c>
      <c r="AC1696">
        <v>0</v>
      </c>
      <c r="AD1696">
        <v>0</v>
      </c>
      <c r="AE1696">
        <v>0</v>
      </c>
    </row>
    <row r="1697" spans="1:31">
      <c r="A1697" s="6">
        <v>45492</v>
      </c>
      <c r="B1697" t="s">
        <v>31</v>
      </c>
      <c r="C1697" t="s">
        <v>32</v>
      </c>
      <c r="D1697" t="s">
        <v>33</v>
      </c>
      <c r="E1697" t="s">
        <v>34</v>
      </c>
      <c r="F1697">
        <v>140</v>
      </c>
      <c r="G1697">
        <v>360</v>
      </c>
      <c r="H1697">
        <v>216</v>
      </c>
      <c r="I1697">
        <v>94</v>
      </c>
      <c r="J1697" s="8">
        <v>0.67142857142857137</v>
      </c>
      <c r="K1697">
        <v>25</v>
      </c>
      <c r="L1697">
        <v>40</v>
      </c>
      <c r="M1697">
        <v>189</v>
      </c>
      <c r="N1697" s="10">
        <v>500.34</v>
      </c>
      <c r="O1697" s="7">
        <v>1.6</v>
      </c>
      <c r="P1697" s="7">
        <v>28.6</v>
      </c>
      <c r="Q1697">
        <v>4</v>
      </c>
      <c r="R1697" t="s">
        <v>66</v>
      </c>
      <c r="S1697">
        <v>7</v>
      </c>
      <c r="T1697">
        <v>201</v>
      </c>
      <c r="U1697" s="11">
        <v>-0.43388373911755801</v>
      </c>
      <c r="V1697" s="11">
        <v>-0.90096886790241915</v>
      </c>
      <c r="W1697" s="11">
        <v>-0.29446162178680119</v>
      </c>
      <c r="X1697" s="11">
        <v>-0.95566330540347044</v>
      </c>
      <c r="Y1697">
        <v>0</v>
      </c>
      <c r="Z1697">
        <v>0</v>
      </c>
      <c r="AB1697">
        <v>1</v>
      </c>
      <c r="AC1697">
        <v>0</v>
      </c>
      <c r="AD1697">
        <v>0</v>
      </c>
      <c r="AE1697">
        <v>0</v>
      </c>
    </row>
    <row r="1698" spans="1:31">
      <c r="A1698" s="6">
        <v>45492</v>
      </c>
      <c r="B1698" t="s">
        <v>36</v>
      </c>
      <c r="C1698" t="s">
        <v>37</v>
      </c>
      <c r="D1698" t="s">
        <v>38</v>
      </c>
      <c r="E1698" t="s">
        <v>39</v>
      </c>
      <c r="F1698">
        <v>125</v>
      </c>
      <c r="G1698">
        <v>320</v>
      </c>
      <c r="H1698">
        <v>234</v>
      </c>
      <c r="I1698">
        <v>98</v>
      </c>
      <c r="J1698" s="8">
        <v>0.78400000000000003</v>
      </c>
      <c r="K1698">
        <v>22</v>
      </c>
      <c r="L1698">
        <v>50</v>
      </c>
      <c r="M1698">
        <v>197</v>
      </c>
      <c r="N1698" s="10">
        <v>696.87</v>
      </c>
      <c r="O1698" s="7">
        <v>1.6</v>
      </c>
      <c r="P1698" s="7">
        <v>28.6</v>
      </c>
      <c r="Q1698">
        <v>4</v>
      </c>
      <c r="R1698" t="s">
        <v>66</v>
      </c>
      <c r="S1698">
        <v>7</v>
      </c>
      <c r="T1698">
        <v>201</v>
      </c>
      <c r="U1698" s="11">
        <v>-0.43388373911755801</v>
      </c>
      <c r="V1698" s="11">
        <v>-0.90096886790241915</v>
      </c>
      <c r="W1698" s="11">
        <v>-0.29446162178680119</v>
      </c>
      <c r="X1698" s="11">
        <v>-0.95566330540347044</v>
      </c>
      <c r="Y1698">
        <v>0</v>
      </c>
      <c r="Z1698">
        <v>0</v>
      </c>
      <c r="AB1698">
        <v>1</v>
      </c>
      <c r="AC1698">
        <v>0</v>
      </c>
      <c r="AD1698">
        <v>0</v>
      </c>
      <c r="AE1698">
        <v>0</v>
      </c>
    </row>
    <row r="1699" spans="1:31">
      <c r="A1699" s="6">
        <v>45492</v>
      </c>
      <c r="B1699" t="s">
        <v>41</v>
      </c>
      <c r="C1699" t="s">
        <v>42</v>
      </c>
      <c r="D1699" t="s">
        <v>43</v>
      </c>
      <c r="E1699" t="s">
        <v>44</v>
      </c>
      <c r="F1699">
        <v>85</v>
      </c>
      <c r="G1699">
        <v>210</v>
      </c>
      <c r="H1699">
        <v>163</v>
      </c>
      <c r="I1699">
        <v>74</v>
      </c>
      <c r="J1699" s="8">
        <v>0.87058823529411766</v>
      </c>
      <c r="K1699">
        <v>37</v>
      </c>
      <c r="L1699">
        <v>24</v>
      </c>
      <c r="M1699">
        <v>133</v>
      </c>
      <c r="N1699" s="10">
        <v>550.51</v>
      </c>
      <c r="O1699" s="7">
        <v>1.6</v>
      </c>
      <c r="P1699" s="7">
        <v>28.6</v>
      </c>
      <c r="Q1699">
        <v>4</v>
      </c>
      <c r="R1699" t="s">
        <v>66</v>
      </c>
      <c r="S1699">
        <v>7</v>
      </c>
      <c r="T1699">
        <v>201</v>
      </c>
      <c r="U1699" s="11">
        <v>-0.43388373911755801</v>
      </c>
      <c r="V1699" s="11">
        <v>-0.90096886790241915</v>
      </c>
      <c r="W1699" s="11">
        <v>-0.29446162178680119</v>
      </c>
      <c r="X1699" s="11">
        <v>-0.95566330540347044</v>
      </c>
      <c r="Y1699">
        <v>0</v>
      </c>
      <c r="Z1699">
        <v>0</v>
      </c>
      <c r="AB1699">
        <v>1</v>
      </c>
      <c r="AC1699">
        <v>0</v>
      </c>
      <c r="AD1699">
        <v>0</v>
      </c>
      <c r="AE1699">
        <v>0</v>
      </c>
    </row>
    <row r="1700" spans="1:31">
      <c r="A1700" s="6">
        <v>45493</v>
      </c>
      <c r="B1700" t="s">
        <v>31</v>
      </c>
      <c r="C1700" t="s">
        <v>32</v>
      </c>
      <c r="D1700" t="s">
        <v>33</v>
      </c>
      <c r="E1700" t="s">
        <v>34</v>
      </c>
      <c r="F1700">
        <v>140</v>
      </c>
      <c r="G1700">
        <v>360</v>
      </c>
      <c r="H1700">
        <v>249</v>
      </c>
      <c r="I1700">
        <v>105</v>
      </c>
      <c r="J1700" s="8">
        <v>0.75</v>
      </c>
      <c r="K1700">
        <v>61</v>
      </c>
      <c r="L1700">
        <v>64</v>
      </c>
      <c r="M1700">
        <v>212</v>
      </c>
      <c r="N1700" s="10">
        <v>490.02</v>
      </c>
      <c r="O1700" s="7">
        <v>11.8</v>
      </c>
      <c r="P1700" s="7">
        <v>29.3</v>
      </c>
      <c r="Q1700">
        <v>5</v>
      </c>
      <c r="R1700" t="s">
        <v>67</v>
      </c>
      <c r="S1700">
        <v>7</v>
      </c>
      <c r="T1700">
        <v>202</v>
      </c>
      <c r="U1700" s="11">
        <v>-0.97492791218182362</v>
      </c>
      <c r="V1700" s="11">
        <v>-0.22252093395631459</v>
      </c>
      <c r="W1700" s="11">
        <v>-0.31085696824350362</v>
      </c>
      <c r="X1700" s="11">
        <v>-0.95045670353491507</v>
      </c>
      <c r="Y1700">
        <v>1</v>
      </c>
      <c r="Z1700">
        <v>0</v>
      </c>
      <c r="AB1700">
        <v>1</v>
      </c>
      <c r="AC1700">
        <v>0</v>
      </c>
      <c r="AD1700">
        <v>0</v>
      </c>
      <c r="AE1700">
        <v>0</v>
      </c>
    </row>
    <row r="1701" spans="1:31">
      <c r="A1701" s="6">
        <v>45493</v>
      </c>
      <c r="B1701" t="s">
        <v>36</v>
      </c>
      <c r="C1701" t="s">
        <v>37</v>
      </c>
      <c r="D1701" t="s">
        <v>38</v>
      </c>
      <c r="E1701" t="s">
        <v>39</v>
      </c>
      <c r="F1701">
        <v>125</v>
      </c>
      <c r="G1701">
        <v>320</v>
      </c>
      <c r="H1701">
        <v>249</v>
      </c>
      <c r="I1701">
        <v>106</v>
      </c>
      <c r="J1701" s="8">
        <v>0.84799999999999998</v>
      </c>
      <c r="K1701">
        <v>44</v>
      </c>
      <c r="L1701">
        <v>22</v>
      </c>
      <c r="M1701">
        <v>223</v>
      </c>
      <c r="N1701" s="10">
        <v>809.46</v>
      </c>
      <c r="O1701" s="7">
        <v>11.8</v>
      </c>
      <c r="P1701" s="7">
        <v>29.3</v>
      </c>
      <c r="Q1701">
        <v>5</v>
      </c>
      <c r="R1701" t="s">
        <v>67</v>
      </c>
      <c r="S1701">
        <v>7</v>
      </c>
      <c r="T1701">
        <v>202</v>
      </c>
      <c r="U1701" s="11">
        <v>-0.97492791218182362</v>
      </c>
      <c r="V1701" s="11">
        <v>-0.22252093395631459</v>
      </c>
      <c r="W1701" s="11">
        <v>-0.31085696824350362</v>
      </c>
      <c r="X1701" s="11">
        <v>-0.95045670353491507</v>
      </c>
      <c r="Y1701">
        <v>1</v>
      </c>
      <c r="Z1701">
        <v>0</v>
      </c>
      <c r="AB1701">
        <v>1</v>
      </c>
      <c r="AC1701">
        <v>0</v>
      </c>
      <c r="AD1701">
        <v>0</v>
      </c>
      <c r="AE1701">
        <v>0</v>
      </c>
    </row>
    <row r="1702" spans="1:31">
      <c r="A1702" s="6">
        <v>45493</v>
      </c>
      <c r="B1702" t="s">
        <v>41</v>
      </c>
      <c r="C1702" t="s">
        <v>42</v>
      </c>
      <c r="D1702" t="s">
        <v>43</v>
      </c>
      <c r="E1702" t="s">
        <v>44</v>
      </c>
      <c r="F1702">
        <v>85</v>
      </c>
      <c r="G1702">
        <v>210</v>
      </c>
      <c r="H1702">
        <v>193</v>
      </c>
      <c r="I1702">
        <v>82</v>
      </c>
      <c r="J1702" s="8">
        <v>0.96470588235294119</v>
      </c>
      <c r="K1702">
        <v>46</v>
      </c>
      <c r="L1702">
        <v>33</v>
      </c>
      <c r="M1702">
        <v>168</v>
      </c>
      <c r="N1702" s="10">
        <v>645</v>
      </c>
      <c r="O1702" s="7">
        <v>11.8</v>
      </c>
      <c r="P1702" s="7">
        <v>29.3</v>
      </c>
      <c r="Q1702">
        <v>5</v>
      </c>
      <c r="R1702" t="s">
        <v>67</v>
      </c>
      <c r="S1702">
        <v>7</v>
      </c>
      <c r="T1702">
        <v>202</v>
      </c>
      <c r="U1702" s="11">
        <v>-0.97492791218182362</v>
      </c>
      <c r="V1702" s="11">
        <v>-0.22252093395631459</v>
      </c>
      <c r="W1702" s="11">
        <v>-0.31085696824350362</v>
      </c>
      <c r="X1702" s="11">
        <v>-0.95045670353491507</v>
      </c>
      <c r="Y1702">
        <v>1</v>
      </c>
      <c r="Z1702">
        <v>0</v>
      </c>
      <c r="AB1702">
        <v>1</v>
      </c>
      <c r="AC1702">
        <v>0</v>
      </c>
      <c r="AD1702">
        <v>0</v>
      </c>
      <c r="AE1702">
        <v>0</v>
      </c>
    </row>
    <row r="1703" spans="1:31">
      <c r="A1703" s="6">
        <v>45494</v>
      </c>
      <c r="B1703" t="s">
        <v>31</v>
      </c>
      <c r="C1703" t="s">
        <v>32</v>
      </c>
      <c r="D1703" t="s">
        <v>33</v>
      </c>
      <c r="E1703" t="s">
        <v>34</v>
      </c>
      <c r="F1703">
        <v>140</v>
      </c>
      <c r="G1703">
        <v>360</v>
      </c>
      <c r="H1703">
        <v>249</v>
      </c>
      <c r="I1703">
        <v>105</v>
      </c>
      <c r="J1703" s="8">
        <v>0.75</v>
      </c>
      <c r="K1703">
        <v>69</v>
      </c>
      <c r="L1703">
        <v>45</v>
      </c>
      <c r="M1703">
        <v>229</v>
      </c>
      <c r="N1703" s="10">
        <v>567.66</v>
      </c>
      <c r="O1703" s="7">
        <v>3.4</v>
      </c>
      <c r="P1703" s="7">
        <v>28.3</v>
      </c>
      <c r="Q1703">
        <v>6</v>
      </c>
      <c r="R1703" t="s">
        <v>60</v>
      </c>
      <c r="S1703">
        <v>7</v>
      </c>
      <c r="T1703">
        <v>203</v>
      </c>
      <c r="U1703" s="11">
        <v>-0.78183148246802991</v>
      </c>
      <c r="V1703" s="11">
        <v>0.62348980185873337</v>
      </c>
      <c r="W1703" s="11">
        <v>-0.32716032712209508</v>
      </c>
      <c r="X1703" s="11">
        <v>-0.94496884623640565</v>
      </c>
      <c r="Y1703">
        <v>1</v>
      </c>
      <c r="Z1703">
        <v>0</v>
      </c>
      <c r="AB1703">
        <v>1</v>
      </c>
      <c r="AC1703">
        <v>0</v>
      </c>
      <c r="AD1703">
        <v>0</v>
      </c>
      <c r="AE1703">
        <v>0</v>
      </c>
    </row>
    <row r="1704" spans="1:31">
      <c r="A1704" s="6">
        <v>45494</v>
      </c>
      <c r="B1704" t="s">
        <v>36</v>
      </c>
      <c r="C1704" t="s">
        <v>37</v>
      </c>
      <c r="D1704" t="s">
        <v>38</v>
      </c>
      <c r="E1704" t="s">
        <v>39</v>
      </c>
      <c r="F1704">
        <v>125</v>
      </c>
      <c r="G1704">
        <v>320</v>
      </c>
      <c r="H1704">
        <v>263</v>
      </c>
      <c r="I1704">
        <v>108</v>
      </c>
      <c r="J1704" s="8">
        <v>0.86399999999999999</v>
      </c>
      <c r="K1704">
        <v>59</v>
      </c>
      <c r="L1704">
        <v>71</v>
      </c>
      <c r="M1704">
        <v>242</v>
      </c>
      <c r="N1704" s="10">
        <v>762.49</v>
      </c>
      <c r="O1704" s="7">
        <v>3.4</v>
      </c>
      <c r="P1704" s="7">
        <v>28.3</v>
      </c>
      <c r="Q1704">
        <v>6</v>
      </c>
      <c r="R1704" t="s">
        <v>60</v>
      </c>
      <c r="S1704">
        <v>7</v>
      </c>
      <c r="T1704">
        <v>203</v>
      </c>
      <c r="U1704" s="11">
        <v>-0.78183148246802991</v>
      </c>
      <c r="V1704" s="11">
        <v>0.62348980185873337</v>
      </c>
      <c r="W1704" s="11">
        <v>-0.32716032712209508</v>
      </c>
      <c r="X1704" s="11">
        <v>-0.94496884623640565</v>
      </c>
      <c r="Y1704">
        <v>1</v>
      </c>
      <c r="Z1704">
        <v>0</v>
      </c>
      <c r="AB1704">
        <v>1</v>
      </c>
      <c r="AC1704">
        <v>0</v>
      </c>
      <c r="AD1704">
        <v>0</v>
      </c>
      <c r="AE1704">
        <v>0</v>
      </c>
    </row>
    <row r="1705" spans="1:31">
      <c r="A1705" s="6">
        <v>45494</v>
      </c>
      <c r="B1705" t="s">
        <v>41</v>
      </c>
      <c r="C1705" t="s">
        <v>42</v>
      </c>
      <c r="D1705" t="s">
        <v>43</v>
      </c>
      <c r="E1705" t="s">
        <v>44</v>
      </c>
      <c r="F1705">
        <v>85</v>
      </c>
      <c r="G1705">
        <v>210</v>
      </c>
      <c r="H1705">
        <v>178</v>
      </c>
      <c r="I1705">
        <v>80</v>
      </c>
      <c r="J1705" s="8">
        <v>0.94117647058823528</v>
      </c>
      <c r="K1705">
        <v>51</v>
      </c>
      <c r="L1705">
        <v>49</v>
      </c>
      <c r="M1705">
        <v>150</v>
      </c>
      <c r="N1705" s="10">
        <v>584.4</v>
      </c>
      <c r="O1705" s="7">
        <v>3.4</v>
      </c>
      <c r="P1705" s="7">
        <v>28.3</v>
      </c>
      <c r="Q1705">
        <v>6</v>
      </c>
      <c r="R1705" t="s">
        <v>60</v>
      </c>
      <c r="S1705">
        <v>7</v>
      </c>
      <c r="T1705">
        <v>203</v>
      </c>
      <c r="U1705" s="11">
        <v>-0.78183148246802991</v>
      </c>
      <c r="V1705" s="11">
        <v>0.62348980185873337</v>
      </c>
      <c r="W1705" s="11">
        <v>-0.32716032712209508</v>
      </c>
      <c r="X1705" s="11">
        <v>-0.94496884623640565</v>
      </c>
      <c r="Y1705">
        <v>1</v>
      </c>
      <c r="Z1705">
        <v>0</v>
      </c>
      <c r="AB1705">
        <v>1</v>
      </c>
      <c r="AC1705">
        <v>0</v>
      </c>
      <c r="AD1705">
        <v>0</v>
      </c>
      <c r="AE1705">
        <v>0</v>
      </c>
    </row>
    <row r="1706" spans="1:31">
      <c r="A1706" s="6">
        <v>45495</v>
      </c>
      <c r="B1706" t="s">
        <v>31</v>
      </c>
      <c r="C1706" t="s">
        <v>32</v>
      </c>
      <c r="D1706" t="s">
        <v>33</v>
      </c>
      <c r="E1706" t="s">
        <v>34</v>
      </c>
      <c r="F1706">
        <v>140</v>
      </c>
      <c r="G1706">
        <v>360</v>
      </c>
      <c r="H1706">
        <v>253</v>
      </c>
      <c r="I1706">
        <v>107</v>
      </c>
      <c r="J1706" s="8">
        <v>0.76428571428571423</v>
      </c>
      <c r="K1706">
        <v>37</v>
      </c>
      <c r="L1706">
        <v>38</v>
      </c>
      <c r="M1706">
        <v>218</v>
      </c>
      <c r="N1706" s="10">
        <v>436.05</v>
      </c>
      <c r="O1706" s="7">
        <v>3.8</v>
      </c>
      <c r="P1706" s="7">
        <v>28.8</v>
      </c>
      <c r="Q1706">
        <v>0</v>
      </c>
      <c r="R1706" t="s">
        <v>62</v>
      </c>
      <c r="S1706">
        <v>7</v>
      </c>
      <c r="T1706">
        <v>204</v>
      </c>
      <c r="U1706" s="11">
        <v>0</v>
      </c>
      <c r="V1706" s="11">
        <v>1</v>
      </c>
      <c r="W1706" s="11">
        <v>-0.34336687399638804</v>
      </c>
      <c r="X1706" s="11">
        <v>-0.93920135745320799</v>
      </c>
      <c r="Y1706">
        <v>0</v>
      </c>
      <c r="Z1706">
        <v>0</v>
      </c>
      <c r="AB1706">
        <v>1</v>
      </c>
      <c r="AC1706">
        <v>0</v>
      </c>
      <c r="AD1706">
        <v>0</v>
      </c>
      <c r="AE1706">
        <v>1</v>
      </c>
    </row>
    <row r="1707" spans="1:31">
      <c r="A1707" s="6">
        <v>45495</v>
      </c>
      <c r="B1707" t="s">
        <v>36</v>
      </c>
      <c r="C1707" t="s">
        <v>37</v>
      </c>
      <c r="D1707" t="s">
        <v>38</v>
      </c>
      <c r="E1707" t="s">
        <v>39</v>
      </c>
      <c r="F1707">
        <v>125</v>
      </c>
      <c r="G1707">
        <v>320</v>
      </c>
      <c r="H1707">
        <v>251</v>
      </c>
      <c r="I1707">
        <v>106</v>
      </c>
      <c r="J1707" s="8">
        <v>0.84799999999999998</v>
      </c>
      <c r="K1707">
        <v>59</v>
      </c>
      <c r="L1707">
        <v>47</v>
      </c>
      <c r="M1707">
        <v>208</v>
      </c>
      <c r="N1707" s="10">
        <v>737.72</v>
      </c>
      <c r="O1707" s="7">
        <v>3.8</v>
      </c>
      <c r="P1707" s="7">
        <v>28.8</v>
      </c>
      <c r="Q1707">
        <v>0</v>
      </c>
      <c r="R1707" t="s">
        <v>62</v>
      </c>
      <c r="S1707">
        <v>7</v>
      </c>
      <c r="T1707">
        <v>204</v>
      </c>
      <c r="U1707" s="11">
        <v>0</v>
      </c>
      <c r="V1707" s="11">
        <v>1</v>
      </c>
      <c r="W1707" s="11">
        <v>-0.34336687399638804</v>
      </c>
      <c r="X1707" s="11">
        <v>-0.93920135745320799</v>
      </c>
      <c r="Y1707">
        <v>0</v>
      </c>
      <c r="Z1707">
        <v>0</v>
      </c>
      <c r="AB1707">
        <v>1</v>
      </c>
      <c r="AC1707">
        <v>0</v>
      </c>
      <c r="AD1707">
        <v>0</v>
      </c>
      <c r="AE1707">
        <v>1</v>
      </c>
    </row>
    <row r="1708" spans="1:31">
      <c r="A1708" s="6">
        <v>45495</v>
      </c>
      <c r="B1708" t="s">
        <v>41</v>
      </c>
      <c r="C1708" t="s">
        <v>42</v>
      </c>
      <c r="D1708" t="s">
        <v>43</v>
      </c>
      <c r="E1708" t="s">
        <v>44</v>
      </c>
      <c r="F1708">
        <v>85</v>
      </c>
      <c r="G1708">
        <v>210</v>
      </c>
      <c r="H1708">
        <v>183</v>
      </c>
      <c r="I1708">
        <v>80</v>
      </c>
      <c r="J1708" s="8">
        <v>0.94117647058823528</v>
      </c>
      <c r="K1708">
        <v>43</v>
      </c>
      <c r="L1708">
        <v>28</v>
      </c>
      <c r="M1708">
        <v>169</v>
      </c>
      <c r="N1708" s="10">
        <v>518.84</v>
      </c>
      <c r="O1708" s="7">
        <v>3.8</v>
      </c>
      <c r="P1708" s="7">
        <v>28.8</v>
      </c>
      <c r="Q1708">
        <v>0</v>
      </c>
      <c r="R1708" t="s">
        <v>62</v>
      </c>
      <c r="S1708">
        <v>7</v>
      </c>
      <c r="T1708">
        <v>204</v>
      </c>
      <c r="U1708" s="11">
        <v>0</v>
      </c>
      <c r="V1708" s="11">
        <v>1</v>
      </c>
      <c r="W1708" s="11">
        <v>-0.34336687399638804</v>
      </c>
      <c r="X1708" s="11">
        <v>-0.93920135745320799</v>
      </c>
      <c r="Y1708">
        <v>0</v>
      </c>
      <c r="Z1708">
        <v>0</v>
      </c>
      <c r="AB1708">
        <v>1</v>
      </c>
      <c r="AC1708">
        <v>0</v>
      </c>
      <c r="AD1708">
        <v>0</v>
      </c>
      <c r="AE1708">
        <v>1</v>
      </c>
    </row>
    <row r="1709" spans="1:31">
      <c r="A1709" s="6">
        <v>45496</v>
      </c>
      <c r="B1709" t="s">
        <v>31</v>
      </c>
      <c r="C1709" t="s">
        <v>32</v>
      </c>
      <c r="D1709" t="s">
        <v>33</v>
      </c>
      <c r="E1709" t="s">
        <v>34</v>
      </c>
      <c r="F1709">
        <v>140</v>
      </c>
      <c r="G1709">
        <v>360</v>
      </c>
      <c r="H1709">
        <v>256</v>
      </c>
      <c r="I1709">
        <v>108</v>
      </c>
      <c r="J1709" s="8">
        <v>0.77142857142857146</v>
      </c>
      <c r="K1709">
        <v>57</v>
      </c>
      <c r="L1709">
        <v>57</v>
      </c>
      <c r="M1709">
        <v>207</v>
      </c>
      <c r="N1709" s="10">
        <v>417.68</v>
      </c>
      <c r="O1709" s="7">
        <v>7.4</v>
      </c>
      <c r="P1709" s="7">
        <v>28.7</v>
      </c>
      <c r="Q1709">
        <v>1</v>
      </c>
      <c r="R1709" t="s">
        <v>63</v>
      </c>
      <c r="S1709">
        <v>7</v>
      </c>
      <c r="T1709">
        <v>205</v>
      </c>
      <c r="U1709" s="11">
        <v>0.7818314824680298</v>
      </c>
      <c r="V1709" s="11">
        <v>0.62348980185873359</v>
      </c>
      <c r="W1709" s="11">
        <v>-0.35947181308842319</v>
      </c>
      <c r="X1709" s="11">
        <v>-0.93315594387804324</v>
      </c>
      <c r="Y1709">
        <v>0</v>
      </c>
      <c r="Z1709">
        <v>0</v>
      </c>
      <c r="AB1709">
        <v>1</v>
      </c>
      <c r="AC1709">
        <v>0</v>
      </c>
      <c r="AD1709">
        <v>0</v>
      </c>
      <c r="AE1709">
        <v>1</v>
      </c>
    </row>
    <row r="1710" spans="1:31">
      <c r="A1710" s="6">
        <v>45496</v>
      </c>
      <c r="B1710" t="s">
        <v>36</v>
      </c>
      <c r="C1710" t="s">
        <v>37</v>
      </c>
      <c r="D1710" t="s">
        <v>38</v>
      </c>
      <c r="E1710" t="s">
        <v>39</v>
      </c>
      <c r="F1710">
        <v>125</v>
      </c>
      <c r="G1710">
        <v>320</v>
      </c>
      <c r="H1710">
        <v>232</v>
      </c>
      <c r="I1710">
        <v>101</v>
      </c>
      <c r="J1710" s="8">
        <v>0.80800000000000005</v>
      </c>
      <c r="K1710">
        <v>30</v>
      </c>
      <c r="L1710">
        <v>41</v>
      </c>
      <c r="M1710">
        <v>200</v>
      </c>
      <c r="N1710" s="10">
        <v>729.98</v>
      </c>
      <c r="O1710" s="7">
        <v>7.4</v>
      </c>
      <c r="P1710" s="7">
        <v>28.7</v>
      </c>
      <c r="Q1710">
        <v>1</v>
      </c>
      <c r="R1710" t="s">
        <v>63</v>
      </c>
      <c r="S1710">
        <v>7</v>
      </c>
      <c r="T1710">
        <v>205</v>
      </c>
      <c r="U1710" s="11">
        <v>0.7818314824680298</v>
      </c>
      <c r="V1710" s="11">
        <v>0.62348980185873359</v>
      </c>
      <c r="W1710" s="11">
        <v>-0.35947181308842319</v>
      </c>
      <c r="X1710" s="11">
        <v>-0.93315594387804324</v>
      </c>
      <c r="Y1710">
        <v>0</v>
      </c>
      <c r="Z1710">
        <v>0</v>
      </c>
      <c r="AB1710">
        <v>1</v>
      </c>
      <c r="AC1710">
        <v>0</v>
      </c>
      <c r="AD1710">
        <v>0</v>
      </c>
      <c r="AE1710">
        <v>1</v>
      </c>
    </row>
    <row r="1711" spans="1:31">
      <c r="A1711" s="6">
        <v>45496</v>
      </c>
      <c r="B1711" t="s">
        <v>41</v>
      </c>
      <c r="C1711" t="s">
        <v>42</v>
      </c>
      <c r="D1711" t="s">
        <v>43</v>
      </c>
      <c r="E1711" t="s">
        <v>44</v>
      </c>
      <c r="F1711">
        <v>85</v>
      </c>
      <c r="G1711">
        <v>210</v>
      </c>
      <c r="H1711">
        <v>172</v>
      </c>
      <c r="I1711">
        <v>77</v>
      </c>
      <c r="J1711" s="8">
        <v>0.90588235294117647</v>
      </c>
      <c r="K1711">
        <v>42</v>
      </c>
      <c r="L1711">
        <v>38</v>
      </c>
      <c r="M1711">
        <v>143</v>
      </c>
      <c r="N1711" s="10">
        <v>528.53</v>
      </c>
      <c r="O1711" s="7">
        <v>7.4</v>
      </c>
      <c r="P1711" s="7">
        <v>28.7</v>
      </c>
      <c r="Q1711">
        <v>1</v>
      </c>
      <c r="R1711" t="s">
        <v>63</v>
      </c>
      <c r="S1711">
        <v>7</v>
      </c>
      <c r="T1711">
        <v>205</v>
      </c>
      <c r="U1711" s="11">
        <v>0.7818314824680298</v>
      </c>
      <c r="V1711" s="11">
        <v>0.62348980185873359</v>
      </c>
      <c r="W1711" s="11">
        <v>-0.35947181308842319</v>
      </c>
      <c r="X1711" s="11">
        <v>-0.93315594387804324</v>
      </c>
      <c r="Y1711">
        <v>0</v>
      </c>
      <c r="Z1711">
        <v>0</v>
      </c>
      <c r="AB1711">
        <v>1</v>
      </c>
      <c r="AC1711">
        <v>0</v>
      </c>
      <c r="AD1711">
        <v>0</v>
      </c>
      <c r="AE1711">
        <v>1</v>
      </c>
    </row>
    <row r="1712" spans="1:31">
      <c r="A1712" s="6">
        <v>45497</v>
      </c>
      <c r="B1712" t="s">
        <v>31</v>
      </c>
      <c r="C1712" t="s">
        <v>32</v>
      </c>
      <c r="D1712" t="s">
        <v>33</v>
      </c>
      <c r="E1712" t="s">
        <v>34</v>
      </c>
      <c r="F1712">
        <v>140</v>
      </c>
      <c r="G1712">
        <v>360</v>
      </c>
      <c r="H1712">
        <v>249</v>
      </c>
      <c r="I1712">
        <v>102</v>
      </c>
      <c r="J1712" s="8">
        <v>0.72857142857142854</v>
      </c>
      <c r="K1712">
        <v>56</v>
      </c>
      <c r="L1712">
        <v>28</v>
      </c>
      <c r="M1712">
        <v>220</v>
      </c>
      <c r="N1712" s="10">
        <v>482.25</v>
      </c>
      <c r="O1712" s="7">
        <v>2.8</v>
      </c>
      <c r="P1712" s="7">
        <v>28.7</v>
      </c>
      <c r="Q1712">
        <v>2</v>
      </c>
      <c r="R1712" t="s">
        <v>64</v>
      </c>
      <c r="S1712">
        <v>7</v>
      </c>
      <c r="T1712">
        <v>206</v>
      </c>
      <c r="U1712" s="11">
        <v>0.97492791218182362</v>
      </c>
      <c r="V1712" s="11">
        <v>-0.22252093395631434</v>
      </c>
      <c r="W1712" s="11">
        <v>-0.37547037868762018</v>
      </c>
      <c r="X1712" s="11">
        <v>-0.92683439444604943</v>
      </c>
      <c r="Y1712">
        <v>0</v>
      </c>
      <c r="Z1712">
        <v>0</v>
      </c>
      <c r="AB1712">
        <v>1</v>
      </c>
      <c r="AC1712">
        <v>0</v>
      </c>
      <c r="AD1712">
        <v>0</v>
      </c>
      <c r="AE1712">
        <v>0</v>
      </c>
    </row>
    <row r="1713" spans="1:31">
      <c r="A1713" s="6">
        <v>45497</v>
      </c>
      <c r="B1713" t="s">
        <v>36</v>
      </c>
      <c r="C1713" t="s">
        <v>37</v>
      </c>
      <c r="D1713" t="s">
        <v>38</v>
      </c>
      <c r="E1713" t="s">
        <v>39</v>
      </c>
      <c r="F1713">
        <v>125</v>
      </c>
      <c r="G1713">
        <v>320</v>
      </c>
      <c r="H1713">
        <v>244</v>
      </c>
      <c r="I1713">
        <v>101</v>
      </c>
      <c r="J1713" s="8">
        <v>0.80800000000000005</v>
      </c>
      <c r="K1713">
        <v>51</v>
      </c>
      <c r="L1713">
        <v>48</v>
      </c>
      <c r="M1713">
        <v>222</v>
      </c>
      <c r="N1713" s="10">
        <v>732.68</v>
      </c>
      <c r="O1713" s="7">
        <v>2.8</v>
      </c>
      <c r="P1713" s="7">
        <v>28.7</v>
      </c>
      <c r="Q1713">
        <v>2</v>
      </c>
      <c r="R1713" t="s">
        <v>64</v>
      </c>
      <c r="S1713">
        <v>7</v>
      </c>
      <c r="T1713">
        <v>206</v>
      </c>
      <c r="U1713" s="11">
        <v>0.97492791218182362</v>
      </c>
      <c r="V1713" s="11">
        <v>-0.22252093395631434</v>
      </c>
      <c r="W1713" s="11">
        <v>-0.37547037868762018</v>
      </c>
      <c r="X1713" s="11">
        <v>-0.92683439444604943</v>
      </c>
      <c r="Y1713">
        <v>0</v>
      </c>
      <c r="Z1713">
        <v>0</v>
      </c>
      <c r="AB1713">
        <v>1</v>
      </c>
      <c r="AC1713">
        <v>0</v>
      </c>
      <c r="AD1713">
        <v>0</v>
      </c>
      <c r="AE1713">
        <v>0</v>
      </c>
    </row>
    <row r="1714" spans="1:31">
      <c r="A1714" s="6">
        <v>45497</v>
      </c>
      <c r="B1714" t="s">
        <v>41</v>
      </c>
      <c r="C1714" t="s">
        <v>42</v>
      </c>
      <c r="D1714" t="s">
        <v>43</v>
      </c>
      <c r="E1714" t="s">
        <v>44</v>
      </c>
      <c r="F1714">
        <v>85</v>
      </c>
      <c r="G1714">
        <v>210</v>
      </c>
      <c r="H1714">
        <v>166</v>
      </c>
      <c r="I1714">
        <v>71</v>
      </c>
      <c r="J1714" s="8">
        <v>0.83529411764705885</v>
      </c>
      <c r="K1714">
        <v>30</v>
      </c>
      <c r="L1714">
        <v>31</v>
      </c>
      <c r="M1714">
        <v>146</v>
      </c>
      <c r="N1714" s="10">
        <v>583.58000000000004</v>
      </c>
      <c r="O1714" s="7">
        <v>2.8</v>
      </c>
      <c r="P1714" s="7">
        <v>28.7</v>
      </c>
      <c r="Q1714">
        <v>2</v>
      </c>
      <c r="R1714" t="s">
        <v>64</v>
      </c>
      <c r="S1714">
        <v>7</v>
      </c>
      <c r="T1714">
        <v>206</v>
      </c>
      <c r="U1714" s="11">
        <v>0.97492791218182362</v>
      </c>
      <c r="V1714" s="11">
        <v>-0.22252093395631434</v>
      </c>
      <c r="W1714" s="11">
        <v>-0.37547037868762018</v>
      </c>
      <c r="X1714" s="11">
        <v>-0.92683439444604943</v>
      </c>
      <c r="Y1714">
        <v>0</v>
      </c>
      <c r="Z1714">
        <v>0</v>
      </c>
      <c r="AB1714">
        <v>1</v>
      </c>
      <c r="AC1714">
        <v>0</v>
      </c>
      <c r="AD1714">
        <v>0</v>
      </c>
      <c r="AE1714">
        <v>0</v>
      </c>
    </row>
    <row r="1715" spans="1:31">
      <c r="A1715" s="6">
        <v>45498</v>
      </c>
      <c r="B1715" t="s">
        <v>31</v>
      </c>
      <c r="C1715" t="s">
        <v>32</v>
      </c>
      <c r="D1715" t="s">
        <v>33</v>
      </c>
      <c r="E1715" t="s">
        <v>34</v>
      </c>
      <c r="F1715">
        <v>140</v>
      </c>
      <c r="G1715">
        <v>360</v>
      </c>
      <c r="H1715">
        <v>236</v>
      </c>
      <c r="I1715">
        <v>99</v>
      </c>
      <c r="J1715" s="8">
        <v>0.70714285714285718</v>
      </c>
      <c r="K1715">
        <v>42</v>
      </c>
      <c r="L1715">
        <v>31</v>
      </c>
      <c r="M1715">
        <v>199</v>
      </c>
      <c r="N1715" s="10">
        <v>445.9</v>
      </c>
      <c r="O1715" s="7">
        <v>8.1999999999999993</v>
      </c>
      <c r="P1715" s="7">
        <v>28.9</v>
      </c>
      <c r="Q1715">
        <v>3</v>
      </c>
      <c r="R1715" t="s">
        <v>65</v>
      </c>
      <c r="S1715">
        <v>7</v>
      </c>
      <c r="T1715">
        <v>207</v>
      </c>
      <c r="U1715" s="11">
        <v>0.43388373911755823</v>
      </c>
      <c r="V1715" s="11">
        <v>-0.90096886790241903</v>
      </c>
      <c r="W1715" s="11">
        <v>-0.39135783656102591</v>
      </c>
      <c r="X1715" s="11">
        <v>-0.92023857980540746</v>
      </c>
      <c r="Y1715">
        <v>0</v>
      </c>
      <c r="Z1715">
        <v>0</v>
      </c>
      <c r="AB1715">
        <v>1</v>
      </c>
      <c r="AC1715">
        <v>0</v>
      </c>
      <c r="AD1715">
        <v>0</v>
      </c>
      <c r="AE1715">
        <v>0</v>
      </c>
    </row>
    <row r="1716" spans="1:31">
      <c r="A1716" s="6">
        <v>45498</v>
      </c>
      <c r="B1716" t="s">
        <v>36</v>
      </c>
      <c r="C1716" t="s">
        <v>37</v>
      </c>
      <c r="D1716" t="s">
        <v>38</v>
      </c>
      <c r="E1716" t="s">
        <v>39</v>
      </c>
      <c r="F1716">
        <v>125</v>
      </c>
      <c r="G1716">
        <v>320</v>
      </c>
      <c r="H1716">
        <v>217</v>
      </c>
      <c r="I1716">
        <v>89</v>
      </c>
      <c r="J1716" s="8">
        <v>0.71199999999999997</v>
      </c>
      <c r="K1716">
        <v>58</v>
      </c>
      <c r="L1716">
        <v>46</v>
      </c>
      <c r="M1716">
        <v>187</v>
      </c>
      <c r="N1716" s="10">
        <v>725.06</v>
      </c>
      <c r="O1716" s="7">
        <v>8.1999999999999993</v>
      </c>
      <c r="P1716" s="7">
        <v>28.9</v>
      </c>
      <c r="Q1716">
        <v>3</v>
      </c>
      <c r="R1716" t="s">
        <v>65</v>
      </c>
      <c r="S1716">
        <v>7</v>
      </c>
      <c r="T1716">
        <v>207</v>
      </c>
      <c r="U1716" s="11">
        <v>0.43388373911755823</v>
      </c>
      <c r="V1716" s="11">
        <v>-0.90096886790241903</v>
      </c>
      <c r="W1716" s="11">
        <v>-0.39135783656102591</v>
      </c>
      <c r="X1716" s="11">
        <v>-0.92023857980540746</v>
      </c>
      <c r="Y1716">
        <v>0</v>
      </c>
      <c r="Z1716">
        <v>0</v>
      </c>
      <c r="AB1716">
        <v>1</v>
      </c>
      <c r="AC1716">
        <v>0</v>
      </c>
      <c r="AD1716">
        <v>0</v>
      </c>
      <c r="AE1716">
        <v>0</v>
      </c>
    </row>
    <row r="1717" spans="1:31">
      <c r="A1717" s="6">
        <v>45498</v>
      </c>
      <c r="B1717" t="s">
        <v>41</v>
      </c>
      <c r="C1717" t="s">
        <v>42</v>
      </c>
      <c r="D1717" t="s">
        <v>43</v>
      </c>
      <c r="E1717" t="s">
        <v>44</v>
      </c>
      <c r="F1717">
        <v>85</v>
      </c>
      <c r="G1717">
        <v>210</v>
      </c>
      <c r="H1717">
        <v>162</v>
      </c>
      <c r="I1717">
        <v>70</v>
      </c>
      <c r="J1717" s="8">
        <v>0.82352941176470584</v>
      </c>
      <c r="K1717">
        <v>33</v>
      </c>
      <c r="L1717">
        <v>40</v>
      </c>
      <c r="M1717">
        <v>139</v>
      </c>
      <c r="N1717" s="10">
        <v>602.07000000000005</v>
      </c>
      <c r="O1717" s="7">
        <v>8.1999999999999993</v>
      </c>
      <c r="P1717" s="7">
        <v>28.9</v>
      </c>
      <c r="Q1717">
        <v>3</v>
      </c>
      <c r="R1717" t="s">
        <v>65</v>
      </c>
      <c r="S1717">
        <v>7</v>
      </c>
      <c r="T1717">
        <v>207</v>
      </c>
      <c r="U1717" s="11">
        <v>0.43388373911755823</v>
      </c>
      <c r="V1717" s="11">
        <v>-0.90096886790241903</v>
      </c>
      <c r="W1717" s="11">
        <v>-0.39135783656102591</v>
      </c>
      <c r="X1717" s="11">
        <v>-0.92023857980540746</v>
      </c>
      <c r="Y1717">
        <v>0</v>
      </c>
      <c r="Z1717">
        <v>0</v>
      </c>
      <c r="AB1717">
        <v>1</v>
      </c>
      <c r="AC1717">
        <v>0</v>
      </c>
      <c r="AD1717">
        <v>0</v>
      </c>
      <c r="AE1717">
        <v>0</v>
      </c>
    </row>
    <row r="1718" spans="1:31">
      <c r="A1718" s="6">
        <v>45499</v>
      </c>
      <c r="B1718" t="s">
        <v>31</v>
      </c>
      <c r="C1718" t="s">
        <v>32</v>
      </c>
      <c r="D1718" t="s">
        <v>33</v>
      </c>
      <c r="E1718" t="s">
        <v>34</v>
      </c>
      <c r="F1718">
        <v>140</v>
      </c>
      <c r="G1718">
        <v>360</v>
      </c>
      <c r="H1718">
        <v>207</v>
      </c>
      <c r="I1718">
        <v>89</v>
      </c>
      <c r="J1718" s="8">
        <v>0.63571428571428568</v>
      </c>
      <c r="K1718">
        <v>49</v>
      </c>
      <c r="L1718">
        <v>55</v>
      </c>
      <c r="M1718">
        <v>178</v>
      </c>
      <c r="N1718" s="10">
        <v>474.61</v>
      </c>
      <c r="O1718" s="7">
        <v>2.8</v>
      </c>
      <c r="P1718" s="7">
        <v>29.4</v>
      </c>
      <c r="Q1718">
        <v>4</v>
      </c>
      <c r="R1718" t="s">
        <v>66</v>
      </c>
      <c r="S1718">
        <v>7</v>
      </c>
      <c r="T1718">
        <v>208</v>
      </c>
      <c r="U1718" s="11">
        <v>-0.43388373911755801</v>
      </c>
      <c r="V1718" s="11">
        <v>-0.90096886790241915</v>
      </c>
      <c r="W1718" s="11">
        <v>-0.40712948535425159</v>
      </c>
      <c r="X1718" s="11">
        <v>-0.91337045176378584</v>
      </c>
      <c r="Y1718">
        <v>0</v>
      </c>
      <c r="Z1718">
        <v>0</v>
      </c>
      <c r="AB1718">
        <v>1</v>
      </c>
      <c r="AC1718">
        <v>0</v>
      </c>
      <c r="AD1718">
        <v>0</v>
      </c>
      <c r="AE1718">
        <v>0</v>
      </c>
    </row>
    <row r="1719" spans="1:31">
      <c r="A1719" s="6">
        <v>45499</v>
      </c>
      <c r="B1719" t="s">
        <v>36</v>
      </c>
      <c r="C1719" t="s">
        <v>37</v>
      </c>
      <c r="D1719" t="s">
        <v>38</v>
      </c>
      <c r="E1719" t="s">
        <v>39</v>
      </c>
      <c r="F1719">
        <v>125</v>
      </c>
      <c r="G1719">
        <v>320</v>
      </c>
      <c r="H1719">
        <v>233</v>
      </c>
      <c r="I1719">
        <v>97</v>
      </c>
      <c r="J1719" s="8">
        <v>0.77600000000000002</v>
      </c>
      <c r="K1719">
        <v>51</v>
      </c>
      <c r="L1719">
        <v>42</v>
      </c>
      <c r="M1719">
        <v>206</v>
      </c>
      <c r="N1719" s="10">
        <v>730.69</v>
      </c>
      <c r="O1719" s="7">
        <v>2.8</v>
      </c>
      <c r="P1719" s="7">
        <v>29.4</v>
      </c>
      <c r="Q1719">
        <v>4</v>
      </c>
      <c r="R1719" t="s">
        <v>66</v>
      </c>
      <c r="S1719">
        <v>7</v>
      </c>
      <c r="T1719">
        <v>208</v>
      </c>
      <c r="U1719" s="11">
        <v>-0.43388373911755801</v>
      </c>
      <c r="V1719" s="11">
        <v>-0.90096886790241915</v>
      </c>
      <c r="W1719" s="11">
        <v>-0.40712948535425159</v>
      </c>
      <c r="X1719" s="11">
        <v>-0.91337045176378584</v>
      </c>
      <c r="Y1719">
        <v>0</v>
      </c>
      <c r="Z1719">
        <v>0</v>
      </c>
      <c r="AB1719">
        <v>1</v>
      </c>
      <c r="AC1719">
        <v>0</v>
      </c>
      <c r="AD1719">
        <v>0</v>
      </c>
      <c r="AE1719">
        <v>0</v>
      </c>
    </row>
    <row r="1720" spans="1:31">
      <c r="A1720" s="6">
        <v>45499</v>
      </c>
      <c r="B1720" t="s">
        <v>41</v>
      </c>
      <c r="C1720" t="s">
        <v>42</v>
      </c>
      <c r="D1720" t="s">
        <v>43</v>
      </c>
      <c r="E1720" t="s">
        <v>44</v>
      </c>
      <c r="F1720">
        <v>85</v>
      </c>
      <c r="G1720">
        <v>210</v>
      </c>
      <c r="H1720">
        <v>170</v>
      </c>
      <c r="I1720">
        <v>73</v>
      </c>
      <c r="J1720" s="8">
        <v>0.85882352941176465</v>
      </c>
      <c r="K1720">
        <v>50</v>
      </c>
      <c r="L1720">
        <v>39</v>
      </c>
      <c r="M1720">
        <v>146</v>
      </c>
      <c r="N1720" s="10">
        <v>519.82000000000005</v>
      </c>
      <c r="O1720" s="7">
        <v>2.8</v>
      </c>
      <c r="P1720" s="7">
        <v>29.4</v>
      </c>
      <c r="Q1720">
        <v>4</v>
      </c>
      <c r="R1720" t="s">
        <v>66</v>
      </c>
      <c r="S1720">
        <v>7</v>
      </c>
      <c r="T1720">
        <v>208</v>
      </c>
      <c r="U1720" s="11">
        <v>-0.43388373911755801</v>
      </c>
      <c r="V1720" s="11">
        <v>-0.90096886790241915</v>
      </c>
      <c r="W1720" s="11">
        <v>-0.40712948535425159</v>
      </c>
      <c r="X1720" s="11">
        <v>-0.91337045176378584</v>
      </c>
      <c r="Y1720">
        <v>0</v>
      </c>
      <c r="Z1720">
        <v>0</v>
      </c>
      <c r="AB1720">
        <v>1</v>
      </c>
      <c r="AC1720">
        <v>0</v>
      </c>
      <c r="AD1720">
        <v>0</v>
      </c>
      <c r="AE1720">
        <v>0</v>
      </c>
    </row>
    <row r="1721" spans="1:31">
      <c r="A1721" s="6">
        <v>45500</v>
      </c>
      <c r="B1721" t="s">
        <v>31</v>
      </c>
      <c r="C1721" t="s">
        <v>32</v>
      </c>
      <c r="D1721" t="s">
        <v>33</v>
      </c>
      <c r="E1721" t="s">
        <v>34</v>
      </c>
      <c r="F1721">
        <v>140</v>
      </c>
      <c r="G1721">
        <v>360</v>
      </c>
      <c r="H1721">
        <v>225</v>
      </c>
      <c r="I1721">
        <v>98</v>
      </c>
      <c r="J1721" s="8">
        <v>0.7</v>
      </c>
      <c r="K1721">
        <v>28</v>
      </c>
      <c r="L1721">
        <v>53</v>
      </c>
      <c r="M1721">
        <v>199</v>
      </c>
      <c r="N1721" s="10">
        <v>537.33000000000004</v>
      </c>
      <c r="O1721" s="7">
        <v>13</v>
      </c>
      <c r="P1721" s="7">
        <v>28.7</v>
      </c>
      <c r="Q1721">
        <v>5</v>
      </c>
      <c r="R1721" t="s">
        <v>67</v>
      </c>
      <c r="S1721">
        <v>7</v>
      </c>
      <c r="T1721">
        <v>209</v>
      </c>
      <c r="U1721" s="11">
        <v>-0.97492791218182362</v>
      </c>
      <c r="V1721" s="11">
        <v>-0.22252093395631459</v>
      </c>
      <c r="W1721" s="11">
        <v>-0.42278065798267728</v>
      </c>
      <c r="X1721" s="11">
        <v>-0.90623204271076974</v>
      </c>
      <c r="Y1721">
        <v>1</v>
      </c>
      <c r="Z1721">
        <v>0</v>
      </c>
      <c r="AB1721">
        <v>1</v>
      </c>
      <c r="AC1721">
        <v>0</v>
      </c>
      <c r="AD1721">
        <v>0</v>
      </c>
      <c r="AE1721">
        <v>0</v>
      </c>
    </row>
    <row r="1722" spans="1:31">
      <c r="A1722" s="6">
        <v>45500</v>
      </c>
      <c r="B1722" t="s">
        <v>36</v>
      </c>
      <c r="C1722" t="s">
        <v>37</v>
      </c>
      <c r="D1722" t="s">
        <v>38</v>
      </c>
      <c r="E1722" t="s">
        <v>39</v>
      </c>
      <c r="F1722">
        <v>125</v>
      </c>
      <c r="G1722">
        <v>320</v>
      </c>
      <c r="H1722">
        <v>242</v>
      </c>
      <c r="I1722">
        <v>99</v>
      </c>
      <c r="J1722" s="8">
        <v>0.79200000000000004</v>
      </c>
      <c r="K1722">
        <v>50</v>
      </c>
      <c r="L1722">
        <v>44</v>
      </c>
      <c r="M1722">
        <v>224</v>
      </c>
      <c r="N1722" s="10">
        <v>810.08</v>
      </c>
      <c r="O1722" s="7">
        <v>13</v>
      </c>
      <c r="P1722" s="7">
        <v>28.7</v>
      </c>
      <c r="Q1722">
        <v>5</v>
      </c>
      <c r="R1722" t="s">
        <v>67</v>
      </c>
      <c r="S1722">
        <v>7</v>
      </c>
      <c r="T1722">
        <v>209</v>
      </c>
      <c r="U1722" s="11">
        <v>-0.97492791218182362</v>
      </c>
      <c r="V1722" s="11">
        <v>-0.22252093395631459</v>
      </c>
      <c r="W1722" s="11">
        <v>-0.42278065798267728</v>
      </c>
      <c r="X1722" s="11">
        <v>-0.90623204271076974</v>
      </c>
      <c r="Y1722">
        <v>1</v>
      </c>
      <c r="Z1722">
        <v>0</v>
      </c>
      <c r="AB1722">
        <v>1</v>
      </c>
      <c r="AC1722">
        <v>0</v>
      </c>
      <c r="AD1722">
        <v>0</v>
      </c>
      <c r="AE1722">
        <v>0</v>
      </c>
    </row>
    <row r="1723" spans="1:31">
      <c r="A1723" s="6">
        <v>45500</v>
      </c>
      <c r="B1723" t="s">
        <v>41</v>
      </c>
      <c r="C1723" t="s">
        <v>42</v>
      </c>
      <c r="D1723" t="s">
        <v>43</v>
      </c>
      <c r="E1723" t="s">
        <v>44</v>
      </c>
      <c r="F1723">
        <v>85</v>
      </c>
      <c r="G1723">
        <v>210</v>
      </c>
      <c r="H1723">
        <v>162</v>
      </c>
      <c r="I1723">
        <v>75</v>
      </c>
      <c r="J1723" s="8">
        <v>0.88235294117647056</v>
      </c>
      <c r="K1723">
        <v>48</v>
      </c>
      <c r="L1723">
        <v>26</v>
      </c>
      <c r="M1723">
        <v>142</v>
      </c>
      <c r="N1723" s="10">
        <v>684.7</v>
      </c>
      <c r="O1723" s="7">
        <v>13</v>
      </c>
      <c r="P1723" s="7">
        <v>28.7</v>
      </c>
      <c r="Q1723">
        <v>5</v>
      </c>
      <c r="R1723" t="s">
        <v>67</v>
      </c>
      <c r="S1723">
        <v>7</v>
      </c>
      <c r="T1723">
        <v>209</v>
      </c>
      <c r="U1723" s="11">
        <v>-0.97492791218182362</v>
      </c>
      <c r="V1723" s="11">
        <v>-0.22252093395631459</v>
      </c>
      <c r="W1723" s="11">
        <v>-0.42278065798267728</v>
      </c>
      <c r="X1723" s="11">
        <v>-0.90623204271076974</v>
      </c>
      <c r="Y1723">
        <v>1</v>
      </c>
      <c r="Z1723">
        <v>0</v>
      </c>
      <c r="AB1723">
        <v>1</v>
      </c>
      <c r="AC1723">
        <v>0</v>
      </c>
      <c r="AD1723">
        <v>0</v>
      </c>
      <c r="AE1723">
        <v>0</v>
      </c>
    </row>
    <row r="1724" spans="1:31">
      <c r="A1724" s="6">
        <v>45501</v>
      </c>
      <c r="B1724" t="s">
        <v>31</v>
      </c>
      <c r="C1724" t="s">
        <v>32</v>
      </c>
      <c r="D1724" t="s">
        <v>33</v>
      </c>
      <c r="E1724" t="s">
        <v>34</v>
      </c>
      <c r="F1724">
        <v>140</v>
      </c>
      <c r="G1724">
        <v>360</v>
      </c>
      <c r="H1724">
        <v>240</v>
      </c>
      <c r="I1724">
        <v>103</v>
      </c>
      <c r="J1724" s="8">
        <v>0.73571428571428577</v>
      </c>
      <c r="K1724">
        <v>36</v>
      </c>
      <c r="L1724">
        <v>48</v>
      </c>
      <c r="M1724">
        <v>193</v>
      </c>
      <c r="N1724" s="10">
        <v>493.07</v>
      </c>
      <c r="O1724" s="7">
        <v>4.2</v>
      </c>
      <c r="P1724" s="7">
        <v>28.4</v>
      </c>
      <c r="Q1724">
        <v>6</v>
      </c>
      <c r="R1724" t="s">
        <v>60</v>
      </c>
      <c r="S1724">
        <v>7</v>
      </c>
      <c r="T1724">
        <v>210</v>
      </c>
      <c r="U1724" s="11">
        <v>-0.78183148246802991</v>
      </c>
      <c r="V1724" s="11">
        <v>0.62348980185873337</v>
      </c>
      <c r="W1724" s="11">
        <v>-0.43830672301251922</v>
      </c>
      <c r="X1724" s="11">
        <v>-0.898825465016444</v>
      </c>
      <c r="Y1724">
        <v>1</v>
      </c>
      <c r="Z1724">
        <v>0</v>
      </c>
      <c r="AB1724">
        <v>1</v>
      </c>
      <c r="AC1724">
        <v>0</v>
      </c>
      <c r="AD1724">
        <v>0</v>
      </c>
      <c r="AE1724">
        <v>0</v>
      </c>
    </row>
    <row r="1725" spans="1:31">
      <c r="A1725" s="6">
        <v>45501</v>
      </c>
      <c r="B1725" t="s">
        <v>36</v>
      </c>
      <c r="C1725" t="s">
        <v>37</v>
      </c>
      <c r="D1725" t="s">
        <v>38</v>
      </c>
      <c r="E1725" t="s">
        <v>39</v>
      </c>
      <c r="F1725">
        <v>125</v>
      </c>
      <c r="G1725">
        <v>320</v>
      </c>
      <c r="H1725">
        <v>245</v>
      </c>
      <c r="I1725">
        <v>102</v>
      </c>
      <c r="J1725" s="8">
        <v>0.81599999999999995</v>
      </c>
      <c r="K1725">
        <v>54</v>
      </c>
      <c r="L1725">
        <v>21</v>
      </c>
      <c r="M1725">
        <v>204</v>
      </c>
      <c r="N1725" s="10">
        <v>768</v>
      </c>
      <c r="O1725" s="7">
        <v>4.2</v>
      </c>
      <c r="P1725" s="7">
        <v>28.4</v>
      </c>
      <c r="Q1725">
        <v>6</v>
      </c>
      <c r="R1725" t="s">
        <v>60</v>
      </c>
      <c r="S1725">
        <v>7</v>
      </c>
      <c r="T1725">
        <v>210</v>
      </c>
      <c r="U1725" s="11">
        <v>-0.78183148246802991</v>
      </c>
      <c r="V1725" s="11">
        <v>0.62348980185873337</v>
      </c>
      <c r="W1725" s="11">
        <v>-0.43830672301251922</v>
      </c>
      <c r="X1725" s="11">
        <v>-0.898825465016444</v>
      </c>
      <c r="Y1725">
        <v>1</v>
      </c>
      <c r="Z1725">
        <v>0</v>
      </c>
      <c r="AB1725">
        <v>1</v>
      </c>
      <c r="AC1725">
        <v>0</v>
      </c>
      <c r="AD1725">
        <v>0</v>
      </c>
      <c r="AE1725">
        <v>0</v>
      </c>
    </row>
    <row r="1726" spans="1:31">
      <c r="A1726" s="6">
        <v>45501</v>
      </c>
      <c r="B1726" t="s">
        <v>41</v>
      </c>
      <c r="C1726" t="s">
        <v>42</v>
      </c>
      <c r="D1726" t="s">
        <v>43</v>
      </c>
      <c r="E1726" t="s">
        <v>44</v>
      </c>
      <c r="F1726">
        <v>85</v>
      </c>
      <c r="G1726">
        <v>210</v>
      </c>
      <c r="H1726">
        <v>176</v>
      </c>
      <c r="I1726">
        <v>77</v>
      </c>
      <c r="J1726" s="8">
        <v>0.90588235294117647</v>
      </c>
      <c r="K1726">
        <v>32</v>
      </c>
      <c r="L1726">
        <v>46</v>
      </c>
      <c r="M1726">
        <v>160</v>
      </c>
      <c r="N1726" s="10">
        <v>590.27</v>
      </c>
      <c r="O1726" s="7">
        <v>4.2</v>
      </c>
      <c r="P1726" s="7">
        <v>28.4</v>
      </c>
      <c r="Q1726">
        <v>6</v>
      </c>
      <c r="R1726" t="s">
        <v>60</v>
      </c>
      <c r="S1726">
        <v>7</v>
      </c>
      <c r="T1726">
        <v>210</v>
      </c>
      <c r="U1726" s="11">
        <v>-0.78183148246802991</v>
      </c>
      <c r="V1726" s="11">
        <v>0.62348980185873337</v>
      </c>
      <c r="W1726" s="11">
        <v>-0.43830672301251922</v>
      </c>
      <c r="X1726" s="11">
        <v>-0.898825465016444</v>
      </c>
      <c r="Y1726">
        <v>1</v>
      </c>
      <c r="Z1726">
        <v>0</v>
      </c>
      <c r="AB1726">
        <v>1</v>
      </c>
      <c r="AC1726">
        <v>0</v>
      </c>
      <c r="AD1726">
        <v>0</v>
      </c>
      <c r="AE1726">
        <v>0</v>
      </c>
    </row>
    <row r="1727" spans="1:31">
      <c r="A1727" s="6">
        <v>45502</v>
      </c>
      <c r="B1727" t="s">
        <v>31</v>
      </c>
      <c r="C1727" t="s">
        <v>32</v>
      </c>
      <c r="D1727" t="s">
        <v>33</v>
      </c>
      <c r="E1727" t="s">
        <v>34</v>
      </c>
      <c r="F1727">
        <v>140</v>
      </c>
      <c r="G1727">
        <v>360</v>
      </c>
      <c r="H1727">
        <v>223</v>
      </c>
      <c r="I1727">
        <v>95</v>
      </c>
      <c r="J1727" s="8">
        <v>0.6785714285714286</v>
      </c>
      <c r="K1727">
        <v>52</v>
      </c>
      <c r="L1727">
        <v>30</v>
      </c>
      <c r="M1727">
        <v>196</v>
      </c>
      <c r="N1727" s="10">
        <v>476.91</v>
      </c>
      <c r="O1727" s="7">
        <v>5.3</v>
      </c>
      <c r="P1727" s="7">
        <v>27.9</v>
      </c>
      <c r="Q1727">
        <v>0</v>
      </c>
      <c r="R1727" t="s">
        <v>62</v>
      </c>
      <c r="S1727">
        <v>7</v>
      </c>
      <c r="T1727">
        <v>211</v>
      </c>
      <c r="U1727" s="11">
        <v>0</v>
      </c>
      <c r="V1727" s="11">
        <v>1</v>
      </c>
      <c r="W1727" s="11">
        <v>-0.45370308603134424</v>
      </c>
      <c r="X1727" s="11">
        <v>-0.89115291040630884</v>
      </c>
      <c r="Y1727">
        <v>0</v>
      </c>
      <c r="Z1727">
        <v>0</v>
      </c>
      <c r="AB1727">
        <v>1</v>
      </c>
      <c r="AC1727">
        <v>0</v>
      </c>
      <c r="AD1727">
        <v>0</v>
      </c>
      <c r="AE1727">
        <v>0</v>
      </c>
    </row>
    <row r="1728" spans="1:31">
      <c r="A1728" s="6">
        <v>45502</v>
      </c>
      <c r="B1728" t="s">
        <v>36</v>
      </c>
      <c r="C1728" t="s">
        <v>37</v>
      </c>
      <c r="D1728" t="s">
        <v>38</v>
      </c>
      <c r="E1728" t="s">
        <v>39</v>
      </c>
      <c r="F1728">
        <v>125</v>
      </c>
      <c r="G1728">
        <v>320</v>
      </c>
      <c r="H1728">
        <v>220</v>
      </c>
      <c r="I1728">
        <v>91</v>
      </c>
      <c r="J1728" s="8">
        <v>0.72799999999999998</v>
      </c>
      <c r="K1728">
        <v>30</v>
      </c>
      <c r="L1728">
        <v>29</v>
      </c>
      <c r="M1728">
        <v>194</v>
      </c>
      <c r="N1728" s="10">
        <v>620.53</v>
      </c>
      <c r="O1728" s="7">
        <v>5.3</v>
      </c>
      <c r="P1728" s="7">
        <v>27.9</v>
      </c>
      <c r="Q1728">
        <v>0</v>
      </c>
      <c r="R1728" t="s">
        <v>62</v>
      </c>
      <c r="S1728">
        <v>7</v>
      </c>
      <c r="T1728">
        <v>211</v>
      </c>
      <c r="U1728" s="11">
        <v>0</v>
      </c>
      <c r="V1728" s="11">
        <v>1</v>
      </c>
      <c r="W1728" s="11">
        <v>-0.45370308603134424</v>
      </c>
      <c r="X1728" s="11">
        <v>-0.89115291040630884</v>
      </c>
      <c r="Y1728">
        <v>0</v>
      </c>
      <c r="Z1728">
        <v>0</v>
      </c>
      <c r="AB1728">
        <v>1</v>
      </c>
      <c r="AC1728">
        <v>0</v>
      </c>
      <c r="AD1728">
        <v>0</v>
      </c>
      <c r="AE1728">
        <v>0</v>
      </c>
    </row>
    <row r="1729" spans="1:31">
      <c r="A1729" s="6">
        <v>45502</v>
      </c>
      <c r="B1729" t="s">
        <v>41</v>
      </c>
      <c r="C1729" t="s">
        <v>42</v>
      </c>
      <c r="D1729" t="s">
        <v>43</v>
      </c>
      <c r="E1729" t="s">
        <v>44</v>
      </c>
      <c r="F1729">
        <v>85</v>
      </c>
      <c r="G1729">
        <v>210</v>
      </c>
      <c r="H1729">
        <v>148</v>
      </c>
      <c r="I1729">
        <v>67</v>
      </c>
      <c r="J1729" s="8">
        <v>0.78823529411764703</v>
      </c>
      <c r="K1729">
        <v>32</v>
      </c>
      <c r="L1729">
        <v>29</v>
      </c>
      <c r="M1729">
        <v>132</v>
      </c>
      <c r="N1729" s="10">
        <v>627.37</v>
      </c>
      <c r="O1729" s="7">
        <v>5.3</v>
      </c>
      <c r="P1729" s="7">
        <v>27.9</v>
      </c>
      <c r="Q1729">
        <v>0</v>
      </c>
      <c r="R1729" t="s">
        <v>62</v>
      </c>
      <c r="S1729">
        <v>7</v>
      </c>
      <c r="T1729">
        <v>211</v>
      </c>
      <c r="U1729" s="11">
        <v>0</v>
      </c>
      <c r="V1729" s="11">
        <v>1</v>
      </c>
      <c r="W1729" s="11">
        <v>-0.45370308603134424</v>
      </c>
      <c r="X1729" s="11">
        <v>-0.89115291040630884</v>
      </c>
      <c r="Y1729">
        <v>0</v>
      </c>
      <c r="Z1729">
        <v>0</v>
      </c>
      <c r="AB1729">
        <v>1</v>
      </c>
      <c r="AC1729">
        <v>0</v>
      </c>
      <c r="AD1729">
        <v>0</v>
      </c>
      <c r="AE1729">
        <v>0</v>
      </c>
    </row>
    <row r="1730" spans="1:31">
      <c r="A1730" s="6">
        <v>45503</v>
      </c>
      <c r="B1730" t="s">
        <v>31</v>
      </c>
      <c r="C1730" t="s">
        <v>32</v>
      </c>
      <c r="D1730" t="s">
        <v>33</v>
      </c>
      <c r="E1730" t="s">
        <v>34</v>
      </c>
      <c r="F1730">
        <v>140</v>
      </c>
      <c r="G1730">
        <v>360</v>
      </c>
      <c r="H1730">
        <v>214</v>
      </c>
      <c r="I1730">
        <v>91</v>
      </c>
      <c r="J1730" s="8">
        <v>0.65</v>
      </c>
      <c r="K1730">
        <v>30</v>
      </c>
      <c r="L1730">
        <v>23</v>
      </c>
      <c r="M1730">
        <v>174</v>
      </c>
      <c r="N1730" s="10">
        <v>464.19</v>
      </c>
      <c r="O1730" s="7">
        <v>3.2</v>
      </c>
      <c r="P1730" s="7">
        <v>28.7</v>
      </c>
      <c r="Q1730">
        <v>1</v>
      </c>
      <c r="R1730" t="s">
        <v>63</v>
      </c>
      <c r="S1730">
        <v>7</v>
      </c>
      <c r="T1730">
        <v>212</v>
      </c>
      <c r="U1730" s="11">
        <v>0.7818314824680298</v>
      </c>
      <c r="V1730" s="11">
        <v>0.62348980185873359</v>
      </c>
      <c r="W1730" s="11">
        <v>-0.46896519100763184</v>
      </c>
      <c r="X1730" s="11">
        <v>-0.88321664931271271</v>
      </c>
      <c r="Y1730">
        <v>0</v>
      </c>
      <c r="Z1730">
        <v>0</v>
      </c>
      <c r="AB1730">
        <v>1</v>
      </c>
      <c r="AC1730">
        <v>0</v>
      </c>
      <c r="AD1730">
        <v>0</v>
      </c>
      <c r="AE1730">
        <v>0</v>
      </c>
    </row>
    <row r="1731" spans="1:31">
      <c r="A1731" s="6">
        <v>45503</v>
      </c>
      <c r="B1731" t="s">
        <v>36</v>
      </c>
      <c r="C1731" t="s">
        <v>37</v>
      </c>
      <c r="D1731" t="s">
        <v>38</v>
      </c>
      <c r="E1731" t="s">
        <v>39</v>
      </c>
      <c r="F1731">
        <v>125</v>
      </c>
      <c r="G1731">
        <v>320</v>
      </c>
      <c r="H1731">
        <v>235</v>
      </c>
      <c r="I1731">
        <v>97</v>
      </c>
      <c r="J1731" s="8">
        <v>0.77600000000000002</v>
      </c>
      <c r="K1731">
        <v>36</v>
      </c>
      <c r="L1731">
        <v>29</v>
      </c>
      <c r="M1731">
        <v>220</v>
      </c>
      <c r="N1731" s="10">
        <v>687.97</v>
      </c>
      <c r="O1731" s="7">
        <v>3.2</v>
      </c>
      <c r="P1731" s="7">
        <v>28.7</v>
      </c>
      <c r="Q1731">
        <v>1</v>
      </c>
      <c r="R1731" t="s">
        <v>63</v>
      </c>
      <c r="S1731">
        <v>7</v>
      </c>
      <c r="T1731">
        <v>212</v>
      </c>
      <c r="U1731" s="11">
        <v>0.7818314824680298</v>
      </c>
      <c r="V1731" s="11">
        <v>0.62348980185873359</v>
      </c>
      <c r="W1731" s="11">
        <v>-0.46896519100763184</v>
      </c>
      <c r="X1731" s="11">
        <v>-0.88321664931271271</v>
      </c>
      <c r="Y1731">
        <v>0</v>
      </c>
      <c r="Z1731">
        <v>0</v>
      </c>
      <c r="AB1731">
        <v>1</v>
      </c>
      <c r="AC1731">
        <v>0</v>
      </c>
      <c r="AD1731">
        <v>0</v>
      </c>
      <c r="AE1731">
        <v>0</v>
      </c>
    </row>
    <row r="1732" spans="1:31">
      <c r="A1732" s="6">
        <v>45503</v>
      </c>
      <c r="B1732" t="s">
        <v>41</v>
      </c>
      <c r="C1732" t="s">
        <v>42</v>
      </c>
      <c r="D1732" t="s">
        <v>43</v>
      </c>
      <c r="E1732" t="s">
        <v>44</v>
      </c>
      <c r="F1732">
        <v>85</v>
      </c>
      <c r="G1732">
        <v>210</v>
      </c>
      <c r="H1732">
        <v>156</v>
      </c>
      <c r="I1732">
        <v>71</v>
      </c>
      <c r="J1732" s="8">
        <v>0.83529411764705885</v>
      </c>
      <c r="K1732">
        <v>18</v>
      </c>
      <c r="L1732">
        <v>34</v>
      </c>
      <c r="M1732">
        <v>137</v>
      </c>
      <c r="N1732" s="10">
        <v>609.76</v>
      </c>
      <c r="O1732" s="7">
        <v>3.2</v>
      </c>
      <c r="P1732" s="7">
        <v>28.7</v>
      </c>
      <c r="Q1732">
        <v>1</v>
      </c>
      <c r="R1732" t="s">
        <v>63</v>
      </c>
      <c r="S1732">
        <v>7</v>
      </c>
      <c r="T1732">
        <v>212</v>
      </c>
      <c r="U1732" s="11">
        <v>0.7818314824680298</v>
      </c>
      <c r="V1732" s="11">
        <v>0.62348980185873359</v>
      </c>
      <c r="W1732" s="11">
        <v>-0.46896519100763184</v>
      </c>
      <c r="X1732" s="11">
        <v>-0.88321664931271271</v>
      </c>
      <c r="Y1732">
        <v>0</v>
      </c>
      <c r="Z1732">
        <v>0</v>
      </c>
      <c r="AB1732">
        <v>1</v>
      </c>
      <c r="AC1732">
        <v>0</v>
      </c>
      <c r="AD1732">
        <v>0</v>
      </c>
      <c r="AE1732">
        <v>0</v>
      </c>
    </row>
    <row r="1733" spans="1:31">
      <c r="A1733" s="6">
        <v>45504</v>
      </c>
      <c r="B1733" t="s">
        <v>31</v>
      </c>
      <c r="C1733" t="s">
        <v>32</v>
      </c>
      <c r="D1733" t="s">
        <v>33</v>
      </c>
      <c r="E1733" t="s">
        <v>34</v>
      </c>
      <c r="F1733">
        <v>140</v>
      </c>
      <c r="G1733">
        <v>360</v>
      </c>
      <c r="H1733">
        <v>222</v>
      </c>
      <c r="I1733">
        <v>94</v>
      </c>
      <c r="J1733" s="8">
        <v>0.67142857142857137</v>
      </c>
      <c r="K1733">
        <v>49</v>
      </c>
      <c r="L1733">
        <v>35</v>
      </c>
      <c r="M1733">
        <v>204</v>
      </c>
      <c r="N1733" s="10">
        <v>503.5</v>
      </c>
      <c r="O1733" s="7">
        <v>4.4000000000000004</v>
      </c>
      <c r="P1733" s="7">
        <v>26</v>
      </c>
      <c r="Q1733">
        <v>2</v>
      </c>
      <c r="R1733" t="s">
        <v>64</v>
      </c>
      <c r="S1733">
        <v>7</v>
      </c>
      <c r="T1733">
        <v>213</v>
      </c>
      <c r="U1733" s="11">
        <v>0.97492791218182362</v>
      </c>
      <c r="V1733" s="11">
        <v>-0.22252093395631434</v>
      </c>
      <c r="W1733" s="11">
        <v>-0.48408852163897587</v>
      </c>
      <c r="X1733" s="11">
        <v>-0.87501903020299554</v>
      </c>
      <c r="Y1733">
        <v>0</v>
      </c>
      <c r="Z1733">
        <v>0</v>
      </c>
      <c r="AB1733">
        <v>1</v>
      </c>
      <c r="AC1733">
        <v>0</v>
      </c>
      <c r="AD1733">
        <v>0</v>
      </c>
      <c r="AE1733">
        <v>0</v>
      </c>
    </row>
    <row r="1734" spans="1:31">
      <c r="A1734" s="6">
        <v>45504</v>
      </c>
      <c r="B1734" t="s">
        <v>36</v>
      </c>
      <c r="C1734" t="s">
        <v>37</v>
      </c>
      <c r="D1734" t="s">
        <v>38</v>
      </c>
      <c r="E1734" t="s">
        <v>39</v>
      </c>
      <c r="F1734">
        <v>125</v>
      </c>
      <c r="G1734">
        <v>320</v>
      </c>
      <c r="H1734">
        <v>212</v>
      </c>
      <c r="I1734">
        <v>90</v>
      </c>
      <c r="J1734" s="8">
        <v>0.72</v>
      </c>
      <c r="K1734">
        <v>23</v>
      </c>
      <c r="L1734">
        <v>47</v>
      </c>
      <c r="M1734">
        <v>191</v>
      </c>
      <c r="N1734" s="10">
        <v>608.87</v>
      </c>
      <c r="O1734" s="7">
        <v>4.4000000000000004</v>
      </c>
      <c r="P1734" s="7">
        <v>26</v>
      </c>
      <c r="Q1734">
        <v>2</v>
      </c>
      <c r="R1734" t="s">
        <v>64</v>
      </c>
      <c r="S1734">
        <v>7</v>
      </c>
      <c r="T1734">
        <v>213</v>
      </c>
      <c r="U1734" s="11">
        <v>0.97492791218182362</v>
      </c>
      <c r="V1734" s="11">
        <v>-0.22252093395631434</v>
      </c>
      <c r="W1734" s="11">
        <v>-0.48408852163897587</v>
      </c>
      <c r="X1734" s="11">
        <v>-0.87501903020299554</v>
      </c>
      <c r="Y1734">
        <v>0</v>
      </c>
      <c r="Z1734">
        <v>0</v>
      </c>
      <c r="AB1734">
        <v>1</v>
      </c>
      <c r="AC1734">
        <v>0</v>
      </c>
      <c r="AD1734">
        <v>0</v>
      </c>
      <c r="AE1734">
        <v>0</v>
      </c>
    </row>
    <row r="1735" spans="1:31">
      <c r="A1735" s="6">
        <v>45504</v>
      </c>
      <c r="B1735" t="s">
        <v>41</v>
      </c>
      <c r="C1735" t="s">
        <v>42</v>
      </c>
      <c r="D1735" t="s">
        <v>43</v>
      </c>
      <c r="E1735" t="s">
        <v>44</v>
      </c>
      <c r="F1735">
        <v>85</v>
      </c>
      <c r="G1735">
        <v>210</v>
      </c>
      <c r="H1735">
        <v>149</v>
      </c>
      <c r="I1735">
        <v>67</v>
      </c>
      <c r="J1735" s="8">
        <v>0.78823529411764703</v>
      </c>
      <c r="K1735">
        <v>38</v>
      </c>
      <c r="L1735">
        <v>24</v>
      </c>
      <c r="M1735">
        <v>130</v>
      </c>
      <c r="N1735" s="10">
        <v>579.59</v>
      </c>
      <c r="O1735" s="7">
        <v>4.4000000000000004</v>
      </c>
      <c r="P1735" s="7">
        <v>26</v>
      </c>
      <c r="Q1735">
        <v>2</v>
      </c>
      <c r="R1735" t="s">
        <v>64</v>
      </c>
      <c r="S1735">
        <v>7</v>
      </c>
      <c r="T1735">
        <v>213</v>
      </c>
      <c r="U1735" s="11">
        <v>0.97492791218182362</v>
      </c>
      <c r="V1735" s="11">
        <v>-0.22252093395631434</v>
      </c>
      <c r="W1735" s="11">
        <v>-0.48408852163897587</v>
      </c>
      <c r="X1735" s="11">
        <v>-0.87501903020299554</v>
      </c>
      <c r="Y1735">
        <v>0</v>
      </c>
      <c r="Z1735">
        <v>0</v>
      </c>
      <c r="AB1735">
        <v>1</v>
      </c>
      <c r="AC1735">
        <v>0</v>
      </c>
      <c r="AD1735">
        <v>0</v>
      </c>
      <c r="AE1735">
        <v>0</v>
      </c>
    </row>
    <row r="1736" spans="1:31">
      <c r="A1736" s="6">
        <v>45505</v>
      </c>
      <c r="B1736" t="s">
        <v>31</v>
      </c>
      <c r="C1736" t="s">
        <v>32</v>
      </c>
      <c r="D1736" t="s">
        <v>33</v>
      </c>
      <c r="E1736" t="s">
        <v>34</v>
      </c>
      <c r="F1736">
        <v>140</v>
      </c>
      <c r="G1736">
        <v>360</v>
      </c>
      <c r="H1736">
        <v>201</v>
      </c>
      <c r="I1736">
        <v>88</v>
      </c>
      <c r="J1736" s="8">
        <v>0.62857142857142856</v>
      </c>
      <c r="K1736">
        <v>39</v>
      </c>
      <c r="L1736">
        <v>44</v>
      </c>
      <c r="M1736">
        <v>166</v>
      </c>
      <c r="N1736" s="10">
        <v>442.99</v>
      </c>
      <c r="O1736" s="7">
        <v>2.6</v>
      </c>
      <c r="P1736" s="7">
        <v>28.8</v>
      </c>
      <c r="Q1736">
        <v>3</v>
      </c>
      <c r="R1736" t="s">
        <v>65</v>
      </c>
      <c r="S1736">
        <v>8</v>
      </c>
      <c r="T1736">
        <v>214</v>
      </c>
      <c r="U1736" s="11">
        <v>0.43388373911755823</v>
      </c>
      <c r="V1736" s="11">
        <v>-0.90096886790241903</v>
      </c>
      <c r="W1736" s="11">
        <v>-0.49906860268853193</v>
      </c>
      <c r="X1736" s="11">
        <v>-0.86656247888453852</v>
      </c>
      <c r="Y1736">
        <v>0</v>
      </c>
      <c r="Z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6">
        <v>45505</v>
      </c>
      <c r="B1737" t="s">
        <v>36</v>
      </c>
      <c r="C1737" t="s">
        <v>37</v>
      </c>
      <c r="D1737" t="s">
        <v>38</v>
      </c>
      <c r="E1737" t="s">
        <v>39</v>
      </c>
      <c r="F1737">
        <v>125</v>
      </c>
      <c r="G1737">
        <v>320</v>
      </c>
      <c r="H1737">
        <v>197</v>
      </c>
      <c r="I1737">
        <v>81</v>
      </c>
      <c r="J1737" s="8">
        <v>0.64800000000000002</v>
      </c>
      <c r="K1737">
        <v>31</v>
      </c>
      <c r="L1737">
        <v>18</v>
      </c>
      <c r="M1737">
        <v>159</v>
      </c>
      <c r="N1737" s="10">
        <v>677.23</v>
      </c>
      <c r="O1737" s="7">
        <v>2.6</v>
      </c>
      <c r="P1737" s="7">
        <v>28.8</v>
      </c>
      <c r="Q1737">
        <v>3</v>
      </c>
      <c r="R1737" t="s">
        <v>65</v>
      </c>
      <c r="S1737">
        <v>8</v>
      </c>
      <c r="T1737">
        <v>214</v>
      </c>
      <c r="U1737" s="11">
        <v>0.43388373911755823</v>
      </c>
      <c r="V1737" s="11">
        <v>-0.90096886790241903</v>
      </c>
      <c r="W1737" s="11">
        <v>-0.49906860268853193</v>
      </c>
      <c r="X1737" s="11">
        <v>-0.86656247888453852</v>
      </c>
      <c r="Y1737">
        <v>0</v>
      </c>
      <c r="Z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6">
        <v>45505</v>
      </c>
      <c r="B1738" t="s">
        <v>41</v>
      </c>
      <c r="C1738" t="s">
        <v>42</v>
      </c>
      <c r="D1738" t="s">
        <v>43</v>
      </c>
      <c r="E1738" t="s">
        <v>44</v>
      </c>
      <c r="F1738">
        <v>85</v>
      </c>
      <c r="G1738">
        <v>210</v>
      </c>
      <c r="H1738">
        <v>135</v>
      </c>
      <c r="I1738">
        <v>57</v>
      </c>
      <c r="J1738" s="8">
        <v>0.6705882352941176</v>
      </c>
      <c r="K1738">
        <v>19</v>
      </c>
      <c r="L1738">
        <v>16</v>
      </c>
      <c r="M1738">
        <v>111</v>
      </c>
      <c r="N1738" s="10">
        <v>547.62</v>
      </c>
      <c r="O1738" s="7">
        <v>2.6</v>
      </c>
      <c r="P1738" s="7">
        <v>28.8</v>
      </c>
      <c r="Q1738">
        <v>3</v>
      </c>
      <c r="R1738" t="s">
        <v>65</v>
      </c>
      <c r="S1738">
        <v>8</v>
      </c>
      <c r="T1738">
        <v>214</v>
      </c>
      <c r="U1738" s="11">
        <v>0.43388373911755823</v>
      </c>
      <c r="V1738" s="11">
        <v>-0.90096886790241903</v>
      </c>
      <c r="W1738" s="11">
        <v>-0.49906860268853193</v>
      </c>
      <c r="X1738" s="11">
        <v>-0.86656247888453852</v>
      </c>
      <c r="Y1738">
        <v>0</v>
      </c>
      <c r="Z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6">
        <v>45506</v>
      </c>
      <c r="B1739" t="s">
        <v>31</v>
      </c>
      <c r="C1739" t="s">
        <v>32</v>
      </c>
      <c r="D1739" t="s">
        <v>33</v>
      </c>
      <c r="E1739" t="s">
        <v>34</v>
      </c>
      <c r="F1739">
        <v>140</v>
      </c>
      <c r="G1739">
        <v>360</v>
      </c>
      <c r="H1739">
        <v>213</v>
      </c>
      <c r="I1739">
        <v>91</v>
      </c>
      <c r="J1739" s="8">
        <v>0.65</v>
      </c>
      <c r="K1739">
        <v>55</v>
      </c>
      <c r="L1739">
        <v>32</v>
      </c>
      <c r="M1739">
        <v>188</v>
      </c>
      <c r="N1739" s="10">
        <v>455.23</v>
      </c>
      <c r="O1739" s="7">
        <v>6.2</v>
      </c>
      <c r="P1739" s="7">
        <v>30.3</v>
      </c>
      <c r="Q1739">
        <v>4</v>
      </c>
      <c r="R1739" t="s">
        <v>66</v>
      </c>
      <c r="S1739">
        <v>8</v>
      </c>
      <c r="T1739">
        <v>215</v>
      </c>
      <c r="U1739" s="11">
        <v>-0.43388373911755801</v>
      </c>
      <c r="V1739" s="11">
        <v>-0.90096886790241915</v>
      </c>
      <c r="W1739" s="11">
        <v>-0.51390100130931027</v>
      </c>
      <c r="X1739" s="11">
        <v>-0.85784949778693009</v>
      </c>
      <c r="Y1739">
        <v>0</v>
      </c>
      <c r="Z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6">
        <v>45506</v>
      </c>
      <c r="B1740" t="s">
        <v>36</v>
      </c>
      <c r="C1740" t="s">
        <v>37</v>
      </c>
      <c r="D1740" t="s">
        <v>38</v>
      </c>
      <c r="E1740" t="s">
        <v>39</v>
      </c>
      <c r="F1740">
        <v>125</v>
      </c>
      <c r="G1740">
        <v>320</v>
      </c>
      <c r="H1740">
        <v>170</v>
      </c>
      <c r="I1740">
        <v>67</v>
      </c>
      <c r="J1740" s="8">
        <v>0.53600000000000003</v>
      </c>
      <c r="K1740">
        <v>50</v>
      </c>
      <c r="L1740">
        <v>34</v>
      </c>
      <c r="M1740">
        <v>138</v>
      </c>
      <c r="N1740" s="10">
        <v>580.67999999999995</v>
      </c>
      <c r="O1740" s="7">
        <v>6.2</v>
      </c>
      <c r="P1740" s="7">
        <v>30.3</v>
      </c>
      <c r="Q1740">
        <v>4</v>
      </c>
      <c r="R1740" t="s">
        <v>66</v>
      </c>
      <c r="S1740">
        <v>8</v>
      </c>
      <c r="T1740">
        <v>215</v>
      </c>
      <c r="U1740" s="11">
        <v>-0.43388373911755801</v>
      </c>
      <c r="V1740" s="11">
        <v>-0.90096886790241915</v>
      </c>
      <c r="W1740" s="11">
        <v>-0.51390100130931027</v>
      </c>
      <c r="X1740" s="11">
        <v>-0.85784949778693009</v>
      </c>
      <c r="Y1740">
        <v>0</v>
      </c>
      <c r="Z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6">
        <v>45506</v>
      </c>
      <c r="B1741" t="s">
        <v>41</v>
      </c>
      <c r="C1741" t="s">
        <v>42</v>
      </c>
      <c r="D1741" t="s">
        <v>43</v>
      </c>
      <c r="E1741" t="s">
        <v>44</v>
      </c>
      <c r="F1741">
        <v>85</v>
      </c>
      <c r="G1741">
        <v>210</v>
      </c>
      <c r="H1741">
        <v>137</v>
      </c>
      <c r="I1741">
        <v>58</v>
      </c>
      <c r="J1741" s="8">
        <v>0.68235294117647061</v>
      </c>
      <c r="K1741">
        <v>25</v>
      </c>
      <c r="L1741">
        <v>34</v>
      </c>
      <c r="M1741">
        <v>112</v>
      </c>
      <c r="N1741" s="10">
        <v>493.89</v>
      </c>
      <c r="O1741" s="7">
        <v>6.2</v>
      </c>
      <c r="P1741" s="7">
        <v>30.3</v>
      </c>
      <c r="Q1741">
        <v>4</v>
      </c>
      <c r="R1741" t="s">
        <v>66</v>
      </c>
      <c r="S1741">
        <v>8</v>
      </c>
      <c r="T1741">
        <v>215</v>
      </c>
      <c r="U1741" s="11">
        <v>-0.43388373911755801</v>
      </c>
      <c r="V1741" s="11">
        <v>-0.90096886790241915</v>
      </c>
      <c r="W1741" s="11">
        <v>-0.51390100130931027</v>
      </c>
      <c r="X1741" s="11">
        <v>-0.85784949778693009</v>
      </c>
      <c r="Y1741">
        <v>0</v>
      </c>
      <c r="Z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6">
        <v>45507</v>
      </c>
      <c r="B1742" t="s">
        <v>31</v>
      </c>
      <c r="C1742" t="s">
        <v>32</v>
      </c>
      <c r="D1742" t="s">
        <v>33</v>
      </c>
      <c r="E1742" t="s">
        <v>34</v>
      </c>
      <c r="F1742">
        <v>140</v>
      </c>
      <c r="G1742">
        <v>360</v>
      </c>
      <c r="H1742">
        <v>226</v>
      </c>
      <c r="I1742">
        <v>95</v>
      </c>
      <c r="J1742" s="8">
        <v>0.6785714285714286</v>
      </c>
      <c r="K1742">
        <v>61</v>
      </c>
      <c r="L1742">
        <v>52</v>
      </c>
      <c r="M1742">
        <v>187</v>
      </c>
      <c r="N1742" s="10">
        <v>462.43</v>
      </c>
      <c r="O1742" s="7">
        <v>0</v>
      </c>
      <c r="P1742" s="7">
        <v>29</v>
      </c>
      <c r="Q1742">
        <v>5</v>
      </c>
      <c r="R1742" t="s">
        <v>67</v>
      </c>
      <c r="S1742">
        <v>8</v>
      </c>
      <c r="T1742">
        <v>216</v>
      </c>
      <c r="U1742" s="11">
        <v>-0.97492791218182362</v>
      </c>
      <c r="V1742" s="11">
        <v>-0.22252093395631459</v>
      </c>
      <c r="W1742" s="11">
        <v>-0.52858132835592919</v>
      </c>
      <c r="X1742" s="11">
        <v>-0.84888266522145528</v>
      </c>
      <c r="Y1742">
        <v>1</v>
      </c>
      <c r="Z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6">
        <v>45507</v>
      </c>
      <c r="B1743" t="s">
        <v>36</v>
      </c>
      <c r="C1743" t="s">
        <v>37</v>
      </c>
      <c r="D1743" t="s">
        <v>38</v>
      </c>
      <c r="E1743" t="s">
        <v>39</v>
      </c>
      <c r="F1743">
        <v>125</v>
      </c>
      <c r="G1743">
        <v>320</v>
      </c>
      <c r="H1743">
        <v>197</v>
      </c>
      <c r="I1743">
        <v>82</v>
      </c>
      <c r="J1743" s="8">
        <v>0.65600000000000003</v>
      </c>
      <c r="K1743">
        <v>53</v>
      </c>
      <c r="L1743">
        <v>47</v>
      </c>
      <c r="M1743">
        <v>183</v>
      </c>
      <c r="N1743" s="10">
        <v>654.99</v>
      </c>
      <c r="O1743" s="7">
        <v>0</v>
      </c>
      <c r="P1743" s="7">
        <v>29</v>
      </c>
      <c r="Q1743">
        <v>5</v>
      </c>
      <c r="R1743" t="s">
        <v>67</v>
      </c>
      <c r="S1743">
        <v>8</v>
      </c>
      <c r="T1743">
        <v>216</v>
      </c>
      <c r="U1743" s="11">
        <v>-0.97492791218182362</v>
      </c>
      <c r="V1743" s="11">
        <v>-0.22252093395631459</v>
      </c>
      <c r="W1743" s="11">
        <v>-0.52858132835592919</v>
      </c>
      <c r="X1743" s="11">
        <v>-0.84888266522145528</v>
      </c>
      <c r="Y1743">
        <v>1</v>
      </c>
      <c r="Z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6">
        <v>45507</v>
      </c>
      <c r="B1744" t="s">
        <v>41</v>
      </c>
      <c r="C1744" t="s">
        <v>42</v>
      </c>
      <c r="D1744" t="s">
        <v>43</v>
      </c>
      <c r="E1744" t="s">
        <v>44</v>
      </c>
      <c r="F1744">
        <v>85</v>
      </c>
      <c r="G1744">
        <v>210</v>
      </c>
      <c r="H1744">
        <v>156</v>
      </c>
      <c r="I1744">
        <v>68</v>
      </c>
      <c r="J1744" s="8">
        <v>0.8</v>
      </c>
      <c r="K1744">
        <v>26</v>
      </c>
      <c r="L1744">
        <v>30</v>
      </c>
      <c r="M1744">
        <v>140</v>
      </c>
      <c r="N1744" s="10">
        <v>558.9</v>
      </c>
      <c r="O1744" s="7">
        <v>0</v>
      </c>
      <c r="P1744" s="7">
        <v>29</v>
      </c>
      <c r="Q1744">
        <v>5</v>
      </c>
      <c r="R1744" t="s">
        <v>67</v>
      </c>
      <c r="S1744">
        <v>8</v>
      </c>
      <c r="T1744">
        <v>216</v>
      </c>
      <c r="U1744" s="11">
        <v>-0.97492791218182362</v>
      </c>
      <c r="V1744" s="11">
        <v>-0.22252093395631459</v>
      </c>
      <c r="W1744" s="11">
        <v>-0.52858132835592919</v>
      </c>
      <c r="X1744" s="11">
        <v>-0.84888266522145528</v>
      </c>
      <c r="Y1744">
        <v>1</v>
      </c>
      <c r="Z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6">
        <v>45508</v>
      </c>
      <c r="B1745" t="s">
        <v>31</v>
      </c>
      <c r="C1745" t="s">
        <v>32</v>
      </c>
      <c r="D1745" t="s">
        <v>33</v>
      </c>
      <c r="E1745" t="s">
        <v>34</v>
      </c>
      <c r="F1745">
        <v>140</v>
      </c>
      <c r="G1745">
        <v>360</v>
      </c>
      <c r="H1745">
        <v>244</v>
      </c>
      <c r="I1745">
        <v>101</v>
      </c>
      <c r="J1745" s="8">
        <v>0.72142857142857142</v>
      </c>
      <c r="K1745">
        <v>52</v>
      </c>
      <c r="L1745">
        <v>39</v>
      </c>
      <c r="M1745">
        <v>224</v>
      </c>
      <c r="N1745" s="10">
        <v>508.5</v>
      </c>
      <c r="O1745" s="7">
        <v>0.2</v>
      </c>
      <c r="P1745" s="7">
        <v>29.6</v>
      </c>
      <c r="Q1745">
        <v>6</v>
      </c>
      <c r="R1745" t="s">
        <v>60</v>
      </c>
      <c r="S1745">
        <v>8</v>
      </c>
      <c r="T1745">
        <v>217</v>
      </c>
      <c r="U1745" s="11">
        <v>-0.78183148246802991</v>
      </c>
      <c r="V1745" s="11">
        <v>0.62348980185873337</v>
      </c>
      <c r="W1745" s="11">
        <v>-0.54310523968343172</v>
      </c>
      <c r="X1745" s="11">
        <v>-0.83966463461813268</v>
      </c>
      <c r="Y1745">
        <v>1</v>
      </c>
      <c r="Z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6">
        <v>45508</v>
      </c>
      <c r="B1746" t="s">
        <v>36</v>
      </c>
      <c r="C1746" t="s">
        <v>37</v>
      </c>
      <c r="D1746" t="s">
        <v>38</v>
      </c>
      <c r="E1746" t="s">
        <v>39</v>
      </c>
      <c r="F1746">
        <v>125</v>
      </c>
      <c r="G1746">
        <v>320</v>
      </c>
      <c r="H1746">
        <v>215</v>
      </c>
      <c r="I1746">
        <v>89</v>
      </c>
      <c r="J1746" s="8">
        <v>0.71199999999999997</v>
      </c>
      <c r="K1746">
        <v>31</v>
      </c>
      <c r="L1746">
        <v>28</v>
      </c>
      <c r="M1746">
        <v>183</v>
      </c>
      <c r="N1746" s="10">
        <v>676.7</v>
      </c>
      <c r="O1746" s="7">
        <v>0.2</v>
      </c>
      <c r="P1746" s="7">
        <v>29.6</v>
      </c>
      <c r="Q1746">
        <v>6</v>
      </c>
      <c r="R1746" t="s">
        <v>60</v>
      </c>
      <c r="S1746">
        <v>8</v>
      </c>
      <c r="T1746">
        <v>217</v>
      </c>
      <c r="U1746" s="11">
        <v>-0.78183148246802991</v>
      </c>
      <c r="V1746" s="11">
        <v>0.62348980185873337</v>
      </c>
      <c r="W1746" s="11">
        <v>-0.54310523968343172</v>
      </c>
      <c r="X1746" s="11">
        <v>-0.83966463461813268</v>
      </c>
      <c r="Y1746">
        <v>1</v>
      </c>
      <c r="Z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6">
        <v>45508</v>
      </c>
      <c r="B1747" t="s">
        <v>41</v>
      </c>
      <c r="C1747" t="s">
        <v>42</v>
      </c>
      <c r="D1747" t="s">
        <v>43</v>
      </c>
      <c r="E1747" t="s">
        <v>44</v>
      </c>
      <c r="F1747">
        <v>85</v>
      </c>
      <c r="G1747">
        <v>210</v>
      </c>
      <c r="H1747">
        <v>160</v>
      </c>
      <c r="I1747">
        <v>70</v>
      </c>
      <c r="J1747" s="8">
        <v>0.82352941176470584</v>
      </c>
      <c r="K1747">
        <v>40</v>
      </c>
      <c r="L1747">
        <v>30</v>
      </c>
      <c r="M1747">
        <v>134</v>
      </c>
      <c r="N1747" s="10">
        <v>646.24</v>
      </c>
      <c r="O1747" s="7">
        <v>0.2</v>
      </c>
      <c r="P1747" s="7">
        <v>29.6</v>
      </c>
      <c r="Q1747">
        <v>6</v>
      </c>
      <c r="R1747" t="s">
        <v>60</v>
      </c>
      <c r="S1747">
        <v>8</v>
      </c>
      <c r="T1747">
        <v>217</v>
      </c>
      <c r="U1747" s="11">
        <v>-0.78183148246802991</v>
      </c>
      <c r="V1747" s="11">
        <v>0.62348980185873337</v>
      </c>
      <c r="W1747" s="11">
        <v>-0.54310523968343172</v>
      </c>
      <c r="X1747" s="11">
        <v>-0.83966463461813268</v>
      </c>
      <c r="Y1747">
        <v>1</v>
      </c>
      <c r="Z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6">
        <v>45509</v>
      </c>
      <c r="B1748" t="s">
        <v>31</v>
      </c>
      <c r="C1748" t="s">
        <v>32</v>
      </c>
      <c r="D1748" t="s">
        <v>33</v>
      </c>
      <c r="E1748" t="s">
        <v>34</v>
      </c>
      <c r="F1748">
        <v>140</v>
      </c>
      <c r="G1748">
        <v>360</v>
      </c>
      <c r="H1748">
        <v>213</v>
      </c>
      <c r="I1748">
        <v>92</v>
      </c>
      <c r="J1748" s="8">
        <v>0.65714285714285714</v>
      </c>
      <c r="K1748">
        <v>51</v>
      </c>
      <c r="L1748">
        <v>27</v>
      </c>
      <c r="M1748">
        <v>180</v>
      </c>
      <c r="N1748" s="10">
        <v>405.57</v>
      </c>
      <c r="O1748" s="7">
        <v>1.1000000000000001</v>
      </c>
      <c r="P1748" s="7">
        <v>28.7</v>
      </c>
      <c r="Q1748">
        <v>0</v>
      </c>
      <c r="R1748" t="s">
        <v>62</v>
      </c>
      <c r="S1748">
        <v>8</v>
      </c>
      <c r="T1748">
        <v>218</v>
      </c>
      <c r="U1748" s="11">
        <v>0</v>
      </c>
      <c r="V1748" s="11">
        <v>1</v>
      </c>
      <c r="W1748" s="11">
        <v>-0.55746843743278918</v>
      </c>
      <c r="X1748" s="11">
        <v>-0.8301981337405212</v>
      </c>
      <c r="Y1748">
        <v>0</v>
      </c>
      <c r="Z1748">
        <v>0</v>
      </c>
      <c r="AB1748">
        <v>0</v>
      </c>
      <c r="AC1748">
        <v>0</v>
      </c>
      <c r="AD1748">
        <v>0</v>
      </c>
      <c r="AE1748">
        <v>1</v>
      </c>
    </row>
    <row r="1749" spans="1:31">
      <c r="A1749" s="6">
        <v>45509</v>
      </c>
      <c r="B1749" t="s">
        <v>36</v>
      </c>
      <c r="C1749" t="s">
        <v>37</v>
      </c>
      <c r="D1749" t="s">
        <v>38</v>
      </c>
      <c r="E1749" t="s">
        <v>39</v>
      </c>
      <c r="F1749">
        <v>125</v>
      </c>
      <c r="G1749">
        <v>320</v>
      </c>
      <c r="H1749">
        <v>188</v>
      </c>
      <c r="I1749">
        <v>80</v>
      </c>
      <c r="J1749" s="8">
        <v>0.64</v>
      </c>
      <c r="K1749">
        <v>33</v>
      </c>
      <c r="L1749">
        <v>40</v>
      </c>
      <c r="M1749">
        <v>166</v>
      </c>
      <c r="N1749" s="10">
        <v>657.36</v>
      </c>
      <c r="O1749" s="7">
        <v>1.1000000000000001</v>
      </c>
      <c r="P1749" s="7">
        <v>28.7</v>
      </c>
      <c r="Q1749">
        <v>0</v>
      </c>
      <c r="R1749" t="s">
        <v>62</v>
      </c>
      <c r="S1749">
        <v>8</v>
      </c>
      <c r="T1749">
        <v>218</v>
      </c>
      <c r="U1749" s="11">
        <v>0</v>
      </c>
      <c r="V1749" s="11">
        <v>1</v>
      </c>
      <c r="W1749" s="11">
        <v>-0.55746843743278918</v>
      </c>
      <c r="X1749" s="11">
        <v>-0.8301981337405212</v>
      </c>
      <c r="Y1749">
        <v>0</v>
      </c>
      <c r="Z1749">
        <v>0</v>
      </c>
      <c r="AB1749">
        <v>0</v>
      </c>
      <c r="AC1749">
        <v>0</v>
      </c>
      <c r="AD1749">
        <v>0</v>
      </c>
      <c r="AE1749">
        <v>1</v>
      </c>
    </row>
    <row r="1750" spans="1:31">
      <c r="A1750" s="6">
        <v>45509</v>
      </c>
      <c r="B1750" t="s">
        <v>41</v>
      </c>
      <c r="C1750" t="s">
        <v>42</v>
      </c>
      <c r="D1750" t="s">
        <v>43</v>
      </c>
      <c r="E1750" t="s">
        <v>44</v>
      </c>
      <c r="F1750">
        <v>85</v>
      </c>
      <c r="G1750">
        <v>210</v>
      </c>
      <c r="H1750">
        <v>133</v>
      </c>
      <c r="I1750">
        <v>59</v>
      </c>
      <c r="J1750" s="8">
        <v>0.69411764705882351</v>
      </c>
      <c r="K1750">
        <v>20</v>
      </c>
      <c r="L1750">
        <v>32</v>
      </c>
      <c r="M1750">
        <v>120</v>
      </c>
      <c r="N1750" s="10">
        <v>487.64</v>
      </c>
      <c r="O1750" s="7">
        <v>1.1000000000000001</v>
      </c>
      <c r="P1750" s="7">
        <v>28.7</v>
      </c>
      <c r="Q1750">
        <v>0</v>
      </c>
      <c r="R1750" t="s">
        <v>62</v>
      </c>
      <c r="S1750">
        <v>8</v>
      </c>
      <c r="T1750">
        <v>218</v>
      </c>
      <c r="U1750" s="11">
        <v>0</v>
      </c>
      <c r="V1750" s="11">
        <v>1</v>
      </c>
      <c r="W1750" s="11">
        <v>-0.55746843743278918</v>
      </c>
      <c r="X1750" s="11">
        <v>-0.8301981337405212</v>
      </c>
      <c r="Y1750">
        <v>0</v>
      </c>
      <c r="Z1750">
        <v>0</v>
      </c>
      <c r="AB1750">
        <v>0</v>
      </c>
      <c r="AC1750">
        <v>0</v>
      </c>
      <c r="AD1750">
        <v>0</v>
      </c>
      <c r="AE1750">
        <v>1</v>
      </c>
    </row>
    <row r="1751" spans="1:31">
      <c r="A1751" s="6">
        <v>45510</v>
      </c>
      <c r="B1751" t="s">
        <v>31</v>
      </c>
      <c r="C1751" t="s">
        <v>32</v>
      </c>
      <c r="D1751" t="s">
        <v>33</v>
      </c>
      <c r="E1751" t="s">
        <v>34</v>
      </c>
      <c r="F1751">
        <v>140</v>
      </c>
      <c r="G1751">
        <v>360</v>
      </c>
      <c r="H1751">
        <v>217</v>
      </c>
      <c r="I1751">
        <v>93</v>
      </c>
      <c r="J1751" s="8">
        <v>0.66428571428571426</v>
      </c>
      <c r="K1751">
        <v>58</v>
      </c>
      <c r="L1751">
        <v>43</v>
      </c>
      <c r="M1751">
        <v>200</v>
      </c>
      <c r="N1751" s="10">
        <v>397.88</v>
      </c>
      <c r="O1751" s="7">
        <v>2.8</v>
      </c>
      <c r="P1751" s="7">
        <v>29.4</v>
      </c>
      <c r="Q1751">
        <v>1</v>
      </c>
      <c r="R1751" t="s">
        <v>63</v>
      </c>
      <c r="S1751">
        <v>8</v>
      </c>
      <c r="T1751">
        <v>219</v>
      </c>
      <c r="U1751" s="11">
        <v>0.7818314824680298</v>
      </c>
      <c r="V1751" s="11">
        <v>0.62348980185873359</v>
      </c>
      <c r="W1751" s="11">
        <v>-0.57166667130270521</v>
      </c>
      <c r="X1751" s="11">
        <v>-0.82048596387853268</v>
      </c>
      <c r="Y1751">
        <v>0</v>
      </c>
      <c r="Z1751">
        <v>0</v>
      </c>
      <c r="AB1751">
        <v>0</v>
      </c>
      <c r="AC1751">
        <v>0</v>
      </c>
      <c r="AD1751">
        <v>0</v>
      </c>
      <c r="AE1751">
        <v>1</v>
      </c>
    </row>
    <row r="1752" spans="1:31">
      <c r="A1752" s="6">
        <v>45510</v>
      </c>
      <c r="B1752" t="s">
        <v>36</v>
      </c>
      <c r="C1752" t="s">
        <v>37</v>
      </c>
      <c r="D1752" t="s">
        <v>38</v>
      </c>
      <c r="E1752" t="s">
        <v>39</v>
      </c>
      <c r="F1752">
        <v>125</v>
      </c>
      <c r="G1752">
        <v>320</v>
      </c>
      <c r="H1752">
        <v>176</v>
      </c>
      <c r="I1752">
        <v>76</v>
      </c>
      <c r="J1752" s="8">
        <v>0.60799999999999998</v>
      </c>
      <c r="K1752">
        <v>38</v>
      </c>
      <c r="L1752">
        <v>38</v>
      </c>
      <c r="M1752">
        <v>163</v>
      </c>
      <c r="N1752" s="10">
        <v>601.41</v>
      </c>
      <c r="O1752" s="7">
        <v>2.8</v>
      </c>
      <c r="P1752" s="7">
        <v>29.4</v>
      </c>
      <c r="Q1752">
        <v>1</v>
      </c>
      <c r="R1752" t="s">
        <v>63</v>
      </c>
      <c r="S1752">
        <v>8</v>
      </c>
      <c r="T1752">
        <v>219</v>
      </c>
      <c r="U1752" s="11">
        <v>0.7818314824680298</v>
      </c>
      <c r="V1752" s="11">
        <v>0.62348980185873359</v>
      </c>
      <c r="W1752" s="11">
        <v>-0.57166667130270521</v>
      </c>
      <c r="X1752" s="11">
        <v>-0.82048596387853268</v>
      </c>
      <c r="Y1752">
        <v>0</v>
      </c>
      <c r="Z1752">
        <v>0</v>
      </c>
      <c r="AB1752">
        <v>0</v>
      </c>
      <c r="AC1752">
        <v>0</v>
      </c>
      <c r="AD1752">
        <v>0</v>
      </c>
      <c r="AE1752">
        <v>1</v>
      </c>
    </row>
    <row r="1753" spans="1:31">
      <c r="A1753" s="6">
        <v>45510</v>
      </c>
      <c r="B1753" t="s">
        <v>41</v>
      </c>
      <c r="C1753" t="s">
        <v>42</v>
      </c>
      <c r="D1753" t="s">
        <v>43</v>
      </c>
      <c r="E1753" t="s">
        <v>44</v>
      </c>
      <c r="F1753">
        <v>85</v>
      </c>
      <c r="G1753">
        <v>210</v>
      </c>
      <c r="H1753">
        <v>150</v>
      </c>
      <c r="I1753">
        <v>67</v>
      </c>
      <c r="J1753" s="8">
        <v>0.78823529411764703</v>
      </c>
      <c r="K1753">
        <v>13</v>
      </c>
      <c r="L1753">
        <v>11</v>
      </c>
      <c r="M1753">
        <v>125</v>
      </c>
      <c r="N1753" s="10">
        <v>576.98</v>
      </c>
      <c r="O1753" s="7">
        <v>2.8</v>
      </c>
      <c r="P1753" s="7">
        <v>29.4</v>
      </c>
      <c r="Q1753">
        <v>1</v>
      </c>
      <c r="R1753" t="s">
        <v>63</v>
      </c>
      <c r="S1753">
        <v>8</v>
      </c>
      <c r="T1753">
        <v>219</v>
      </c>
      <c r="U1753" s="11">
        <v>0.7818314824680298</v>
      </c>
      <c r="V1753" s="11">
        <v>0.62348980185873359</v>
      </c>
      <c r="W1753" s="11">
        <v>-0.57166667130270521</v>
      </c>
      <c r="X1753" s="11">
        <v>-0.82048596387853268</v>
      </c>
      <c r="Y1753">
        <v>0</v>
      </c>
      <c r="Z1753">
        <v>0</v>
      </c>
      <c r="AB1753">
        <v>0</v>
      </c>
      <c r="AC1753">
        <v>0</v>
      </c>
      <c r="AD1753">
        <v>0</v>
      </c>
      <c r="AE1753">
        <v>1</v>
      </c>
    </row>
    <row r="1754" spans="1:31">
      <c r="A1754" s="6">
        <v>45511</v>
      </c>
      <c r="B1754" t="s">
        <v>31</v>
      </c>
      <c r="C1754" t="s">
        <v>32</v>
      </c>
      <c r="D1754" t="s">
        <v>33</v>
      </c>
      <c r="E1754" t="s">
        <v>34</v>
      </c>
      <c r="F1754">
        <v>140</v>
      </c>
      <c r="G1754">
        <v>360</v>
      </c>
      <c r="H1754">
        <v>182</v>
      </c>
      <c r="I1754">
        <v>80</v>
      </c>
      <c r="J1754" s="8">
        <v>0.5714285714285714</v>
      </c>
      <c r="K1754">
        <v>36</v>
      </c>
      <c r="L1754">
        <v>37</v>
      </c>
      <c r="M1754">
        <v>151</v>
      </c>
      <c r="N1754" s="10">
        <v>428.65</v>
      </c>
      <c r="O1754" s="7">
        <v>0.7</v>
      </c>
      <c r="P1754" s="7">
        <v>29.7</v>
      </c>
      <c r="Q1754">
        <v>2</v>
      </c>
      <c r="R1754" t="s">
        <v>64</v>
      </c>
      <c r="S1754">
        <v>8</v>
      </c>
      <c r="T1754">
        <v>220</v>
      </c>
      <c r="U1754" s="11">
        <v>0.97492791218182362</v>
      </c>
      <c r="V1754" s="11">
        <v>-0.22252093395631434</v>
      </c>
      <c r="W1754" s="11">
        <v>-0.58569573980735079</v>
      </c>
      <c r="X1754" s="11">
        <v>-0.81053099901948233</v>
      </c>
      <c r="Y1754">
        <v>0</v>
      </c>
      <c r="Z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6">
        <v>45511</v>
      </c>
      <c r="B1755" t="s">
        <v>36</v>
      </c>
      <c r="C1755" t="s">
        <v>37</v>
      </c>
      <c r="D1755" t="s">
        <v>38</v>
      </c>
      <c r="E1755" t="s">
        <v>39</v>
      </c>
      <c r="F1755">
        <v>125</v>
      </c>
      <c r="G1755">
        <v>320</v>
      </c>
      <c r="H1755">
        <v>170</v>
      </c>
      <c r="I1755">
        <v>71</v>
      </c>
      <c r="J1755" s="8">
        <v>0.56799999999999995</v>
      </c>
      <c r="K1755">
        <v>31</v>
      </c>
      <c r="L1755">
        <v>28</v>
      </c>
      <c r="M1755">
        <v>140</v>
      </c>
      <c r="N1755" s="10">
        <v>627.72</v>
      </c>
      <c r="O1755" s="7">
        <v>0.7</v>
      </c>
      <c r="P1755" s="7">
        <v>29.7</v>
      </c>
      <c r="Q1755">
        <v>2</v>
      </c>
      <c r="R1755" t="s">
        <v>64</v>
      </c>
      <c r="S1755">
        <v>8</v>
      </c>
      <c r="T1755">
        <v>220</v>
      </c>
      <c r="U1755" s="11">
        <v>0.97492791218182362</v>
      </c>
      <c r="V1755" s="11">
        <v>-0.22252093395631434</v>
      </c>
      <c r="W1755" s="11">
        <v>-0.58569573980735079</v>
      </c>
      <c r="X1755" s="11">
        <v>-0.81053099901948233</v>
      </c>
      <c r="Y1755">
        <v>0</v>
      </c>
      <c r="Z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6">
        <v>45511</v>
      </c>
      <c r="B1756" t="s">
        <v>41</v>
      </c>
      <c r="C1756" t="s">
        <v>42</v>
      </c>
      <c r="D1756" t="s">
        <v>43</v>
      </c>
      <c r="E1756" t="s">
        <v>44</v>
      </c>
      <c r="F1756">
        <v>85</v>
      </c>
      <c r="G1756">
        <v>210</v>
      </c>
      <c r="H1756">
        <v>126</v>
      </c>
      <c r="I1756">
        <v>54</v>
      </c>
      <c r="J1756" s="8">
        <v>0.63529411764705879</v>
      </c>
      <c r="K1756">
        <v>29</v>
      </c>
      <c r="L1756">
        <v>33</v>
      </c>
      <c r="M1756">
        <v>117</v>
      </c>
      <c r="N1756" s="10">
        <v>539.75</v>
      </c>
      <c r="O1756" s="7">
        <v>0.7</v>
      </c>
      <c r="P1756" s="7">
        <v>29.7</v>
      </c>
      <c r="Q1756">
        <v>2</v>
      </c>
      <c r="R1756" t="s">
        <v>64</v>
      </c>
      <c r="S1756">
        <v>8</v>
      </c>
      <c r="T1756">
        <v>220</v>
      </c>
      <c r="U1756" s="11">
        <v>0.97492791218182362</v>
      </c>
      <c r="V1756" s="11">
        <v>-0.22252093395631434</v>
      </c>
      <c r="W1756" s="11">
        <v>-0.58569573980735079</v>
      </c>
      <c r="X1756" s="11">
        <v>-0.81053099901948233</v>
      </c>
      <c r="Y1756">
        <v>0</v>
      </c>
      <c r="Z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6">
        <v>45512</v>
      </c>
      <c r="B1757" t="s">
        <v>31</v>
      </c>
      <c r="C1757" t="s">
        <v>32</v>
      </c>
      <c r="D1757" t="s">
        <v>33</v>
      </c>
      <c r="E1757" t="s">
        <v>34</v>
      </c>
      <c r="F1757">
        <v>140</v>
      </c>
      <c r="G1757">
        <v>360</v>
      </c>
      <c r="H1757">
        <v>198</v>
      </c>
      <c r="I1757">
        <v>82</v>
      </c>
      <c r="J1757" s="8">
        <v>0.58571428571428574</v>
      </c>
      <c r="K1757">
        <v>34</v>
      </c>
      <c r="L1757">
        <v>53</v>
      </c>
      <c r="M1757">
        <v>160</v>
      </c>
      <c r="N1757" s="10">
        <v>403.64</v>
      </c>
      <c r="O1757" s="7">
        <v>0</v>
      </c>
      <c r="P1757" s="7">
        <v>28.8</v>
      </c>
      <c r="Q1757">
        <v>3</v>
      </c>
      <c r="R1757" t="s">
        <v>65</v>
      </c>
      <c r="S1757">
        <v>8</v>
      </c>
      <c r="T1757">
        <v>221</v>
      </c>
      <c r="U1757" s="11">
        <v>0.43388373911755823</v>
      </c>
      <c r="V1757" s="11">
        <v>-0.90096886790241903</v>
      </c>
      <c r="W1757" s="11">
        <v>-0.59955149151964893</v>
      </c>
      <c r="X1757" s="11">
        <v>-0.80033618499763226</v>
      </c>
      <c r="Y1757">
        <v>0</v>
      </c>
      <c r="Z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6">
        <v>45512</v>
      </c>
      <c r="B1758" t="s">
        <v>36</v>
      </c>
      <c r="C1758" t="s">
        <v>37</v>
      </c>
      <c r="D1758" t="s">
        <v>38</v>
      </c>
      <c r="E1758" t="s">
        <v>39</v>
      </c>
      <c r="F1758">
        <v>125</v>
      </c>
      <c r="G1758">
        <v>320</v>
      </c>
      <c r="H1758">
        <v>177</v>
      </c>
      <c r="I1758">
        <v>76</v>
      </c>
      <c r="J1758" s="8">
        <v>0.60799999999999998</v>
      </c>
      <c r="K1758">
        <v>39</v>
      </c>
      <c r="L1758">
        <v>41</v>
      </c>
      <c r="M1758">
        <v>160</v>
      </c>
      <c r="N1758" s="10">
        <v>615.51</v>
      </c>
      <c r="O1758" s="7">
        <v>0</v>
      </c>
      <c r="P1758" s="7">
        <v>28.8</v>
      </c>
      <c r="Q1758">
        <v>3</v>
      </c>
      <c r="R1758" t="s">
        <v>65</v>
      </c>
      <c r="S1758">
        <v>8</v>
      </c>
      <c r="T1758">
        <v>221</v>
      </c>
      <c r="U1758" s="11">
        <v>0.43388373911755823</v>
      </c>
      <c r="V1758" s="11">
        <v>-0.90096886790241903</v>
      </c>
      <c r="W1758" s="11">
        <v>-0.59955149151964893</v>
      </c>
      <c r="X1758" s="11">
        <v>-0.80033618499763226</v>
      </c>
      <c r="Y1758">
        <v>0</v>
      </c>
      <c r="Z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6">
        <v>45512</v>
      </c>
      <c r="B1759" t="s">
        <v>41</v>
      </c>
      <c r="C1759" t="s">
        <v>42</v>
      </c>
      <c r="D1759" t="s">
        <v>43</v>
      </c>
      <c r="E1759" t="s">
        <v>44</v>
      </c>
      <c r="F1759">
        <v>85</v>
      </c>
      <c r="G1759">
        <v>210</v>
      </c>
      <c r="H1759">
        <v>122</v>
      </c>
      <c r="I1759">
        <v>56</v>
      </c>
      <c r="J1759" s="8">
        <v>0.6588235294117647</v>
      </c>
      <c r="K1759">
        <v>20</v>
      </c>
      <c r="L1759">
        <v>22</v>
      </c>
      <c r="M1759">
        <v>113</v>
      </c>
      <c r="N1759" s="10">
        <v>485.66</v>
      </c>
      <c r="O1759" s="7">
        <v>0</v>
      </c>
      <c r="P1759" s="7">
        <v>28.8</v>
      </c>
      <c r="Q1759">
        <v>3</v>
      </c>
      <c r="R1759" t="s">
        <v>65</v>
      </c>
      <c r="S1759">
        <v>8</v>
      </c>
      <c r="T1759">
        <v>221</v>
      </c>
      <c r="U1759" s="11">
        <v>0.43388373911755823</v>
      </c>
      <c r="V1759" s="11">
        <v>-0.90096886790241903</v>
      </c>
      <c r="W1759" s="11">
        <v>-0.59955149151964893</v>
      </c>
      <c r="X1759" s="11">
        <v>-0.80033618499763226</v>
      </c>
      <c r="Y1759">
        <v>0</v>
      </c>
      <c r="Z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6">
        <v>45513</v>
      </c>
      <c r="B1760" t="s">
        <v>31</v>
      </c>
      <c r="C1760" t="s">
        <v>32</v>
      </c>
      <c r="D1760" t="s">
        <v>33</v>
      </c>
      <c r="E1760" t="s">
        <v>34</v>
      </c>
      <c r="F1760">
        <v>140</v>
      </c>
      <c r="G1760">
        <v>360</v>
      </c>
      <c r="H1760">
        <v>188</v>
      </c>
      <c r="I1760">
        <v>77</v>
      </c>
      <c r="J1760" s="8">
        <v>0.55000000000000004</v>
      </c>
      <c r="K1760">
        <v>53</v>
      </c>
      <c r="L1760">
        <v>22</v>
      </c>
      <c r="M1760">
        <v>151</v>
      </c>
      <c r="N1760" s="10">
        <v>433.11</v>
      </c>
      <c r="O1760" s="7">
        <v>2.2999999999999998</v>
      </c>
      <c r="P1760" s="7">
        <v>28</v>
      </c>
      <c r="Q1760">
        <v>4</v>
      </c>
      <c r="R1760" t="s">
        <v>66</v>
      </c>
      <c r="S1760">
        <v>8</v>
      </c>
      <c r="T1760">
        <v>222</v>
      </c>
      <c r="U1760" s="11">
        <v>-0.43388373911755801</v>
      </c>
      <c r="V1760" s="11">
        <v>-0.90096886790241915</v>
      </c>
      <c r="W1760" s="11">
        <v>-0.6132298262997502</v>
      </c>
      <c r="X1760" s="11">
        <v>-0.78990453862247068</v>
      </c>
      <c r="Y1760">
        <v>0</v>
      </c>
      <c r="Z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6">
        <v>45513</v>
      </c>
      <c r="B1761" t="s">
        <v>36</v>
      </c>
      <c r="C1761" t="s">
        <v>37</v>
      </c>
      <c r="D1761" t="s">
        <v>38</v>
      </c>
      <c r="E1761" t="s">
        <v>39</v>
      </c>
      <c r="F1761">
        <v>125</v>
      </c>
      <c r="G1761">
        <v>320</v>
      </c>
      <c r="H1761">
        <v>182</v>
      </c>
      <c r="I1761">
        <v>74</v>
      </c>
      <c r="J1761" s="8">
        <v>0.59199999999999997</v>
      </c>
      <c r="K1761">
        <v>37</v>
      </c>
      <c r="L1761">
        <v>27</v>
      </c>
      <c r="M1761">
        <v>155</v>
      </c>
      <c r="N1761" s="10">
        <v>668.42</v>
      </c>
      <c r="O1761" s="7">
        <v>2.2999999999999998</v>
      </c>
      <c r="P1761" s="7">
        <v>28</v>
      </c>
      <c r="Q1761">
        <v>4</v>
      </c>
      <c r="R1761" t="s">
        <v>66</v>
      </c>
      <c r="S1761">
        <v>8</v>
      </c>
      <c r="T1761">
        <v>222</v>
      </c>
      <c r="U1761" s="11">
        <v>-0.43388373911755801</v>
      </c>
      <c r="V1761" s="11">
        <v>-0.90096886790241915</v>
      </c>
      <c r="W1761" s="11">
        <v>-0.6132298262997502</v>
      </c>
      <c r="X1761" s="11">
        <v>-0.78990453862247068</v>
      </c>
      <c r="Y1761">
        <v>0</v>
      </c>
      <c r="Z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6">
        <v>45513</v>
      </c>
      <c r="B1762" t="s">
        <v>41</v>
      </c>
      <c r="C1762" t="s">
        <v>42</v>
      </c>
      <c r="D1762" t="s">
        <v>43</v>
      </c>
      <c r="E1762" t="s">
        <v>44</v>
      </c>
      <c r="F1762">
        <v>85</v>
      </c>
      <c r="G1762">
        <v>210</v>
      </c>
      <c r="H1762">
        <v>136</v>
      </c>
      <c r="I1762">
        <v>61</v>
      </c>
      <c r="J1762" s="8">
        <v>0.71764705882352942</v>
      </c>
      <c r="K1762">
        <v>36</v>
      </c>
      <c r="L1762">
        <v>32</v>
      </c>
      <c r="M1762">
        <v>118</v>
      </c>
      <c r="N1762" s="10">
        <v>564.54999999999995</v>
      </c>
      <c r="O1762" s="7">
        <v>2.2999999999999998</v>
      </c>
      <c r="P1762" s="7">
        <v>28</v>
      </c>
      <c r="Q1762">
        <v>4</v>
      </c>
      <c r="R1762" t="s">
        <v>66</v>
      </c>
      <c r="S1762">
        <v>8</v>
      </c>
      <c r="T1762">
        <v>222</v>
      </c>
      <c r="U1762" s="11">
        <v>-0.43388373911755801</v>
      </c>
      <c r="V1762" s="11">
        <v>-0.90096886790241915</v>
      </c>
      <c r="W1762" s="11">
        <v>-0.6132298262997502</v>
      </c>
      <c r="X1762" s="11">
        <v>-0.78990453862247068</v>
      </c>
      <c r="Y1762">
        <v>0</v>
      </c>
      <c r="Z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6">
        <v>45514</v>
      </c>
      <c r="B1763" t="s">
        <v>31</v>
      </c>
      <c r="C1763" t="s">
        <v>32</v>
      </c>
      <c r="D1763" t="s">
        <v>33</v>
      </c>
      <c r="E1763" t="s">
        <v>34</v>
      </c>
      <c r="F1763">
        <v>140</v>
      </c>
      <c r="G1763">
        <v>360</v>
      </c>
      <c r="H1763">
        <v>207</v>
      </c>
      <c r="I1763">
        <v>87</v>
      </c>
      <c r="J1763" s="8">
        <v>0.62142857142857144</v>
      </c>
      <c r="K1763">
        <v>45</v>
      </c>
      <c r="L1763">
        <v>35</v>
      </c>
      <c r="M1763">
        <v>189</v>
      </c>
      <c r="N1763" s="10">
        <v>505.66</v>
      </c>
      <c r="O1763" s="7">
        <v>1</v>
      </c>
      <c r="P1763" s="7">
        <v>28.9</v>
      </c>
      <c r="Q1763">
        <v>5</v>
      </c>
      <c r="R1763" t="s">
        <v>67</v>
      </c>
      <c r="S1763">
        <v>8</v>
      </c>
      <c r="T1763">
        <v>223</v>
      </c>
      <c r="U1763" s="11">
        <v>-0.97492791218182362</v>
      </c>
      <c r="V1763" s="11">
        <v>-0.22252093395631459</v>
      </c>
      <c r="W1763" s="11">
        <v>-0.62672669650833013</v>
      </c>
      <c r="X1763" s="11">
        <v>-0.7792391467859886</v>
      </c>
      <c r="Y1763">
        <v>1</v>
      </c>
      <c r="Z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6">
        <v>45514</v>
      </c>
      <c r="B1764" t="s">
        <v>36</v>
      </c>
      <c r="C1764" t="s">
        <v>37</v>
      </c>
      <c r="D1764" t="s">
        <v>38</v>
      </c>
      <c r="E1764" t="s">
        <v>39</v>
      </c>
      <c r="F1764">
        <v>125</v>
      </c>
      <c r="G1764">
        <v>320</v>
      </c>
      <c r="H1764">
        <v>207</v>
      </c>
      <c r="I1764">
        <v>86</v>
      </c>
      <c r="J1764" s="8">
        <v>0.68799999999999994</v>
      </c>
      <c r="K1764">
        <v>45</v>
      </c>
      <c r="L1764">
        <v>20</v>
      </c>
      <c r="M1764">
        <v>179</v>
      </c>
      <c r="N1764" s="10">
        <v>662.28</v>
      </c>
      <c r="O1764" s="7">
        <v>1</v>
      </c>
      <c r="P1764" s="7">
        <v>28.9</v>
      </c>
      <c r="Q1764">
        <v>5</v>
      </c>
      <c r="R1764" t="s">
        <v>67</v>
      </c>
      <c r="S1764">
        <v>8</v>
      </c>
      <c r="T1764">
        <v>223</v>
      </c>
      <c r="U1764" s="11">
        <v>-0.97492791218182362</v>
      </c>
      <c r="V1764" s="11">
        <v>-0.22252093395631459</v>
      </c>
      <c r="W1764" s="11">
        <v>-0.62672669650833013</v>
      </c>
      <c r="X1764" s="11">
        <v>-0.7792391467859886</v>
      </c>
      <c r="Y1764">
        <v>1</v>
      </c>
      <c r="Z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6">
        <v>45514</v>
      </c>
      <c r="B1765" t="s">
        <v>41</v>
      </c>
      <c r="C1765" t="s">
        <v>42</v>
      </c>
      <c r="D1765" t="s">
        <v>43</v>
      </c>
      <c r="E1765" t="s">
        <v>44</v>
      </c>
      <c r="F1765">
        <v>85</v>
      </c>
      <c r="G1765">
        <v>210</v>
      </c>
      <c r="H1765">
        <v>147</v>
      </c>
      <c r="I1765">
        <v>67</v>
      </c>
      <c r="J1765" s="8">
        <v>0.78823529411764703</v>
      </c>
      <c r="K1765">
        <v>33</v>
      </c>
      <c r="L1765">
        <v>19</v>
      </c>
      <c r="M1765">
        <v>128</v>
      </c>
      <c r="N1765" s="10">
        <v>581.19000000000005</v>
      </c>
      <c r="O1765" s="7">
        <v>1</v>
      </c>
      <c r="P1765" s="7">
        <v>28.9</v>
      </c>
      <c r="Q1765">
        <v>5</v>
      </c>
      <c r="R1765" t="s">
        <v>67</v>
      </c>
      <c r="S1765">
        <v>8</v>
      </c>
      <c r="T1765">
        <v>223</v>
      </c>
      <c r="U1765" s="11">
        <v>-0.97492791218182362</v>
      </c>
      <c r="V1765" s="11">
        <v>-0.22252093395631459</v>
      </c>
      <c r="W1765" s="11">
        <v>-0.62672669650833013</v>
      </c>
      <c r="X1765" s="11">
        <v>-0.7792391467859886</v>
      </c>
      <c r="Y1765">
        <v>1</v>
      </c>
      <c r="Z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6">
        <v>45515</v>
      </c>
      <c r="B1766" t="s">
        <v>31</v>
      </c>
      <c r="C1766" t="s">
        <v>32</v>
      </c>
      <c r="D1766" t="s">
        <v>33</v>
      </c>
      <c r="E1766" t="s">
        <v>34</v>
      </c>
      <c r="F1766">
        <v>140</v>
      </c>
      <c r="G1766">
        <v>360</v>
      </c>
      <c r="H1766">
        <v>207</v>
      </c>
      <c r="I1766">
        <v>88</v>
      </c>
      <c r="J1766" s="8">
        <v>0.62857142857142856</v>
      </c>
      <c r="K1766">
        <v>46</v>
      </c>
      <c r="L1766">
        <v>55</v>
      </c>
      <c r="M1766">
        <v>192</v>
      </c>
      <c r="N1766" s="10">
        <v>501.28</v>
      </c>
      <c r="O1766" s="7">
        <v>0</v>
      </c>
      <c r="P1766" s="7">
        <v>29.4</v>
      </c>
      <c r="Q1766">
        <v>6</v>
      </c>
      <c r="R1766" t="s">
        <v>60</v>
      </c>
      <c r="S1766">
        <v>8</v>
      </c>
      <c r="T1766">
        <v>224</v>
      </c>
      <c r="U1766" s="11">
        <v>-0.78183148246802991</v>
      </c>
      <c r="V1766" s="11">
        <v>0.62348980185873337</v>
      </c>
      <c r="W1766" s="11">
        <v>-0.64003810820435025</v>
      </c>
      <c r="X1766" s="11">
        <v>-0.76834316554922022</v>
      </c>
      <c r="Y1766">
        <v>1</v>
      </c>
      <c r="Z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6">
        <v>45515</v>
      </c>
      <c r="B1767" t="s">
        <v>36</v>
      </c>
      <c r="C1767" t="s">
        <v>37</v>
      </c>
      <c r="D1767" t="s">
        <v>38</v>
      </c>
      <c r="E1767" t="s">
        <v>39</v>
      </c>
      <c r="F1767">
        <v>125</v>
      </c>
      <c r="G1767">
        <v>320</v>
      </c>
      <c r="H1767">
        <v>200</v>
      </c>
      <c r="I1767">
        <v>82</v>
      </c>
      <c r="J1767" s="8">
        <v>0.65600000000000003</v>
      </c>
      <c r="K1767">
        <v>57</v>
      </c>
      <c r="L1767">
        <v>38</v>
      </c>
      <c r="M1767">
        <v>175</v>
      </c>
      <c r="N1767" s="10">
        <v>711.78</v>
      </c>
      <c r="O1767" s="7">
        <v>0</v>
      </c>
      <c r="P1767" s="7">
        <v>29.4</v>
      </c>
      <c r="Q1767">
        <v>6</v>
      </c>
      <c r="R1767" t="s">
        <v>60</v>
      </c>
      <c r="S1767">
        <v>8</v>
      </c>
      <c r="T1767">
        <v>224</v>
      </c>
      <c r="U1767" s="11">
        <v>-0.78183148246802991</v>
      </c>
      <c r="V1767" s="11">
        <v>0.62348980185873337</v>
      </c>
      <c r="W1767" s="11">
        <v>-0.64003810820435025</v>
      </c>
      <c r="X1767" s="11">
        <v>-0.76834316554922022</v>
      </c>
      <c r="Y1767">
        <v>1</v>
      </c>
      <c r="Z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6">
        <v>45515</v>
      </c>
      <c r="B1768" t="s">
        <v>41</v>
      </c>
      <c r="C1768" t="s">
        <v>42</v>
      </c>
      <c r="D1768" t="s">
        <v>43</v>
      </c>
      <c r="E1768" t="s">
        <v>44</v>
      </c>
      <c r="F1768">
        <v>85</v>
      </c>
      <c r="G1768">
        <v>210</v>
      </c>
      <c r="H1768">
        <v>151</v>
      </c>
      <c r="I1768">
        <v>65</v>
      </c>
      <c r="J1768" s="8">
        <v>0.76470588235294112</v>
      </c>
      <c r="K1768">
        <v>34</v>
      </c>
      <c r="L1768">
        <v>26</v>
      </c>
      <c r="M1768">
        <v>130</v>
      </c>
      <c r="N1768" s="10">
        <v>557.77</v>
      </c>
      <c r="O1768" s="7">
        <v>0</v>
      </c>
      <c r="P1768" s="7">
        <v>29.4</v>
      </c>
      <c r="Q1768">
        <v>6</v>
      </c>
      <c r="R1768" t="s">
        <v>60</v>
      </c>
      <c r="S1768">
        <v>8</v>
      </c>
      <c r="T1768">
        <v>224</v>
      </c>
      <c r="U1768" s="11">
        <v>-0.78183148246802991</v>
      </c>
      <c r="V1768" s="11">
        <v>0.62348980185873337</v>
      </c>
      <c r="W1768" s="11">
        <v>-0.64003810820435025</v>
      </c>
      <c r="X1768" s="11">
        <v>-0.76834316554922022</v>
      </c>
      <c r="Y1768">
        <v>1</v>
      </c>
      <c r="Z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6">
        <v>45516</v>
      </c>
      <c r="B1769" t="s">
        <v>31</v>
      </c>
      <c r="C1769" t="s">
        <v>32</v>
      </c>
      <c r="D1769" t="s">
        <v>33</v>
      </c>
      <c r="E1769" t="s">
        <v>34</v>
      </c>
      <c r="F1769">
        <v>140</v>
      </c>
      <c r="G1769">
        <v>360</v>
      </c>
      <c r="H1769">
        <v>222</v>
      </c>
      <c r="I1769">
        <v>95</v>
      </c>
      <c r="J1769" s="8">
        <v>0.6785714285714286</v>
      </c>
      <c r="K1769">
        <v>64</v>
      </c>
      <c r="L1769">
        <v>47</v>
      </c>
      <c r="M1769">
        <v>186</v>
      </c>
      <c r="N1769" s="10">
        <v>462.02</v>
      </c>
      <c r="O1769" s="7">
        <v>1.8</v>
      </c>
      <c r="P1769" s="7">
        <v>28.7</v>
      </c>
      <c r="Q1769">
        <v>0</v>
      </c>
      <c r="R1769" t="s">
        <v>62</v>
      </c>
      <c r="S1769">
        <v>8</v>
      </c>
      <c r="T1769">
        <v>225</v>
      </c>
      <c r="U1769" s="11">
        <v>0</v>
      </c>
      <c r="V1769" s="11">
        <v>1</v>
      </c>
      <c r="W1769" s="11">
        <v>-0.65316012232692999</v>
      </c>
      <c r="X1769" s="11">
        <v>-0.75721981920831272</v>
      </c>
      <c r="Y1769">
        <v>0</v>
      </c>
      <c r="Z1769">
        <v>0</v>
      </c>
      <c r="AB1769">
        <v>0</v>
      </c>
      <c r="AC1769">
        <v>0</v>
      </c>
      <c r="AD1769">
        <v>0</v>
      </c>
      <c r="AE1769">
        <v>1</v>
      </c>
    </row>
    <row r="1770" spans="1:31">
      <c r="A1770" s="6">
        <v>45516</v>
      </c>
      <c r="B1770" t="s">
        <v>36</v>
      </c>
      <c r="C1770" t="s">
        <v>37</v>
      </c>
      <c r="D1770" t="s">
        <v>38</v>
      </c>
      <c r="E1770" t="s">
        <v>39</v>
      </c>
      <c r="F1770">
        <v>125</v>
      </c>
      <c r="G1770">
        <v>320</v>
      </c>
      <c r="H1770">
        <v>198</v>
      </c>
      <c r="I1770">
        <v>82</v>
      </c>
      <c r="J1770" s="8">
        <v>0.65600000000000003</v>
      </c>
      <c r="K1770">
        <v>51</v>
      </c>
      <c r="L1770">
        <v>44</v>
      </c>
      <c r="M1770">
        <v>185</v>
      </c>
      <c r="N1770" s="10">
        <v>596.61</v>
      </c>
      <c r="O1770" s="7">
        <v>1.8</v>
      </c>
      <c r="P1770" s="7">
        <v>28.7</v>
      </c>
      <c r="Q1770">
        <v>0</v>
      </c>
      <c r="R1770" t="s">
        <v>62</v>
      </c>
      <c r="S1770">
        <v>8</v>
      </c>
      <c r="T1770">
        <v>225</v>
      </c>
      <c r="U1770" s="11">
        <v>0</v>
      </c>
      <c r="V1770" s="11">
        <v>1</v>
      </c>
      <c r="W1770" s="11">
        <v>-0.65316012232692999</v>
      </c>
      <c r="X1770" s="11">
        <v>-0.75721981920831272</v>
      </c>
      <c r="Y1770">
        <v>0</v>
      </c>
      <c r="Z1770">
        <v>0</v>
      </c>
      <c r="AB1770">
        <v>0</v>
      </c>
      <c r="AC1770">
        <v>0</v>
      </c>
      <c r="AD1770">
        <v>0</v>
      </c>
      <c r="AE1770">
        <v>1</v>
      </c>
    </row>
    <row r="1771" spans="1:31">
      <c r="A1771" s="6">
        <v>45516</v>
      </c>
      <c r="B1771" t="s">
        <v>41</v>
      </c>
      <c r="C1771" t="s">
        <v>42</v>
      </c>
      <c r="D1771" t="s">
        <v>43</v>
      </c>
      <c r="E1771" t="s">
        <v>44</v>
      </c>
      <c r="F1771">
        <v>85</v>
      </c>
      <c r="G1771">
        <v>210</v>
      </c>
      <c r="H1771">
        <v>146</v>
      </c>
      <c r="I1771">
        <v>63</v>
      </c>
      <c r="J1771" s="8">
        <v>0.74117647058823533</v>
      </c>
      <c r="K1771">
        <v>36</v>
      </c>
      <c r="L1771">
        <v>43</v>
      </c>
      <c r="M1771">
        <v>120</v>
      </c>
      <c r="N1771" s="10">
        <v>547.82000000000005</v>
      </c>
      <c r="O1771" s="7">
        <v>1.8</v>
      </c>
      <c r="P1771" s="7">
        <v>28.7</v>
      </c>
      <c r="Q1771">
        <v>0</v>
      </c>
      <c r="R1771" t="s">
        <v>62</v>
      </c>
      <c r="S1771">
        <v>8</v>
      </c>
      <c r="T1771">
        <v>225</v>
      </c>
      <c r="U1771" s="11">
        <v>0</v>
      </c>
      <c r="V1771" s="11">
        <v>1</v>
      </c>
      <c r="W1771" s="11">
        <v>-0.65316012232692999</v>
      </c>
      <c r="X1771" s="11">
        <v>-0.75721981920831272</v>
      </c>
      <c r="Y1771">
        <v>0</v>
      </c>
      <c r="Z1771">
        <v>0</v>
      </c>
      <c r="AB1771">
        <v>0</v>
      </c>
      <c r="AC1771">
        <v>0</v>
      </c>
      <c r="AD1771">
        <v>0</v>
      </c>
      <c r="AE1771">
        <v>1</v>
      </c>
    </row>
    <row r="1772" spans="1:31">
      <c r="A1772" s="6">
        <v>45517</v>
      </c>
      <c r="B1772" t="s">
        <v>31</v>
      </c>
      <c r="C1772" t="s">
        <v>32</v>
      </c>
      <c r="D1772" t="s">
        <v>33</v>
      </c>
      <c r="E1772" t="s">
        <v>34</v>
      </c>
      <c r="F1772">
        <v>140</v>
      </c>
      <c r="G1772">
        <v>360</v>
      </c>
      <c r="H1772">
        <v>215</v>
      </c>
      <c r="I1772">
        <v>90</v>
      </c>
      <c r="J1772" s="8">
        <v>0.6428571428571429</v>
      </c>
      <c r="K1772">
        <v>28</v>
      </c>
      <c r="L1772">
        <v>49</v>
      </c>
      <c r="M1772">
        <v>200</v>
      </c>
      <c r="N1772" s="10">
        <v>464.53</v>
      </c>
      <c r="O1772" s="7">
        <v>0</v>
      </c>
      <c r="P1772" s="7">
        <v>29.5</v>
      </c>
      <c r="Q1772">
        <v>1</v>
      </c>
      <c r="R1772" t="s">
        <v>63</v>
      </c>
      <c r="S1772">
        <v>8</v>
      </c>
      <c r="T1772">
        <v>226</v>
      </c>
      <c r="U1772" s="11">
        <v>0.7818314824680298</v>
      </c>
      <c r="V1772" s="11">
        <v>0.62348980185873359</v>
      </c>
      <c r="W1772" s="11">
        <v>-0.66608885586097699</v>
      </c>
      <c r="X1772" s="11">
        <v>-0.74587239934040628</v>
      </c>
      <c r="Y1772">
        <v>0</v>
      </c>
      <c r="Z1772">
        <v>0</v>
      </c>
      <c r="AB1772">
        <v>0</v>
      </c>
      <c r="AC1772">
        <v>0</v>
      </c>
      <c r="AD1772">
        <v>0</v>
      </c>
      <c r="AE1772">
        <v>1</v>
      </c>
    </row>
    <row r="1773" spans="1:31">
      <c r="A1773" s="6">
        <v>45517</v>
      </c>
      <c r="B1773" t="s">
        <v>36</v>
      </c>
      <c r="C1773" t="s">
        <v>37</v>
      </c>
      <c r="D1773" t="s">
        <v>38</v>
      </c>
      <c r="E1773" t="s">
        <v>39</v>
      </c>
      <c r="F1773">
        <v>125</v>
      </c>
      <c r="G1773">
        <v>320</v>
      </c>
      <c r="H1773">
        <v>188</v>
      </c>
      <c r="I1773">
        <v>79</v>
      </c>
      <c r="J1773" s="8">
        <v>0.63200000000000001</v>
      </c>
      <c r="K1773">
        <v>24</v>
      </c>
      <c r="L1773">
        <v>19</v>
      </c>
      <c r="M1773">
        <v>151</v>
      </c>
      <c r="N1773" s="10">
        <v>601.95000000000005</v>
      </c>
      <c r="O1773" s="7">
        <v>0</v>
      </c>
      <c r="P1773" s="7">
        <v>29.5</v>
      </c>
      <c r="Q1773">
        <v>1</v>
      </c>
      <c r="R1773" t="s">
        <v>63</v>
      </c>
      <c r="S1773">
        <v>8</v>
      </c>
      <c r="T1773">
        <v>226</v>
      </c>
      <c r="U1773" s="11">
        <v>0.7818314824680298</v>
      </c>
      <c r="V1773" s="11">
        <v>0.62348980185873359</v>
      </c>
      <c r="W1773" s="11">
        <v>-0.66608885586097699</v>
      </c>
      <c r="X1773" s="11">
        <v>-0.74587239934040628</v>
      </c>
      <c r="Y1773">
        <v>0</v>
      </c>
      <c r="Z1773">
        <v>0</v>
      </c>
      <c r="AB1773">
        <v>0</v>
      </c>
      <c r="AC1773">
        <v>0</v>
      </c>
      <c r="AD1773">
        <v>0</v>
      </c>
      <c r="AE1773">
        <v>1</v>
      </c>
    </row>
    <row r="1774" spans="1:31">
      <c r="A1774" s="6">
        <v>45517</v>
      </c>
      <c r="B1774" t="s">
        <v>41</v>
      </c>
      <c r="C1774" t="s">
        <v>42</v>
      </c>
      <c r="D1774" t="s">
        <v>43</v>
      </c>
      <c r="E1774" t="s">
        <v>44</v>
      </c>
      <c r="F1774">
        <v>85</v>
      </c>
      <c r="G1774">
        <v>210</v>
      </c>
      <c r="H1774">
        <v>135</v>
      </c>
      <c r="I1774">
        <v>63</v>
      </c>
      <c r="J1774" s="8">
        <v>0.74117647058823533</v>
      </c>
      <c r="K1774">
        <v>16</v>
      </c>
      <c r="L1774">
        <v>24</v>
      </c>
      <c r="M1774">
        <v>119</v>
      </c>
      <c r="N1774" s="10">
        <v>531.02</v>
      </c>
      <c r="O1774" s="7">
        <v>0</v>
      </c>
      <c r="P1774" s="7">
        <v>29.5</v>
      </c>
      <c r="Q1774">
        <v>1</v>
      </c>
      <c r="R1774" t="s">
        <v>63</v>
      </c>
      <c r="S1774">
        <v>8</v>
      </c>
      <c r="T1774">
        <v>226</v>
      </c>
      <c r="U1774" s="11">
        <v>0.7818314824680298</v>
      </c>
      <c r="V1774" s="11">
        <v>0.62348980185873359</v>
      </c>
      <c r="W1774" s="11">
        <v>-0.66608885586097699</v>
      </c>
      <c r="X1774" s="11">
        <v>-0.74587239934040628</v>
      </c>
      <c r="Y1774">
        <v>0</v>
      </c>
      <c r="Z1774">
        <v>0</v>
      </c>
      <c r="AB1774">
        <v>0</v>
      </c>
      <c r="AC1774">
        <v>0</v>
      </c>
      <c r="AD1774">
        <v>0</v>
      </c>
      <c r="AE1774">
        <v>1</v>
      </c>
    </row>
    <row r="1775" spans="1:31">
      <c r="A1775" s="6">
        <v>45518</v>
      </c>
      <c r="B1775" t="s">
        <v>31</v>
      </c>
      <c r="C1775" t="s">
        <v>32</v>
      </c>
      <c r="D1775" t="s">
        <v>33</v>
      </c>
      <c r="E1775" t="s">
        <v>34</v>
      </c>
      <c r="F1775">
        <v>140</v>
      </c>
      <c r="G1775">
        <v>360</v>
      </c>
      <c r="H1775">
        <v>211</v>
      </c>
      <c r="I1775">
        <v>90</v>
      </c>
      <c r="J1775" s="8">
        <v>0.6428571428571429</v>
      </c>
      <c r="K1775">
        <v>59</v>
      </c>
      <c r="L1775">
        <v>35</v>
      </c>
      <c r="M1775">
        <v>170</v>
      </c>
      <c r="N1775" s="10">
        <v>469.83</v>
      </c>
      <c r="O1775" s="7">
        <v>0</v>
      </c>
      <c r="P1775" s="7">
        <v>29.2</v>
      </c>
      <c r="Q1775">
        <v>2</v>
      </c>
      <c r="R1775" t="s">
        <v>64</v>
      </c>
      <c r="S1775">
        <v>8</v>
      </c>
      <c r="T1775">
        <v>227</v>
      </c>
      <c r="U1775" s="11">
        <v>0.97492791218182362</v>
      </c>
      <c r="V1775" s="11">
        <v>-0.22252093395631434</v>
      </c>
      <c r="W1775" s="11">
        <v>-0.67882048298623554</v>
      </c>
      <c r="X1775" s="11">
        <v>-0.73430426382960201</v>
      </c>
      <c r="Y1775">
        <v>0</v>
      </c>
      <c r="Z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6">
        <v>45518</v>
      </c>
      <c r="B1776" t="s">
        <v>36</v>
      </c>
      <c r="C1776" t="s">
        <v>37</v>
      </c>
      <c r="D1776" t="s">
        <v>38</v>
      </c>
      <c r="E1776" t="s">
        <v>39</v>
      </c>
      <c r="F1776">
        <v>125</v>
      </c>
      <c r="G1776">
        <v>320</v>
      </c>
      <c r="H1776">
        <v>159</v>
      </c>
      <c r="I1776">
        <v>65</v>
      </c>
      <c r="J1776" s="8">
        <v>0.52</v>
      </c>
      <c r="K1776">
        <v>39</v>
      </c>
      <c r="L1776">
        <v>36</v>
      </c>
      <c r="M1776">
        <v>130</v>
      </c>
      <c r="N1776" s="10">
        <v>577.03</v>
      </c>
      <c r="O1776" s="7">
        <v>0</v>
      </c>
      <c r="P1776" s="7">
        <v>29.2</v>
      </c>
      <c r="Q1776">
        <v>2</v>
      </c>
      <c r="R1776" t="s">
        <v>64</v>
      </c>
      <c r="S1776">
        <v>8</v>
      </c>
      <c r="T1776">
        <v>227</v>
      </c>
      <c r="U1776" s="11">
        <v>0.97492791218182362</v>
      </c>
      <c r="V1776" s="11">
        <v>-0.22252093395631434</v>
      </c>
      <c r="W1776" s="11">
        <v>-0.67882048298623554</v>
      </c>
      <c r="X1776" s="11">
        <v>-0.73430426382960201</v>
      </c>
      <c r="Y1776">
        <v>0</v>
      </c>
      <c r="Z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6">
        <v>45518</v>
      </c>
      <c r="B1777" t="s">
        <v>41</v>
      </c>
      <c r="C1777" t="s">
        <v>42</v>
      </c>
      <c r="D1777" t="s">
        <v>43</v>
      </c>
      <c r="E1777" t="s">
        <v>44</v>
      </c>
      <c r="F1777">
        <v>85</v>
      </c>
      <c r="G1777">
        <v>210</v>
      </c>
      <c r="H1777">
        <v>116</v>
      </c>
      <c r="I1777">
        <v>50</v>
      </c>
      <c r="J1777" s="8">
        <v>0.58823529411764708</v>
      </c>
      <c r="K1777">
        <v>21</v>
      </c>
      <c r="L1777">
        <v>20</v>
      </c>
      <c r="M1777">
        <v>102</v>
      </c>
      <c r="N1777" s="10">
        <v>485.2</v>
      </c>
      <c r="O1777" s="7">
        <v>0</v>
      </c>
      <c r="P1777" s="7">
        <v>29.2</v>
      </c>
      <c r="Q1777">
        <v>2</v>
      </c>
      <c r="R1777" t="s">
        <v>64</v>
      </c>
      <c r="S1777">
        <v>8</v>
      </c>
      <c r="T1777">
        <v>227</v>
      </c>
      <c r="U1777" s="11">
        <v>0.97492791218182362</v>
      </c>
      <c r="V1777" s="11">
        <v>-0.22252093395631434</v>
      </c>
      <c r="W1777" s="11">
        <v>-0.67882048298623554</v>
      </c>
      <c r="X1777" s="11">
        <v>-0.73430426382960201</v>
      </c>
      <c r="Y1777">
        <v>0</v>
      </c>
      <c r="Z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6">
        <v>45519</v>
      </c>
      <c r="B1778" t="s">
        <v>31</v>
      </c>
      <c r="C1778" t="s">
        <v>32</v>
      </c>
      <c r="D1778" t="s">
        <v>33</v>
      </c>
      <c r="E1778" t="s">
        <v>34</v>
      </c>
      <c r="F1778">
        <v>140</v>
      </c>
      <c r="G1778">
        <v>360</v>
      </c>
      <c r="H1778">
        <v>242</v>
      </c>
      <c r="I1778">
        <v>100</v>
      </c>
      <c r="J1778" s="8">
        <v>0.7142857142857143</v>
      </c>
      <c r="K1778">
        <v>45</v>
      </c>
      <c r="L1778">
        <v>45</v>
      </c>
      <c r="M1778">
        <v>200</v>
      </c>
      <c r="N1778" s="10">
        <v>430.69</v>
      </c>
      <c r="O1778" s="7">
        <v>1.9</v>
      </c>
      <c r="P1778" s="7">
        <v>27.1</v>
      </c>
      <c r="Q1778">
        <v>3</v>
      </c>
      <c r="R1778" t="s">
        <v>65</v>
      </c>
      <c r="S1778">
        <v>8</v>
      </c>
      <c r="T1778">
        <v>228</v>
      </c>
      <c r="U1778" s="11">
        <v>0.43388373911755823</v>
      </c>
      <c r="V1778" s="11">
        <v>-0.90096886790241903</v>
      </c>
      <c r="W1778" s="11">
        <v>-0.69135123620940708</v>
      </c>
      <c r="X1778" s="11">
        <v>-0.72251883587331101</v>
      </c>
      <c r="Y1778">
        <v>0</v>
      </c>
      <c r="Z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6">
        <v>45519</v>
      </c>
      <c r="B1779" t="s">
        <v>36</v>
      </c>
      <c r="C1779" t="s">
        <v>37</v>
      </c>
      <c r="D1779" t="s">
        <v>38</v>
      </c>
      <c r="E1779" t="s">
        <v>39</v>
      </c>
      <c r="F1779">
        <v>125</v>
      </c>
      <c r="G1779">
        <v>320</v>
      </c>
      <c r="H1779">
        <v>195</v>
      </c>
      <c r="I1779">
        <v>82</v>
      </c>
      <c r="J1779" s="8">
        <v>0.65600000000000003</v>
      </c>
      <c r="K1779">
        <v>24</v>
      </c>
      <c r="L1779">
        <v>42</v>
      </c>
      <c r="M1779">
        <v>178</v>
      </c>
      <c r="N1779" s="10">
        <v>580.09</v>
      </c>
      <c r="O1779" s="7">
        <v>1.9</v>
      </c>
      <c r="P1779" s="7">
        <v>27.1</v>
      </c>
      <c r="Q1779">
        <v>3</v>
      </c>
      <c r="R1779" t="s">
        <v>65</v>
      </c>
      <c r="S1779">
        <v>8</v>
      </c>
      <c r="T1779">
        <v>228</v>
      </c>
      <c r="U1779" s="11">
        <v>0.43388373911755823</v>
      </c>
      <c r="V1779" s="11">
        <v>-0.90096886790241903</v>
      </c>
      <c r="W1779" s="11">
        <v>-0.69135123620940708</v>
      </c>
      <c r="X1779" s="11">
        <v>-0.72251883587331101</v>
      </c>
      <c r="Y1779">
        <v>0</v>
      </c>
      <c r="Z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6">
        <v>45519</v>
      </c>
      <c r="B1780" t="s">
        <v>41</v>
      </c>
      <c r="C1780" t="s">
        <v>42</v>
      </c>
      <c r="D1780" t="s">
        <v>43</v>
      </c>
      <c r="E1780" t="s">
        <v>44</v>
      </c>
      <c r="F1780">
        <v>85</v>
      </c>
      <c r="G1780">
        <v>210</v>
      </c>
      <c r="H1780">
        <v>137</v>
      </c>
      <c r="I1780">
        <v>60</v>
      </c>
      <c r="J1780" s="8">
        <v>0.70588235294117652</v>
      </c>
      <c r="K1780">
        <v>31</v>
      </c>
      <c r="L1780">
        <v>35</v>
      </c>
      <c r="M1780">
        <v>123</v>
      </c>
      <c r="N1780" s="10">
        <v>527.91999999999996</v>
      </c>
      <c r="O1780" s="7">
        <v>1.9</v>
      </c>
      <c r="P1780" s="7">
        <v>27.1</v>
      </c>
      <c r="Q1780">
        <v>3</v>
      </c>
      <c r="R1780" t="s">
        <v>65</v>
      </c>
      <c r="S1780">
        <v>8</v>
      </c>
      <c r="T1780">
        <v>228</v>
      </c>
      <c r="U1780" s="11">
        <v>0.43388373911755823</v>
      </c>
      <c r="V1780" s="11">
        <v>-0.90096886790241903</v>
      </c>
      <c r="W1780" s="11">
        <v>-0.69135123620940708</v>
      </c>
      <c r="X1780" s="11">
        <v>-0.72251883587331101</v>
      </c>
      <c r="Y1780">
        <v>0</v>
      </c>
      <c r="Z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6">
        <v>45520</v>
      </c>
      <c r="B1781" t="s">
        <v>31</v>
      </c>
      <c r="C1781" t="s">
        <v>32</v>
      </c>
      <c r="D1781" t="s">
        <v>33</v>
      </c>
      <c r="E1781" t="s">
        <v>34</v>
      </c>
      <c r="F1781">
        <v>140</v>
      </c>
      <c r="G1781">
        <v>360</v>
      </c>
      <c r="H1781">
        <v>204</v>
      </c>
      <c r="I1781">
        <v>85</v>
      </c>
      <c r="J1781" s="8">
        <v>0.6071428571428571</v>
      </c>
      <c r="K1781">
        <v>44</v>
      </c>
      <c r="L1781">
        <v>35</v>
      </c>
      <c r="M1781">
        <v>176</v>
      </c>
      <c r="N1781" s="10">
        <v>431.42</v>
      </c>
      <c r="O1781" s="7">
        <v>0</v>
      </c>
      <c r="P1781" s="7">
        <v>29.1</v>
      </c>
      <c r="Q1781">
        <v>4</v>
      </c>
      <c r="R1781" t="s">
        <v>66</v>
      </c>
      <c r="S1781">
        <v>8</v>
      </c>
      <c r="T1781">
        <v>229</v>
      </c>
      <c r="U1781" s="11">
        <v>-0.43388373911755801</v>
      </c>
      <c r="V1781" s="11">
        <v>-0.90096886790241915</v>
      </c>
      <c r="W1781" s="11">
        <v>-0.70367740747901275</v>
      </c>
      <c r="X1781" s="11">
        <v>-0.71051960296927452</v>
      </c>
      <c r="Y1781">
        <v>0</v>
      </c>
      <c r="Z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6">
        <v>45520</v>
      </c>
      <c r="B1782" t="s">
        <v>36</v>
      </c>
      <c r="C1782" t="s">
        <v>37</v>
      </c>
      <c r="D1782" t="s">
        <v>38</v>
      </c>
      <c r="E1782" t="s">
        <v>39</v>
      </c>
      <c r="F1782">
        <v>125</v>
      </c>
      <c r="G1782">
        <v>320</v>
      </c>
      <c r="H1782">
        <v>156</v>
      </c>
      <c r="I1782">
        <v>67</v>
      </c>
      <c r="J1782" s="8">
        <v>0.53600000000000003</v>
      </c>
      <c r="K1782">
        <v>32</v>
      </c>
      <c r="L1782">
        <v>15</v>
      </c>
      <c r="M1782">
        <v>138</v>
      </c>
      <c r="N1782" s="10">
        <v>590.85</v>
      </c>
      <c r="O1782" s="7">
        <v>0</v>
      </c>
      <c r="P1782" s="7">
        <v>29.1</v>
      </c>
      <c r="Q1782">
        <v>4</v>
      </c>
      <c r="R1782" t="s">
        <v>66</v>
      </c>
      <c r="S1782">
        <v>8</v>
      </c>
      <c r="T1782">
        <v>229</v>
      </c>
      <c r="U1782" s="11">
        <v>-0.43388373911755801</v>
      </c>
      <c r="V1782" s="11">
        <v>-0.90096886790241915</v>
      </c>
      <c r="W1782" s="11">
        <v>-0.70367740747901275</v>
      </c>
      <c r="X1782" s="11">
        <v>-0.71051960296927452</v>
      </c>
      <c r="Y1782">
        <v>0</v>
      </c>
      <c r="Z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6">
        <v>45520</v>
      </c>
      <c r="B1783" t="s">
        <v>41</v>
      </c>
      <c r="C1783" t="s">
        <v>42</v>
      </c>
      <c r="D1783" t="s">
        <v>43</v>
      </c>
      <c r="E1783" t="s">
        <v>44</v>
      </c>
      <c r="F1783">
        <v>85</v>
      </c>
      <c r="G1783">
        <v>210</v>
      </c>
      <c r="H1783">
        <v>124</v>
      </c>
      <c r="I1783">
        <v>58</v>
      </c>
      <c r="J1783" s="8">
        <v>0.68235294117647061</v>
      </c>
      <c r="K1783">
        <v>25</v>
      </c>
      <c r="L1783">
        <v>26</v>
      </c>
      <c r="M1783">
        <v>104</v>
      </c>
      <c r="N1783" s="10">
        <v>536.16</v>
      </c>
      <c r="O1783" s="7">
        <v>0</v>
      </c>
      <c r="P1783" s="7">
        <v>29.1</v>
      </c>
      <c r="Q1783">
        <v>4</v>
      </c>
      <c r="R1783" t="s">
        <v>66</v>
      </c>
      <c r="S1783">
        <v>8</v>
      </c>
      <c r="T1783">
        <v>229</v>
      </c>
      <c r="U1783" s="11">
        <v>-0.43388373911755801</v>
      </c>
      <c r="V1783" s="11">
        <v>-0.90096886790241915</v>
      </c>
      <c r="W1783" s="11">
        <v>-0.70367740747901275</v>
      </c>
      <c r="X1783" s="11">
        <v>-0.71051960296927452</v>
      </c>
      <c r="Y1783">
        <v>0</v>
      </c>
      <c r="Z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6">
        <v>45521</v>
      </c>
      <c r="B1784" t="s">
        <v>31</v>
      </c>
      <c r="C1784" t="s">
        <v>32</v>
      </c>
      <c r="D1784" t="s">
        <v>33</v>
      </c>
      <c r="E1784" t="s">
        <v>34</v>
      </c>
      <c r="F1784">
        <v>140</v>
      </c>
      <c r="G1784">
        <v>360</v>
      </c>
      <c r="H1784">
        <v>214</v>
      </c>
      <c r="I1784">
        <v>92</v>
      </c>
      <c r="J1784" s="8">
        <v>0.65714285714285714</v>
      </c>
      <c r="K1784">
        <v>55</v>
      </c>
      <c r="L1784">
        <v>30</v>
      </c>
      <c r="M1784">
        <v>188</v>
      </c>
      <c r="N1784" s="10">
        <v>487.26</v>
      </c>
      <c r="O1784" s="7">
        <v>0</v>
      </c>
      <c r="P1784" s="7">
        <v>28.4</v>
      </c>
      <c r="Q1784">
        <v>5</v>
      </c>
      <c r="R1784" t="s">
        <v>67</v>
      </c>
      <c r="S1784">
        <v>8</v>
      </c>
      <c r="T1784">
        <v>230</v>
      </c>
      <c r="U1784" s="11">
        <v>-0.97492791218182362</v>
      </c>
      <c r="V1784" s="11">
        <v>-0.22252093395631459</v>
      </c>
      <c r="W1784" s="11">
        <v>-0.7157953492826642</v>
      </c>
      <c r="X1784" s="11">
        <v>-0.6983101158835584</v>
      </c>
      <c r="Y1784">
        <v>1</v>
      </c>
      <c r="Z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6">
        <v>45521</v>
      </c>
      <c r="B1785" t="s">
        <v>36</v>
      </c>
      <c r="C1785" t="s">
        <v>37</v>
      </c>
      <c r="D1785" t="s">
        <v>38</v>
      </c>
      <c r="E1785" t="s">
        <v>39</v>
      </c>
      <c r="F1785">
        <v>125</v>
      </c>
      <c r="G1785">
        <v>320</v>
      </c>
      <c r="H1785">
        <v>200</v>
      </c>
      <c r="I1785">
        <v>83</v>
      </c>
      <c r="J1785" s="8">
        <v>0.66400000000000003</v>
      </c>
      <c r="K1785">
        <v>39</v>
      </c>
      <c r="L1785">
        <v>24</v>
      </c>
      <c r="M1785">
        <v>175</v>
      </c>
      <c r="N1785" s="10">
        <v>666.81</v>
      </c>
      <c r="O1785" s="7">
        <v>0</v>
      </c>
      <c r="P1785" s="7">
        <v>28.4</v>
      </c>
      <c r="Q1785">
        <v>5</v>
      </c>
      <c r="R1785" t="s">
        <v>67</v>
      </c>
      <c r="S1785">
        <v>8</v>
      </c>
      <c r="T1785">
        <v>230</v>
      </c>
      <c r="U1785" s="11">
        <v>-0.97492791218182362</v>
      </c>
      <c r="V1785" s="11">
        <v>-0.22252093395631459</v>
      </c>
      <c r="W1785" s="11">
        <v>-0.7157953492826642</v>
      </c>
      <c r="X1785" s="11">
        <v>-0.6983101158835584</v>
      </c>
      <c r="Y1785">
        <v>1</v>
      </c>
      <c r="Z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6">
        <v>45521</v>
      </c>
      <c r="B1786" t="s">
        <v>41</v>
      </c>
      <c r="C1786" t="s">
        <v>42</v>
      </c>
      <c r="D1786" t="s">
        <v>43</v>
      </c>
      <c r="E1786" t="s">
        <v>44</v>
      </c>
      <c r="F1786">
        <v>85</v>
      </c>
      <c r="G1786">
        <v>210</v>
      </c>
      <c r="H1786">
        <v>143</v>
      </c>
      <c r="I1786">
        <v>64</v>
      </c>
      <c r="J1786" s="8">
        <v>0.75294117647058822</v>
      </c>
      <c r="K1786">
        <v>22</v>
      </c>
      <c r="L1786">
        <v>30</v>
      </c>
      <c r="M1786">
        <v>123</v>
      </c>
      <c r="N1786" s="10">
        <v>649.54999999999995</v>
      </c>
      <c r="O1786" s="7">
        <v>0</v>
      </c>
      <c r="P1786" s="7">
        <v>28.4</v>
      </c>
      <c r="Q1786">
        <v>5</v>
      </c>
      <c r="R1786" t="s">
        <v>67</v>
      </c>
      <c r="S1786">
        <v>8</v>
      </c>
      <c r="T1786">
        <v>230</v>
      </c>
      <c r="U1786" s="11">
        <v>-0.97492791218182362</v>
      </c>
      <c r="V1786" s="11">
        <v>-0.22252093395631459</v>
      </c>
      <c r="W1786" s="11">
        <v>-0.7157953492826642</v>
      </c>
      <c r="X1786" s="11">
        <v>-0.6983101158835584</v>
      </c>
      <c r="Y1786">
        <v>1</v>
      </c>
      <c r="Z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6">
        <v>45522</v>
      </c>
      <c r="B1787" t="s">
        <v>31</v>
      </c>
      <c r="C1787" t="s">
        <v>32</v>
      </c>
      <c r="D1787" t="s">
        <v>33</v>
      </c>
      <c r="E1787" t="s">
        <v>34</v>
      </c>
      <c r="F1787">
        <v>140</v>
      </c>
      <c r="G1787">
        <v>360</v>
      </c>
      <c r="H1787">
        <v>201</v>
      </c>
      <c r="I1787">
        <v>88</v>
      </c>
      <c r="J1787" s="8">
        <v>0.62857142857142856</v>
      </c>
      <c r="K1787">
        <v>30</v>
      </c>
      <c r="L1787">
        <v>38</v>
      </c>
      <c r="M1787">
        <v>181</v>
      </c>
      <c r="N1787" s="10">
        <v>507.99</v>
      </c>
      <c r="O1787" s="7">
        <v>3.5</v>
      </c>
      <c r="P1787" s="7">
        <v>28.5</v>
      </c>
      <c r="Q1787">
        <v>6</v>
      </c>
      <c r="R1787" t="s">
        <v>60</v>
      </c>
      <c r="S1787">
        <v>8</v>
      </c>
      <c r="T1787">
        <v>231</v>
      </c>
      <c r="U1787" s="11">
        <v>-0.78183148246802991</v>
      </c>
      <c r="V1787" s="11">
        <v>0.62348980185873337</v>
      </c>
      <c r="W1787" s="11">
        <v>-0.72770147572642363</v>
      </c>
      <c r="X1787" s="11">
        <v>-0.68589398759982234</v>
      </c>
      <c r="Y1787">
        <v>1</v>
      </c>
      <c r="Z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6">
        <v>45522</v>
      </c>
      <c r="B1788" t="s">
        <v>36</v>
      </c>
      <c r="C1788" t="s">
        <v>37</v>
      </c>
      <c r="D1788" t="s">
        <v>38</v>
      </c>
      <c r="E1788" t="s">
        <v>39</v>
      </c>
      <c r="F1788">
        <v>125</v>
      </c>
      <c r="G1788">
        <v>320</v>
      </c>
      <c r="H1788">
        <v>198</v>
      </c>
      <c r="I1788">
        <v>82</v>
      </c>
      <c r="J1788" s="8">
        <v>0.65600000000000003</v>
      </c>
      <c r="K1788">
        <v>45</v>
      </c>
      <c r="L1788">
        <v>26</v>
      </c>
      <c r="M1788">
        <v>169</v>
      </c>
      <c r="N1788" s="10">
        <v>635.52</v>
      </c>
      <c r="O1788" s="7">
        <v>3.5</v>
      </c>
      <c r="P1788" s="7">
        <v>28.5</v>
      </c>
      <c r="Q1788">
        <v>6</v>
      </c>
      <c r="R1788" t="s">
        <v>60</v>
      </c>
      <c r="S1788">
        <v>8</v>
      </c>
      <c r="T1788">
        <v>231</v>
      </c>
      <c r="U1788" s="11">
        <v>-0.78183148246802991</v>
      </c>
      <c r="V1788" s="11">
        <v>0.62348980185873337</v>
      </c>
      <c r="W1788" s="11">
        <v>-0.72770147572642363</v>
      </c>
      <c r="X1788" s="11">
        <v>-0.68589398759982234</v>
      </c>
      <c r="Y1788">
        <v>1</v>
      </c>
      <c r="Z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6">
        <v>45522</v>
      </c>
      <c r="B1789" t="s">
        <v>41</v>
      </c>
      <c r="C1789" t="s">
        <v>42</v>
      </c>
      <c r="D1789" t="s">
        <v>43</v>
      </c>
      <c r="E1789" t="s">
        <v>44</v>
      </c>
      <c r="F1789">
        <v>85</v>
      </c>
      <c r="G1789">
        <v>210</v>
      </c>
      <c r="H1789">
        <v>152</v>
      </c>
      <c r="I1789">
        <v>67</v>
      </c>
      <c r="J1789" s="8">
        <v>0.78823529411764703</v>
      </c>
      <c r="K1789">
        <v>26</v>
      </c>
      <c r="L1789">
        <v>14</v>
      </c>
      <c r="M1789">
        <v>126</v>
      </c>
      <c r="N1789" s="10">
        <v>636.48</v>
      </c>
      <c r="O1789" s="7">
        <v>3.5</v>
      </c>
      <c r="P1789" s="7">
        <v>28.5</v>
      </c>
      <c r="Q1789">
        <v>6</v>
      </c>
      <c r="R1789" t="s">
        <v>60</v>
      </c>
      <c r="S1789">
        <v>8</v>
      </c>
      <c r="T1789">
        <v>231</v>
      </c>
      <c r="U1789" s="11">
        <v>-0.78183148246802991</v>
      </c>
      <c r="V1789" s="11">
        <v>0.62348980185873337</v>
      </c>
      <c r="W1789" s="11">
        <v>-0.72770147572642363</v>
      </c>
      <c r="X1789" s="11">
        <v>-0.68589398759982234</v>
      </c>
      <c r="Y1789">
        <v>1</v>
      </c>
      <c r="Z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6">
        <v>45523</v>
      </c>
      <c r="B1790" t="s">
        <v>31</v>
      </c>
      <c r="C1790" t="s">
        <v>32</v>
      </c>
      <c r="D1790" t="s">
        <v>33</v>
      </c>
      <c r="E1790" t="s">
        <v>34</v>
      </c>
      <c r="F1790">
        <v>140</v>
      </c>
      <c r="G1790">
        <v>360</v>
      </c>
      <c r="H1790">
        <v>185</v>
      </c>
      <c r="I1790">
        <v>78</v>
      </c>
      <c r="J1790" s="8">
        <v>0.55714285714285716</v>
      </c>
      <c r="K1790">
        <v>41</v>
      </c>
      <c r="L1790">
        <v>46</v>
      </c>
      <c r="M1790">
        <v>152</v>
      </c>
      <c r="N1790" s="10">
        <v>397.23</v>
      </c>
      <c r="O1790" s="7">
        <v>0.8</v>
      </c>
      <c r="P1790" s="7">
        <v>29.4</v>
      </c>
      <c r="Q1790">
        <v>0</v>
      </c>
      <c r="R1790" t="s">
        <v>62</v>
      </c>
      <c r="S1790">
        <v>8</v>
      </c>
      <c r="T1790">
        <v>232</v>
      </c>
      <c r="U1790" s="11">
        <v>0</v>
      </c>
      <c r="V1790" s="11">
        <v>1</v>
      </c>
      <c r="W1790" s="11">
        <v>-0.73939226359592414</v>
      </c>
      <c r="X1790" s="11">
        <v>-0.673274892250183</v>
      </c>
      <c r="Y1790">
        <v>0</v>
      </c>
      <c r="Z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6">
        <v>45523</v>
      </c>
      <c r="B1791" t="s">
        <v>36</v>
      </c>
      <c r="C1791" t="s">
        <v>37</v>
      </c>
      <c r="D1791" t="s">
        <v>38</v>
      </c>
      <c r="E1791" t="s">
        <v>39</v>
      </c>
      <c r="F1791">
        <v>125</v>
      </c>
      <c r="G1791">
        <v>320</v>
      </c>
      <c r="H1791">
        <v>177</v>
      </c>
      <c r="I1791">
        <v>76</v>
      </c>
      <c r="J1791" s="8">
        <v>0.60799999999999998</v>
      </c>
      <c r="K1791">
        <v>30</v>
      </c>
      <c r="L1791">
        <v>40</v>
      </c>
      <c r="M1791">
        <v>150</v>
      </c>
      <c r="N1791" s="10">
        <v>674.05</v>
      </c>
      <c r="O1791" s="7">
        <v>0.8</v>
      </c>
      <c r="P1791" s="7">
        <v>29.4</v>
      </c>
      <c r="Q1791">
        <v>0</v>
      </c>
      <c r="R1791" t="s">
        <v>62</v>
      </c>
      <c r="S1791">
        <v>8</v>
      </c>
      <c r="T1791">
        <v>232</v>
      </c>
      <c r="U1791" s="11">
        <v>0</v>
      </c>
      <c r="V1791" s="11">
        <v>1</v>
      </c>
      <c r="W1791" s="11">
        <v>-0.73939226359592414</v>
      </c>
      <c r="X1791" s="11">
        <v>-0.673274892250183</v>
      </c>
      <c r="Y1791">
        <v>0</v>
      </c>
      <c r="Z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6">
        <v>45523</v>
      </c>
      <c r="B1792" t="s">
        <v>41</v>
      </c>
      <c r="C1792" t="s">
        <v>42</v>
      </c>
      <c r="D1792" t="s">
        <v>43</v>
      </c>
      <c r="E1792" t="s">
        <v>44</v>
      </c>
      <c r="F1792">
        <v>85</v>
      </c>
      <c r="G1792">
        <v>210</v>
      </c>
      <c r="H1792">
        <v>132</v>
      </c>
      <c r="I1792">
        <v>57</v>
      </c>
      <c r="J1792" s="8">
        <v>0.6705882352941176</v>
      </c>
      <c r="K1792">
        <v>23</v>
      </c>
      <c r="L1792">
        <v>31</v>
      </c>
      <c r="M1792">
        <v>120</v>
      </c>
      <c r="N1792" s="10">
        <v>506.08</v>
      </c>
      <c r="O1792" s="7">
        <v>0.8</v>
      </c>
      <c r="P1792" s="7">
        <v>29.4</v>
      </c>
      <c r="Q1792">
        <v>0</v>
      </c>
      <c r="R1792" t="s">
        <v>62</v>
      </c>
      <c r="S1792">
        <v>8</v>
      </c>
      <c r="T1792">
        <v>232</v>
      </c>
      <c r="U1792" s="11">
        <v>0</v>
      </c>
      <c r="V1792" s="11">
        <v>1</v>
      </c>
      <c r="W1792" s="11">
        <v>-0.73939226359592414</v>
      </c>
      <c r="X1792" s="11">
        <v>-0.673274892250183</v>
      </c>
      <c r="Y1792">
        <v>0</v>
      </c>
      <c r="Z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6">
        <v>45524</v>
      </c>
      <c r="B1793" t="s">
        <v>31</v>
      </c>
      <c r="C1793" t="s">
        <v>32</v>
      </c>
      <c r="D1793" t="s">
        <v>33</v>
      </c>
      <c r="E1793" t="s">
        <v>34</v>
      </c>
      <c r="F1793">
        <v>140</v>
      </c>
      <c r="G1793">
        <v>360</v>
      </c>
      <c r="H1793">
        <v>200</v>
      </c>
      <c r="I1793">
        <v>81</v>
      </c>
      <c r="J1793" s="8">
        <v>0.57857142857142863</v>
      </c>
      <c r="K1793">
        <v>49</v>
      </c>
      <c r="L1793">
        <v>31</v>
      </c>
      <c r="M1793">
        <v>186</v>
      </c>
      <c r="N1793" s="10">
        <v>418.95</v>
      </c>
      <c r="O1793" s="7">
        <v>0</v>
      </c>
      <c r="P1793" s="7">
        <v>27.5</v>
      </c>
      <c r="Q1793">
        <v>1</v>
      </c>
      <c r="R1793" t="s">
        <v>63</v>
      </c>
      <c r="S1793">
        <v>8</v>
      </c>
      <c r="T1793">
        <v>233</v>
      </c>
      <c r="U1793" s="11">
        <v>0.7818314824680298</v>
      </c>
      <c r="V1793" s="11">
        <v>0.62348980185873359</v>
      </c>
      <c r="W1793" s="11">
        <v>-0.75086425339894891</v>
      </c>
      <c r="X1793" s="11">
        <v>-0.66045656402797537</v>
      </c>
      <c r="Y1793">
        <v>0</v>
      </c>
      <c r="Z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6">
        <v>45524</v>
      </c>
      <c r="B1794" t="s">
        <v>36</v>
      </c>
      <c r="C1794" t="s">
        <v>37</v>
      </c>
      <c r="D1794" t="s">
        <v>38</v>
      </c>
      <c r="E1794" t="s">
        <v>39</v>
      </c>
      <c r="F1794">
        <v>125</v>
      </c>
      <c r="G1794">
        <v>320</v>
      </c>
      <c r="H1794">
        <v>173</v>
      </c>
      <c r="I1794">
        <v>70</v>
      </c>
      <c r="J1794" s="8">
        <v>0.56000000000000005</v>
      </c>
      <c r="K1794">
        <v>31</v>
      </c>
      <c r="L1794">
        <v>39</v>
      </c>
      <c r="M1794">
        <v>150</v>
      </c>
      <c r="N1794" s="10">
        <v>642.16</v>
      </c>
      <c r="O1794" s="7">
        <v>0</v>
      </c>
      <c r="P1794" s="7">
        <v>27.5</v>
      </c>
      <c r="Q1794">
        <v>1</v>
      </c>
      <c r="R1794" t="s">
        <v>63</v>
      </c>
      <c r="S1794">
        <v>8</v>
      </c>
      <c r="T1794">
        <v>233</v>
      </c>
      <c r="U1794" s="11">
        <v>0.7818314824680298</v>
      </c>
      <c r="V1794" s="11">
        <v>0.62348980185873359</v>
      </c>
      <c r="W1794" s="11">
        <v>-0.75086425339894891</v>
      </c>
      <c r="X1794" s="11">
        <v>-0.66045656402797537</v>
      </c>
      <c r="Y1794">
        <v>0</v>
      </c>
      <c r="Z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6">
        <v>45524</v>
      </c>
      <c r="B1795" t="s">
        <v>41</v>
      </c>
      <c r="C1795" t="s">
        <v>42</v>
      </c>
      <c r="D1795" t="s">
        <v>43</v>
      </c>
      <c r="E1795" t="s">
        <v>44</v>
      </c>
      <c r="F1795">
        <v>85</v>
      </c>
      <c r="G1795">
        <v>210</v>
      </c>
      <c r="H1795">
        <v>119</v>
      </c>
      <c r="I1795">
        <v>52</v>
      </c>
      <c r="J1795" s="8">
        <v>0.61176470588235299</v>
      </c>
      <c r="K1795">
        <v>30</v>
      </c>
      <c r="L1795">
        <v>23</v>
      </c>
      <c r="M1795">
        <v>101</v>
      </c>
      <c r="N1795" s="10">
        <v>582.13</v>
      </c>
      <c r="O1795" s="7">
        <v>0</v>
      </c>
      <c r="P1795" s="7">
        <v>27.5</v>
      </c>
      <c r="Q1795">
        <v>1</v>
      </c>
      <c r="R1795" t="s">
        <v>63</v>
      </c>
      <c r="S1795">
        <v>8</v>
      </c>
      <c r="T1795">
        <v>233</v>
      </c>
      <c r="U1795" s="11">
        <v>0.7818314824680298</v>
      </c>
      <c r="V1795" s="11">
        <v>0.62348980185873359</v>
      </c>
      <c r="W1795" s="11">
        <v>-0.75086425339894891</v>
      </c>
      <c r="X1795" s="11">
        <v>-0.66045656402797537</v>
      </c>
      <c r="Y1795">
        <v>0</v>
      </c>
      <c r="Z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6">
        <v>45525</v>
      </c>
      <c r="B1796" t="s">
        <v>31</v>
      </c>
      <c r="C1796" t="s">
        <v>32</v>
      </c>
      <c r="D1796" t="s">
        <v>33</v>
      </c>
      <c r="E1796" t="s">
        <v>34</v>
      </c>
      <c r="F1796">
        <v>140</v>
      </c>
      <c r="G1796">
        <v>360</v>
      </c>
      <c r="H1796">
        <v>192</v>
      </c>
      <c r="I1796">
        <v>80</v>
      </c>
      <c r="J1796" s="8">
        <v>0.5714285714285714</v>
      </c>
      <c r="K1796">
        <v>43</v>
      </c>
      <c r="L1796">
        <v>28</v>
      </c>
      <c r="M1796">
        <v>176</v>
      </c>
      <c r="N1796" s="10">
        <v>418.85</v>
      </c>
      <c r="O1796" s="7">
        <v>1.4</v>
      </c>
      <c r="P1796" s="7">
        <v>28.3</v>
      </c>
      <c r="Q1796">
        <v>2</v>
      </c>
      <c r="R1796" t="s">
        <v>64</v>
      </c>
      <c r="S1796">
        <v>8</v>
      </c>
      <c r="T1796">
        <v>234</v>
      </c>
      <c r="U1796" s="11">
        <v>0.97492791218182362</v>
      </c>
      <c r="V1796" s="11">
        <v>-0.22252093395631434</v>
      </c>
      <c r="W1796" s="11">
        <v>-0.7621140503891487</v>
      </c>
      <c r="X1796" s="11">
        <v>-0.64744279608274746</v>
      </c>
      <c r="Y1796">
        <v>0</v>
      </c>
      <c r="Z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6">
        <v>45525</v>
      </c>
      <c r="B1797" t="s">
        <v>36</v>
      </c>
      <c r="C1797" t="s">
        <v>37</v>
      </c>
      <c r="D1797" t="s">
        <v>38</v>
      </c>
      <c r="E1797" t="s">
        <v>39</v>
      </c>
      <c r="F1797">
        <v>125</v>
      </c>
      <c r="G1797">
        <v>320</v>
      </c>
      <c r="H1797">
        <v>172</v>
      </c>
      <c r="I1797">
        <v>72</v>
      </c>
      <c r="J1797" s="8">
        <v>0.57599999999999996</v>
      </c>
      <c r="K1797">
        <v>26</v>
      </c>
      <c r="L1797">
        <v>37</v>
      </c>
      <c r="M1797">
        <v>145</v>
      </c>
      <c r="N1797" s="10">
        <v>626.51</v>
      </c>
      <c r="O1797" s="7">
        <v>1.4</v>
      </c>
      <c r="P1797" s="7">
        <v>28.3</v>
      </c>
      <c r="Q1797">
        <v>2</v>
      </c>
      <c r="R1797" t="s">
        <v>64</v>
      </c>
      <c r="S1797">
        <v>8</v>
      </c>
      <c r="T1797">
        <v>234</v>
      </c>
      <c r="U1797" s="11">
        <v>0.97492791218182362</v>
      </c>
      <c r="V1797" s="11">
        <v>-0.22252093395631434</v>
      </c>
      <c r="W1797" s="11">
        <v>-0.7621140503891487</v>
      </c>
      <c r="X1797" s="11">
        <v>-0.64744279608274746</v>
      </c>
      <c r="Y1797">
        <v>0</v>
      </c>
      <c r="Z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6">
        <v>45525</v>
      </c>
      <c r="B1798" t="s">
        <v>41</v>
      </c>
      <c r="C1798" t="s">
        <v>42</v>
      </c>
      <c r="D1798" t="s">
        <v>43</v>
      </c>
      <c r="E1798" t="s">
        <v>44</v>
      </c>
      <c r="F1798">
        <v>85</v>
      </c>
      <c r="G1798">
        <v>210</v>
      </c>
      <c r="H1798">
        <v>124</v>
      </c>
      <c r="I1798">
        <v>54</v>
      </c>
      <c r="J1798" s="8">
        <v>0.63529411764705879</v>
      </c>
      <c r="K1798">
        <v>23</v>
      </c>
      <c r="L1798">
        <v>34</v>
      </c>
      <c r="M1798">
        <v>115</v>
      </c>
      <c r="N1798" s="10">
        <v>526.28</v>
      </c>
      <c r="O1798" s="7">
        <v>1.4</v>
      </c>
      <c r="P1798" s="7">
        <v>28.3</v>
      </c>
      <c r="Q1798">
        <v>2</v>
      </c>
      <c r="R1798" t="s">
        <v>64</v>
      </c>
      <c r="S1798">
        <v>8</v>
      </c>
      <c r="T1798">
        <v>234</v>
      </c>
      <c r="U1798" s="11">
        <v>0.97492791218182362</v>
      </c>
      <c r="V1798" s="11">
        <v>-0.22252093395631434</v>
      </c>
      <c r="W1798" s="11">
        <v>-0.7621140503891487</v>
      </c>
      <c r="X1798" s="11">
        <v>-0.64744279608274746</v>
      </c>
      <c r="Y1798">
        <v>0</v>
      </c>
      <c r="Z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6">
        <v>45526</v>
      </c>
      <c r="B1799" t="s">
        <v>31</v>
      </c>
      <c r="C1799" t="s">
        <v>32</v>
      </c>
      <c r="D1799" t="s">
        <v>33</v>
      </c>
      <c r="E1799" t="s">
        <v>34</v>
      </c>
      <c r="F1799">
        <v>140</v>
      </c>
      <c r="G1799">
        <v>360</v>
      </c>
      <c r="H1799">
        <v>190</v>
      </c>
      <c r="I1799">
        <v>83</v>
      </c>
      <c r="J1799" s="8">
        <v>0.59285714285714286</v>
      </c>
      <c r="K1799">
        <v>42</v>
      </c>
      <c r="L1799">
        <v>38</v>
      </c>
      <c r="M1799">
        <v>167</v>
      </c>
      <c r="N1799" s="10">
        <v>444.49</v>
      </c>
      <c r="O1799" s="7">
        <v>2.8</v>
      </c>
      <c r="P1799" s="7">
        <v>28.7</v>
      </c>
      <c r="Q1799">
        <v>3</v>
      </c>
      <c r="R1799" t="s">
        <v>65</v>
      </c>
      <c r="S1799">
        <v>8</v>
      </c>
      <c r="T1799">
        <v>235</v>
      </c>
      <c r="U1799" s="11">
        <v>0.43388373911755823</v>
      </c>
      <c r="V1799" s="11">
        <v>-0.90096886790241903</v>
      </c>
      <c r="W1799" s="11">
        <v>-0.77313832557060258</v>
      </c>
      <c r="X1799" s="11">
        <v>-0.63423743939780541</v>
      </c>
      <c r="Y1799">
        <v>0</v>
      </c>
      <c r="Z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6">
        <v>45526</v>
      </c>
      <c r="B1800" t="s">
        <v>36</v>
      </c>
      <c r="C1800" t="s">
        <v>37</v>
      </c>
      <c r="D1800" t="s">
        <v>38</v>
      </c>
      <c r="E1800" t="s">
        <v>39</v>
      </c>
      <c r="F1800">
        <v>125</v>
      </c>
      <c r="G1800">
        <v>320</v>
      </c>
      <c r="H1800">
        <v>171</v>
      </c>
      <c r="I1800">
        <v>71</v>
      </c>
      <c r="J1800" s="8">
        <v>0.56799999999999995</v>
      </c>
      <c r="K1800">
        <v>45</v>
      </c>
      <c r="L1800">
        <v>38</v>
      </c>
      <c r="M1800">
        <v>141</v>
      </c>
      <c r="N1800" s="10">
        <v>636.12</v>
      </c>
      <c r="O1800" s="7">
        <v>2.8</v>
      </c>
      <c r="P1800" s="7">
        <v>28.7</v>
      </c>
      <c r="Q1800">
        <v>3</v>
      </c>
      <c r="R1800" t="s">
        <v>65</v>
      </c>
      <c r="S1800">
        <v>8</v>
      </c>
      <c r="T1800">
        <v>235</v>
      </c>
      <c r="U1800" s="11">
        <v>0.43388373911755823</v>
      </c>
      <c r="V1800" s="11">
        <v>-0.90096886790241903</v>
      </c>
      <c r="W1800" s="11">
        <v>-0.77313832557060258</v>
      </c>
      <c r="X1800" s="11">
        <v>-0.63423743939780541</v>
      </c>
      <c r="Y1800">
        <v>0</v>
      </c>
      <c r="Z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6">
        <v>45526</v>
      </c>
      <c r="B1801" t="s">
        <v>41</v>
      </c>
      <c r="C1801" t="s">
        <v>42</v>
      </c>
      <c r="D1801" t="s">
        <v>43</v>
      </c>
      <c r="E1801" t="s">
        <v>44</v>
      </c>
      <c r="F1801">
        <v>85</v>
      </c>
      <c r="G1801">
        <v>210</v>
      </c>
      <c r="H1801">
        <v>131</v>
      </c>
      <c r="I1801">
        <v>57</v>
      </c>
      <c r="J1801" s="8">
        <v>0.6705882352941176</v>
      </c>
      <c r="K1801">
        <v>15</v>
      </c>
      <c r="L1801">
        <v>17</v>
      </c>
      <c r="M1801">
        <v>105</v>
      </c>
      <c r="N1801" s="10">
        <v>579.51</v>
      </c>
      <c r="O1801" s="7">
        <v>2.8</v>
      </c>
      <c r="P1801" s="7">
        <v>28.7</v>
      </c>
      <c r="Q1801">
        <v>3</v>
      </c>
      <c r="R1801" t="s">
        <v>65</v>
      </c>
      <c r="S1801">
        <v>8</v>
      </c>
      <c r="T1801">
        <v>235</v>
      </c>
      <c r="U1801" s="11">
        <v>0.43388373911755823</v>
      </c>
      <c r="V1801" s="11">
        <v>-0.90096886790241903</v>
      </c>
      <c r="W1801" s="11">
        <v>-0.77313832557060258</v>
      </c>
      <c r="X1801" s="11">
        <v>-0.63423743939780541</v>
      </c>
      <c r="Y1801">
        <v>0</v>
      </c>
      <c r="Z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6">
        <v>45527</v>
      </c>
      <c r="B1802" t="s">
        <v>31</v>
      </c>
      <c r="C1802" t="s">
        <v>32</v>
      </c>
      <c r="D1802" t="s">
        <v>33</v>
      </c>
      <c r="E1802" t="s">
        <v>34</v>
      </c>
      <c r="F1802">
        <v>140</v>
      </c>
      <c r="G1802">
        <v>360</v>
      </c>
      <c r="H1802">
        <v>190</v>
      </c>
      <c r="I1802">
        <v>81</v>
      </c>
      <c r="J1802" s="8">
        <v>0.57857142857142863</v>
      </c>
      <c r="K1802">
        <v>37</v>
      </c>
      <c r="L1802">
        <v>23</v>
      </c>
      <c r="M1802">
        <v>166</v>
      </c>
      <c r="N1802" s="10">
        <v>455.94</v>
      </c>
      <c r="O1802" s="7">
        <v>1.7</v>
      </c>
      <c r="P1802" s="7">
        <v>29.3</v>
      </c>
      <c r="Q1802">
        <v>4</v>
      </c>
      <c r="R1802" t="s">
        <v>66</v>
      </c>
      <c r="S1802">
        <v>8</v>
      </c>
      <c r="T1802">
        <v>236</v>
      </c>
      <c r="U1802" s="11">
        <v>-0.43388373911755801</v>
      </c>
      <c r="V1802" s="11">
        <v>-0.90096886790241915</v>
      </c>
      <c r="W1802" s="11">
        <v>-0.78393381668292006</v>
      </c>
      <c r="X1802" s="11">
        <v>-0.62084440165064703</v>
      </c>
      <c r="Y1802">
        <v>0</v>
      </c>
      <c r="Z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6">
        <v>45527</v>
      </c>
      <c r="B1803" t="s">
        <v>36</v>
      </c>
      <c r="C1803" t="s">
        <v>37</v>
      </c>
      <c r="D1803" t="s">
        <v>38</v>
      </c>
      <c r="E1803" t="s">
        <v>39</v>
      </c>
      <c r="F1803">
        <v>125</v>
      </c>
      <c r="G1803">
        <v>320</v>
      </c>
      <c r="H1803">
        <v>164</v>
      </c>
      <c r="I1803">
        <v>68</v>
      </c>
      <c r="J1803" s="8">
        <v>0.54400000000000004</v>
      </c>
      <c r="K1803">
        <v>34</v>
      </c>
      <c r="L1803">
        <v>31</v>
      </c>
      <c r="M1803">
        <v>149</v>
      </c>
      <c r="N1803" s="10">
        <v>589.23</v>
      </c>
      <c r="O1803" s="7">
        <v>1.7</v>
      </c>
      <c r="P1803" s="7">
        <v>29.3</v>
      </c>
      <c r="Q1803">
        <v>4</v>
      </c>
      <c r="R1803" t="s">
        <v>66</v>
      </c>
      <c r="S1803">
        <v>8</v>
      </c>
      <c r="T1803">
        <v>236</v>
      </c>
      <c r="U1803" s="11">
        <v>-0.43388373911755801</v>
      </c>
      <c r="V1803" s="11">
        <v>-0.90096886790241915</v>
      </c>
      <c r="W1803" s="11">
        <v>-0.78393381668292006</v>
      </c>
      <c r="X1803" s="11">
        <v>-0.62084440165064703</v>
      </c>
      <c r="Y1803">
        <v>0</v>
      </c>
      <c r="Z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6">
        <v>45527</v>
      </c>
      <c r="B1804" t="s">
        <v>41</v>
      </c>
      <c r="C1804" t="s">
        <v>42</v>
      </c>
      <c r="D1804" t="s">
        <v>43</v>
      </c>
      <c r="E1804" t="s">
        <v>44</v>
      </c>
      <c r="F1804">
        <v>85</v>
      </c>
      <c r="G1804">
        <v>210</v>
      </c>
      <c r="H1804">
        <v>130</v>
      </c>
      <c r="I1804">
        <v>56</v>
      </c>
      <c r="J1804" s="8">
        <v>0.6588235294117647</v>
      </c>
      <c r="K1804">
        <v>19</v>
      </c>
      <c r="L1804">
        <v>18</v>
      </c>
      <c r="M1804">
        <v>115</v>
      </c>
      <c r="N1804" s="10">
        <v>555.34</v>
      </c>
      <c r="O1804" s="7">
        <v>1.7</v>
      </c>
      <c r="P1804" s="7">
        <v>29.3</v>
      </c>
      <c r="Q1804">
        <v>4</v>
      </c>
      <c r="R1804" t="s">
        <v>66</v>
      </c>
      <c r="S1804">
        <v>8</v>
      </c>
      <c r="T1804">
        <v>236</v>
      </c>
      <c r="U1804" s="11">
        <v>-0.43388373911755801</v>
      </c>
      <c r="V1804" s="11">
        <v>-0.90096886790241915</v>
      </c>
      <c r="W1804" s="11">
        <v>-0.78393381668292006</v>
      </c>
      <c r="X1804" s="11">
        <v>-0.62084440165064703</v>
      </c>
      <c r="Y1804">
        <v>0</v>
      </c>
      <c r="Z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6">
        <v>45528</v>
      </c>
      <c r="B1805" t="s">
        <v>31</v>
      </c>
      <c r="C1805" t="s">
        <v>32</v>
      </c>
      <c r="D1805" t="s">
        <v>33</v>
      </c>
      <c r="E1805" t="s">
        <v>34</v>
      </c>
      <c r="F1805">
        <v>140</v>
      </c>
      <c r="G1805">
        <v>360</v>
      </c>
      <c r="H1805">
        <v>220</v>
      </c>
      <c r="I1805">
        <v>93</v>
      </c>
      <c r="J1805" s="8">
        <v>0.66428571428571426</v>
      </c>
      <c r="K1805">
        <v>38</v>
      </c>
      <c r="L1805">
        <v>31</v>
      </c>
      <c r="M1805">
        <v>176</v>
      </c>
      <c r="N1805" s="10">
        <v>484.98</v>
      </c>
      <c r="O1805" s="7">
        <v>0.9</v>
      </c>
      <c r="P1805" s="7">
        <v>30.6</v>
      </c>
      <c r="Q1805">
        <v>5</v>
      </c>
      <c r="R1805" t="s">
        <v>67</v>
      </c>
      <c r="S1805">
        <v>8</v>
      </c>
      <c r="T1805">
        <v>237</v>
      </c>
      <c r="U1805" s="11">
        <v>-0.97492791218182362</v>
      </c>
      <c r="V1805" s="11">
        <v>-0.22252093395631459</v>
      </c>
      <c r="W1805" s="11">
        <v>-0.79449732916659921</v>
      </c>
      <c r="X1805" s="11">
        <v>-0.60726764605661354</v>
      </c>
      <c r="Y1805">
        <v>1</v>
      </c>
      <c r="Z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6">
        <v>45528</v>
      </c>
      <c r="B1806" t="s">
        <v>36</v>
      </c>
      <c r="C1806" t="s">
        <v>37</v>
      </c>
      <c r="D1806" t="s">
        <v>38</v>
      </c>
      <c r="E1806" t="s">
        <v>39</v>
      </c>
      <c r="F1806">
        <v>125</v>
      </c>
      <c r="G1806">
        <v>320</v>
      </c>
      <c r="H1806">
        <v>204</v>
      </c>
      <c r="I1806">
        <v>85</v>
      </c>
      <c r="J1806" s="8">
        <v>0.68</v>
      </c>
      <c r="K1806">
        <v>36</v>
      </c>
      <c r="L1806">
        <v>51</v>
      </c>
      <c r="M1806">
        <v>179</v>
      </c>
      <c r="N1806" s="10">
        <v>742.32</v>
      </c>
      <c r="O1806" s="7">
        <v>0.9</v>
      </c>
      <c r="P1806" s="7">
        <v>30.6</v>
      </c>
      <c r="Q1806">
        <v>5</v>
      </c>
      <c r="R1806" t="s">
        <v>67</v>
      </c>
      <c r="S1806">
        <v>8</v>
      </c>
      <c r="T1806">
        <v>237</v>
      </c>
      <c r="U1806" s="11">
        <v>-0.97492791218182362</v>
      </c>
      <c r="V1806" s="11">
        <v>-0.22252093395631459</v>
      </c>
      <c r="W1806" s="11">
        <v>-0.79449732916659921</v>
      </c>
      <c r="X1806" s="11">
        <v>-0.60726764605661354</v>
      </c>
      <c r="Y1806">
        <v>1</v>
      </c>
      <c r="Z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6">
        <v>45528</v>
      </c>
      <c r="B1807" t="s">
        <v>41</v>
      </c>
      <c r="C1807" t="s">
        <v>42</v>
      </c>
      <c r="D1807" t="s">
        <v>43</v>
      </c>
      <c r="E1807" t="s">
        <v>44</v>
      </c>
      <c r="F1807">
        <v>85</v>
      </c>
      <c r="G1807">
        <v>210</v>
      </c>
      <c r="H1807">
        <v>148</v>
      </c>
      <c r="I1807">
        <v>64</v>
      </c>
      <c r="J1807" s="8">
        <v>0.75294117647058822</v>
      </c>
      <c r="K1807">
        <v>23</v>
      </c>
      <c r="L1807">
        <v>34</v>
      </c>
      <c r="M1807">
        <v>119</v>
      </c>
      <c r="N1807" s="10">
        <v>601.07000000000005</v>
      </c>
      <c r="O1807" s="7">
        <v>0.9</v>
      </c>
      <c r="P1807" s="7">
        <v>30.6</v>
      </c>
      <c r="Q1807">
        <v>5</v>
      </c>
      <c r="R1807" t="s">
        <v>67</v>
      </c>
      <c r="S1807">
        <v>8</v>
      </c>
      <c r="T1807">
        <v>237</v>
      </c>
      <c r="U1807" s="11">
        <v>-0.97492791218182362</v>
      </c>
      <c r="V1807" s="11">
        <v>-0.22252093395631459</v>
      </c>
      <c r="W1807" s="11">
        <v>-0.79449732916659921</v>
      </c>
      <c r="X1807" s="11">
        <v>-0.60726764605661354</v>
      </c>
      <c r="Y1807">
        <v>1</v>
      </c>
      <c r="Z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6">
        <v>45529</v>
      </c>
      <c r="B1808" t="s">
        <v>31</v>
      </c>
      <c r="C1808" t="s">
        <v>32</v>
      </c>
      <c r="D1808" t="s">
        <v>33</v>
      </c>
      <c r="E1808" t="s">
        <v>34</v>
      </c>
      <c r="F1808">
        <v>140</v>
      </c>
      <c r="G1808">
        <v>360</v>
      </c>
      <c r="H1808">
        <v>208</v>
      </c>
      <c r="I1808">
        <v>89</v>
      </c>
      <c r="J1808" s="8">
        <v>0.63571428571428568</v>
      </c>
      <c r="K1808">
        <v>46</v>
      </c>
      <c r="L1808">
        <v>44</v>
      </c>
      <c r="M1808">
        <v>171</v>
      </c>
      <c r="N1808" s="10">
        <v>525.89</v>
      </c>
      <c r="O1808" s="7">
        <v>1.5</v>
      </c>
      <c r="P1808" s="7">
        <v>29.8</v>
      </c>
      <c r="Q1808">
        <v>6</v>
      </c>
      <c r="R1808" t="s">
        <v>60</v>
      </c>
      <c r="S1808">
        <v>8</v>
      </c>
      <c r="T1808">
        <v>238</v>
      </c>
      <c r="U1808" s="11">
        <v>-0.78183148246802991</v>
      </c>
      <c r="V1808" s="11">
        <v>0.62348980185873337</v>
      </c>
      <c r="W1808" s="11">
        <v>-0.80482573710834515</v>
      </c>
      <c r="X1808" s="11">
        <v>-0.59351119019611498</v>
      </c>
      <c r="Y1808">
        <v>1</v>
      </c>
      <c r="Z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6">
        <v>45529</v>
      </c>
      <c r="B1809" t="s">
        <v>36</v>
      </c>
      <c r="C1809" t="s">
        <v>37</v>
      </c>
      <c r="D1809" t="s">
        <v>38</v>
      </c>
      <c r="E1809" t="s">
        <v>39</v>
      </c>
      <c r="F1809">
        <v>125</v>
      </c>
      <c r="G1809">
        <v>320</v>
      </c>
      <c r="H1809">
        <v>194</v>
      </c>
      <c r="I1809">
        <v>82</v>
      </c>
      <c r="J1809" s="8">
        <v>0.65600000000000003</v>
      </c>
      <c r="K1809">
        <v>33</v>
      </c>
      <c r="L1809">
        <v>30</v>
      </c>
      <c r="M1809">
        <v>166</v>
      </c>
      <c r="N1809" s="10">
        <v>685.89</v>
      </c>
      <c r="O1809" s="7">
        <v>1.5</v>
      </c>
      <c r="P1809" s="7">
        <v>29.8</v>
      </c>
      <c r="Q1809">
        <v>6</v>
      </c>
      <c r="R1809" t="s">
        <v>60</v>
      </c>
      <c r="S1809">
        <v>8</v>
      </c>
      <c r="T1809">
        <v>238</v>
      </c>
      <c r="U1809" s="11">
        <v>-0.78183148246802991</v>
      </c>
      <c r="V1809" s="11">
        <v>0.62348980185873337</v>
      </c>
      <c r="W1809" s="11">
        <v>-0.80482573710834515</v>
      </c>
      <c r="X1809" s="11">
        <v>-0.59351119019611498</v>
      </c>
      <c r="Y1809">
        <v>1</v>
      </c>
      <c r="Z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6">
        <v>45529</v>
      </c>
      <c r="B1810" t="s">
        <v>41</v>
      </c>
      <c r="C1810" t="s">
        <v>42</v>
      </c>
      <c r="D1810" t="s">
        <v>43</v>
      </c>
      <c r="E1810" t="s">
        <v>44</v>
      </c>
      <c r="F1810">
        <v>85</v>
      </c>
      <c r="G1810">
        <v>210</v>
      </c>
      <c r="H1810">
        <v>139</v>
      </c>
      <c r="I1810">
        <v>62</v>
      </c>
      <c r="J1810" s="8">
        <v>0.72941176470588232</v>
      </c>
      <c r="K1810">
        <v>25</v>
      </c>
      <c r="L1810">
        <v>29</v>
      </c>
      <c r="M1810">
        <v>122</v>
      </c>
      <c r="N1810" s="10">
        <v>541.79</v>
      </c>
      <c r="O1810" s="7">
        <v>1.5</v>
      </c>
      <c r="P1810" s="7">
        <v>29.8</v>
      </c>
      <c r="Q1810">
        <v>6</v>
      </c>
      <c r="R1810" t="s">
        <v>60</v>
      </c>
      <c r="S1810">
        <v>8</v>
      </c>
      <c r="T1810">
        <v>238</v>
      </c>
      <c r="U1810" s="11">
        <v>-0.78183148246802991</v>
      </c>
      <c r="V1810" s="11">
        <v>0.62348980185873337</v>
      </c>
      <c r="W1810" s="11">
        <v>-0.80482573710834515</v>
      </c>
      <c r="X1810" s="11">
        <v>-0.59351119019611498</v>
      </c>
      <c r="Y1810">
        <v>1</v>
      </c>
      <c r="Z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6">
        <v>45530</v>
      </c>
      <c r="B1811" t="s">
        <v>31</v>
      </c>
      <c r="C1811" t="s">
        <v>32</v>
      </c>
      <c r="D1811" t="s">
        <v>33</v>
      </c>
      <c r="E1811" t="s">
        <v>34</v>
      </c>
      <c r="F1811">
        <v>140</v>
      </c>
      <c r="G1811">
        <v>360</v>
      </c>
      <c r="H1811">
        <v>175</v>
      </c>
      <c r="I1811">
        <v>75</v>
      </c>
      <c r="J1811" s="8">
        <v>0.5357142857142857</v>
      </c>
      <c r="K1811">
        <v>39</v>
      </c>
      <c r="L1811">
        <v>41</v>
      </c>
      <c r="M1811">
        <v>151</v>
      </c>
      <c r="N1811" s="10">
        <v>419.46</v>
      </c>
      <c r="O1811" s="7">
        <v>1.1000000000000001</v>
      </c>
      <c r="P1811" s="7">
        <v>30.9</v>
      </c>
      <c r="Q1811">
        <v>0</v>
      </c>
      <c r="R1811" t="s">
        <v>62</v>
      </c>
      <c r="S1811">
        <v>8</v>
      </c>
      <c r="T1811">
        <v>239</v>
      </c>
      <c r="U1811" s="11">
        <v>0</v>
      </c>
      <c r="V1811" s="11">
        <v>1</v>
      </c>
      <c r="W1811" s="11">
        <v>-0.81491598416607913</v>
      </c>
      <c r="X1811" s="11">
        <v>-0.57957910482576125</v>
      </c>
      <c r="Y1811">
        <v>0</v>
      </c>
      <c r="Z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6">
        <v>45530</v>
      </c>
      <c r="B1812" t="s">
        <v>36</v>
      </c>
      <c r="C1812" t="s">
        <v>37</v>
      </c>
      <c r="D1812" t="s">
        <v>38</v>
      </c>
      <c r="E1812" t="s">
        <v>39</v>
      </c>
      <c r="F1812">
        <v>125</v>
      </c>
      <c r="G1812">
        <v>320</v>
      </c>
      <c r="H1812">
        <v>171</v>
      </c>
      <c r="I1812">
        <v>72</v>
      </c>
      <c r="J1812" s="8">
        <v>0.57599999999999996</v>
      </c>
      <c r="K1812">
        <v>42</v>
      </c>
      <c r="L1812">
        <v>30</v>
      </c>
      <c r="M1812">
        <v>143</v>
      </c>
      <c r="N1812" s="10">
        <v>662.87</v>
      </c>
      <c r="O1812" s="7">
        <v>1.1000000000000001</v>
      </c>
      <c r="P1812" s="7">
        <v>30.9</v>
      </c>
      <c r="Q1812">
        <v>0</v>
      </c>
      <c r="R1812" t="s">
        <v>62</v>
      </c>
      <c r="S1812">
        <v>8</v>
      </c>
      <c r="T1812">
        <v>239</v>
      </c>
      <c r="U1812" s="11">
        <v>0</v>
      </c>
      <c r="V1812" s="11">
        <v>1</v>
      </c>
      <c r="W1812" s="11">
        <v>-0.81491598416607913</v>
      </c>
      <c r="X1812" s="11">
        <v>-0.57957910482576125</v>
      </c>
      <c r="Y1812">
        <v>0</v>
      </c>
      <c r="Z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6">
        <v>45530</v>
      </c>
      <c r="B1813" t="s">
        <v>41</v>
      </c>
      <c r="C1813" t="s">
        <v>42</v>
      </c>
      <c r="D1813" t="s">
        <v>43</v>
      </c>
      <c r="E1813" t="s">
        <v>44</v>
      </c>
      <c r="F1813">
        <v>85</v>
      </c>
      <c r="G1813">
        <v>210</v>
      </c>
      <c r="H1813">
        <v>124</v>
      </c>
      <c r="I1813">
        <v>53</v>
      </c>
      <c r="J1813" s="8">
        <v>0.62352941176470589</v>
      </c>
      <c r="K1813">
        <v>35</v>
      </c>
      <c r="L1813">
        <v>14</v>
      </c>
      <c r="M1813">
        <v>113</v>
      </c>
      <c r="N1813" s="10">
        <v>525.84</v>
      </c>
      <c r="O1813" s="7">
        <v>1.1000000000000001</v>
      </c>
      <c r="P1813" s="7">
        <v>30.9</v>
      </c>
      <c r="Q1813">
        <v>0</v>
      </c>
      <c r="R1813" t="s">
        <v>62</v>
      </c>
      <c r="S1813">
        <v>8</v>
      </c>
      <c r="T1813">
        <v>239</v>
      </c>
      <c r="U1813" s="11">
        <v>0</v>
      </c>
      <c r="V1813" s="11">
        <v>1</v>
      </c>
      <c r="W1813" s="11">
        <v>-0.81491598416607913</v>
      </c>
      <c r="X1813" s="11">
        <v>-0.57957910482576125</v>
      </c>
      <c r="Y1813">
        <v>0</v>
      </c>
      <c r="Z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6">
        <v>45531</v>
      </c>
      <c r="B1814" t="s">
        <v>31</v>
      </c>
      <c r="C1814" t="s">
        <v>32</v>
      </c>
      <c r="D1814" t="s">
        <v>33</v>
      </c>
      <c r="E1814" t="s">
        <v>34</v>
      </c>
      <c r="F1814">
        <v>140</v>
      </c>
      <c r="G1814">
        <v>360</v>
      </c>
      <c r="H1814">
        <v>193</v>
      </c>
      <c r="I1814">
        <v>80</v>
      </c>
      <c r="J1814" s="8">
        <v>0.5714285714285714</v>
      </c>
      <c r="K1814">
        <v>44</v>
      </c>
      <c r="L1814">
        <v>48</v>
      </c>
      <c r="M1814">
        <v>170</v>
      </c>
      <c r="N1814" s="10">
        <v>436.52</v>
      </c>
      <c r="O1814" s="7">
        <v>1.4</v>
      </c>
      <c r="P1814" s="7">
        <v>29.8</v>
      </c>
      <c r="Q1814">
        <v>1</v>
      </c>
      <c r="R1814" t="s">
        <v>63</v>
      </c>
      <c r="S1814">
        <v>8</v>
      </c>
      <c r="T1814">
        <v>240</v>
      </c>
      <c r="U1814" s="11">
        <v>0.7818314824680298</v>
      </c>
      <c r="V1814" s="11">
        <v>0.62348980185873359</v>
      </c>
      <c r="W1814" s="11">
        <v>-0.82476508447336139</v>
      </c>
      <c r="X1814" s="11">
        <v>-0.56547551267375762</v>
      </c>
      <c r="Y1814">
        <v>0</v>
      </c>
      <c r="Z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6">
        <v>45531</v>
      </c>
      <c r="B1815" t="s">
        <v>36</v>
      </c>
      <c r="C1815" t="s">
        <v>37</v>
      </c>
      <c r="D1815" t="s">
        <v>38</v>
      </c>
      <c r="E1815" t="s">
        <v>39</v>
      </c>
      <c r="F1815">
        <v>125</v>
      </c>
      <c r="G1815">
        <v>320</v>
      </c>
      <c r="H1815">
        <v>166</v>
      </c>
      <c r="I1815">
        <v>71</v>
      </c>
      <c r="J1815" s="8">
        <v>0.56799999999999995</v>
      </c>
      <c r="K1815">
        <v>30</v>
      </c>
      <c r="L1815">
        <v>37</v>
      </c>
      <c r="M1815">
        <v>136</v>
      </c>
      <c r="N1815" s="10">
        <v>639.45000000000005</v>
      </c>
      <c r="O1815" s="7">
        <v>1.4</v>
      </c>
      <c r="P1815" s="7">
        <v>29.8</v>
      </c>
      <c r="Q1815">
        <v>1</v>
      </c>
      <c r="R1815" t="s">
        <v>63</v>
      </c>
      <c r="S1815">
        <v>8</v>
      </c>
      <c r="T1815">
        <v>240</v>
      </c>
      <c r="U1815" s="11">
        <v>0.7818314824680298</v>
      </c>
      <c r="V1815" s="11">
        <v>0.62348980185873359</v>
      </c>
      <c r="W1815" s="11">
        <v>-0.82476508447336139</v>
      </c>
      <c r="X1815" s="11">
        <v>-0.56547551267375762</v>
      </c>
      <c r="Y1815">
        <v>0</v>
      </c>
      <c r="Z1815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s="6">
        <v>45531</v>
      </c>
      <c r="B1816" t="s">
        <v>41</v>
      </c>
      <c r="C1816" t="s">
        <v>42</v>
      </c>
      <c r="D1816" t="s">
        <v>43</v>
      </c>
      <c r="E1816" t="s">
        <v>44</v>
      </c>
      <c r="F1816">
        <v>85</v>
      </c>
      <c r="G1816">
        <v>210</v>
      </c>
      <c r="H1816">
        <v>134</v>
      </c>
      <c r="I1816">
        <v>62</v>
      </c>
      <c r="J1816" s="8">
        <v>0.72941176470588232</v>
      </c>
      <c r="K1816">
        <v>19</v>
      </c>
      <c r="L1816">
        <v>28</v>
      </c>
      <c r="M1816">
        <v>115</v>
      </c>
      <c r="N1816" s="10">
        <v>506.57</v>
      </c>
      <c r="O1816" s="7">
        <v>1.4</v>
      </c>
      <c r="P1816" s="7">
        <v>29.8</v>
      </c>
      <c r="Q1816">
        <v>1</v>
      </c>
      <c r="R1816" t="s">
        <v>63</v>
      </c>
      <c r="S1816">
        <v>8</v>
      </c>
      <c r="T1816">
        <v>240</v>
      </c>
      <c r="U1816" s="11">
        <v>0.7818314824680298</v>
      </c>
      <c r="V1816" s="11">
        <v>0.62348980185873359</v>
      </c>
      <c r="W1816" s="11">
        <v>-0.82476508447336139</v>
      </c>
      <c r="X1816" s="11">
        <v>-0.56547551267375762</v>
      </c>
      <c r="Y1816">
        <v>0</v>
      </c>
      <c r="Z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6">
        <v>45532</v>
      </c>
      <c r="B1817" t="s">
        <v>31</v>
      </c>
      <c r="C1817" t="s">
        <v>32</v>
      </c>
      <c r="D1817" t="s">
        <v>33</v>
      </c>
      <c r="E1817" t="s">
        <v>34</v>
      </c>
      <c r="F1817">
        <v>140</v>
      </c>
      <c r="G1817">
        <v>360</v>
      </c>
      <c r="H1817">
        <v>175</v>
      </c>
      <c r="I1817">
        <v>75</v>
      </c>
      <c r="J1817" s="8">
        <v>0.5357142857142857</v>
      </c>
      <c r="K1817">
        <v>37</v>
      </c>
      <c r="L1817">
        <v>40</v>
      </c>
      <c r="M1817">
        <v>162</v>
      </c>
      <c r="N1817" s="10">
        <v>449.8</v>
      </c>
      <c r="O1817" s="7">
        <v>0</v>
      </c>
      <c r="P1817" s="7">
        <v>28.8</v>
      </c>
      <c r="Q1817">
        <v>2</v>
      </c>
      <c r="R1817" t="s">
        <v>64</v>
      </c>
      <c r="S1817">
        <v>8</v>
      </c>
      <c r="T1817">
        <v>241</v>
      </c>
      <c r="U1817" s="11">
        <v>0.97492791218182362</v>
      </c>
      <c r="V1817" s="11">
        <v>-0.22252093395631434</v>
      </c>
      <c r="W1817" s="11">
        <v>-0.8343701235229537</v>
      </c>
      <c r="X1817" s="11">
        <v>-0.55120458721992771</v>
      </c>
      <c r="Y1817">
        <v>0</v>
      </c>
      <c r="Z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s="6">
        <v>45532</v>
      </c>
      <c r="B1818" t="s">
        <v>36</v>
      </c>
      <c r="C1818" t="s">
        <v>37</v>
      </c>
      <c r="D1818" t="s">
        <v>38</v>
      </c>
      <c r="E1818" t="s">
        <v>39</v>
      </c>
      <c r="F1818">
        <v>125</v>
      </c>
      <c r="G1818">
        <v>320</v>
      </c>
      <c r="H1818">
        <v>143</v>
      </c>
      <c r="I1818">
        <v>62</v>
      </c>
      <c r="J1818" s="8">
        <v>0.496</v>
      </c>
      <c r="K1818">
        <v>18</v>
      </c>
      <c r="L1818">
        <v>30</v>
      </c>
      <c r="M1818">
        <v>126</v>
      </c>
      <c r="N1818" s="10">
        <v>652.75</v>
      </c>
      <c r="O1818" s="7">
        <v>0</v>
      </c>
      <c r="P1818" s="7">
        <v>28.8</v>
      </c>
      <c r="Q1818">
        <v>2</v>
      </c>
      <c r="R1818" t="s">
        <v>64</v>
      </c>
      <c r="S1818">
        <v>8</v>
      </c>
      <c r="T1818">
        <v>241</v>
      </c>
      <c r="U1818" s="11">
        <v>0.97492791218182362</v>
      </c>
      <c r="V1818" s="11">
        <v>-0.22252093395631434</v>
      </c>
      <c r="W1818" s="11">
        <v>-0.8343701235229537</v>
      </c>
      <c r="X1818" s="11">
        <v>-0.55120458721992771</v>
      </c>
      <c r="Y1818">
        <v>0</v>
      </c>
      <c r="Z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6">
        <v>45532</v>
      </c>
      <c r="B1819" t="s">
        <v>41</v>
      </c>
      <c r="C1819" t="s">
        <v>42</v>
      </c>
      <c r="D1819" t="s">
        <v>43</v>
      </c>
      <c r="E1819" t="s">
        <v>44</v>
      </c>
      <c r="F1819">
        <v>85</v>
      </c>
      <c r="G1819">
        <v>210</v>
      </c>
      <c r="H1819">
        <v>106</v>
      </c>
      <c r="I1819">
        <v>52</v>
      </c>
      <c r="J1819" s="8">
        <v>0.61176470588235299</v>
      </c>
      <c r="K1819">
        <v>27</v>
      </c>
      <c r="L1819">
        <v>10</v>
      </c>
      <c r="M1819">
        <v>87</v>
      </c>
      <c r="N1819" s="10">
        <v>564.61</v>
      </c>
      <c r="O1819" s="7">
        <v>0</v>
      </c>
      <c r="P1819" s="7">
        <v>28.8</v>
      </c>
      <c r="Q1819">
        <v>2</v>
      </c>
      <c r="R1819" t="s">
        <v>64</v>
      </c>
      <c r="S1819">
        <v>8</v>
      </c>
      <c r="T1819">
        <v>241</v>
      </c>
      <c r="U1819" s="11">
        <v>0.97492791218182362</v>
      </c>
      <c r="V1819" s="11">
        <v>-0.22252093395631434</v>
      </c>
      <c r="W1819" s="11">
        <v>-0.8343701235229537</v>
      </c>
      <c r="X1819" s="11">
        <v>-0.55120458721992771</v>
      </c>
      <c r="Y1819">
        <v>0</v>
      </c>
      <c r="Z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6">
        <v>45533</v>
      </c>
      <c r="B1820" t="s">
        <v>31</v>
      </c>
      <c r="C1820" t="s">
        <v>32</v>
      </c>
      <c r="D1820" t="s">
        <v>33</v>
      </c>
      <c r="E1820" t="s">
        <v>34</v>
      </c>
      <c r="F1820">
        <v>140</v>
      </c>
      <c r="G1820">
        <v>360</v>
      </c>
      <c r="H1820">
        <v>188</v>
      </c>
      <c r="I1820">
        <v>82</v>
      </c>
      <c r="J1820" s="8">
        <v>0.58571428571428574</v>
      </c>
      <c r="K1820">
        <v>47</v>
      </c>
      <c r="L1820">
        <v>40</v>
      </c>
      <c r="M1820">
        <v>164</v>
      </c>
      <c r="N1820" s="10">
        <v>404.87</v>
      </c>
      <c r="O1820" s="7">
        <v>2.2000000000000002</v>
      </c>
      <c r="P1820" s="7">
        <v>29.5</v>
      </c>
      <c r="Q1820">
        <v>3</v>
      </c>
      <c r="R1820" t="s">
        <v>65</v>
      </c>
      <c r="S1820">
        <v>8</v>
      </c>
      <c r="T1820">
        <v>242</v>
      </c>
      <c r="U1820" s="11">
        <v>0.43388373911755823</v>
      </c>
      <c r="V1820" s="11">
        <v>-0.90096886790241903</v>
      </c>
      <c r="W1820" s="11">
        <v>-0.84372825902927118</v>
      </c>
      <c r="X1820" s="11">
        <v>-0.53677055146071029</v>
      </c>
      <c r="Y1820">
        <v>0</v>
      </c>
      <c r="Z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6">
        <v>45533</v>
      </c>
      <c r="B1821" t="s">
        <v>36</v>
      </c>
      <c r="C1821" t="s">
        <v>37</v>
      </c>
      <c r="D1821" t="s">
        <v>38</v>
      </c>
      <c r="E1821" t="s">
        <v>39</v>
      </c>
      <c r="F1821">
        <v>125</v>
      </c>
      <c r="G1821">
        <v>320</v>
      </c>
      <c r="H1821">
        <v>170</v>
      </c>
      <c r="I1821">
        <v>70</v>
      </c>
      <c r="J1821" s="8">
        <v>0.56000000000000005</v>
      </c>
      <c r="K1821">
        <v>36</v>
      </c>
      <c r="L1821">
        <v>44</v>
      </c>
      <c r="M1821">
        <v>156</v>
      </c>
      <c r="N1821" s="10">
        <v>625.30999999999995</v>
      </c>
      <c r="O1821" s="7">
        <v>2.2000000000000002</v>
      </c>
      <c r="P1821" s="7">
        <v>29.5</v>
      </c>
      <c r="Q1821">
        <v>3</v>
      </c>
      <c r="R1821" t="s">
        <v>65</v>
      </c>
      <c r="S1821">
        <v>8</v>
      </c>
      <c r="T1821">
        <v>242</v>
      </c>
      <c r="U1821" s="11">
        <v>0.43388373911755823</v>
      </c>
      <c r="V1821" s="11">
        <v>-0.90096886790241903</v>
      </c>
      <c r="W1821" s="11">
        <v>-0.84372825902927118</v>
      </c>
      <c r="X1821" s="11">
        <v>-0.53677055146071029</v>
      </c>
      <c r="Y1821">
        <v>0</v>
      </c>
      <c r="Z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6">
        <v>45533</v>
      </c>
      <c r="B1822" t="s">
        <v>41</v>
      </c>
      <c r="C1822" t="s">
        <v>42</v>
      </c>
      <c r="D1822" t="s">
        <v>43</v>
      </c>
      <c r="E1822" t="s">
        <v>44</v>
      </c>
      <c r="F1822">
        <v>85</v>
      </c>
      <c r="G1822">
        <v>210</v>
      </c>
      <c r="H1822">
        <v>123</v>
      </c>
      <c r="I1822">
        <v>56</v>
      </c>
      <c r="J1822" s="8">
        <v>0.6588235294117647</v>
      </c>
      <c r="K1822">
        <v>18</v>
      </c>
      <c r="L1822">
        <v>27</v>
      </c>
      <c r="M1822">
        <v>107</v>
      </c>
      <c r="N1822" s="10">
        <v>557.47</v>
      </c>
      <c r="O1822" s="7">
        <v>2.2000000000000002</v>
      </c>
      <c r="P1822" s="7">
        <v>29.5</v>
      </c>
      <c r="Q1822">
        <v>3</v>
      </c>
      <c r="R1822" t="s">
        <v>65</v>
      </c>
      <c r="S1822">
        <v>8</v>
      </c>
      <c r="T1822">
        <v>242</v>
      </c>
      <c r="U1822" s="11">
        <v>0.43388373911755823</v>
      </c>
      <c r="V1822" s="11">
        <v>-0.90096886790241903</v>
      </c>
      <c r="W1822" s="11">
        <v>-0.84372825902927118</v>
      </c>
      <c r="X1822" s="11">
        <v>-0.53677055146071029</v>
      </c>
      <c r="Y1822">
        <v>0</v>
      </c>
      <c r="Z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6">
        <v>45534</v>
      </c>
      <c r="B1823" t="s">
        <v>31</v>
      </c>
      <c r="C1823" t="s">
        <v>32</v>
      </c>
      <c r="D1823" t="s">
        <v>33</v>
      </c>
      <c r="E1823" t="s">
        <v>34</v>
      </c>
      <c r="F1823">
        <v>140</v>
      </c>
      <c r="G1823">
        <v>360</v>
      </c>
      <c r="H1823">
        <v>207</v>
      </c>
      <c r="I1823">
        <v>85</v>
      </c>
      <c r="J1823" s="8">
        <v>0.6071428571428571</v>
      </c>
      <c r="K1823">
        <v>51</v>
      </c>
      <c r="L1823">
        <v>40</v>
      </c>
      <c r="M1823">
        <v>183</v>
      </c>
      <c r="N1823" s="10">
        <v>442.83</v>
      </c>
      <c r="O1823" s="7">
        <v>1</v>
      </c>
      <c r="P1823" s="7">
        <v>30.9</v>
      </c>
      <c r="Q1823">
        <v>4</v>
      </c>
      <c r="R1823" t="s">
        <v>66</v>
      </c>
      <c r="S1823">
        <v>8</v>
      </c>
      <c r="T1823">
        <v>243</v>
      </c>
      <c r="U1823" s="11">
        <v>-0.43388373911755801</v>
      </c>
      <c r="V1823" s="11">
        <v>-0.90096886790241915</v>
      </c>
      <c r="W1823" s="11">
        <v>-0.85283672176945946</v>
      </c>
      <c r="X1823" s="11">
        <v>-0.52217767665950798</v>
      </c>
      <c r="Y1823">
        <v>0</v>
      </c>
      <c r="Z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6">
        <v>45534</v>
      </c>
      <c r="B1824" t="s">
        <v>36</v>
      </c>
      <c r="C1824" t="s">
        <v>37</v>
      </c>
      <c r="D1824" t="s">
        <v>38</v>
      </c>
      <c r="E1824" t="s">
        <v>39</v>
      </c>
      <c r="F1824">
        <v>125</v>
      </c>
      <c r="G1824">
        <v>320</v>
      </c>
      <c r="H1824">
        <v>155</v>
      </c>
      <c r="I1824">
        <v>66</v>
      </c>
      <c r="J1824" s="8">
        <v>0.52800000000000002</v>
      </c>
      <c r="K1824">
        <v>36</v>
      </c>
      <c r="L1824">
        <v>29</v>
      </c>
      <c r="M1824">
        <v>138</v>
      </c>
      <c r="N1824" s="10">
        <v>634.16999999999996</v>
      </c>
      <c r="O1824" s="7">
        <v>1</v>
      </c>
      <c r="P1824" s="7">
        <v>30.9</v>
      </c>
      <c r="Q1824">
        <v>4</v>
      </c>
      <c r="R1824" t="s">
        <v>66</v>
      </c>
      <c r="S1824">
        <v>8</v>
      </c>
      <c r="T1824">
        <v>243</v>
      </c>
      <c r="U1824" s="11">
        <v>-0.43388373911755801</v>
      </c>
      <c r="V1824" s="11">
        <v>-0.90096886790241915</v>
      </c>
      <c r="W1824" s="11">
        <v>-0.85283672176945946</v>
      </c>
      <c r="X1824" s="11">
        <v>-0.52217767665950798</v>
      </c>
      <c r="Y1824">
        <v>0</v>
      </c>
      <c r="Z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6">
        <v>45534</v>
      </c>
      <c r="B1825" t="s">
        <v>41</v>
      </c>
      <c r="C1825" t="s">
        <v>42</v>
      </c>
      <c r="D1825" t="s">
        <v>43</v>
      </c>
      <c r="E1825" t="s">
        <v>44</v>
      </c>
      <c r="F1825">
        <v>85</v>
      </c>
      <c r="G1825">
        <v>210</v>
      </c>
      <c r="H1825">
        <v>103</v>
      </c>
      <c r="I1825">
        <v>47</v>
      </c>
      <c r="J1825" s="8">
        <v>0.55294117647058827</v>
      </c>
      <c r="K1825">
        <v>22</v>
      </c>
      <c r="L1825">
        <v>23</v>
      </c>
      <c r="M1825">
        <v>95</v>
      </c>
      <c r="N1825" s="10">
        <v>499.22</v>
      </c>
      <c r="O1825" s="7">
        <v>1</v>
      </c>
      <c r="P1825" s="7">
        <v>30.9</v>
      </c>
      <c r="Q1825">
        <v>4</v>
      </c>
      <c r="R1825" t="s">
        <v>66</v>
      </c>
      <c r="S1825">
        <v>8</v>
      </c>
      <c r="T1825">
        <v>243</v>
      </c>
      <c r="U1825" s="11">
        <v>-0.43388373911755801</v>
      </c>
      <c r="V1825" s="11">
        <v>-0.90096886790241915</v>
      </c>
      <c r="W1825" s="11">
        <v>-0.85283672176945946</v>
      </c>
      <c r="X1825" s="11">
        <v>-0.52217767665950798</v>
      </c>
      <c r="Y1825">
        <v>0</v>
      </c>
      <c r="Z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6">
        <v>45535</v>
      </c>
      <c r="B1826" t="s">
        <v>31</v>
      </c>
      <c r="C1826" t="s">
        <v>32</v>
      </c>
      <c r="D1826" t="s">
        <v>33</v>
      </c>
      <c r="E1826" t="s">
        <v>34</v>
      </c>
      <c r="F1826">
        <v>140</v>
      </c>
      <c r="G1826">
        <v>360</v>
      </c>
      <c r="H1826">
        <v>207</v>
      </c>
      <c r="I1826">
        <v>88</v>
      </c>
      <c r="J1826" s="8">
        <v>0.62857142857142856</v>
      </c>
      <c r="K1826">
        <v>55</v>
      </c>
      <c r="L1826">
        <v>45</v>
      </c>
      <c r="M1826">
        <v>191</v>
      </c>
      <c r="N1826" s="10">
        <v>520.98</v>
      </c>
      <c r="O1826" s="7">
        <v>3.1</v>
      </c>
      <c r="P1826" s="7">
        <v>28.7</v>
      </c>
      <c r="Q1826">
        <v>5</v>
      </c>
      <c r="R1826" t="s">
        <v>67</v>
      </c>
      <c r="S1826">
        <v>8</v>
      </c>
      <c r="T1826">
        <v>244</v>
      </c>
      <c r="U1826" s="11">
        <v>-0.97492791218182362</v>
      </c>
      <c r="V1826" s="11">
        <v>-0.22252093395631459</v>
      </c>
      <c r="W1826" s="11">
        <v>-0.86169281640285211</v>
      </c>
      <c r="X1826" s="11">
        <v>-0.50743028108275179</v>
      </c>
      <c r="Y1826">
        <v>1</v>
      </c>
      <c r="Z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6">
        <v>45535</v>
      </c>
      <c r="B1827" t="s">
        <v>36</v>
      </c>
      <c r="C1827" t="s">
        <v>37</v>
      </c>
      <c r="D1827" t="s">
        <v>38</v>
      </c>
      <c r="E1827" t="s">
        <v>39</v>
      </c>
      <c r="F1827">
        <v>125</v>
      </c>
      <c r="G1827">
        <v>320</v>
      </c>
      <c r="H1827">
        <v>182</v>
      </c>
      <c r="I1827">
        <v>78</v>
      </c>
      <c r="J1827" s="8">
        <v>0.624</v>
      </c>
      <c r="K1827">
        <v>43</v>
      </c>
      <c r="L1827">
        <v>40</v>
      </c>
      <c r="M1827">
        <v>160</v>
      </c>
      <c r="N1827" s="10">
        <v>720.4</v>
      </c>
      <c r="O1827" s="7">
        <v>3.1</v>
      </c>
      <c r="P1827" s="7">
        <v>28.7</v>
      </c>
      <c r="Q1827">
        <v>5</v>
      </c>
      <c r="R1827" t="s">
        <v>67</v>
      </c>
      <c r="S1827">
        <v>8</v>
      </c>
      <c r="T1827">
        <v>244</v>
      </c>
      <c r="U1827" s="11">
        <v>-0.97492791218182362</v>
      </c>
      <c r="V1827" s="11">
        <v>-0.22252093395631459</v>
      </c>
      <c r="W1827" s="11">
        <v>-0.86169281640285211</v>
      </c>
      <c r="X1827" s="11">
        <v>-0.50743028108275179</v>
      </c>
      <c r="Y1827">
        <v>1</v>
      </c>
      <c r="Z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6">
        <v>45535</v>
      </c>
      <c r="B1828" t="s">
        <v>41</v>
      </c>
      <c r="C1828" t="s">
        <v>42</v>
      </c>
      <c r="D1828" t="s">
        <v>43</v>
      </c>
      <c r="E1828" t="s">
        <v>44</v>
      </c>
      <c r="F1828">
        <v>85</v>
      </c>
      <c r="G1828">
        <v>210</v>
      </c>
      <c r="H1828">
        <v>136</v>
      </c>
      <c r="I1828">
        <v>60</v>
      </c>
      <c r="J1828" s="8">
        <v>0.70588235294117652</v>
      </c>
      <c r="K1828">
        <v>19</v>
      </c>
      <c r="L1828">
        <v>21</v>
      </c>
      <c r="M1828">
        <v>113</v>
      </c>
      <c r="N1828" s="10">
        <v>638.14</v>
      </c>
      <c r="O1828" s="7">
        <v>3.1</v>
      </c>
      <c r="P1828" s="7">
        <v>28.7</v>
      </c>
      <c r="Q1828">
        <v>5</v>
      </c>
      <c r="R1828" t="s">
        <v>67</v>
      </c>
      <c r="S1828">
        <v>8</v>
      </c>
      <c r="T1828">
        <v>244</v>
      </c>
      <c r="U1828" s="11">
        <v>-0.97492791218182362</v>
      </c>
      <c r="V1828" s="11">
        <v>-0.22252093395631459</v>
      </c>
      <c r="W1828" s="11">
        <v>-0.86169281640285211</v>
      </c>
      <c r="X1828" s="11">
        <v>-0.50743028108275179</v>
      </c>
      <c r="Y1828">
        <v>1</v>
      </c>
      <c r="Z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6">
        <v>45536</v>
      </c>
      <c r="B1829" t="s">
        <v>31</v>
      </c>
      <c r="C1829" t="s">
        <v>32</v>
      </c>
      <c r="D1829" t="s">
        <v>33</v>
      </c>
      <c r="E1829" t="s">
        <v>34</v>
      </c>
      <c r="F1829">
        <v>140</v>
      </c>
      <c r="G1829">
        <v>360</v>
      </c>
      <c r="H1829">
        <v>204</v>
      </c>
      <c r="I1829">
        <v>86</v>
      </c>
      <c r="J1829" s="8">
        <v>0.61428571428571432</v>
      </c>
      <c r="K1829">
        <v>44</v>
      </c>
      <c r="L1829">
        <v>37</v>
      </c>
      <c r="M1829">
        <v>168</v>
      </c>
      <c r="N1829" s="10">
        <v>458.44</v>
      </c>
      <c r="O1829" s="7">
        <v>0</v>
      </c>
      <c r="P1829" s="7">
        <v>30</v>
      </c>
      <c r="Q1829">
        <v>6</v>
      </c>
      <c r="R1829" t="s">
        <v>60</v>
      </c>
      <c r="S1829">
        <v>9</v>
      </c>
      <c r="T1829">
        <v>245</v>
      </c>
      <c r="U1829" s="11">
        <v>-0.78183148246802991</v>
      </c>
      <c r="V1829" s="11">
        <v>0.62348980185873337</v>
      </c>
      <c r="W1829" s="11">
        <v>-0.87029392226856739</v>
      </c>
      <c r="X1829" s="11">
        <v>-0.49253272872205434</v>
      </c>
      <c r="Y1829">
        <v>1</v>
      </c>
      <c r="Z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6">
        <v>45536</v>
      </c>
      <c r="B1830" t="s">
        <v>36</v>
      </c>
      <c r="C1830" t="s">
        <v>37</v>
      </c>
      <c r="D1830" t="s">
        <v>38</v>
      </c>
      <c r="E1830" t="s">
        <v>39</v>
      </c>
      <c r="F1830">
        <v>125</v>
      </c>
      <c r="G1830">
        <v>320</v>
      </c>
      <c r="H1830">
        <v>203</v>
      </c>
      <c r="I1830">
        <v>82</v>
      </c>
      <c r="J1830" s="8">
        <v>0.65600000000000003</v>
      </c>
      <c r="K1830">
        <v>38</v>
      </c>
      <c r="L1830">
        <v>36</v>
      </c>
      <c r="M1830">
        <v>179</v>
      </c>
      <c r="N1830" s="10">
        <v>682.92</v>
      </c>
      <c r="O1830" s="7">
        <v>0</v>
      </c>
      <c r="P1830" s="7">
        <v>30</v>
      </c>
      <c r="Q1830">
        <v>6</v>
      </c>
      <c r="R1830" t="s">
        <v>60</v>
      </c>
      <c r="S1830">
        <v>9</v>
      </c>
      <c r="T1830">
        <v>245</v>
      </c>
      <c r="U1830" s="11">
        <v>-0.78183148246802991</v>
      </c>
      <c r="V1830" s="11">
        <v>0.62348980185873337</v>
      </c>
      <c r="W1830" s="11">
        <v>-0.87029392226856739</v>
      </c>
      <c r="X1830" s="11">
        <v>-0.49253272872205434</v>
      </c>
      <c r="Y1830">
        <v>1</v>
      </c>
      <c r="Z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6">
        <v>45536</v>
      </c>
      <c r="B1831" t="s">
        <v>41</v>
      </c>
      <c r="C1831" t="s">
        <v>42</v>
      </c>
      <c r="D1831" t="s">
        <v>43</v>
      </c>
      <c r="E1831" t="s">
        <v>44</v>
      </c>
      <c r="F1831">
        <v>85</v>
      </c>
      <c r="G1831">
        <v>210</v>
      </c>
      <c r="H1831">
        <v>129</v>
      </c>
      <c r="I1831">
        <v>60</v>
      </c>
      <c r="J1831" s="8">
        <v>0.70588235294117652</v>
      </c>
      <c r="K1831">
        <v>33</v>
      </c>
      <c r="L1831">
        <v>15</v>
      </c>
      <c r="M1831">
        <v>108</v>
      </c>
      <c r="N1831" s="10">
        <v>646.47</v>
      </c>
      <c r="O1831" s="7">
        <v>0</v>
      </c>
      <c r="P1831" s="7">
        <v>30</v>
      </c>
      <c r="Q1831">
        <v>6</v>
      </c>
      <c r="R1831" t="s">
        <v>60</v>
      </c>
      <c r="S1831">
        <v>9</v>
      </c>
      <c r="T1831">
        <v>245</v>
      </c>
      <c r="U1831" s="11">
        <v>-0.78183148246802991</v>
      </c>
      <c r="V1831" s="11">
        <v>0.62348980185873337</v>
      </c>
      <c r="W1831" s="11">
        <v>-0.87029392226856739</v>
      </c>
      <c r="X1831" s="11">
        <v>-0.49253272872205434</v>
      </c>
      <c r="Y1831">
        <v>1</v>
      </c>
      <c r="Z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6">
        <v>45537</v>
      </c>
      <c r="B1832" t="s">
        <v>31</v>
      </c>
      <c r="C1832" t="s">
        <v>32</v>
      </c>
      <c r="D1832" t="s">
        <v>33</v>
      </c>
      <c r="E1832" t="s">
        <v>34</v>
      </c>
      <c r="F1832">
        <v>140</v>
      </c>
      <c r="G1832">
        <v>360</v>
      </c>
      <c r="H1832">
        <v>171</v>
      </c>
      <c r="I1832">
        <v>75</v>
      </c>
      <c r="J1832" s="8">
        <v>0.5357142857142857</v>
      </c>
      <c r="K1832">
        <v>41</v>
      </c>
      <c r="L1832">
        <v>28</v>
      </c>
      <c r="M1832">
        <v>149</v>
      </c>
      <c r="N1832" s="10">
        <v>422.27</v>
      </c>
      <c r="O1832" s="7">
        <v>3.4</v>
      </c>
      <c r="P1832" s="7">
        <v>29.7</v>
      </c>
      <c r="Q1832">
        <v>0</v>
      </c>
      <c r="R1832" t="s">
        <v>62</v>
      </c>
      <c r="S1832">
        <v>9</v>
      </c>
      <c r="T1832">
        <v>246</v>
      </c>
      <c r="U1832" s="11">
        <v>0</v>
      </c>
      <c r="V1832" s="11">
        <v>1</v>
      </c>
      <c r="W1832" s="11">
        <v>-0.87863749416100012</v>
      </c>
      <c r="X1832" s="11">
        <v>-0.47748942800283911</v>
      </c>
      <c r="Y1832">
        <v>0</v>
      </c>
      <c r="Z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6">
        <v>45537</v>
      </c>
      <c r="B1833" t="s">
        <v>36</v>
      </c>
      <c r="C1833" t="s">
        <v>37</v>
      </c>
      <c r="D1833" t="s">
        <v>38</v>
      </c>
      <c r="E1833" t="s">
        <v>39</v>
      </c>
      <c r="F1833">
        <v>125</v>
      </c>
      <c r="G1833">
        <v>320</v>
      </c>
      <c r="H1833">
        <v>153</v>
      </c>
      <c r="I1833">
        <v>61</v>
      </c>
      <c r="J1833" s="8">
        <v>0.48799999999999999</v>
      </c>
      <c r="K1833">
        <v>36</v>
      </c>
      <c r="L1833">
        <v>40</v>
      </c>
      <c r="M1833">
        <v>123</v>
      </c>
      <c r="N1833" s="10">
        <v>637.82000000000005</v>
      </c>
      <c r="O1833" s="7">
        <v>3.4</v>
      </c>
      <c r="P1833" s="7">
        <v>29.7</v>
      </c>
      <c r="Q1833">
        <v>0</v>
      </c>
      <c r="R1833" t="s">
        <v>62</v>
      </c>
      <c r="S1833">
        <v>9</v>
      </c>
      <c r="T1833">
        <v>246</v>
      </c>
      <c r="U1833" s="11">
        <v>0</v>
      </c>
      <c r="V1833" s="11">
        <v>1</v>
      </c>
      <c r="W1833" s="11">
        <v>-0.87863749416100012</v>
      </c>
      <c r="X1833" s="11">
        <v>-0.47748942800283911</v>
      </c>
      <c r="Y1833">
        <v>0</v>
      </c>
      <c r="Z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6">
        <v>45537</v>
      </c>
      <c r="B1834" t="s">
        <v>41</v>
      </c>
      <c r="C1834" t="s">
        <v>42</v>
      </c>
      <c r="D1834" t="s">
        <v>43</v>
      </c>
      <c r="E1834" t="s">
        <v>44</v>
      </c>
      <c r="F1834">
        <v>85</v>
      </c>
      <c r="G1834">
        <v>210</v>
      </c>
      <c r="H1834">
        <v>109</v>
      </c>
      <c r="I1834">
        <v>50</v>
      </c>
      <c r="J1834" s="8">
        <v>0.58823529411764708</v>
      </c>
      <c r="K1834">
        <v>17</v>
      </c>
      <c r="L1834">
        <v>15</v>
      </c>
      <c r="M1834">
        <v>100</v>
      </c>
      <c r="N1834" s="10">
        <v>566.19000000000005</v>
      </c>
      <c r="O1834" s="7">
        <v>3.4</v>
      </c>
      <c r="P1834" s="7">
        <v>29.7</v>
      </c>
      <c r="Q1834">
        <v>0</v>
      </c>
      <c r="R1834" t="s">
        <v>62</v>
      </c>
      <c r="S1834">
        <v>9</v>
      </c>
      <c r="T1834">
        <v>246</v>
      </c>
      <c r="U1834" s="11">
        <v>0</v>
      </c>
      <c r="V1834" s="11">
        <v>1</v>
      </c>
      <c r="W1834" s="11">
        <v>-0.87863749416100012</v>
      </c>
      <c r="X1834" s="11">
        <v>-0.47748942800283911</v>
      </c>
      <c r="Y1834">
        <v>0</v>
      </c>
      <c r="Z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6">
        <v>45538</v>
      </c>
      <c r="B1835" t="s">
        <v>31</v>
      </c>
      <c r="C1835" t="s">
        <v>32</v>
      </c>
      <c r="D1835" t="s">
        <v>33</v>
      </c>
      <c r="E1835" t="s">
        <v>34</v>
      </c>
      <c r="F1835">
        <v>140</v>
      </c>
      <c r="G1835">
        <v>360</v>
      </c>
      <c r="H1835">
        <v>171</v>
      </c>
      <c r="I1835">
        <v>74</v>
      </c>
      <c r="J1835" s="8">
        <v>0.52857142857142858</v>
      </c>
      <c r="K1835">
        <v>26</v>
      </c>
      <c r="L1835">
        <v>26</v>
      </c>
      <c r="M1835">
        <v>158</v>
      </c>
      <c r="N1835" s="10">
        <v>428.91</v>
      </c>
      <c r="O1835" s="7">
        <v>1.6</v>
      </c>
      <c r="P1835" s="7">
        <v>26.7</v>
      </c>
      <c r="Q1835">
        <v>1</v>
      </c>
      <c r="R1835" t="s">
        <v>63</v>
      </c>
      <c r="S1835">
        <v>9</v>
      </c>
      <c r="T1835">
        <v>247</v>
      </c>
      <c r="U1835" s="11">
        <v>0.7818314824680298</v>
      </c>
      <c r="V1835" s="11">
        <v>0.62348980185873359</v>
      </c>
      <c r="W1835" s="11">
        <v>-0.88672106308299303</v>
      </c>
      <c r="X1835" s="11">
        <v>-0.46230483047981086</v>
      </c>
      <c r="Y1835">
        <v>0</v>
      </c>
      <c r="Z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6">
        <v>45538</v>
      </c>
      <c r="B1836" t="s">
        <v>36</v>
      </c>
      <c r="C1836" t="s">
        <v>37</v>
      </c>
      <c r="D1836" t="s">
        <v>38</v>
      </c>
      <c r="E1836" t="s">
        <v>39</v>
      </c>
      <c r="F1836">
        <v>125</v>
      </c>
      <c r="G1836">
        <v>320</v>
      </c>
      <c r="H1836">
        <v>173</v>
      </c>
      <c r="I1836">
        <v>72</v>
      </c>
      <c r="J1836" s="8">
        <v>0.57599999999999996</v>
      </c>
      <c r="K1836">
        <v>47</v>
      </c>
      <c r="L1836">
        <v>33</v>
      </c>
      <c r="M1836">
        <v>145</v>
      </c>
      <c r="N1836" s="10">
        <v>606.01</v>
      </c>
      <c r="O1836" s="7">
        <v>1.6</v>
      </c>
      <c r="P1836" s="7">
        <v>26.7</v>
      </c>
      <c r="Q1836">
        <v>1</v>
      </c>
      <c r="R1836" t="s">
        <v>63</v>
      </c>
      <c r="S1836">
        <v>9</v>
      </c>
      <c r="T1836">
        <v>247</v>
      </c>
      <c r="U1836" s="11">
        <v>0.7818314824680298</v>
      </c>
      <c r="V1836" s="11">
        <v>0.62348980185873359</v>
      </c>
      <c r="W1836" s="11">
        <v>-0.88672106308299303</v>
      </c>
      <c r="X1836" s="11">
        <v>-0.46230483047981086</v>
      </c>
      <c r="Y1836">
        <v>0</v>
      </c>
      <c r="Z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6">
        <v>45538</v>
      </c>
      <c r="B1837" t="s">
        <v>41</v>
      </c>
      <c r="C1837" t="s">
        <v>42</v>
      </c>
      <c r="D1837" t="s">
        <v>43</v>
      </c>
      <c r="E1837" t="s">
        <v>44</v>
      </c>
      <c r="F1837">
        <v>85</v>
      </c>
      <c r="G1837">
        <v>210</v>
      </c>
      <c r="H1837">
        <v>113</v>
      </c>
      <c r="I1837">
        <v>50</v>
      </c>
      <c r="J1837" s="8">
        <v>0.58823529411764708</v>
      </c>
      <c r="K1837">
        <v>30</v>
      </c>
      <c r="L1837">
        <v>30</v>
      </c>
      <c r="M1837">
        <v>97</v>
      </c>
      <c r="N1837" s="10">
        <v>580.5</v>
      </c>
      <c r="O1837" s="7">
        <v>1.6</v>
      </c>
      <c r="P1837" s="7">
        <v>26.7</v>
      </c>
      <c r="Q1837">
        <v>1</v>
      </c>
      <c r="R1837" t="s">
        <v>63</v>
      </c>
      <c r="S1837">
        <v>9</v>
      </c>
      <c r="T1837">
        <v>247</v>
      </c>
      <c r="U1837" s="11">
        <v>0.7818314824680298</v>
      </c>
      <c r="V1837" s="11">
        <v>0.62348980185873359</v>
      </c>
      <c r="W1837" s="11">
        <v>-0.88672106308299303</v>
      </c>
      <c r="X1837" s="11">
        <v>-0.46230483047981086</v>
      </c>
      <c r="Y1837">
        <v>0</v>
      </c>
      <c r="Z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6">
        <v>45539</v>
      </c>
      <c r="B1838" t="s">
        <v>31</v>
      </c>
      <c r="C1838" t="s">
        <v>32</v>
      </c>
      <c r="D1838" t="s">
        <v>33</v>
      </c>
      <c r="E1838" t="s">
        <v>34</v>
      </c>
      <c r="F1838">
        <v>140</v>
      </c>
      <c r="G1838">
        <v>360</v>
      </c>
      <c r="H1838">
        <v>195</v>
      </c>
      <c r="I1838">
        <v>82</v>
      </c>
      <c r="J1838" s="8">
        <v>0.58571428571428574</v>
      </c>
      <c r="K1838">
        <v>32</v>
      </c>
      <c r="L1838">
        <v>42</v>
      </c>
      <c r="M1838">
        <v>167</v>
      </c>
      <c r="N1838" s="10">
        <v>446.28</v>
      </c>
      <c r="O1838" s="7">
        <v>4.3</v>
      </c>
      <c r="P1838" s="7">
        <v>29.3</v>
      </c>
      <c r="Q1838">
        <v>2</v>
      </c>
      <c r="R1838" t="s">
        <v>64</v>
      </c>
      <c r="S1838">
        <v>9</v>
      </c>
      <c r="T1838">
        <v>248</v>
      </c>
      <c r="U1838" s="11">
        <v>0.97492791218182362</v>
      </c>
      <c r="V1838" s="11">
        <v>-0.22252093395631434</v>
      </c>
      <c r="W1838" s="11">
        <v>-0.89454223697644963</v>
      </c>
      <c r="X1838" s="11">
        <v>-0.44698342951967412</v>
      </c>
      <c r="Y1838">
        <v>0</v>
      </c>
      <c r="Z1838">
        <v>0</v>
      </c>
      <c r="AB1838">
        <v>0</v>
      </c>
      <c r="AC1838">
        <v>0</v>
      </c>
      <c r="AD1838">
        <v>0</v>
      </c>
      <c r="AE1838">
        <v>0</v>
      </c>
    </row>
    <row r="1839" spans="1:31">
      <c r="A1839" s="6">
        <v>45539</v>
      </c>
      <c r="B1839" t="s">
        <v>36</v>
      </c>
      <c r="C1839" t="s">
        <v>37</v>
      </c>
      <c r="D1839" t="s">
        <v>38</v>
      </c>
      <c r="E1839" t="s">
        <v>39</v>
      </c>
      <c r="F1839">
        <v>125</v>
      </c>
      <c r="G1839">
        <v>320</v>
      </c>
      <c r="H1839">
        <v>134</v>
      </c>
      <c r="I1839">
        <v>57</v>
      </c>
      <c r="J1839" s="8">
        <v>0.45600000000000002</v>
      </c>
      <c r="K1839">
        <v>17</v>
      </c>
      <c r="L1839">
        <v>16</v>
      </c>
      <c r="M1839">
        <v>115</v>
      </c>
      <c r="N1839" s="10">
        <v>599.58000000000004</v>
      </c>
      <c r="O1839" s="7">
        <v>4.3</v>
      </c>
      <c r="P1839" s="7">
        <v>29.3</v>
      </c>
      <c r="Q1839">
        <v>2</v>
      </c>
      <c r="R1839" t="s">
        <v>64</v>
      </c>
      <c r="S1839">
        <v>9</v>
      </c>
      <c r="T1839">
        <v>248</v>
      </c>
      <c r="U1839" s="11">
        <v>0.97492791218182362</v>
      </c>
      <c r="V1839" s="11">
        <v>-0.22252093395631434</v>
      </c>
      <c r="W1839" s="11">
        <v>-0.89454223697644963</v>
      </c>
      <c r="X1839" s="11">
        <v>-0.44698342951967412</v>
      </c>
      <c r="Y1839">
        <v>0</v>
      </c>
      <c r="Z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6">
        <v>45539</v>
      </c>
      <c r="B1840" t="s">
        <v>41</v>
      </c>
      <c r="C1840" t="s">
        <v>42</v>
      </c>
      <c r="D1840" t="s">
        <v>43</v>
      </c>
      <c r="E1840" t="s">
        <v>44</v>
      </c>
      <c r="F1840">
        <v>85</v>
      </c>
      <c r="G1840">
        <v>210</v>
      </c>
      <c r="H1840">
        <v>121</v>
      </c>
      <c r="I1840">
        <v>54</v>
      </c>
      <c r="J1840" s="8">
        <v>0.63529411764705879</v>
      </c>
      <c r="K1840">
        <v>16</v>
      </c>
      <c r="L1840">
        <v>23</v>
      </c>
      <c r="M1840">
        <v>101</v>
      </c>
      <c r="N1840" s="10">
        <v>572.32000000000005</v>
      </c>
      <c r="O1840" s="7">
        <v>4.3</v>
      </c>
      <c r="P1840" s="7">
        <v>29.3</v>
      </c>
      <c r="Q1840">
        <v>2</v>
      </c>
      <c r="R1840" t="s">
        <v>64</v>
      </c>
      <c r="S1840">
        <v>9</v>
      </c>
      <c r="T1840">
        <v>248</v>
      </c>
      <c r="U1840" s="11">
        <v>0.97492791218182362</v>
      </c>
      <c r="V1840" s="11">
        <v>-0.22252093395631434</v>
      </c>
      <c r="W1840" s="11">
        <v>-0.89454223697644963</v>
      </c>
      <c r="X1840" s="11">
        <v>-0.44698342951967412</v>
      </c>
      <c r="Y1840">
        <v>0</v>
      </c>
      <c r="Z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6">
        <v>45540</v>
      </c>
      <c r="B1841" t="s">
        <v>31</v>
      </c>
      <c r="C1841" t="s">
        <v>32</v>
      </c>
      <c r="D1841" t="s">
        <v>33</v>
      </c>
      <c r="E1841" t="s">
        <v>34</v>
      </c>
      <c r="F1841">
        <v>140</v>
      </c>
      <c r="G1841">
        <v>360</v>
      </c>
      <c r="H1841">
        <v>177</v>
      </c>
      <c r="I1841">
        <v>77</v>
      </c>
      <c r="J1841" s="8">
        <v>0.55000000000000004</v>
      </c>
      <c r="K1841">
        <v>41</v>
      </c>
      <c r="L1841">
        <v>26</v>
      </c>
      <c r="M1841">
        <v>142</v>
      </c>
      <c r="N1841" s="10">
        <v>449.63</v>
      </c>
      <c r="O1841" s="7">
        <v>0</v>
      </c>
      <c r="P1841" s="7">
        <v>28</v>
      </c>
      <c r="Q1841">
        <v>3</v>
      </c>
      <c r="R1841" t="s">
        <v>65</v>
      </c>
      <c r="S1841">
        <v>9</v>
      </c>
      <c r="T1841">
        <v>249</v>
      </c>
      <c r="U1841" s="11">
        <v>0.43388373911755823</v>
      </c>
      <c r="V1841" s="11">
        <v>-0.90096886790241903</v>
      </c>
      <c r="W1841" s="11">
        <v>-0.90209870143018367</v>
      </c>
      <c r="X1841" s="11">
        <v>-0.43152975897147144</v>
      </c>
      <c r="Y1841">
        <v>0</v>
      </c>
      <c r="Z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6">
        <v>45540</v>
      </c>
      <c r="B1842" t="s">
        <v>36</v>
      </c>
      <c r="C1842" t="s">
        <v>37</v>
      </c>
      <c r="D1842" t="s">
        <v>38</v>
      </c>
      <c r="E1842" t="s">
        <v>39</v>
      </c>
      <c r="F1842">
        <v>125</v>
      </c>
      <c r="G1842">
        <v>320</v>
      </c>
      <c r="H1842">
        <v>147</v>
      </c>
      <c r="I1842">
        <v>64</v>
      </c>
      <c r="J1842" s="8">
        <v>0.51200000000000001</v>
      </c>
      <c r="K1842">
        <v>20</v>
      </c>
      <c r="L1842">
        <v>21</v>
      </c>
      <c r="M1842">
        <v>130</v>
      </c>
      <c r="N1842" s="10">
        <v>640.82000000000005</v>
      </c>
      <c r="O1842" s="7">
        <v>0</v>
      </c>
      <c r="P1842" s="7">
        <v>28</v>
      </c>
      <c r="Q1842">
        <v>3</v>
      </c>
      <c r="R1842" t="s">
        <v>65</v>
      </c>
      <c r="S1842">
        <v>9</v>
      </c>
      <c r="T1842">
        <v>249</v>
      </c>
      <c r="U1842" s="11">
        <v>0.43388373911755823</v>
      </c>
      <c r="V1842" s="11">
        <v>-0.90096886790241903</v>
      </c>
      <c r="W1842" s="11">
        <v>-0.90209870143018367</v>
      </c>
      <c r="X1842" s="11">
        <v>-0.43152975897147144</v>
      </c>
      <c r="Y1842">
        <v>0</v>
      </c>
      <c r="Z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6">
        <v>45540</v>
      </c>
      <c r="B1843" t="s">
        <v>41</v>
      </c>
      <c r="C1843" t="s">
        <v>42</v>
      </c>
      <c r="D1843" t="s">
        <v>43</v>
      </c>
      <c r="E1843" t="s">
        <v>44</v>
      </c>
      <c r="F1843">
        <v>85</v>
      </c>
      <c r="G1843">
        <v>210</v>
      </c>
      <c r="H1843">
        <v>106</v>
      </c>
      <c r="I1843">
        <v>47</v>
      </c>
      <c r="J1843" s="8">
        <v>0.55294117647058827</v>
      </c>
      <c r="K1843">
        <v>17</v>
      </c>
      <c r="L1843">
        <v>24</v>
      </c>
      <c r="M1843">
        <v>91</v>
      </c>
      <c r="N1843" s="10">
        <v>484.74</v>
      </c>
      <c r="O1843" s="7">
        <v>0</v>
      </c>
      <c r="P1843" s="7">
        <v>28</v>
      </c>
      <c r="Q1843">
        <v>3</v>
      </c>
      <c r="R1843" t="s">
        <v>65</v>
      </c>
      <c r="S1843">
        <v>9</v>
      </c>
      <c r="T1843">
        <v>249</v>
      </c>
      <c r="U1843" s="11">
        <v>0.43388373911755823</v>
      </c>
      <c r="V1843" s="11">
        <v>-0.90096886790241903</v>
      </c>
      <c r="W1843" s="11">
        <v>-0.90209870143018367</v>
      </c>
      <c r="X1843" s="11">
        <v>-0.43152975897147144</v>
      </c>
      <c r="Y1843">
        <v>0</v>
      </c>
      <c r="Z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6">
        <v>45541</v>
      </c>
      <c r="B1844" t="s">
        <v>31</v>
      </c>
      <c r="C1844" t="s">
        <v>32</v>
      </c>
      <c r="D1844" t="s">
        <v>33</v>
      </c>
      <c r="E1844" t="s">
        <v>34</v>
      </c>
      <c r="F1844">
        <v>140</v>
      </c>
      <c r="G1844">
        <v>360</v>
      </c>
      <c r="H1844">
        <v>163</v>
      </c>
      <c r="I1844">
        <v>69</v>
      </c>
      <c r="J1844" s="8">
        <v>0.49285714285714288</v>
      </c>
      <c r="K1844">
        <v>17</v>
      </c>
      <c r="L1844">
        <v>35</v>
      </c>
      <c r="M1844">
        <v>146</v>
      </c>
      <c r="N1844" s="10">
        <v>445.32</v>
      </c>
      <c r="O1844" s="7">
        <v>1.1000000000000001</v>
      </c>
      <c r="P1844" s="7">
        <v>27.7</v>
      </c>
      <c r="Q1844">
        <v>4</v>
      </c>
      <c r="R1844" t="s">
        <v>66</v>
      </c>
      <c r="S1844">
        <v>9</v>
      </c>
      <c r="T1844">
        <v>250</v>
      </c>
      <c r="U1844" s="11">
        <v>-0.43388373911755801</v>
      </c>
      <c r="V1844" s="11">
        <v>-0.90096886790241915</v>
      </c>
      <c r="W1844" s="11">
        <v>-0.9093882203647925</v>
      </c>
      <c r="X1844" s="11">
        <v>-0.41594839182494209</v>
      </c>
      <c r="Y1844">
        <v>0</v>
      </c>
      <c r="Z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6">
        <v>45541</v>
      </c>
      <c r="B1845" t="s">
        <v>36</v>
      </c>
      <c r="C1845" t="s">
        <v>37</v>
      </c>
      <c r="D1845" t="s">
        <v>38</v>
      </c>
      <c r="E1845" t="s">
        <v>39</v>
      </c>
      <c r="F1845">
        <v>125</v>
      </c>
      <c r="G1845">
        <v>320</v>
      </c>
      <c r="H1845">
        <v>145</v>
      </c>
      <c r="I1845">
        <v>62</v>
      </c>
      <c r="J1845" s="8">
        <v>0.496</v>
      </c>
      <c r="K1845">
        <v>30</v>
      </c>
      <c r="L1845">
        <v>34</v>
      </c>
      <c r="M1845">
        <v>125</v>
      </c>
      <c r="N1845" s="10">
        <v>564.73</v>
      </c>
      <c r="O1845" s="7">
        <v>1.1000000000000001</v>
      </c>
      <c r="P1845" s="7">
        <v>27.7</v>
      </c>
      <c r="Q1845">
        <v>4</v>
      </c>
      <c r="R1845" t="s">
        <v>66</v>
      </c>
      <c r="S1845">
        <v>9</v>
      </c>
      <c r="T1845">
        <v>250</v>
      </c>
      <c r="U1845" s="11">
        <v>-0.43388373911755801</v>
      </c>
      <c r="V1845" s="11">
        <v>-0.90096886790241915</v>
      </c>
      <c r="W1845" s="11">
        <v>-0.9093882203647925</v>
      </c>
      <c r="X1845" s="11">
        <v>-0.41594839182494209</v>
      </c>
      <c r="Y1845">
        <v>0</v>
      </c>
      <c r="Z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6">
        <v>45541</v>
      </c>
      <c r="B1846" t="s">
        <v>41</v>
      </c>
      <c r="C1846" t="s">
        <v>42</v>
      </c>
      <c r="D1846" t="s">
        <v>43</v>
      </c>
      <c r="E1846" t="s">
        <v>44</v>
      </c>
      <c r="F1846">
        <v>85</v>
      </c>
      <c r="G1846">
        <v>210</v>
      </c>
      <c r="H1846">
        <v>120</v>
      </c>
      <c r="I1846">
        <v>52</v>
      </c>
      <c r="J1846" s="8">
        <v>0.61176470588235299</v>
      </c>
      <c r="K1846">
        <v>21</v>
      </c>
      <c r="L1846">
        <v>25</v>
      </c>
      <c r="M1846">
        <v>98</v>
      </c>
      <c r="N1846" s="10">
        <v>518.25</v>
      </c>
      <c r="O1846" s="7">
        <v>1.1000000000000001</v>
      </c>
      <c r="P1846" s="7">
        <v>27.7</v>
      </c>
      <c r="Q1846">
        <v>4</v>
      </c>
      <c r="R1846" t="s">
        <v>66</v>
      </c>
      <c r="S1846">
        <v>9</v>
      </c>
      <c r="T1846">
        <v>250</v>
      </c>
      <c r="U1846" s="11">
        <v>-0.43388373911755801</v>
      </c>
      <c r="V1846" s="11">
        <v>-0.90096886790241915</v>
      </c>
      <c r="W1846" s="11">
        <v>-0.9093882203647925</v>
      </c>
      <c r="X1846" s="11">
        <v>-0.41594839182494209</v>
      </c>
      <c r="Y1846">
        <v>0</v>
      </c>
      <c r="Z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6">
        <v>45542</v>
      </c>
      <c r="B1847" t="s">
        <v>31</v>
      </c>
      <c r="C1847" t="s">
        <v>32</v>
      </c>
      <c r="D1847" t="s">
        <v>33</v>
      </c>
      <c r="E1847" t="s">
        <v>34</v>
      </c>
      <c r="F1847">
        <v>140</v>
      </c>
      <c r="G1847">
        <v>360</v>
      </c>
      <c r="H1847">
        <v>245</v>
      </c>
      <c r="I1847">
        <v>103</v>
      </c>
      <c r="J1847" s="8">
        <v>0.73571428571428577</v>
      </c>
      <c r="K1847">
        <v>36</v>
      </c>
      <c r="L1847">
        <v>51</v>
      </c>
      <c r="M1847">
        <v>216</v>
      </c>
      <c r="N1847" s="10">
        <v>447.83</v>
      </c>
      <c r="O1847" s="7">
        <v>0.2</v>
      </c>
      <c r="P1847" s="7">
        <v>28.7</v>
      </c>
      <c r="Q1847">
        <v>5</v>
      </c>
      <c r="R1847" t="s">
        <v>67</v>
      </c>
      <c r="S1847">
        <v>9</v>
      </c>
      <c r="T1847">
        <v>251</v>
      </c>
      <c r="U1847" s="11">
        <v>-0.97492791218182362</v>
      </c>
      <c r="V1847" s="11">
        <v>-0.22252093395631459</v>
      </c>
      <c r="W1847" s="11">
        <v>-0.9164086366943458</v>
      </c>
      <c r="X1847" s="11">
        <v>-0.40024393885730558</v>
      </c>
      <c r="Y1847">
        <v>1</v>
      </c>
      <c r="Z1847">
        <v>1</v>
      </c>
      <c r="AA1847" t="s">
        <v>72</v>
      </c>
      <c r="AB1847">
        <v>0</v>
      </c>
      <c r="AC1847">
        <v>0</v>
      </c>
      <c r="AD1847">
        <v>0</v>
      </c>
      <c r="AE1847">
        <v>0</v>
      </c>
    </row>
    <row r="1848" spans="1:31">
      <c r="A1848" s="6">
        <v>45542</v>
      </c>
      <c r="B1848" t="s">
        <v>36</v>
      </c>
      <c r="C1848" t="s">
        <v>37</v>
      </c>
      <c r="D1848" t="s">
        <v>38</v>
      </c>
      <c r="E1848" t="s">
        <v>39</v>
      </c>
      <c r="F1848">
        <v>125</v>
      </c>
      <c r="G1848">
        <v>320</v>
      </c>
      <c r="H1848">
        <v>217</v>
      </c>
      <c r="I1848">
        <v>91</v>
      </c>
      <c r="J1848" s="8">
        <v>0.72799999999999998</v>
      </c>
      <c r="K1848">
        <v>31</v>
      </c>
      <c r="L1848">
        <v>55</v>
      </c>
      <c r="M1848">
        <v>186</v>
      </c>
      <c r="N1848" s="10">
        <v>686.37</v>
      </c>
      <c r="O1848" s="7">
        <v>0.2</v>
      </c>
      <c r="P1848" s="7">
        <v>28.7</v>
      </c>
      <c r="Q1848">
        <v>5</v>
      </c>
      <c r="R1848" t="s">
        <v>67</v>
      </c>
      <c r="S1848">
        <v>9</v>
      </c>
      <c r="T1848">
        <v>251</v>
      </c>
      <c r="U1848" s="11">
        <v>-0.97492791218182362</v>
      </c>
      <c r="V1848" s="11">
        <v>-0.22252093395631459</v>
      </c>
      <c r="W1848" s="11">
        <v>-0.9164086366943458</v>
      </c>
      <c r="X1848" s="11">
        <v>-0.40024393885730558</v>
      </c>
      <c r="Y1848">
        <v>1</v>
      </c>
      <c r="Z1848">
        <v>1</v>
      </c>
      <c r="AA1848" t="s">
        <v>72</v>
      </c>
      <c r="AB1848">
        <v>0</v>
      </c>
      <c r="AC1848">
        <v>0</v>
      </c>
      <c r="AD1848">
        <v>0</v>
      </c>
      <c r="AE1848">
        <v>0</v>
      </c>
    </row>
    <row r="1849" spans="1:31">
      <c r="A1849" s="6">
        <v>45542</v>
      </c>
      <c r="B1849" t="s">
        <v>41</v>
      </c>
      <c r="C1849" t="s">
        <v>42</v>
      </c>
      <c r="D1849" t="s">
        <v>43</v>
      </c>
      <c r="E1849" t="s">
        <v>44</v>
      </c>
      <c r="F1849">
        <v>85</v>
      </c>
      <c r="G1849">
        <v>210</v>
      </c>
      <c r="H1849">
        <v>152</v>
      </c>
      <c r="I1849">
        <v>65</v>
      </c>
      <c r="J1849" s="8">
        <v>0.76470588235294112</v>
      </c>
      <c r="K1849">
        <v>38</v>
      </c>
      <c r="L1849">
        <v>33</v>
      </c>
      <c r="M1849">
        <v>137</v>
      </c>
      <c r="N1849" s="10">
        <v>597.65</v>
      </c>
      <c r="O1849" s="7">
        <v>0.2</v>
      </c>
      <c r="P1849" s="7">
        <v>28.7</v>
      </c>
      <c r="Q1849">
        <v>5</v>
      </c>
      <c r="R1849" t="s">
        <v>67</v>
      </c>
      <c r="S1849">
        <v>9</v>
      </c>
      <c r="T1849">
        <v>251</v>
      </c>
      <c r="U1849" s="11">
        <v>-0.97492791218182362</v>
      </c>
      <c r="V1849" s="11">
        <v>-0.22252093395631459</v>
      </c>
      <c r="W1849" s="11">
        <v>-0.9164086366943458</v>
      </c>
      <c r="X1849" s="11">
        <v>-0.40024393885730558</v>
      </c>
      <c r="Y1849">
        <v>1</v>
      </c>
      <c r="Z1849">
        <v>1</v>
      </c>
      <c r="AA1849" t="s">
        <v>72</v>
      </c>
      <c r="AB1849">
        <v>0</v>
      </c>
      <c r="AC1849">
        <v>0</v>
      </c>
      <c r="AD1849">
        <v>0</v>
      </c>
      <c r="AE1849">
        <v>0</v>
      </c>
    </row>
    <row r="1850" spans="1:31">
      <c r="A1850" s="6">
        <v>45543</v>
      </c>
      <c r="B1850" t="s">
        <v>31</v>
      </c>
      <c r="C1850" t="s">
        <v>32</v>
      </c>
      <c r="D1850" t="s">
        <v>33</v>
      </c>
      <c r="E1850" t="s">
        <v>34</v>
      </c>
      <c r="F1850">
        <v>140</v>
      </c>
      <c r="G1850">
        <v>360</v>
      </c>
      <c r="H1850">
        <v>190</v>
      </c>
      <c r="I1850">
        <v>82</v>
      </c>
      <c r="J1850" s="8">
        <v>0.58571428571428574</v>
      </c>
      <c r="K1850">
        <v>30</v>
      </c>
      <c r="L1850">
        <v>34</v>
      </c>
      <c r="M1850">
        <v>153</v>
      </c>
      <c r="N1850" s="10">
        <v>497.96</v>
      </c>
      <c r="O1850" s="7">
        <v>0</v>
      </c>
      <c r="P1850" s="7">
        <v>28.6</v>
      </c>
      <c r="Q1850">
        <v>6</v>
      </c>
      <c r="R1850" t="s">
        <v>60</v>
      </c>
      <c r="S1850">
        <v>9</v>
      </c>
      <c r="T1850">
        <v>252</v>
      </c>
      <c r="U1850" s="11">
        <v>-0.78183148246802991</v>
      </c>
      <c r="V1850" s="11">
        <v>0.62348980185873337</v>
      </c>
      <c r="W1850" s="11">
        <v>-0.92315787296470386</v>
      </c>
      <c r="X1850" s="11">
        <v>-0.38442104726885545</v>
      </c>
      <c r="Y1850">
        <v>1</v>
      </c>
      <c r="Z1850">
        <v>0</v>
      </c>
      <c r="AB1850">
        <v>0</v>
      </c>
      <c r="AC1850">
        <v>0</v>
      </c>
      <c r="AD1850">
        <v>0</v>
      </c>
      <c r="AE1850">
        <v>0</v>
      </c>
    </row>
    <row r="1851" spans="1:31">
      <c r="A1851" s="6">
        <v>45543</v>
      </c>
      <c r="B1851" t="s">
        <v>36</v>
      </c>
      <c r="C1851" t="s">
        <v>37</v>
      </c>
      <c r="D1851" t="s">
        <v>38</v>
      </c>
      <c r="E1851" t="s">
        <v>39</v>
      </c>
      <c r="F1851">
        <v>125</v>
      </c>
      <c r="G1851">
        <v>320</v>
      </c>
      <c r="H1851">
        <v>186</v>
      </c>
      <c r="I1851">
        <v>77</v>
      </c>
      <c r="J1851" s="8">
        <v>0.61599999999999999</v>
      </c>
      <c r="K1851">
        <v>43</v>
      </c>
      <c r="L1851">
        <v>41</v>
      </c>
      <c r="M1851">
        <v>157</v>
      </c>
      <c r="N1851" s="10">
        <v>666.71</v>
      </c>
      <c r="O1851" s="7">
        <v>0</v>
      </c>
      <c r="P1851" s="7">
        <v>28.6</v>
      </c>
      <c r="Q1851">
        <v>6</v>
      </c>
      <c r="R1851" t="s">
        <v>60</v>
      </c>
      <c r="S1851">
        <v>9</v>
      </c>
      <c r="T1851">
        <v>252</v>
      </c>
      <c r="U1851" s="11">
        <v>-0.78183148246802991</v>
      </c>
      <c r="V1851" s="11">
        <v>0.62348980185873337</v>
      </c>
      <c r="W1851" s="11">
        <v>-0.92315787296470386</v>
      </c>
      <c r="X1851" s="11">
        <v>-0.38442104726885545</v>
      </c>
      <c r="Y1851">
        <v>1</v>
      </c>
      <c r="Z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6">
        <v>45543</v>
      </c>
      <c r="B1852" t="s">
        <v>41</v>
      </c>
      <c r="C1852" t="s">
        <v>42</v>
      </c>
      <c r="D1852" t="s">
        <v>43</v>
      </c>
      <c r="E1852" t="s">
        <v>44</v>
      </c>
      <c r="F1852">
        <v>85</v>
      </c>
      <c r="G1852">
        <v>210</v>
      </c>
      <c r="H1852">
        <v>144</v>
      </c>
      <c r="I1852">
        <v>64</v>
      </c>
      <c r="J1852" s="8">
        <v>0.75294117647058822</v>
      </c>
      <c r="K1852">
        <v>24</v>
      </c>
      <c r="L1852">
        <v>18</v>
      </c>
      <c r="M1852">
        <v>135</v>
      </c>
      <c r="N1852" s="10">
        <v>584</v>
      </c>
      <c r="O1852" s="7">
        <v>0</v>
      </c>
      <c r="P1852" s="7">
        <v>28.6</v>
      </c>
      <c r="Q1852">
        <v>6</v>
      </c>
      <c r="R1852" t="s">
        <v>60</v>
      </c>
      <c r="S1852">
        <v>9</v>
      </c>
      <c r="T1852">
        <v>252</v>
      </c>
      <c r="U1852" s="11">
        <v>-0.78183148246802991</v>
      </c>
      <c r="V1852" s="11">
        <v>0.62348980185873337</v>
      </c>
      <c r="W1852" s="11">
        <v>-0.92315787296470386</v>
      </c>
      <c r="X1852" s="11">
        <v>-0.38442104726885545</v>
      </c>
      <c r="Y1852">
        <v>1</v>
      </c>
      <c r="Z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6">
        <v>45544</v>
      </c>
      <c r="B1853" t="s">
        <v>31</v>
      </c>
      <c r="C1853" t="s">
        <v>32</v>
      </c>
      <c r="D1853" t="s">
        <v>33</v>
      </c>
      <c r="E1853" t="s">
        <v>34</v>
      </c>
      <c r="F1853">
        <v>140</v>
      </c>
      <c r="G1853">
        <v>360</v>
      </c>
      <c r="H1853">
        <v>164</v>
      </c>
      <c r="I1853">
        <v>70</v>
      </c>
      <c r="J1853" s="8">
        <v>0.5</v>
      </c>
      <c r="K1853">
        <v>38</v>
      </c>
      <c r="L1853">
        <v>34</v>
      </c>
      <c r="M1853">
        <v>136</v>
      </c>
      <c r="N1853" s="10">
        <v>386.49</v>
      </c>
      <c r="O1853" s="7">
        <v>0</v>
      </c>
      <c r="P1853" s="7">
        <v>30.6</v>
      </c>
      <c r="Q1853">
        <v>0</v>
      </c>
      <c r="R1853" t="s">
        <v>62</v>
      </c>
      <c r="S1853">
        <v>9</v>
      </c>
      <c r="T1853">
        <v>253</v>
      </c>
      <c r="U1853" s="11">
        <v>0</v>
      </c>
      <c r="V1853" s="11">
        <v>1</v>
      </c>
      <c r="W1853" s="11">
        <v>-0.92963393196826949</v>
      </c>
      <c r="X1853" s="11">
        <v>-0.36848439930777932</v>
      </c>
      <c r="Y1853">
        <v>0</v>
      </c>
      <c r="Z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6">
        <v>45544</v>
      </c>
      <c r="B1854" t="s">
        <v>36</v>
      </c>
      <c r="C1854" t="s">
        <v>37</v>
      </c>
      <c r="D1854" t="s">
        <v>38</v>
      </c>
      <c r="E1854" t="s">
        <v>39</v>
      </c>
      <c r="F1854">
        <v>125</v>
      </c>
      <c r="G1854">
        <v>320</v>
      </c>
      <c r="H1854">
        <v>146</v>
      </c>
      <c r="I1854">
        <v>63</v>
      </c>
      <c r="J1854" s="8">
        <v>0.504</v>
      </c>
      <c r="K1854">
        <v>40</v>
      </c>
      <c r="L1854">
        <v>32</v>
      </c>
      <c r="M1854">
        <v>132</v>
      </c>
      <c r="N1854" s="10">
        <v>681.76</v>
      </c>
      <c r="O1854" s="7">
        <v>0</v>
      </c>
      <c r="P1854" s="7">
        <v>30.6</v>
      </c>
      <c r="Q1854">
        <v>0</v>
      </c>
      <c r="R1854" t="s">
        <v>62</v>
      </c>
      <c r="S1854">
        <v>9</v>
      </c>
      <c r="T1854">
        <v>253</v>
      </c>
      <c r="U1854" s="11">
        <v>0</v>
      </c>
      <c r="V1854" s="11">
        <v>1</v>
      </c>
      <c r="W1854" s="11">
        <v>-0.92963393196826949</v>
      </c>
      <c r="X1854" s="11">
        <v>-0.36848439930777932</v>
      </c>
      <c r="Y1854">
        <v>0</v>
      </c>
      <c r="Z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6">
        <v>45544</v>
      </c>
      <c r="B1855" t="s">
        <v>41</v>
      </c>
      <c r="C1855" t="s">
        <v>42</v>
      </c>
      <c r="D1855" t="s">
        <v>43</v>
      </c>
      <c r="E1855" t="s">
        <v>44</v>
      </c>
      <c r="F1855">
        <v>85</v>
      </c>
      <c r="G1855">
        <v>210</v>
      </c>
      <c r="H1855">
        <v>121</v>
      </c>
      <c r="I1855">
        <v>53</v>
      </c>
      <c r="J1855" s="8">
        <v>0.62352941176470589</v>
      </c>
      <c r="K1855">
        <v>22</v>
      </c>
      <c r="L1855">
        <v>25</v>
      </c>
      <c r="M1855">
        <v>98</v>
      </c>
      <c r="N1855" s="10">
        <v>559.66</v>
      </c>
      <c r="O1855" s="7">
        <v>0</v>
      </c>
      <c r="P1855" s="7">
        <v>30.6</v>
      </c>
      <c r="Q1855">
        <v>0</v>
      </c>
      <c r="R1855" t="s">
        <v>62</v>
      </c>
      <c r="S1855">
        <v>9</v>
      </c>
      <c r="T1855">
        <v>253</v>
      </c>
      <c r="U1855" s="11">
        <v>0</v>
      </c>
      <c r="V1855" s="11">
        <v>1</v>
      </c>
      <c r="W1855" s="11">
        <v>-0.92963393196826949</v>
      </c>
      <c r="X1855" s="11">
        <v>-0.36848439930777932</v>
      </c>
      <c r="Y1855">
        <v>0</v>
      </c>
      <c r="Z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6">
        <v>45545</v>
      </c>
      <c r="B1856" t="s">
        <v>31</v>
      </c>
      <c r="C1856" t="s">
        <v>32</v>
      </c>
      <c r="D1856" t="s">
        <v>33</v>
      </c>
      <c r="E1856" t="s">
        <v>34</v>
      </c>
      <c r="F1856">
        <v>140</v>
      </c>
      <c r="G1856">
        <v>360</v>
      </c>
      <c r="H1856">
        <v>179</v>
      </c>
      <c r="I1856">
        <v>75</v>
      </c>
      <c r="J1856" s="8">
        <v>0.5357142857142857</v>
      </c>
      <c r="K1856">
        <v>23</v>
      </c>
      <c r="L1856">
        <v>34</v>
      </c>
      <c r="M1856">
        <v>165</v>
      </c>
      <c r="N1856" s="10">
        <v>420.56</v>
      </c>
      <c r="O1856" s="7">
        <v>0.1</v>
      </c>
      <c r="P1856" s="7">
        <v>28.1</v>
      </c>
      <c r="Q1856">
        <v>1</v>
      </c>
      <c r="R1856" t="s">
        <v>63</v>
      </c>
      <c r="S1856">
        <v>9</v>
      </c>
      <c r="T1856">
        <v>254</v>
      </c>
      <c r="U1856" s="11">
        <v>0.7818314824680298</v>
      </c>
      <c r="V1856" s="11">
        <v>0.62348980185873359</v>
      </c>
      <c r="W1856" s="11">
        <v>-0.93583489733499414</v>
      </c>
      <c r="X1856" s="11">
        <v>-0.35243871088460327</v>
      </c>
      <c r="Y1856">
        <v>0</v>
      </c>
      <c r="Z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6">
        <v>45545</v>
      </c>
      <c r="B1857" t="s">
        <v>36</v>
      </c>
      <c r="C1857" t="s">
        <v>37</v>
      </c>
      <c r="D1857" t="s">
        <v>38</v>
      </c>
      <c r="E1857" t="s">
        <v>39</v>
      </c>
      <c r="F1857">
        <v>125</v>
      </c>
      <c r="G1857">
        <v>320</v>
      </c>
      <c r="H1857">
        <v>177</v>
      </c>
      <c r="I1857">
        <v>76</v>
      </c>
      <c r="J1857" s="8">
        <v>0.60799999999999998</v>
      </c>
      <c r="K1857">
        <v>28</v>
      </c>
      <c r="L1857">
        <v>41</v>
      </c>
      <c r="M1857">
        <v>150</v>
      </c>
      <c r="N1857" s="10">
        <v>563.55999999999995</v>
      </c>
      <c r="O1857" s="7">
        <v>0.1</v>
      </c>
      <c r="P1857" s="7">
        <v>28.1</v>
      </c>
      <c r="Q1857">
        <v>1</v>
      </c>
      <c r="R1857" t="s">
        <v>63</v>
      </c>
      <c r="S1857">
        <v>9</v>
      </c>
      <c r="T1857">
        <v>254</v>
      </c>
      <c r="U1857" s="11">
        <v>0.7818314824680298</v>
      </c>
      <c r="V1857" s="11">
        <v>0.62348980185873359</v>
      </c>
      <c r="W1857" s="11">
        <v>-0.93583489733499414</v>
      </c>
      <c r="X1857" s="11">
        <v>-0.35243871088460327</v>
      </c>
      <c r="Y1857">
        <v>0</v>
      </c>
      <c r="Z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6">
        <v>45545</v>
      </c>
      <c r="B1858" t="s">
        <v>41</v>
      </c>
      <c r="C1858" t="s">
        <v>42</v>
      </c>
      <c r="D1858" t="s">
        <v>43</v>
      </c>
      <c r="E1858" t="s">
        <v>44</v>
      </c>
      <c r="F1858">
        <v>85</v>
      </c>
      <c r="G1858">
        <v>210</v>
      </c>
      <c r="H1858">
        <v>113</v>
      </c>
      <c r="I1858">
        <v>50</v>
      </c>
      <c r="J1858" s="8">
        <v>0.58823529411764708</v>
      </c>
      <c r="K1858">
        <v>22</v>
      </c>
      <c r="L1858">
        <v>16</v>
      </c>
      <c r="M1858">
        <v>99</v>
      </c>
      <c r="N1858" s="10">
        <v>502.34</v>
      </c>
      <c r="O1858" s="7">
        <v>0.1</v>
      </c>
      <c r="P1858" s="7">
        <v>28.1</v>
      </c>
      <c r="Q1858">
        <v>1</v>
      </c>
      <c r="R1858" t="s">
        <v>63</v>
      </c>
      <c r="S1858">
        <v>9</v>
      </c>
      <c r="T1858">
        <v>254</v>
      </c>
      <c r="U1858" s="11">
        <v>0.7818314824680298</v>
      </c>
      <c r="V1858" s="11">
        <v>0.62348980185873359</v>
      </c>
      <c r="W1858" s="11">
        <v>-0.93583489733499414</v>
      </c>
      <c r="X1858" s="11">
        <v>-0.35243871088460327</v>
      </c>
      <c r="Y1858">
        <v>0</v>
      </c>
      <c r="Z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6">
        <v>45546</v>
      </c>
      <c r="B1859" t="s">
        <v>31</v>
      </c>
      <c r="C1859" t="s">
        <v>32</v>
      </c>
      <c r="D1859" t="s">
        <v>33</v>
      </c>
      <c r="E1859" t="s">
        <v>34</v>
      </c>
      <c r="F1859">
        <v>140</v>
      </c>
      <c r="G1859">
        <v>360</v>
      </c>
      <c r="H1859">
        <v>186</v>
      </c>
      <c r="I1859">
        <v>78</v>
      </c>
      <c r="J1859" s="8">
        <v>0.55714285714285716</v>
      </c>
      <c r="K1859">
        <v>36</v>
      </c>
      <c r="L1859">
        <v>16</v>
      </c>
      <c r="M1859">
        <v>160</v>
      </c>
      <c r="N1859" s="10">
        <v>395.8</v>
      </c>
      <c r="O1859" s="7">
        <v>3.5</v>
      </c>
      <c r="P1859" s="7">
        <v>28.3</v>
      </c>
      <c r="Q1859">
        <v>2</v>
      </c>
      <c r="R1859" t="s">
        <v>64</v>
      </c>
      <c r="S1859">
        <v>9</v>
      </c>
      <c r="T1859">
        <v>255</v>
      </c>
      <c r="U1859" s="11">
        <v>0.97492791218182362</v>
      </c>
      <c r="V1859" s="11">
        <v>-0.22252093395631434</v>
      </c>
      <c r="W1859" s="11">
        <v>-0.94175893409946165</v>
      </c>
      <c r="X1859" s="11">
        <v>-0.33628873017668287</v>
      </c>
      <c r="Y1859">
        <v>0</v>
      </c>
      <c r="Z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6">
        <v>45546</v>
      </c>
      <c r="B1860" t="s">
        <v>36</v>
      </c>
      <c r="C1860" t="s">
        <v>37</v>
      </c>
      <c r="D1860" t="s">
        <v>38</v>
      </c>
      <c r="E1860" t="s">
        <v>39</v>
      </c>
      <c r="F1860">
        <v>125</v>
      </c>
      <c r="G1860">
        <v>320</v>
      </c>
      <c r="H1860">
        <v>152</v>
      </c>
      <c r="I1860">
        <v>62</v>
      </c>
      <c r="J1860" s="8">
        <v>0.496</v>
      </c>
      <c r="K1860">
        <v>33</v>
      </c>
      <c r="L1860">
        <v>36</v>
      </c>
      <c r="M1860">
        <v>136</v>
      </c>
      <c r="N1860" s="10">
        <v>627.03</v>
      </c>
      <c r="O1860" s="7">
        <v>3.5</v>
      </c>
      <c r="P1860" s="7">
        <v>28.3</v>
      </c>
      <c r="Q1860">
        <v>2</v>
      </c>
      <c r="R1860" t="s">
        <v>64</v>
      </c>
      <c r="S1860">
        <v>9</v>
      </c>
      <c r="T1860">
        <v>255</v>
      </c>
      <c r="U1860" s="11">
        <v>0.97492791218182362</v>
      </c>
      <c r="V1860" s="11">
        <v>-0.22252093395631434</v>
      </c>
      <c r="W1860" s="11">
        <v>-0.94175893409946165</v>
      </c>
      <c r="X1860" s="11">
        <v>-0.33628873017668287</v>
      </c>
      <c r="Y1860">
        <v>0</v>
      </c>
      <c r="Z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6">
        <v>45546</v>
      </c>
      <c r="B1861" t="s">
        <v>41</v>
      </c>
      <c r="C1861" t="s">
        <v>42</v>
      </c>
      <c r="D1861" t="s">
        <v>43</v>
      </c>
      <c r="E1861" t="s">
        <v>44</v>
      </c>
      <c r="F1861">
        <v>85</v>
      </c>
      <c r="G1861">
        <v>210</v>
      </c>
      <c r="H1861">
        <v>106</v>
      </c>
      <c r="I1861">
        <v>47</v>
      </c>
      <c r="J1861" s="8">
        <v>0.55294117647058827</v>
      </c>
      <c r="K1861">
        <v>14</v>
      </c>
      <c r="L1861">
        <v>19</v>
      </c>
      <c r="M1861">
        <v>88</v>
      </c>
      <c r="N1861" s="10">
        <v>490.38</v>
      </c>
      <c r="O1861" s="7">
        <v>3.5</v>
      </c>
      <c r="P1861" s="7">
        <v>28.3</v>
      </c>
      <c r="Q1861">
        <v>2</v>
      </c>
      <c r="R1861" t="s">
        <v>64</v>
      </c>
      <c r="S1861">
        <v>9</v>
      </c>
      <c r="T1861">
        <v>255</v>
      </c>
      <c r="U1861" s="11">
        <v>0.97492791218182362</v>
      </c>
      <c r="V1861" s="11">
        <v>-0.22252093395631434</v>
      </c>
      <c r="W1861" s="11">
        <v>-0.94175893409946165</v>
      </c>
      <c r="X1861" s="11">
        <v>-0.33628873017668287</v>
      </c>
      <c r="Y1861">
        <v>0</v>
      </c>
      <c r="Z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6">
        <v>45547</v>
      </c>
      <c r="B1862" t="s">
        <v>31</v>
      </c>
      <c r="C1862" t="s">
        <v>32</v>
      </c>
      <c r="D1862" t="s">
        <v>33</v>
      </c>
      <c r="E1862" t="s">
        <v>34</v>
      </c>
      <c r="F1862">
        <v>140</v>
      </c>
      <c r="G1862">
        <v>360</v>
      </c>
      <c r="H1862">
        <v>172</v>
      </c>
      <c r="I1862">
        <v>73</v>
      </c>
      <c r="J1862" s="8">
        <v>0.52142857142857146</v>
      </c>
      <c r="K1862">
        <v>22</v>
      </c>
      <c r="L1862">
        <v>26</v>
      </c>
      <c r="M1862">
        <v>146</v>
      </c>
      <c r="N1862" s="10">
        <v>411.82</v>
      </c>
      <c r="O1862" s="7">
        <v>2.8</v>
      </c>
      <c r="P1862" s="7">
        <v>29</v>
      </c>
      <c r="Q1862">
        <v>3</v>
      </c>
      <c r="R1862" t="s">
        <v>65</v>
      </c>
      <c r="S1862">
        <v>9</v>
      </c>
      <c r="T1862">
        <v>256</v>
      </c>
      <c r="U1862" s="11">
        <v>0.43388373911755823</v>
      </c>
      <c r="V1862" s="11">
        <v>-0.90096886790241903</v>
      </c>
      <c r="W1862" s="11">
        <v>-0.94740428924388453</v>
      </c>
      <c r="X1862" s="11">
        <v>-0.32003923622313857</v>
      </c>
      <c r="Y1862">
        <v>0</v>
      </c>
      <c r="Z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6">
        <v>45547</v>
      </c>
      <c r="B1863" t="s">
        <v>36</v>
      </c>
      <c r="C1863" t="s">
        <v>37</v>
      </c>
      <c r="D1863" t="s">
        <v>38</v>
      </c>
      <c r="E1863" t="s">
        <v>39</v>
      </c>
      <c r="F1863">
        <v>125</v>
      </c>
      <c r="G1863">
        <v>320</v>
      </c>
      <c r="H1863">
        <v>154</v>
      </c>
      <c r="I1863">
        <v>65</v>
      </c>
      <c r="J1863" s="8">
        <v>0.52</v>
      </c>
      <c r="K1863">
        <v>34</v>
      </c>
      <c r="L1863">
        <v>22</v>
      </c>
      <c r="M1863">
        <v>129</v>
      </c>
      <c r="N1863" s="10">
        <v>622.12</v>
      </c>
      <c r="O1863" s="7">
        <v>2.8</v>
      </c>
      <c r="P1863" s="7">
        <v>29</v>
      </c>
      <c r="Q1863">
        <v>3</v>
      </c>
      <c r="R1863" t="s">
        <v>65</v>
      </c>
      <c r="S1863">
        <v>9</v>
      </c>
      <c r="T1863">
        <v>256</v>
      </c>
      <c r="U1863" s="11">
        <v>0.43388373911755823</v>
      </c>
      <c r="V1863" s="11">
        <v>-0.90096886790241903</v>
      </c>
      <c r="W1863" s="11">
        <v>-0.94740428924388453</v>
      </c>
      <c r="X1863" s="11">
        <v>-0.32003923622313857</v>
      </c>
      <c r="Y1863">
        <v>0</v>
      </c>
      <c r="Z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6">
        <v>45547</v>
      </c>
      <c r="B1864" t="s">
        <v>41</v>
      </c>
      <c r="C1864" t="s">
        <v>42</v>
      </c>
      <c r="D1864" t="s">
        <v>43</v>
      </c>
      <c r="E1864" t="s">
        <v>44</v>
      </c>
      <c r="F1864">
        <v>85</v>
      </c>
      <c r="G1864">
        <v>210</v>
      </c>
      <c r="H1864">
        <v>123</v>
      </c>
      <c r="I1864">
        <v>52</v>
      </c>
      <c r="J1864" s="8">
        <v>0.61176470588235299</v>
      </c>
      <c r="K1864">
        <v>18</v>
      </c>
      <c r="L1864">
        <v>14</v>
      </c>
      <c r="M1864">
        <v>110</v>
      </c>
      <c r="N1864" s="10">
        <v>483.62</v>
      </c>
      <c r="O1864" s="7">
        <v>2.8</v>
      </c>
      <c r="P1864" s="7">
        <v>29</v>
      </c>
      <c r="Q1864">
        <v>3</v>
      </c>
      <c r="R1864" t="s">
        <v>65</v>
      </c>
      <c r="S1864">
        <v>9</v>
      </c>
      <c r="T1864">
        <v>256</v>
      </c>
      <c r="U1864" s="11">
        <v>0.43388373911755823</v>
      </c>
      <c r="V1864" s="11">
        <v>-0.90096886790241903</v>
      </c>
      <c r="W1864" s="11">
        <v>-0.94740428924388453</v>
      </c>
      <c r="X1864" s="11">
        <v>-0.32003923622313857</v>
      </c>
      <c r="Y1864">
        <v>0</v>
      </c>
      <c r="Z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6">
        <v>45548</v>
      </c>
      <c r="B1865" t="s">
        <v>31</v>
      </c>
      <c r="C1865" t="s">
        <v>32</v>
      </c>
      <c r="D1865" t="s">
        <v>33</v>
      </c>
      <c r="E1865" t="s">
        <v>34</v>
      </c>
      <c r="F1865">
        <v>140</v>
      </c>
      <c r="G1865">
        <v>360</v>
      </c>
      <c r="H1865">
        <v>178</v>
      </c>
      <c r="I1865">
        <v>78</v>
      </c>
      <c r="J1865" s="8">
        <v>0.55714285714285716</v>
      </c>
      <c r="K1865">
        <v>40</v>
      </c>
      <c r="L1865">
        <v>41</v>
      </c>
      <c r="M1865">
        <v>156</v>
      </c>
      <c r="N1865" s="10">
        <v>431.46</v>
      </c>
      <c r="O1865" s="7">
        <v>4.0999999999999996</v>
      </c>
      <c r="P1865" s="7">
        <v>30.2</v>
      </c>
      <c r="Q1865">
        <v>4</v>
      </c>
      <c r="R1865" t="s">
        <v>66</v>
      </c>
      <c r="S1865">
        <v>9</v>
      </c>
      <c r="T1865">
        <v>257</v>
      </c>
      <c r="U1865" s="11">
        <v>-0.43388373911755801</v>
      </c>
      <c r="V1865" s="11">
        <v>-0.90096886790241915</v>
      </c>
      <c r="W1865" s="11">
        <v>-0.95276929221685114</v>
      </c>
      <c r="X1865" s="11">
        <v>-0.30369503751065885</v>
      </c>
      <c r="Y1865">
        <v>0</v>
      </c>
      <c r="Z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6">
        <v>45548</v>
      </c>
      <c r="B1866" t="s">
        <v>36</v>
      </c>
      <c r="C1866" t="s">
        <v>37</v>
      </c>
      <c r="D1866" t="s">
        <v>38</v>
      </c>
      <c r="E1866" t="s">
        <v>39</v>
      </c>
      <c r="F1866">
        <v>125</v>
      </c>
      <c r="G1866">
        <v>320</v>
      </c>
      <c r="H1866">
        <v>174</v>
      </c>
      <c r="I1866">
        <v>69</v>
      </c>
      <c r="J1866" s="8">
        <v>0.55200000000000005</v>
      </c>
      <c r="K1866">
        <v>41</v>
      </c>
      <c r="L1866">
        <v>36</v>
      </c>
      <c r="M1866">
        <v>148</v>
      </c>
      <c r="N1866" s="10">
        <v>643.97</v>
      </c>
      <c r="O1866" s="7">
        <v>4.0999999999999996</v>
      </c>
      <c r="P1866" s="7">
        <v>30.2</v>
      </c>
      <c r="Q1866">
        <v>4</v>
      </c>
      <c r="R1866" t="s">
        <v>66</v>
      </c>
      <c r="S1866">
        <v>9</v>
      </c>
      <c r="T1866">
        <v>257</v>
      </c>
      <c r="U1866" s="11">
        <v>-0.43388373911755801</v>
      </c>
      <c r="V1866" s="11">
        <v>-0.90096886790241915</v>
      </c>
      <c r="W1866" s="11">
        <v>-0.95276929221685114</v>
      </c>
      <c r="X1866" s="11">
        <v>-0.30369503751065885</v>
      </c>
      <c r="Y1866">
        <v>0</v>
      </c>
      <c r="Z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6">
        <v>45548</v>
      </c>
      <c r="B1867" t="s">
        <v>41</v>
      </c>
      <c r="C1867" t="s">
        <v>42</v>
      </c>
      <c r="D1867" t="s">
        <v>43</v>
      </c>
      <c r="E1867" t="s">
        <v>44</v>
      </c>
      <c r="F1867">
        <v>85</v>
      </c>
      <c r="G1867">
        <v>210</v>
      </c>
      <c r="H1867">
        <v>109</v>
      </c>
      <c r="I1867">
        <v>47</v>
      </c>
      <c r="J1867" s="8">
        <v>0.55294117647058827</v>
      </c>
      <c r="K1867">
        <v>22</v>
      </c>
      <c r="L1867">
        <v>25</v>
      </c>
      <c r="M1867">
        <v>97</v>
      </c>
      <c r="N1867" s="10">
        <v>531.02</v>
      </c>
      <c r="O1867" s="7">
        <v>4.0999999999999996</v>
      </c>
      <c r="P1867" s="7">
        <v>30.2</v>
      </c>
      <c r="Q1867">
        <v>4</v>
      </c>
      <c r="R1867" t="s">
        <v>66</v>
      </c>
      <c r="S1867">
        <v>9</v>
      </c>
      <c r="T1867">
        <v>257</v>
      </c>
      <c r="U1867" s="11">
        <v>-0.43388373911755801</v>
      </c>
      <c r="V1867" s="11">
        <v>-0.90096886790241915</v>
      </c>
      <c r="W1867" s="11">
        <v>-0.95276929221685114</v>
      </c>
      <c r="X1867" s="11">
        <v>-0.30369503751065885</v>
      </c>
      <c r="Y1867">
        <v>0</v>
      </c>
      <c r="Z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6">
        <v>45549</v>
      </c>
      <c r="B1868" t="s">
        <v>31</v>
      </c>
      <c r="C1868" t="s">
        <v>32</v>
      </c>
      <c r="D1868" t="s">
        <v>33</v>
      </c>
      <c r="E1868" t="s">
        <v>34</v>
      </c>
      <c r="F1868">
        <v>140</v>
      </c>
      <c r="G1868">
        <v>360</v>
      </c>
      <c r="H1868">
        <v>212</v>
      </c>
      <c r="I1868">
        <v>90</v>
      </c>
      <c r="J1868" s="8">
        <v>0.6428571428571429</v>
      </c>
      <c r="K1868">
        <v>52</v>
      </c>
      <c r="L1868">
        <v>39</v>
      </c>
      <c r="M1868">
        <v>184</v>
      </c>
      <c r="N1868" s="10">
        <v>493.8</v>
      </c>
      <c r="O1868" s="7">
        <v>1.1000000000000001</v>
      </c>
      <c r="P1868" s="7">
        <v>29.8</v>
      </c>
      <c r="Q1868">
        <v>5</v>
      </c>
      <c r="R1868" t="s">
        <v>67</v>
      </c>
      <c r="S1868">
        <v>9</v>
      </c>
      <c r="T1868">
        <v>258</v>
      </c>
      <c r="U1868" s="11">
        <v>-0.97492791218182362</v>
      </c>
      <c r="V1868" s="11">
        <v>-0.22252093395631459</v>
      </c>
      <c r="W1868" s="11">
        <v>-0.95785235542766689</v>
      </c>
      <c r="X1868" s="11">
        <v>-0.28726097055059635</v>
      </c>
      <c r="Y1868">
        <v>1</v>
      </c>
      <c r="Z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6">
        <v>45549</v>
      </c>
      <c r="B1869" t="s">
        <v>36</v>
      </c>
      <c r="C1869" t="s">
        <v>37</v>
      </c>
      <c r="D1869" t="s">
        <v>38</v>
      </c>
      <c r="E1869" t="s">
        <v>39</v>
      </c>
      <c r="F1869">
        <v>125</v>
      </c>
      <c r="G1869">
        <v>320</v>
      </c>
      <c r="H1869">
        <v>179</v>
      </c>
      <c r="I1869">
        <v>75</v>
      </c>
      <c r="J1869" s="8">
        <v>0.6</v>
      </c>
      <c r="K1869">
        <v>44</v>
      </c>
      <c r="L1869">
        <v>26</v>
      </c>
      <c r="M1869">
        <v>159</v>
      </c>
      <c r="N1869" s="10">
        <v>740.94</v>
      </c>
      <c r="O1869" s="7">
        <v>1.1000000000000001</v>
      </c>
      <c r="P1869" s="7">
        <v>29.8</v>
      </c>
      <c r="Q1869">
        <v>5</v>
      </c>
      <c r="R1869" t="s">
        <v>67</v>
      </c>
      <c r="S1869">
        <v>9</v>
      </c>
      <c r="T1869">
        <v>258</v>
      </c>
      <c r="U1869" s="11">
        <v>-0.97492791218182362</v>
      </c>
      <c r="V1869" s="11">
        <v>-0.22252093395631459</v>
      </c>
      <c r="W1869" s="11">
        <v>-0.95785235542766689</v>
      </c>
      <c r="X1869" s="11">
        <v>-0.28726097055059635</v>
      </c>
      <c r="Y1869">
        <v>1</v>
      </c>
      <c r="Z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6">
        <v>45549</v>
      </c>
      <c r="B1870" t="s">
        <v>41</v>
      </c>
      <c r="C1870" t="s">
        <v>42</v>
      </c>
      <c r="D1870" t="s">
        <v>43</v>
      </c>
      <c r="E1870" t="s">
        <v>44</v>
      </c>
      <c r="F1870">
        <v>85</v>
      </c>
      <c r="G1870">
        <v>210</v>
      </c>
      <c r="H1870">
        <v>136</v>
      </c>
      <c r="I1870">
        <v>59</v>
      </c>
      <c r="J1870" s="8">
        <v>0.69411764705882351</v>
      </c>
      <c r="K1870">
        <v>35</v>
      </c>
      <c r="L1870">
        <v>22</v>
      </c>
      <c r="M1870">
        <v>125</v>
      </c>
      <c r="N1870" s="10">
        <v>555.20000000000005</v>
      </c>
      <c r="O1870" s="7">
        <v>1.1000000000000001</v>
      </c>
      <c r="P1870" s="7">
        <v>29.8</v>
      </c>
      <c r="Q1870">
        <v>5</v>
      </c>
      <c r="R1870" t="s">
        <v>67</v>
      </c>
      <c r="S1870">
        <v>9</v>
      </c>
      <c r="T1870">
        <v>258</v>
      </c>
      <c r="U1870" s="11">
        <v>-0.97492791218182362</v>
      </c>
      <c r="V1870" s="11">
        <v>-0.22252093395631459</v>
      </c>
      <c r="W1870" s="11">
        <v>-0.95785235542766689</v>
      </c>
      <c r="X1870" s="11">
        <v>-0.28726097055059635</v>
      </c>
      <c r="Y1870">
        <v>1</v>
      </c>
      <c r="Z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6">
        <v>45550</v>
      </c>
      <c r="B1871" t="s">
        <v>31</v>
      </c>
      <c r="C1871" t="s">
        <v>32</v>
      </c>
      <c r="D1871" t="s">
        <v>33</v>
      </c>
      <c r="E1871" t="s">
        <v>34</v>
      </c>
      <c r="F1871">
        <v>140</v>
      </c>
      <c r="G1871">
        <v>360</v>
      </c>
      <c r="H1871">
        <v>211</v>
      </c>
      <c r="I1871">
        <v>90</v>
      </c>
      <c r="J1871" s="8">
        <v>0.6428571428571429</v>
      </c>
      <c r="K1871">
        <v>32</v>
      </c>
      <c r="L1871">
        <v>40</v>
      </c>
      <c r="M1871">
        <v>189</v>
      </c>
      <c r="N1871" s="10">
        <v>450.07</v>
      </c>
      <c r="O1871" s="7">
        <v>2</v>
      </c>
      <c r="P1871" s="7">
        <v>29.4</v>
      </c>
      <c r="Q1871">
        <v>6</v>
      </c>
      <c r="R1871" t="s">
        <v>60</v>
      </c>
      <c r="S1871">
        <v>9</v>
      </c>
      <c r="T1871">
        <v>259</v>
      </c>
      <c r="U1871" s="11">
        <v>-0.78183148246802991</v>
      </c>
      <c r="V1871" s="11">
        <v>0.62348980185873337</v>
      </c>
      <c r="W1871" s="11">
        <v>-0.96265197471614872</v>
      </c>
      <c r="X1871" s="11">
        <v>-0.2707418984477642</v>
      </c>
      <c r="Y1871">
        <v>1</v>
      </c>
      <c r="Z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6">
        <v>45550</v>
      </c>
      <c r="B1872" t="s">
        <v>36</v>
      </c>
      <c r="C1872" t="s">
        <v>37</v>
      </c>
      <c r="D1872" t="s">
        <v>38</v>
      </c>
      <c r="E1872" t="s">
        <v>39</v>
      </c>
      <c r="F1872">
        <v>125</v>
      </c>
      <c r="G1872">
        <v>320</v>
      </c>
      <c r="H1872">
        <v>202</v>
      </c>
      <c r="I1872">
        <v>84</v>
      </c>
      <c r="J1872" s="8">
        <v>0.67200000000000004</v>
      </c>
      <c r="K1872">
        <v>36</v>
      </c>
      <c r="L1872">
        <v>51</v>
      </c>
      <c r="M1872">
        <v>172</v>
      </c>
      <c r="N1872" s="10">
        <v>684.17</v>
      </c>
      <c r="O1872" s="7">
        <v>2</v>
      </c>
      <c r="P1872" s="7">
        <v>29.4</v>
      </c>
      <c r="Q1872">
        <v>6</v>
      </c>
      <c r="R1872" t="s">
        <v>60</v>
      </c>
      <c r="S1872">
        <v>9</v>
      </c>
      <c r="T1872">
        <v>259</v>
      </c>
      <c r="U1872" s="11">
        <v>-0.78183148246802991</v>
      </c>
      <c r="V1872" s="11">
        <v>0.62348980185873337</v>
      </c>
      <c r="W1872" s="11">
        <v>-0.96265197471614872</v>
      </c>
      <c r="X1872" s="11">
        <v>-0.2707418984477642</v>
      </c>
      <c r="Y1872">
        <v>1</v>
      </c>
      <c r="Z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6">
        <v>45550</v>
      </c>
      <c r="B1873" t="s">
        <v>41</v>
      </c>
      <c r="C1873" t="s">
        <v>42</v>
      </c>
      <c r="D1873" t="s">
        <v>43</v>
      </c>
      <c r="E1873" t="s">
        <v>44</v>
      </c>
      <c r="F1873">
        <v>85</v>
      </c>
      <c r="G1873">
        <v>210</v>
      </c>
      <c r="H1873">
        <v>126</v>
      </c>
      <c r="I1873">
        <v>57</v>
      </c>
      <c r="J1873" s="8">
        <v>0.6705882352941176</v>
      </c>
      <c r="K1873">
        <v>21</v>
      </c>
      <c r="L1873">
        <v>24</v>
      </c>
      <c r="M1873">
        <v>111</v>
      </c>
      <c r="N1873" s="10">
        <v>551.44000000000005</v>
      </c>
      <c r="O1873" s="7">
        <v>2</v>
      </c>
      <c r="P1873" s="7">
        <v>29.4</v>
      </c>
      <c r="Q1873">
        <v>6</v>
      </c>
      <c r="R1873" t="s">
        <v>60</v>
      </c>
      <c r="S1873">
        <v>9</v>
      </c>
      <c r="T1873">
        <v>259</v>
      </c>
      <c r="U1873" s="11">
        <v>-0.78183148246802991</v>
      </c>
      <c r="V1873" s="11">
        <v>0.62348980185873337</v>
      </c>
      <c r="W1873" s="11">
        <v>-0.96265197471614872</v>
      </c>
      <c r="X1873" s="11">
        <v>-0.2707418984477642</v>
      </c>
      <c r="Y1873">
        <v>1</v>
      </c>
      <c r="Z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6">
        <v>45551</v>
      </c>
      <c r="B1874" t="s">
        <v>31</v>
      </c>
      <c r="C1874" t="s">
        <v>32</v>
      </c>
      <c r="D1874" t="s">
        <v>33</v>
      </c>
      <c r="E1874" t="s">
        <v>34</v>
      </c>
      <c r="F1874">
        <v>140</v>
      </c>
      <c r="G1874">
        <v>360</v>
      </c>
      <c r="H1874">
        <v>166</v>
      </c>
      <c r="I1874">
        <v>72</v>
      </c>
      <c r="J1874" s="8">
        <v>0.51428571428571423</v>
      </c>
      <c r="K1874">
        <v>45</v>
      </c>
      <c r="L1874">
        <v>25</v>
      </c>
      <c r="M1874">
        <v>150</v>
      </c>
      <c r="N1874" s="10">
        <v>446.65</v>
      </c>
      <c r="O1874" s="7">
        <v>0</v>
      </c>
      <c r="P1874" s="7">
        <v>29.3</v>
      </c>
      <c r="Q1874">
        <v>0</v>
      </c>
      <c r="R1874" t="s">
        <v>62</v>
      </c>
      <c r="S1874">
        <v>9</v>
      </c>
      <c r="T1874">
        <v>260</v>
      </c>
      <c r="U1874" s="11">
        <v>0</v>
      </c>
      <c r="V1874" s="11">
        <v>1</v>
      </c>
      <c r="W1874" s="11">
        <v>-0.96716672979773122</v>
      </c>
      <c r="X1874" s="11">
        <v>-0.25414270946136219</v>
      </c>
      <c r="Y1874">
        <v>0</v>
      </c>
      <c r="Z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6">
        <v>45551</v>
      </c>
      <c r="B1875" t="s">
        <v>36</v>
      </c>
      <c r="C1875" t="s">
        <v>37</v>
      </c>
      <c r="D1875" t="s">
        <v>38</v>
      </c>
      <c r="E1875" t="s">
        <v>39</v>
      </c>
      <c r="F1875">
        <v>125</v>
      </c>
      <c r="G1875">
        <v>320</v>
      </c>
      <c r="H1875">
        <v>166</v>
      </c>
      <c r="I1875">
        <v>70</v>
      </c>
      <c r="J1875" s="8">
        <v>0.56000000000000005</v>
      </c>
      <c r="K1875">
        <v>26</v>
      </c>
      <c r="L1875">
        <v>30</v>
      </c>
      <c r="M1875">
        <v>142</v>
      </c>
      <c r="N1875" s="10">
        <v>668.98</v>
      </c>
      <c r="O1875" s="7">
        <v>0</v>
      </c>
      <c r="P1875" s="7">
        <v>29.3</v>
      </c>
      <c r="Q1875">
        <v>0</v>
      </c>
      <c r="R1875" t="s">
        <v>62</v>
      </c>
      <c r="S1875">
        <v>9</v>
      </c>
      <c r="T1875">
        <v>260</v>
      </c>
      <c r="U1875" s="11">
        <v>0</v>
      </c>
      <c r="V1875" s="11">
        <v>1</v>
      </c>
      <c r="W1875" s="11">
        <v>-0.96716672979773122</v>
      </c>
      <c r="X1875" s="11">
        <v>-0.25414270946136219</v>
      </c>
      <c r="Y1875">
        <v>0</v>
      </c>
      <c r="Z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6">
        <v>45551</v>
      </c>
      <c r="B1876" t="s">
        <v>41</v>
      </c>
      <c r="C1876" t="s">
        <v>42</v>
      </c>
      <c r="D1876" t="s">
        <v>43</v>
      </c>
      <c r="E1876" t="s">
        <v>44</v>
      </c>
      <c r="F1876">
        <v>85</v>
      </c>
      <c r="G1876">
        <v>210</v>
      </c>
      <c r="H1876">
        <v>110</v>
      </c>
      <c r="I1876">
        <v>48</v>
      </c>
      <c r="J1876" s="8">
        <v>0.56470588235294117</v>
      </c>
      <c r="K1876">
        <v>25</v>
      </c>
      <c r="L1876">
        <v>28</v>
      </c>
      <c r="M1876">
        <v>103</v>
      </c>
      <c r="N1876" s="10">
        <v>503</v>
      </c>
      <c r="O1876" s="7">
        <v>0</v>
      </c>
      <c r="P1876" s="7">
        <v>29.3</v>
      </c>
      <c r="Q1876">
        <v>0</v>
      </c>
      <c r="R1876" t="s">
        <v>62</v>
      </c>
      <c r="S1876">
        <v>9</v>
      </c>
      <c r="T1876">
        <v>260</v>
      </c>
      <c r="U1876" s="11">
        <v>0</v>
      </c>
      <c r="V1876" s="11">
        <v>1</v>
      </c>
      <c r="W1876" s="11">
        <v>-0.96716672979773122</v>
      </c>
      <c r="X1876" s="11">
        <v>-0.25414270946136219</v>
      </c>
      <c r="Y1876">
        <v>0</v>
      </c>
      <c r="Z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6">
        <v>45552</v>
      </c>
      <c r="B1877" t="s">
        <v>31</v>
      </c>
      <c r="C1877" t="s">
        <v>32</v>
      </c>
      <c r="D1877" t="s">
        <v>33</v>
      </c>
      <c r="E1877" t="s">
        <v>34</v>
      </c>
      <c r="F1877">
        <v>140</v>
      </c>
      <c r="G1877">
        <v>360</v>
      </c>
      <c r="H1877">
        <v>200</v>
      </c>
      <c r="I1877">
        <v>87</v>
      </c>
      <c r="J1877" s="8">
        <v>0.62142857142857144</v>
      </c>
      <c r="K1877">
        <v>22</v>
      </c>
      <c r="L1877">
        <v>51</v>
      </c>
      <c r="M1877">
        <v>164</v>
      </c>
      <c r="N1877" s="10">
        <v>447.61</v>
      </c>
      <c r="O1877" s="7">
        <v>4.7</v>
      </c>
      <c r="P1877" s="7">
        <v>28.6</v>
      </c>
      <c r="Q1877">
        <v>1</v>
      </c>
      <c r="R1877" t="s">
        <v>63</v>
      </c>
      <c r="S1877">
        <v>9</v>
      </c>
      <c r="T1877">
        <v>261</v>
      </c>
      <c r="U1877" s="11">
        <v>0.7818314824680298</v>
      </c>
      <c r="V1877" s="11">
        <v>0.62348980185873359</v>
      </c>
      <c r="W1877" s="11">
        <v>-0.97139528468375003</v>
      </c>
      <c r="X1877" s="11">
        <v>-0.23746831555846842</v>
      </c>
      <c r="Y1877">
        <v>0</v>
      </c>
      <c r="Z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6">
        <v>45552</v>
      </c>
      <c r="B1878" t="s">
        <v>36</v>
      </c>
      <c r="C1878" t="s">
        <v>37</v>
      </c>
      <c r="D1878" t="s">
        <v>38</v>
      </c>
      <c r="E1878" t="s">
        <v>39</v>
      </c>
      <c r="F1878">
        <v>125</v>
      </c>
      <c r="G1878">
        <v>320</v>
      </c>
      <c r="H1878">
        <v>148</v>
      </c>
      <c r="I1878">
        <v>61</v>
      </c>
      <c r="J1878" s="8">
        <v>0.48799999999999999</v>
      </c>
      <c r="K1878">
        <v>26</v>
      </c>
      <c r="L1878">
        <v>38</v>
      </c>
      <c r="M1878">
        <v>120</v>
      </c>
      <c r="N1878" s="10">
        <v>670.75</v>
      </c>
      <c r="O1878" s="7">
        <v>4.7</v>
      </c>
      <c r="P1878" s="7">
        <v>28.6</v>
      </c>
      <c r="Q1878">
        <v>1</v>
      </c>
      <c r="R1878" t="s">
        <v>63</v>
      </c>
      <c r="S1878">
        <v>9</v>
      </c>
      <c r="T1878">
        <v>261</v>
      </c>
      <c r="U1878" s="11">
        <v>0.7818314824680298</v>
      </c>
      <c r="V1878" s="11">
        <v>0.62348980185873359</v>
      </c>
      <c r="W1878" s="11">
        <v>-0.97139528468375003</v>
      </c>
      <c r="X1878" s="11">
        <v>-0.23746831555846842</v>
      </c>
      <c r="Y1878">
        <v>0</v>
      </c>
      <c r="Z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6">
        <v>45552</v>
      </c>
      <c r="B1879" t="s">
        <v>41</v>
      </c>
      <c r="C1879" t="s">
        <v>42</v>
      </c>
      <c r="D1879" t="s">
        <v>43</v>
      </c>
      <c r="E1879" t="s">
        <v>44</v>
      </c>
      <c r="F1879">
        <v>85</v>
      </c>
      <c r="G1879">
        <v>210</v>
      </c>
      <c r="H1879">
        <v>106</v>
      </c>
      <c r="I1879">
        <v>46</v>
      </c>
      <c r="J1879" s="8">
        <v>0.54117647058823526</v>
      </c>
      <c r="K1879">
        <v>17</v>
      </c>
      <c r="L1879">
        <v>16</v>
      </c>
      <c r="M1879">
        <v>96</v>
      </c>
      <c r="N1879" s="10">
        <v>519.96</v>
      </c>
      <c r="O1879" s="7">
        <v>4.7</v>
      </c>
      <c r="P1879" s="7">
        <v>28.6</v>
      </c>
      <c r="Q1879">
        <v>1</v>
      </c>
      <c r="R1879" t="s">
        <v>63</v>
      </c>
      <c r="S1879">
        <v>9</v>
      </c>
      <c r="T1879">
        <v>261</v>
      </c>
      <c r="U1879" s="11">
        <v>0.7818314824680298</v>
      </c>
      <c r="V1879" s="11">
        <v>0.62348980185873359</v>
      </c>
      <c r="W1879" s="11">
        <v>-0.97139528468375003</v>
      </c>
      <c r="X1879" s="11">
        <v>-0.23746831555846842</v>
      </c>
      <c r="Y1879">
        <v>0</v>
      </c>
      <c r="Z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6">
        <v>45553</v>
      </c>
      <c r="B1880" t="s">
        <v>31</v>
      </c>
      <c r="C1880" t="s">
        <v>32</v>
      </c>
      <c r="D1880" t="s">
        <v>33</v>
      </c>
      <c r="E1880" t="s">
        <v>34</v>
      </c>
      <c r="F1880">
        <v>140</v>
      </c>
      <c r="G1880">
        <v>360</v>
      </c>
      <c r="H1880">
        <v>179</v>
      </c>
      <c r="I1880">
        <v>75</v>
      </c>
      <c r="J1880" s="8">
        <v>0.5357142857142857</v>
      </c>
      <c r="K1880">
        <v>48</v>
      </c>
      <c r="L1880">
        <v>31</v>
      </c>
      <c r="M1880">
        <v>160</v>
      </c>
      <c r="N1880" s="10">
        <v>446.87</v>
      </c>
      <c r="O1880" s="7">
        <v>0</v>
      </c>
      <c r="P1880" s="7">
        <v>29.9</v>
      </c>
      <c r="Q1880">
        <v>2</v>
      </c>
      <c r="R1880" t="s">
        <v>64</v>
      </c>
      <c r="S1880">
        <v>9</v>
      </c>
      <c r="T1880">
        <v>262</v>
      </c>
      <c r="U1880" s="11">
        <v>0.97492791218182362</v>
      </c>
      <c r="V1880" s="11">
        <v>-0.22252093395631434</v>
      </c>
      <c r="W1880" s="11">
        <v>-0.97533638807678369</v>
      </c>
      <c r="X1880" s="11">
        <v>-0.2207236509605022</v>
      </c>
      <c r="Y1880">
        <v>0</v>
      </c>
      <c r="Z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6">
        <v>45553</v>
      </c>
      <c r="B1881" t="s">
        <v>36</v>
      </c>
      <c r="C1881" t="s">
        <v>37</v>
      </c>
      <c r="D1881" t="s">
        <v>38</v>
      </c>
      <c r="E1881" t="s">
        <v>39</v>
      </c>
      <c r="F1881">
        <v>125</v>
      </c>
      <c r="G1881">
        <v>320</v>
      </c>
      <c r="H1881">
        <v>154</v>
      </c>
      <c r="I1881">
        <v>66</v>
      </c>
      <c r="J1881" s="8">
        <v>0.52800000000000002</v>
      </c>
      <c r="K1881">
        <v>27</v>
      </c>
      <c r="L1881">
        <v>33</v>
      </c>
      <c r="M1881">
        <v>142</v>
      </c>
      <c r="N1881" s="10">
        <v>563.54999999999995</v>
      </c>
      <c r="O1881" s="7">
        <v>0</v>
      </c>
      <c r="P1881" s="7">
        <v>29.9</v>
      </c>
      <c r="Q1881">
        <v>2</v>
      </c>
      <c r="R1881" t="s">
        <v>64</v>
      </c>
      <c r="S1881">
        <v>9</v>
      </c>
      <c r="T1881">
        <v>262</v>
      </c>
      <c r="U1881" s="11">
        <v>0.97492791218182362</v>
      </c>
      <c r="V1881" s="11">
        <v>-0.22252093395631434</v>
      </c>
      <c r="W1881" s="11">
        <v>-0.97533638807678369</v>
      </c>
      <c r="X1881" s="11">
        <v>-0.2207236509605022</v>
      </c>
      <c r="Y1881">
        <v>0</v>
      </c>
      <c r="Z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6">
        <v>45553</v>
      </c>
      <c r="B1882" t="s">
        <v>41</v>
      </c>
      <c r="C1882" t="s">
        <v>42</v>
      </c>
      <c r="D1882" t="s">
        <v>43</v>
      </c>
      <c r="E1882" t="s">
        <v>44</v>
      </c>
      <c r="F1882">
        <v>85</v>
      </c>
      <c r="G1882">
        <v>210</v>
      </c>
      <c r="H1882">
        <v>108</v>
      </c>
      <c r="I1882">
        <v>47</v>
      </c>
      <c r="J1882" s="8">
        <v>0.55294117647058827</v>
      </c>
      <c r="K1882">
        <v>25</v>
      </c>
      <c r="L1882">
        <v>11</v>
      </c>
      <c r="M1882">
        <v>91</v>
      </c>
      <c r="N1882" s="10">
        <v>534.55999999999995</v>
      </c>
      <c r="O1882" s="7">
        <v>0</v>
      </c>
      <c r="P1882" s="7">
        <v>29.9</v>
      </c>
      <c r="Q1882">
        <v>2</v>
      </c>
      <c r="R1882" t="s">
        <v>64</v>
      </c>
      <c r="S1882">
        <v>9</v>
      </c>
      <c r="T1882">
        <v>262</v>
      </c>
      <c r="U1882" s="11">
        <v>0.97492791218182362</v>
      </c>
      <c r="V1882" s="11">
        <v>-0.22252093395631434</v>
      </c>
      <c r="W1882" s="11">
        <v>-0.97533638807678369</v>
      </c>
      <c r="X1882" s="11">
        <v>-0.2207236509605022</v>
      </c>
      <c r="Y1882">
        <v>0</v>
      </c>
      <c r="Z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6">
        <v>45554</v>
      </c>
      <c r="B1883" t="s">
        <v>31</v>
      </c>
      <c r="C1883" t="s">
        <v>32</v>
      </c>
      <c r="D1883" t="s">
        <v>33</v>
      </c>
      <c r="E1883" t="s">
        <v>34</v>
      </c>
      <c r="F1883">
        <v>140</v>
      </c>
      <c r="G1883">
        <v>360</v>
      </c>
      <c r="H1883">
        <v>182</v>
      </c>
      <c r="I1883">
        <v>74</v>
      </c>
      <c r="J1883" s="8">
        <v>0.52857142857142858</v>
      </c>
      <c r="K1883">
        <v>33</v>
      </c>
      <c r="L1883">
        <v>52</v>
      </c>
      <c r="M1883">
        <v>156</v>
      </c>
      <c r="N1883" s="10">
        <v>429.18</v>
      </c>
      <c r="O1883" s="7">
        <v>4</v>
      </c>
      <c r="P1883" s="7">
        <v>28.1</v>
      </c>
      <c r="Q1883">
        <v>3</v>
      </c>
      <c r="R1883" t="s">
        <v>65</v>
      </c>
      <c r="S1883">
        <v>9</v>
      </c>
      <c r="T1883">
        <v>263</v>
      </c>
      <c r="U1883" s="11">
        <v>0.43388373911755823</v>
      </c>
      <c r="V1883" s="11">
        <v>-0.90096886790241903</v>
      </c>
      <c r="W1883" s="11">
        <v>-0.97898887374093191</v>
      </c>
      <c r="X1883" s="11">
        <v>-0.20391367068311472</v>
      </c>
      <c r="Y1883">
        <v>0</v>
      </c>
      <c r="Z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6">
        <v>45554</v>
      </c>
      <c r="B1884" t="s">
        <v>36</v>
      </c>
      <c r="C1884" t="s">
        <v>37</v>
      </c>
      <c r="D1884" t="s">
        <v>38</v>
      </c>
      <c r="E1884" t="s">
        <v>39</v>
      </c>
      <c r="F1884">
        <v>125</v>
      </c>
      <c r="G1884">
        <v>320</v>
      </c>
      <c r="H1884">
        <v>160</v>
      </c>
      <c r="I1884">
        <v>68</v>
      </c>
      <c r="J1884" s="8">
        <v>0.54400000000000004</v>
      </c>
      <c r="K1884">
        <v>34</v>
      </c>
      <c r="L1884">
        <v>36</v>
      </c>
      <c r="M1884">
        <v>141</v>
      </c>
      <c r="N1884" s="10">
        <v>676.92</v>
      </c>
      <c r="O1884" s="7">
        <v>4</v>
      </c>
      <c r="P1884" s="7">
        <v>28.1</v>
      </c>
      <c r="Q1884">
        <v>3</v>
      </c>
      <c r="R1884" t="s">
        <v>65</v>
      </c>
      <c r="S1884">
        <v>9</v>
      </c>
      <c r="T1884">
        <v>263</v>
      </c>
      <c r="U1884" s="11">
        <v>0.43388373911755823</v>
      </c>
      <c r="V1884" s="11">
        <v>-0.90096886790241903</v>
      </c>
      <c r="W1884" s="11">
        <v>-0.97898887374093191</v>
      </c>
      <c r="X1884" s="11">
        <v>-0.20391367068311472</v>
      </c>
      <c r="Y1884">
        <v>0</v>
      </c>
      <c r="Z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6">
        <v>45554</v>
      </c>
      <c r="B1885" t="s">
        <v>41</v>
      </c>
      <c r="C1885" t="s">
        <v>42</v>
      </c>
      <c r="D1885" t="s">
        <v>43</v>
      </c>
      <c r="E1885" t="s">
        <v>44</v>
      </c>
      <c r="F1885">
        <v>85</v>
      </c>
      <c r="G1885">
        <v>210</v>
      </c>
      <c r="H1885">
        <v>120</v>
      </c>
      <c r="I1885">
        <v>53</v>
      </c>
      <c r="J1885" s="8">
        <v>0.62352941176470589</v>
      </c>
      <c r="K1885">
        <v>24</v>
      </c>
      <c r="L1885">
        <v>34</v>
      </c>
      <c r="M1885">
        <v>107</v>
      </c>
      <c r="N1885" s="10">
        <v>530.09</v>
      </c>
      <c r="O1885" s="7">
        <v>4</v>
      </c>
      <c r="P1885" s="7">
        <v>28.1</v>
      </c>
      <c r="Q1885">
        <v>3</v>
      </c>
      <c r="R1885" t="s">
        <v>65</v>
      </c>
      <c r="S1885">
        <v>9</v>
      </c>
      <c r="T1885">
        <v>263</v>
      </c>
      <c r="U1885" s="11">
        <v>0.43388373911755823</v>
      </c>
      <c r="V1885" s="11">
        <v>-0.90096886790241903</v>
      </c>
      <c r="W1885" s="11">
        <v>-0.97898887374093191</v>
      </c>
      <c r="X1885" s="11">
        <v>-0.20391367068311472</v>
      </c>
      <c r="Y1885">
        <v>0</v>
      </c>
      <c r="Z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6">
        <v>45555</v>
      </c>
      <c r="B1886" t="s">
        <v>31</v>
      </c>
      <c r="C1886" t="s">
        <v>32</v>
      </c>
      <c r="D1886" t="s">
        <v>33</v>
      </c>
      <c r="E1886" t="s">
        <v>34</v>
      </c>
      <c r="F1886">
        <v>140</v>
      </c>
      <c r="G1886">
        <v>360</v>
      </c>
      <c r="H1886">
        <v>164</v>
      </c>
      <c r="I1886">
        <v>73</v>
      </c>
      <c r="J1886" s="8">
        <v>0.52142857142857146</v>
      </c>
      <c r="K1886">
        <v>15</v>
      </c>
      <c r="L1886">
        <v>33</v>
      </c>
      <c r="M1886">
        <v>145</v>
      </c>
      <c r="N1886" s="10">
        <v>403.26</v>
      </c>
      <c r="O1886" s="7">
        <v>1.8</v>
      </c>
      <c r="P1886" s="7">
        <v>29.9</v>
      </c>
      <c r="Q1886">
        <v>4</v>
      </c>
      <c r="R1886" t="s">
        <v>66</v>
      </c>
      <c r="S1886">
        <v>9</v>
      </c>
      <c r="T1886">
        <v>264</v>
      </c>
      <c r="U1886" s="11">
        <v>-0.43388373911755801</v>
      </c>
      <c r="V1886" s="11">
        <v>-0.90096886790241915</v>
      </c>
      <c r="W1886" s="11">
        <v>-0.98235166084692371</v>
      </c>
      <c r="X1886" s="11">
        <v>-0.18704334906991657</v>
      </c>
      <c r="Y1886">
        <v>0</v>
      </c>
      <c r="Z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6">
        <v>45555</v>
      </c>
      <c r="B1887" t="s">
        <v>36</v>
      </c>
      <c r="C1887" t="s">
        <v>37</v>
      </c>
      <c r="D1887" t="s">
        <v>38</v>
      </c>
      <c r="E1887" t="s">
        <v>39</v>
      </c>
      <c r="F1887">
        <v>125</v>
      </c>
      <c r="G1887">
        <v>320</v>
      </c>
      <c r="H1887">
        <v>158</v>
      </c>
      <c r="I1887">
        <v>64</v>
      </c>
      <c r="J1887" s="8">
        <v>0.51200000000000001</v>
      </c>
      <c r="K1887">
        <v>30</v>
      </c>
      <c r="L1887">
        <v>21</v>
      </c>
      <c r="M1887">
        <v>131</v>
      </c>
      <c r="N1887" s="10">
        <v>617.92999999999995</v>
      </c>
      <c r="O1887" s="7">
        <v>1.8</v>
      </c>
      <c r="P1887" s="7">
        <v>29.9</v>
      </c>
      <c r="Q1887">
        <v>4</v>
      </c>
      <c r="R1887" t="s">
        <v>66</v>
      </c>
      <c r="S1887">
        <v>9</v>
      </c>
      <c r="T1887">
        <v>264</v>
      </c>
      <c r="U1887" s="11">
        <v>-0.43388373911755801</v>
      </c>
      <c r="V1887" s="11">
        <v>-0.90096886790241915</v>
      </c>
      <c r="W1887" s="11">
        <v>-0.98235166084692371</v>
      </c>
      <c r="X1887" s="11">
        <v>-0.18704334906991657</v>
      </c>
      <c r="Y1887">
        <v>0</v>
      </c>
      <c r="Z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6">
        <v>45555</v>
      </c>
      <c r="B1888" t="s">
        <v>41</v>
      </c>
      <c r="C1888" t="s">
        <v>42</v>
      </c>
      <c r="D1888" t="s">
        <v>43</v>
      </c>
      <c r="E1888" t="s">
        <v>44</v>
      </c>
      <c r="F1888">
        <v>85</v>
      </c>
      <c r="G1888">
        <v>210</v>
      </c>
      <c r="H1888">
        <v>127</v>
      </c>
      <c r="I1888">
        <v>58</v>
      </c>
      <c r="J1888" s="8">
        <v>0.68235294117647061</v>
      </c>
      <c r="K1888">
        <v>27</v>
      </c>
      <c r="L1888">
        <v>18</v>
      </c>
      <c r="M1888">
        <v>112</v>
      </c>
      <c r="N1888" s="10">
        <v>503.54</v>
      </c>
      <c r="O1888" s="7">
        <v>1.8</v>
      </c>
      <c r="P1888" s="7">
        <v>29.9</v>
      </c>
      <c r="Q1888">
        <v>4</v>
      </c>
      <c r="R1888" t="s">
        <v>66</v>
      </c>
      <c r="S1888">
        <v>9</v>
      </c>
      <c r="T1888">
        <v>264</v>
      </c>
      <c r="U1888" s="11">
        <v>-0.43388373911755801</v>
      </c>
      <c r="V1888" s="11">
        <v>-0.90096886790241915</v>
      </c>
      <c r="W1888" s="11">
        <v>-0.98235166084692371</v>
      </c>
      <c r="X1888" s="11">
        <v>-0.18704334906991657</v>
      </c>
      <c r="Y1888">
        <v>0</v>
      </c>
      <c r="Z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6">
        <v>45556</v>
      </c>
      <c r="B1889" t="s">
        <v>31</v>
      </c>
      <c r="C1889" t="s">
        <v>32</v>
      </c>
      <c r="D1889" t="s">
        <v>33</v>
      </c>
      <c r="E1889" t="s">
        <v>34</v>
      </c>
      <c r="F1889">
        <v>140</v>
      </c>
      <c r="G1889">
        <v>360</v>
      </c>
      <c r="H1889">
        <v>201</v>
      </c>
      <c r="I1889">
        <v>83</v>
      </c>
      <c r="J1889" s="8">
        <v>0.59285714285714286</v>
      </c>
      <c r="K1889">
        <v>40</v>
      </c>
      <c r="L1889">
        <v>44</v>
      </c>
      <c r="M1889">
        <v>180</v>
      </c>
      <c r="N1889" s="10">
        <v>462.36</v>
      </c>
      <c r="O1889" s="7">
        <v>4</v>
      </c>
      <c r="P1889" s="7">
        <v>29.7</v>
      </c>
      <c r="Q1889">
        <v>5</v>
      </c>
      <c r="R1889" t="s">
        <v>67</v>
      </c>
      <c r="S1889">
        <v>9</v>
      </c>
      <c r="T1889">
        <v>265</v>
      </c>
      <c r="U1889" s="11">
        <v>-0.97492791218182362</v>
      </c>
      <c r="V1889" s="11">
        <v>-0.22252093395631459</v>
      </c>
      <c r="W1889" s="11">
        <v>-0.98542375429195239</v>
      </c>
      <c r="X1889" s="11">
        <v>-0.17011767832049052</v>
      </c>
      <c r="Y1889">
        <v>1</v>
      </c>
      <c r="Z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6">
        <v>45556</v>
      </c>
      <c r="B1890" t="s">
        <v>36</v>
      </c>
      <c r="C1890" t="s">
        <v>37</v>
      </c>
      <c r="D1890" t="s">
        <v>38</v>
      </c>
      <c r="E1890" t="s">
        <v>39</v>
      </c>
      <c r="F1890">
        <v>125</v>
      </c>
      <c r="G1890">
        <v>320</v>
      </c>
      <c r="H1890">
        <v>196</v>
      </c>
      <c r="I1890">
        <v>80</v>
      </c>
      <c r="J1890" s="8">
        <v>0.64</v>
      </c>
      <c r="K1890">
        <v>40</v>
      </c>
      <c r="L1890">
        <v>53</v>
      </c>
      <c r="M1890">
        <v>158</v>
      </c>
      <c r="N1890" s="10">
        <v>722.43</v>
      </c>
      <c r="O1890" s="7">
        <v>4</v>
      </c>
      <c r="P1890" s="7">
        <v>29.7</v>
      </c>
      <c r="Q1890">
        <v>5</v>
      </c>
      <c r="R1890" t="s">
        <v>67</v>
      </c>
      <c r="S1890">
        <v>9</v>
      </c>
      <c r="T1890">
        <v>265</v>
      </c>
      <c r="U1890" s="11">
        <v>-0.97492791218182362</v>
      </c>
      <c r="V1890" s="11">
        <v>-0.22252093395631459</v>
      </c>
      <c r="W1890" s="11">
        <v>-0.98542375429195239</v>
      </c>
      <c r="X1890" s="11">
        <v>-0.17011767832049052</v>
      </c>
      <c r="Y1890">
        <v>1</v>
      </c>
      <c r="Z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6">
        <v>45556</v>
      </c>
      <c r="B1891" t="s">
        <v>41</v>
      </c>
      <c r="C1891" t="s">
        <v>42</v>
      </c>
      <c r="D1891" t="s">
        <v>43</v>
      </c>
      <c r="E1891" t="s">
        <v>44</v>
      </c>
      <c r="F1891">
        <v>85</v>
      </c>
      <c r="G1891">
        <v>210</v>
      </c>
      <c r="H1891">
        <v>145</v>
      </c>
      <c r="I1891">
        <v>64</v>
      </c>
      <c r="J1891" s="8">
        <v>0.75294117647058822</v>
      </c>
      <c r="K1891">
        <v>30</v>
      </c>
      <c r="L1891">
        <v>15</v>
      </c>
      <c r="M1891">
        <v>133</v>
      </c>
      <c r="N1891" s="10">
        <v>630.24</v>
      </c>
      <c r="O1891" s="7">
        <v>4</v>
      </c>
      <c r="P1891" s="7">
        <v>29.7</v>
      </c>
      <c r="Q1891">
        <v>5</v>
      </c>
      <c r="R1891" t="s">
        <v>67</v>
      </c>
      <c r="S1891">
        <v>9</v>
      </c>
      <c r="T1891">
        <v>265</v>
      </c>
      <c r="U1891" s="11">
        <v>-0.97492791218182362</v>
      </c>
      <c r="V1891" s="11">
        <v>-0.22252093395631459</v>
      </c>
      <c r="W1891" s="11">
        <v>-0.98542375429195239</v>
      </c>
      <c r="X1891" s="11">
        <v>-0.17011767832049052</v>
      </c>
      <c r="Y1891">
        <v>1</v>
      </c>
      <c r="Z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6">
        <v>45557</v>
      </c>
      <c r="B1892" t="s">
        <v>31</v>
      </c>
      <c r="C1892" t="s">
        <v>32</v>
      </c>
      <c r="D1892" t="s">
        <v>33</v>
      </c>
      <c r="E1892" t="s">
        <v>34</v>
      </c>
      <c r="F1892">
        <v>140</v>
      </c>
      <c r="G1892">
        <v>360</v>
      </c>
      <c r="H1892">
        <v>215</v>
      </c>
      <c r="I1892">
        <v>92</v>
      </c>
      <c r="J1892" s="8">
        <v>0.65714285714285714</v>
      </c>
      <c r="K1892">
        <v>60</v>
      </c>
      <c r="L1892">
        <v>46</v>
      </c>
      <c r="M1892">
        <v>173</v>
      </c>
      <c r="N1892" s="10">
        <v>446.27</v>
      </c>
      <c r="O1892" s="7">
        <v>3.1</v>
      </c>
      <c r="P1892" s="7">
        <v>29.3</v>
      </c>
      <c r="Q1892">
        <v>6</v>
      </c>
      <c r="R1892" t="s">
        <v>60</v>
      </c>
      <c r="S1892">
        <v>9</v>
      </c>
      <c r="T1892">
        <v>266</v>
      </c>
      <c r="U1892" s="11">
        <v>-0.78183148246802991</v>
      </c>
      <c r="V1892" s="11">
        <v>0.62348980185873337</v>
      </c>
      <c r="W1892" s="11">
        <v>-0.98820424499414217</v>
      </c>
      <c r="X1892" s="11">
        <v>-0.15314166701312007</v>
      </c>
      <c r="Y1892">
        <v>1</v>
      </c>
      <c r="Z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6">
        <v>45557</v>
      </c>
      <c r="B1893" t="s">
        <v>36</v>
      </c>
      <c r="C1893" t="s">
        <v>37</v>
      </c>
      <c r="D1893" t="s">
        <v>38</v>
      </c>
      <c r="E1893" t="s">
        <v>39</v>
      </c>
      <c r="F1893">
        <v>125</v>
      </c>
      <c r="G1893">
        <v>320</v>
      </c>
      <c r="H1893">
        <v>199</v>
      </c>
      <c r="I1893">
        <v>81</v>
      </c>
      <c r="J1893" s="8">
        <v>0.64800000000000002</v>
      </c>
      <c r="K1893">
        <v>26</v>
      </c>
      <c r="L1893">
        <v>23</v>
      </c>
      <c r="M1893">
        <v>173</v>
      </c>
      <c r="N1893" s="10">
        <v>713.04</v>
      </c>
      <c r="O1893" s="7">
        <v>3.1</v>
      </c>
      <c r="P1893" s="7">
        <v>29.3</v>
      </c>
      <c r="Q1893">
        <v>6</v>
      </c>
      <c r="R1893" t="s">
        <v>60</v>
      </c>
      <c r="S1893">
        <v>9</v>
      </c>
      <c r="T1893">
        <v>266</v>
      </c>
      <c r="U1893" s="11">
        <v>-0.78183148246802991</v>
      </c>
      <c r="V1893" s="11">
        <v>0.62348980185873337</v>
      </c>
      <c r="W1893" s="11">
        <v>-0.98820424499414217</v>
      </c>
      <c r="X1893" s="11">
        <v>-0.15314166701312007</v>
      </c>
      <c r="Y1893">
        <v>1</v>
      </c>
      <c r="Z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6">
        <v>45557</v>
      </c>
      <c r="B1894" t="s">
        <v>41</v>
      </c>
      <c r="C1894" t="s">
        <v>42</v>
      </c>
      <c r="D1894" t="s">
        <v>43</v>
      </c>
      <c r="E1894" t="s">
        <v>44</v>
      </c>
      <c r="F1894">
        <v>85</v>
      </c>
      <c r="G1894">
        <v>210</v>
      </c>
      <c r="H1894">
        <v>141</v>
      </c>
      <c r="I1894">
        <v>61</v>
      </c>
      <c r="J1894" s="8">
        <v>0.71764705882352942</v>
      </c>
      <c r="K1894">
        <v>26</v>
      </c>
      <c r="L1894">
        <v>20</v>
      </c>
      <c r="M1894">
        <v>120</v>
      </c>
      <c r="N1894" s="10">
        <v>536.91999999999996</v>
      </c>
      <c r="O1894" s="7">
        <v>3.1</v>
      </c>
      <c r="P1894" s="7">
        <v>29.3</v>
      </c>
      <c r="Q1894">
        <v>6</v>
      </c>
      <c r="R1894" t="s">
        <v>60</v>
      </c>
      <c r="S1894">
        <v>9</v>
      </c>
      <c r="T1894">
        <v>266</v>
      </c>
      <c r="U1894" s="11">
        <v>-0.78183148246802991</v>
      </c>
      <c r="V1894" s="11">
        <v>0.62348980185873337</v>
      </c>
      <c r="W1894" s="11">
        <v>-0.98820424499414217</v>
      </c>
      <c r="X1894" s="11">
        <v>-0.15314166701312007</v>
      </c>
      <c r="Y1894">
        <v>1</v>
      </c>
      <c r="Z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6">
        <v>45558</v>
      </c>
      <c r="B1895" t="s">
        <v>31</v>
      </c>
      <c r="C1895" t="s">
        <v>32</v>
      </c>
      <c r="D1895" t="s">
        <v>33</v>
      </c>
      <c r="E1895" t="s">
        <v>34</v>
      </c>
      <c r="F1895">
        <v>140</v>
      </c>
      <c r="G1895">
        <v>360</v>
      </c>
      <c r="H1895">
        <v>183</v>
      </c>
      <c r="I1895">
        <v>79</v>
      </c>
      <c r="J1895" s="8">
        <v>0.56428571428571428</v>
      </c>
      <c r="K1895">
        <v>27</v>
      </c>
      <c r="L1895">
        <v>47</v>
      </c>
      <c r="M1895">
        <v>158</v>
      </c>
      <c r="N1895" s="10">
        <v>458.07</v>
      </c>
      <c r="O1895" s="7">
        <v>0.5</v>
      </c>
      <c r="P1895" s="7">
        <v>29.5</v>
      </c>
      <c r="Q1895">
        <v>0</v>
      </c>
      <c r="R1895" t="s">
        <v>62</v>
      </c>
      <c r="S1895">
        <v>9</v>
      </c>
      <c r="T1895">
        <v>267</v>
      </c>
      <c r="U1895" s="11">
        <v>0</v>
      </c>
      <c r="V1895" s="11">
        <v>1</v>
      </c>
      <c r="W1895" s="11">
        <v>-0.9906923101615609</v>
      </c>
      <c r="X1895" s="11">
        <v>-0.13612033862266704</v>
      </c>
      <c r="Y1895">
        <v>0</v>
      </c>
      <c r="Z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6">
        <v>45558</v>
      </c>
      <c r="B1896" t="s">
        <v>36</v>
      </c>
      <c r="C1896" t="s">
        <v>37</v>
      </c>
      <c r="D1896" t="s">
        <v>38</v>
      </c>
      <c r="E1896" t="s">
        <v>39</v>
      </c>
      <c r="F1896">
        <v>125</v>
      </c>
      <c r="G1896">
        <v>320</v>
      </c>
      <c r="H1896">
        <v>158</v>
      </c>
      <c r="I1896">
        <v>68</v>
      </c>
      <c r="J1896" s="8">
        <v>0.54400000000000004</v>
      </c>
      <c r="K1896">
        <v>35</v>
      </c>
      <c r="L1896">
        <v>25</v>
      </c>
      <c r="M1896">
        <v>142</v>
      </c>
      <c r="N1896" s="10">
        <v>657.24</v>
      </c>
      <c r="O1896" s="7">
        <v>0.5</v>
      </c>
      <c r="P1896" s="7">
        <v>29.5</v>
      </c>
      <c r="Q1896">
        <v>0</v>
      </c>
      <c r="R1896" t="s">
        <v>62</v>
      </c>
      <c r="S1896">
        <v>9</v>
      </c>
      <c r="T1896">
        <v>267</v>
      </c>
      <c r="U1896" s="11">
        <v>0</v>
      </c>
      <c r="V1896" s="11">
        <v>1</v>
      </c>
      <c r="W1896" s="11">
        <v>-0.9906923101615609</v>
      </c>
      <c r="X1896" s="11">
        <v>-0.13612033862266704</v>
      </c>
      <c r="Y1896">
        <v>0</v>
      </c>
      <c r="Z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6">
        <v>45558</v>
      </c>
      <c r="B1897" t="s">
        <v>41</v>
      </c>
      <c r="C1897" t="s">
        <v>42</v>
      </c>
      <c r="D1897" t="s">
        <v>43</v>
      </c>
      <c r="E1897" t="s">
        <v>44</v>
      </c>
      <c r="F1897">
        <v>85</v>
      </c>
      <c r="G1897">
        <v>210</v>
      </c>
      <c r="H1897">
        <v>107</v>
      </c>
      <c r="I1897">
        <v>48</v>
      </c>
      <c r="J1897" s="8">
        <v>0.56470588235294117</v>
      </c>
      <c r="K1897">
        <v>19</v>
      </c>
      <c r="L1897">
        <v>21</v>
      </c>
      <c r="M1897">
        <v>86</v>
      </c>
      <c r="N1897" s="10">
        <v>482.63</v>
      </c>
      <c r="O1897" s="7">
        <v>0.5</v>
      </c>
      <c r="P1897" s="7">
        <v>29.5</v>
      </c>
      <c r="Q1897">
        <v>0</v>
      </c>
      <c r="R1897" t="s">
        <v>62</v>
      </c>
      <c r="S1897">
        <v>9</v>
      </c>
      <c r="T1897">
        <v>267</v>
      </c>
      <c r="U1897" s="11">
        <v>0</v>
      </c>
      <c r="V1897" s="11">
        <v>1</v>
      </c>
      <c r="W1897" s="11">
        <v>-0.9906923101615609</v>
      </c>
      <c r="X1897" s="11">
        <v>-0.13612033862266704</v>
      </c>
      <c r="Y1897">
        <v>0</v>
      </c>
      <c r="Z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6">
        <v>45559</v>
      </c>
      <c r="B1898" t="s">
        <v>31</v>
      </c>
      <c r="C1898" t="s">
        <v>32</v>
      </c>
      <c r="D1898" t="s">
        <v>33</v>
      </c>
      <c r="E1898" t="s">
        <v>34</v>
      </c>
      <c r="F1898">
        <v>140</v>
      </c>
      <c r="G1898">
        <v>360</v>
      </c>
      <c r="H1898">
        <v>187</v>
      </c>
      <c r="I1898">
        <v>78</v>
      </c>
      <c r="J1898" s="8">
        <v>0.55714285714285716</v>
      </c>
      <c r="K1898">
        <v>46</v>
      </c>
      <c r="L1898">
        <v>46</v>
      </c>
      <c r="M1898">
        <v>170</v>
      </c>
      <c r="N1898" s="10">
        <v>401.42</v>
      </c>
      <c r="O1898" s="7">
        <v>0</v>
      </c>
      <c r="P1898" s="7">
        <v>28.9</v>
      </c>
      <c r="Q1898">
        <v>1</v>
      </c>
      <c r="R1898" t="s">
        <v>63</v>
      </c>
      <c r="S1898">
        <v>9</v>
      </c>
      <c r="T1898">
        <v>268</v>
      </c>
      <c r="U1898" s="11">
        <v>0.7818314824680298</v>
      </c>
      <c r="V1898" s="11">
        <v>0.62348980185873359</v>
      </c>
      <c r="W1898" s="11">
        <v>-0.9928872135356962</v>
      </c>
      <c r="X1898" s="11">
        <v>-0.11905873003404988</v>
      </c>
      <c r="Y1898">
        <v>0</v>
      </c>
      <c r="Z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6">
        <v>45559</v>
      </c>
      <c r="B1899" t="s">
        <v>36</v>
      </c>
      <c r="C1899" t="s">
        <v>37</v>
      </c>
      <c r="D1899" t="s">
        <v>38</v>
      </c>
      <c r="E1899" t="s">
        <v>39</v>
      </c>
      <c r="F1899">
        <v>125</v>
      </c>
      <c r="G1899">
        <v>320</v>
      </c>
      <c r="H1899">
        <v>161</v>
      </c>
      <c r="I1899">
        <v>67</v>
      </c>
      <c r="J1899" s="8">
        <v>0.53600000000000003</v>
      </c>
      <c r="K1899">
        <v>29</v>
      </c>
      <c r="L1899">
        <v>35</v>
      </c>
      <c r="M1899">
        <v>148</v>
      </c>
      <c r="N1899" s="10">
        <v>645.16999999999996</v>
      </c>
      <c r="O1899" s="7">
        <v>0</v>
      </c>
      <c r="P1899" s="7">
        <v>28.9</v>
      </c>
      <c r="Q1899">
        <v>1</v>
      </c>
      <c r="R1899" t="s">
        <v>63</v>
      </c>
      <c r="S1899">
        <v>9</v>
      </c>
      <c r="T1899">
        <v>268</v>
      </c>
      <c r="U1899" s="11">
        <v>0.7818314824680298</v>
      </c>
      <c r="V1899" s="11">
        <v>0.62348980185873359</v>
      </c>
      <c r="W1899" s="11">
        <v>-0.9928872135356962</v>
      </c>
      <c r="X1899" s="11">
        <v>-0.11905873003404988</v>
      </c>
      <c r="Y1899">
        <v>0</v>
      </c>
      <c r="Z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6">
        <v>45559</v>
      </c>
      <c r="B1900" t="s">
        <v>41</v>
      </c>
      <c r="C1900" t="s">
        <v>42</v>
      </c>
      <c r="D1900" t="s">
        <v>43</v>
      </c>
      <c r="E1900" t="s">
        <v>44</v>
      </c>
      <c r="F1900">
        <v>85</v>
      </c>
      <c r="G1900">
        <v>210</v>
      </c>
      <c r="H1900">
        <v>118</v>
      </c>
      <c r="I1900">
        <v>51</v>
      </c>
      <c r="J1900" s="8">
        <v>0.6</v>
      </c>
      <c r="K1900">
        <v>21</v>
      </c>
      <c r="L1900">
        <v>28</v>
      </c>
      <c r="M1900">
        <v>98</v>
      </c>
      <c r="N1900" s="10">
        <v>564.38</v>
      </c>
      <c r="O1900" s="7">
        <v>0</v>
      </c>
      <c r="P1900" s="7">
        <v>28.9</v>
      </c>
      <c r="Q1900">
        <v>1</v>
      </c>
      <c r="R1900" t="s">
        <v>63</v>
      </c>
      <c r="S1900">
        <v>9</v>
      </c>
      <c r="T1900">
        <v>268</v>
      </c>
      <c r="U1900" s="11">
        <v>0.7818314824680298</v>
      </c>
      <c r="V1900" s="11">
        <v>0.62348980185873359</v>
      </c>
      <c r="W1900" s="11">
        <v>-0.9928872135356962</v>
      </c>
      <c r="X1900" s="11">
        <v>-0.11905873003404988</v>
      </c>
      <c r="Y1900">
        <v>0</v>
      </c>
      <c r="Z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6">
        <v>45560</v>
      </c>
      <c r="B1901" t="s">
        <v>31</v>
      </c>
      <c r="C1901" t="s">
        <v>32</v>
      </c>
      <c r="D1901" t="s">
        <v>33</v>
      </c>
      <c r="E1901" t="s">
        <v>34</v>
      </c>
      <c r="F1901">
        <v>140</v>
      </c>
      <c r="G1901">
        <v>360</v>
      </c>
      <c r="H1901">
        <v>153</v>
      </c>
      <c r="I1901">
        <v>69</v>
      </c>
      <c r="J1901" s="8">
        <v>0.49285714285714288</v>
      </c>
      <c r="K1901">
        <v>39</v>
      </c>
      <c r="L1901">
        <v>27</v>
      </c>
      <c r="M1901">
        <v>136</v>
      </c>
      <c r="N1901" s="10">
        <v>417.21</v>
      </c>
      <c r="O1901" s="7">
        <v>2.4</v>
      </c>
      <c r="P1901" s="7">
        <v>29</v>
      </c>
      <c r="Q1901">
        <v>2</v>
      </c>
      <c r="R1901" t="s">
        <v>64</v>
      </c>
      <c r="S1901">
        <v>9</v>
      </c>
      <c r="T1901">
        <v>269</v>
      </c>
      <c r="U1901" s="11">
        <v>0.97492791218182362</v>
      </c>
      <c r="V1901" s="11">
        <v>-0.22252093395631434</v>
      </c>
      <c r="W1901" s="11">
        <v>-0.99478830560932696</v>
      </c>
      <c r="X1901" s="11">
        <v>-0.10196189005174576</v>
      </c>
      <c r="Y1901">
        <v>0</v>
      </c>
      <c r="Z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6">
        <v>45560</v>
      </c>
      <c r="B1902" t="s">
        <v>36</v>
      </c>
      <c r="C1902" t="s">
        <v>37</v>
      </c>
      <c r="D1902" t="s">
        <v>38</v>
      </c>
      <c r="E1902" t="s">
        <v>39</v>
      </c>
      <c r="F1902">
        <v>125</v>
      </c>
      <c r="G1902">
        <v>320</v>
      </c>
      <c r="H1902">
        <v>142</v>
      </c>
      <c r="I1902">
        <v>59</v>
      </c>
      <c r="J1902" s="8">
        <v>0.47199999999999998</v>
      </c>
      <c r="K1902">
        <v>13</v>
      </c>
      <c r="L1902">
        <v>35</v>
      </c>
      <c r="M1902">
        <v>121</v>
      </c>
      <c r="N1902" s="10">
        <v>603.72</v>
      </c>
      <c r="O1902" s="7">
        <v>2.4</v>
      </c>
      <c r="P1902" s="7">
        <v>29</v>
      </c>
      <c r="Q1902">
        <v>2</v>
      </c>
      <c r="R1902" t="s">
        <v>64</v>
      </c>
      <c r="S1902">
        <v>9</v>
      </c>
      <c r="T1902">
        <v>269</v>
      </c>
      <c r="U1902" s="11">
        <v>0.97492791218182362</v>
      </c>
      <c r="V1902" s="11">
        <v>-0.22252093395631434</v>
      </c>
      <c r="W1902" s="11">
        <v>-0.99478830560932696</v>
      </c>
      <c r="X1902" s="11">
        <v>-0.10196189005174576</v>
      </c>
      <c r="Y1902">
        <v>0</v>
      </c>
      <c r="Z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6">
        <v>45560</v>
      </c>
      <c r="B1903" t="s">
        <v>41</v>
      </c>
      <c r="C1903" t="s">
        <v>42</v>
      </c>
      <c r="D1903" t="s">
        <v>43</v>
      </c>
      <c r="E1903" t="s">
        <v>44</v>
      </c>
      <c r="F1903">
        <v>85</v>
      </c>
      <c r="G1903">
        <v>210</v>
      </c>
      <c r="H1903">
        <v>116</v>
      </c>
      <c r="I1903">
        <v>48</v>
      </c>
      <c r="J1903" s="8">
        <v>0.56470588235294117</v>
      </c>
      <c r="K1903">
        <v>20</v>
      </c>
      <c r="L1903">
        <v>28</v>
      </c>
      <c r="M1903">
        <v>102</v>
      </c>
      <c r="N1903" s="10">
        <v>568.65</v>
      </c>
      <c r="O1903" s="7">
        <v>2.4</v>
      </c>
      <c r="P1903" s="7">
        <v>29</v>
      </c>
      <c r="Q1903">
        <v>2</v>
      </c>
      <c r="R1903" t="s">
        <v>64</v>
      </c>
      <c r="S1903">
        <v>9</v>
      </c>
      <c r="T1903">
        <v>269</v>
      </c>
      <c r="U1903" s="11">
        <v>0.97492791218182362</v>
      </c>
      <c r="V1903" s="11">
        <v>-0.22252093395631434</v>
      </c>
      <c r="W1903" s="11">
        <v>-0.99478830560932696</v>
      </c>
      <c r="X1903" s="11">
        <v>-0.10196189005174576</v>
      </c>
      <c r="Y1903">
        <v>0</v>
      </c>
      <c r="Z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6">
        <v>45561</v>
      </c>
      <c r="B1904" t="s">
        <v>31</v>
      </c>
      <c r="C1904" t="s">
        <v>32</v>
      </c>
      <c r="D1904" t="s">
        <v>33</v>
      </c>
      <c r="E1904" t="s">
        <v>34</v>
      </c>
      <c r="F1904">
        <v>140</v>
      </c>
      <c r="G1904">
        <v>360</v>
      </c>
      <c r="H1904">
        <v>193</v>
      </c>
      <c r="I1904">
        <v>81</v>
      </c>
      <c r="J1904" s="8">
        <v>0.57857142857142863</v>
      </c>
      <c r="K1904">
        <v>33</v>
      </c>
      <c r="L1904">
        <v>38</v>
      </c>
      <c r="M1904">
        <v>174</v>
      </c>
      <c r="N1904" s="10">
        <v>436.72</v>
      </c>
      <c r="O1904" s="7">
        <v>0</v>
      </c>
      <c r="P1904" s="7">
        <v>28.8</v>
      </c>
      <c r="Q1904">
        <v>3</v>
      </c>
      <c r="R1904" t="s">
        <v>65</v>
      </c>
      <c r="S1904">
        <v>9</v>
      </c>
      <c r="T1904">
        <v>270</v>
      </c>
      <c r="U1904" s="11">
        <v>0.43388373911755823</v>
      </c>
      <c r="V1904" s="11">
        <v>-0.90096886790241903</v>
      </c>
      <c r="W1904" s="11">
        <v>-0.99639502381872314</v>
      </c>
      <c r="X1904" s="11">
        <v>-8.4834877905765382E-2</v>
      </c>
      <c r="Y1904">
        <v>0</v>
      </c>
      <c r="Z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6">
        <v>45561</v>
      </c>
      <c r="B1905" t="s">
        <v>36</v>
      </c>
      <c r="C1905" t="s">
        <v>37</v>
      </c>
      <c r="D1905" t="s">
        <v>38</v>
      </c>
      <c r="E1905" t="s">
        <v>39</v>
      </c>
      <c r="F1905">
        <v>125</v>
      </c>
      <c r="G1905">
        <v>320</v>
      </c>
      <c r="H1905">
        <v>143</v>
      </c>
      <c r="I1905">
        <v>59</v>
      </c>
      <c r="J1905" s="8">
        <v>0.47199999999999998</v>
      </c>
      <c r="K1905">
        <v>41</v>
      </c>
      <c r="L1905">
        <v>36</v>
      </c>
      <c r="M1905">
        <v>120</v>
      </c>
      <c r="N1905" s="10">
        <v>631.91</v>
      </c>
      <c r="O1905" s="7">
        <v>0</v>
      </c>
      <c r="P1905" s="7">
        <v>28.8</v>
      </c>
      <c r="Q1905">
        <v>3</v>
      </c>
      <c r="R1905" t="s">
        <v>65</v>
      </c>
      <c r="S1905">
        <v>9</v>
      </c>
      <c r="T1905">
        <v>270</v>
      </c>
      <c r="U1905" s="11">
        <v>0.43388373911755823</v>
      </c>
      <c r="V1905" s="11">
        <v>-0.90096886790241903</v>
      </c>
      <c r="W1905" s="11">
        <v>-0.99639502381872314</v>
      </c>
      <c r="X1905" s="11">
        <v>-8.4834877905765382E-2</v>
      </c>
      <c r="Y1905">
        <v>0</v>
      </c>
      <c r="Z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6">
        <v>45561</v>
      </c>
      <c r="B1906" t="s">
        <v>41</v>
      </c>
      <c r="C1906" t="s">
        <v>42</v>
      </c>
      <c r="D1906" t="s">
        <v>43</v>
      </c>
      <c r="E1906" t="s">
        <v>44</v>
      </c>
      <c r="F1906">
        <v>85</v>
      </c>
      <c r="G1906">
        <v>210</v>
      </c>
      <c r="H1906">
        <v>117</v>
      </c>
      <c r="I1906">
        <v>55</v>
      </c>
      <c r="J1906" s="8">
        <v>0.6470588235294118</v>
      </c>
      <c r="K1906">
        <v>27</v>
      </c>
      <c r="L1906">
        <v>15</v>
      </c>
      <c r="M1906">
        <v>96</v>
      </c>
      <c r="N1906" s="10">
        <v>497.78</v>
      </c>
      <c r="O1906" s="7">
        <v>0</v>
      </c>
      <c r="P1906" s="7">
        <v>28.8</v>
      </c>
      <c r="Q1906">
        <v>3</v>
      </c>
      <c r="R1906" t="s">
        <v>65</v>
      </c>
      <c r="S1906">
        <v>9</v>
      </c>
      <c r="T1906">
        <v>270</v>
      </c>
      <c r="U1906" s="11">
        <v>0.43388373911755823</v>
      </c>
      <c r="V1906" s="11">
        <v>-0.90096886790241903</v>
      </c>
      <c r="W1906" s="11">
        <v>-0.99639502381872314</v>
      </c>
      <c r="X1906" s="11">
        <v>-8.4834877905765382E-2</v>
      </c>
      <c r="Y1906">
        <v>0</v>
      </c>
      <c r="Z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6">
        <v>45562</v>
      </c>
      <c r="B1907" t="s">
        <v>31</v>
      </c>
      <c r="C1907" t="s">
        <v>32</v>
      </c>
      <c r="D1907" t="s">
        <v>33</v>
      </c>
      <c r="E1907" t="s">
        <v>34</v>
      </c>
      <c r="F1907">
        <v>140</v>
      </c>
      <c r="G1907">
        <v>360</v>
      </c>
      <c r="H1907">
        <v>173</v>
      </c>
      <c r="I1907">
        <v>72</v>
      </c>
      <c r="J1907" s="8">
        <v>0.51428571428571423</v>
      </c>
      <c r="K1907">
        <v>29</v>
      </c>
      <c r="L1907">
        <v>36</v>
      </c>
      <c r="M1907">
        <v>154</v>
      </c>
      <c r="N1907" s="10">
        <v>429.31</v>
      </c>
      <c r="O1907" s="7">
        <v>0</v>
      </c>
      <c r="P1907" s="7">
        <v>29.6</v>
      </c>
      <c r="Q1907">
        <v>4</v>
      </c>
      <c r="R1907" t="s">
        <v>66</v>
      </c>
      <c r="S1907">
        <v>9</v>
      </c>
      <c r="T1907">
        <v>271</v>
      </c>
      <c r="U1907" s="11">
        <v>-0.43388373911755801</v>
      </c>
      <c r="V1907" s="11">
        <v>-0.90096886790241915</v>
      </c>
      <c r="W1907" s="11">
        <v>-0.99770689271011681</v>
      </c>
      <c r="X1907" s="11">
        <v>-6.7682761754551624E-2</v>
      </c>
      <c r="Y1907">
        <v>0</v>
      </c>
      <c r="Z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6">
        <v>45562</v>
      </c>
      <c r="B1908" t="s">
        <v>36</v>
      </c>
      <c r="C1908" t="s">
        <v>37</v>
      </c>
      <c r="D1908" t="s">
        <v>38</v>
      </c>
      <c r="E1908" t="s">
        <v>39</v>
      </c>
      <c r="F1908">
        <v>125</v>
      </c>
      <c r="G1908">
        <v>320</v>
      </c>
      <c r="H1908">
        <v>142</v>
      </c>
      <c r="I1908">
        <v>62</v>
      </c>
      <c r="J1908" s="8">
        <v>0.496</v>
      </c>
      <c r="K1908">
        <v>38</v>
      </c>
      <c r="L1908">
        <v>28</v>
      </c>
      <c r="M1908">
        <v>126</v>
      </c>
      <c r="N1908" s="10">
        <v>636.01</v>
      </c>
      <c r="O1908" s="7">
        <v>0</v>
      </c>
      <c r="P1908" s="7">
        <v>29.6</v>
      </c>
      <c r="Q1908">
        <v>4</v>
      </c>
      <c r="R1908" t="s">
        <v>66</v>
      </c>
      <c r="S1908">
        <v>9</v>
      </c>
      <c r="T1908">
        <v>271</v>
      </c>
      <c r="U1908" s="11">
        <v>-0.43388373911755801</v>
      </c>
      <c r="V1908" s="11">
        <v>-0.90096886790241915</v>
      </c>
      <c r="W1908" s="11">
        <v>-0.99770689271011681</v>
      </c>
      <c r="X1908" s="11">
        <v>-6.7682761754551624E-2</v>
      </c>
      <c r="Y1908">
        <v>0</v>
      </c>
      <c r="Z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6">
        <v>45562</v>
      </c>
      <c r="B1909" t="s">
        <v>41</v>
      </c>
      <c r="C1909" t="s">
        <v>42</v>
      </c>
      <c r="D1909" t="s">
        <v>43</v>
      </c>
      <c r="E1909" t="s">
        <v>44</v>
      </c>
      <c r="F1909">
        <v>85</v>
      </c>
      <c r="G1909">
        <v>210</v>
      </c>
      <c r="H1909">
        <v>116</v>
      </c>
      <c r="I1909">
        <v>51</v>
      </c>
      <c r="J1909" s="8">
        <v>0.6</v>
      </c>
      <c r="K1909">
        <v>13</v>
      </c>
      <c r="L1909">
        <v>14</v>
      </c>
      <c r="M1909">
        <v>93</v>
      </c>
      <c r="N1909" s="10">
        <v>482.51</v>
      </c>
      <c r="O1909" s="7">
        <v>0</v>
      </c>
      <c r="P1909" s="7">
        <v>29.6</v>
      </c>
      <c r="Q1909">
        <v>4</v>
      </c>
      <c r="R1909" t="s">
        <v>66</v>
      </c>
      <c r="S1909">
        <v>9</v>
      </c>
      <c r="T1909">
        <v>271</v>
      </c>
      <c r="U1909" s="11">
        <v>-0.43388373911755801</v>
      </c>
      <c r="V1909" s="11">
        <v>-0.90096886790241915</v>
      </c>
      <c r="W1909" s="11">
        <v>-0.99770689271011681</v>
      </c>
      <c r="X1909" s="11">
        <v>-6.7682761754551624E-2</v>
      </c>
      <c r="Y1909">
        <v>0</v>
      </c>
      <c r="Z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6">
        <v>45563</v>
      </c>
      <c r="B1910" t="s">
        <v>31</v>
      </c>
      <c r="C1910" t="s">
        <v>32</v>
      </c>
      <c r="D1910" t="s">
        <v>33</v>
      </c>
      <c r="E1910" t="s">
        <v>34</v>
      </c>
      <c r="F1910">
        <v>140</v>
      </c>
      <c r="G1910">
        <v>360</v>
      </c>
      <c r="H1910">
        <v>193</v>
      </c>
      <c r="I1910">
        <v>82</v>
      </c>
      <c r="J1910" s="8">
        <v>0.58571428571428574</v>
      </c>
      <c r="K1910">
        <v>34</v>
      </c>
      <c r="L1910">
        <v>30</v>
      </c>
      <c r="M1910">
        <v>156</v>
      </c>
      <c r="N1910" s="10">
        <v>455</v>
      </c>
      <c r="O1910" s="7">
        <v>0</v>
      </c>
      <c r="P1910" s="7">
        <v>29.1</v>
      </c>
      <c r="Q1910">
        <v>5</v>
      </c>
      <c r="R1910" t="s">
        <v>67</v>
      </c>
      <c r="S1910">
        <v>9</v>
      </c>
      <c r="T1910">
        <v>272</v>
      </c>
      <c r="U1910" s="11">
        <v>-0.97492791218182362</v>
      </c>
      <c r="V1910" s="11">
        <v>-0.22252093395631459</v>
      </c>
      <c r="W1910" s="11">
        <v>-0.99872352408039722</v>
      </c>
      <c r="X1910" s="11">
        <v>-5.0510617185222886E-2</v>
      </c>
      <c r="Y1910">
        <v>1</v>
      </c>
      <c r="Z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6">
        <v>45563</v>
      </c>
      <c r="B1911" t="s">
        <v>36</v>
      </c>
      <c r="C1911" t="s">
        <v>37</v>
      </c>
      <c r="D1911" t="s">
        <v>38</v>
      </c>
      <c r="E1911" t="s">
        <v>39</v>
      </c>
      <c r="F1911">
        <v>125</v>
      </c>
      <c r="G1911">
        <v>320</v>
      </c>
      <c r="H1911">
        <v>186</v>
      </c>
      <c r="I1911">
        <v>76</v>
      </c>
      <c r="J1911" s="8">
        <v>0.60799999999999998</v>
      </c>
      <c r="K1911">
        <v>31</v>
      </c>
      <c r="L1911">
        <v>28</v>
      </c>
      <c r="M1911">
        <v>157</v>
      </c>
      <c r="N1911" s="10">
        <v>690.22</v>
      </c>
      <c r="O1911" s="7">
        <v>0</v>
      </c>
      <c r="P1911" s="7">
        <v>29.1</v>
      </c>
      <c r="Q1911">
        <v>5</v>
      </c>
      <c r="R1911" t="s">
        <v>67</v>
      </c>
      <c r="S1911">
        <v>9</v>
      </c>
      <c r="T1911">
        <v>272</v>
      </c>
      <c r="U1911" s="11">
        <v>-0.97492791218182362</v>
      </c>
      <c r="V1911" s="11">
        <v>-0.22252093395631459</v>
      </c>
      <c r="W1911" s="11">
        <v>-0.99872352408039722</v>
      </c>
      <c r="X1911" s="11">
        <v>-5.0510617185222886E-2</v>
      </c>
      <c r="Y1911">
        <v>1</v>
      </c>
      <c r="Z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6">
        <v>45563</v>
      </c>
      <c r="B1912" t="s">
        <v>41</v>
      </c>
      <c r="C1912" t="s">
        <v>42</v>
      </c>
      <c r="D1912" t="s">
        <v>43</v>
      </c>
      <c r="E1912" t="s">
        <v>44</v>
      </c>
      <c r="F1912">
        <v>85</v>
      </c>
      <c r="G1912">
        <v>210</v>
      </c>
      <c r="H1912">
        <v>131</v>
      </c>
      <c r="I1912">
        <v>58</v>
      </c>
      <c r="J1912" s="8">
        <v>0.68235294117647061</v>
      </c>
      <c r="K1912">
        <v>25</v>
      </c>
      <c r="L1912">
        <v>20</v>
      </c>
      <c r="M1912">
        <v>108</v>
      </c>
      <c r="N1912" s="10">
        <v>579.70000000000005</v>
      </c>
      <c r="O1912" s="7">
        <v>0</v>
      </c>
      <c r="P1912" s="7">
        <v>29.1</v>
      </c>
      <c r="Q1912">
        <v>5</v>
      </c>
      <c r="R1912" t="s">
        <v>67</v>
      </c>
      <c r="S1912">
        <v>9</v>
      </c>
      <c r="T1912">
        <v>272</v>
      </c>
      <c r="U1912" s="11">
        <v>-0.97492791218182362</v>
      </c>
      <c r="V1912" s="11">
        <v>-0.22252093395631459</v>
      </c>
      <c r="W1912" s="11">
        <v>-0.99872352408039722</v>
      </c>
      <c r="X1912" s="11">
        <v>-5.0510617185222886E-2</v>
      </c>
      <c r="Y1912">
        <v>1</v>
      </c>
      <c r="Z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6">
        <v>45564</v>
      </c>
      <c r="B1913" t="s">
        <v>31</v>
      </c>
      <c r="C1913" t="s">
        <v>32</v>
      </c>
      <c r="D1913" t="s">
        <v>33</v>
      </c>
      <c r="E1913" t="s">
        <v>34</v>
      </c>
      <c r="F1913">
        <v>140</v>
      </c>
      <c r="G1913">
        <v>360</v>
      </c>
      <c r="H1913">
        <v>183</v>
      </c>
      <c r="I1913">
        <v>78</v>
      </c>
      <c r="J1913" s="8">
        <v>0.55714285714285716</v>
      </c>
      <c r="K1913">
        <v>25</v>
      </c>
      <c r="L1913">
        <v>19</v>
      </c>
      <c r="M1913">
        <v>161</v>
      </c>
      <c r="N1913" s="10">
        <v>438.69</v>
      </c>
      <c r="O1913" s="7">
        <v>1.9</v>
      </c>
      <c r="P1913" s="7">
        <v>29.8</v>
      </c>
      <c r="Q1913">
        <v>6</v>
      </c>
      <c r="R1913" t="s">
        <v>60</v>
      </c>
      <c r="S1913">
        <v>9</v>
      </c>
      <c r="T1913">
        <v>273</v>
      </c>
      <c r="U1913" s="11">
        <v>-0.78183148246802991</v>
      </c>
      <c r="V1913" s="11">
        <v>0.62348980185873337</v>
      </c>
      <c r="W1913" s="11">
        <v>-0.99944461709198584</v>
      </c>
      <c r="X1913" s="11">
        <v>-3.3323525711631344E-2</v>
      </c>
      <c r="Y1913">
        <v>1</v>
      </c>
      <c r="Z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6">
        <v>45564</v>
      </c>
      <c r="B1914" t="s">
        <v>36</v>
      </c>
      <c r="C1914" t="s">
        <v>37</v>
      </c>
      <c r="D1914" t="s">
        <v>38</v>
      </c>
      <c r="E1914" t="s">
        <v>39</v>
      </c>
      <c r="F1914">
        <v>125</v>
      </c>
      <c r="G1914">
        <v>320</v>
      </c>
      <c r="H1914">
        <v>204</v>
      </c>
      <c r="I1914">
        <v>83</v>
      </c>
      <c r="J1914" s="8">
        <v>0.66400000000000003</v>
      </c>
      <c r="K1914">
        <v>32</v>
      </c>
      <c r="L1914">
        <v>36</v>
      </c>
      <c r="M1914">
        <v>190</v>
      </c>
      <c r="N1914" s="10">
        <v>752.18</v>
      </c>
      <c r="O1914" s="7">
        <v>1.9</v>
      </c>
      <c r="P1914" s="7">
        <v>29.8</v>
      </c>
      <c r="Q1914">
        <v>6</v>
      </c>
      <c r="R1914" t="s">
        <v>60</v>
      </c>
      <c r="S1914">
        <v>9</v>
      </c>
      <c r="T1914">
        <v>273</v>
      </c>
      <c r="U1914" s="11">
        <v>-0.78183148246802991</v>
      </c>
      <c r="V1914" s="11">
        <v>0.62348980185873337</v>
      </c>
      <c r="W1914" s="11">
        <v>-0.99944461709198584</v>
      </c>
      <c r="X1914" s="11">
        <v>-3.3323525711631344E-2</v>
      </c>
      <c r="Y1914">
        <v>1</v>
      </c>
      <c r="Z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6">
        <v>45564</v>
      </c>
      <c r="B1915" t="s">
        <v>41</v>
      </c>
      <c r="C1915" t="s">
        <v>42</v>
      </c>
      <c r="D1915" t="s">
        <v>43</v>
      </c>
      <c r="E1915" t="s">
        <v>44</v>
      </c>
      <c r="F1915">
        <v>85</v>
      </c>
      <c r="G1915">
        <v>210</v>
      </c>
      <c r="H1915">
        <v>135</v>
      </c>
      <c r="I1915">
        <v>61</v>
      </c>
      <c r="J1915" s="8">
        <v>0.71764705882352942</v>
      </c>
      <c r="K1915">
        <v>21</v>
      </c>
      <c r="L1915">
        <v>36</v>
      </c>
      <c r="M1915">
        <v>113</v>
      </c>
      <c r="N1915" s="10">
        <v>578.61</v>
      </c>
      <c r="O1915" s="7">
        <v>1.9</v>
      </c>
      <c r="P1915" s="7">
        <v>29.8</v>
      </c>
      <c r="Q1915">
        <v>6</v>
      </c>
      <c r="R1915" t="s">
        <v>60</v>
      </c>
      <c r="S1915">
        <v>9</v>
      </c>
      <c r="T1915">
        <v>273</v>
      </c>
      <c r="U1915" s="11">
        <v>-0.78183148246802991</v>
      </c>
      <c r="V1915" s="11">
        <v>0.62348980185873337</v>
      </c>
      <c r="W1915" s="11">
        <v>-0.99944461709198584</v>
      </c>
      <c r="X1915" s="11">
        <v>-3.3323525711631344E-2</v>
      </c>
      <c r="Y1915">
        <v>1</v>
      </c>
      <c r="Z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6">
        <v>45565</v>
      </c>
      <c r="B1916" t="s">
        <v>31</v>
      </c>
      <c r="C1916" t="s">
        <v>32</v>
      </c>
      <c r="D1916" t="s">
        <v>33</v>
      </c>
      <c r="E1916" t="s">
        <v>34</v>
      </c>
      <c r="F1916">
        <v>140</v>
      </c>
      <c r="G1916">
        <v>360</v>
      </c>
      <c r="H1916">
        <v>168</v>
      </c>
      <c r="I1916">
        <v>74</v>
      </c>
      <c r="J1916" s="8">
        <v>0.52857142857142858</v>
      </c>
      <c r="K1916">
        <v>28</v>
      </c>
      <c r="L1916">
        <v>31</v>
      </c>
      <c r="M1916">
        <v>140</v>
      </c>
      <c r="N1916" s="10">
        <v>406.7</v>
      </c>
      <c r="O1916" s="7">
        <v>0.3</v>
      </c>
      <c r="P1916" s="7">
        <v>29.4</v>
      </c>
      <c r="Q1916">
        <v>0</v>
      </c>
      <c r="R1916" t="s">
        <v>62</v>
      </c>
      <c r="S1916">
        <v>9</v>
      </c>
      <c r="T1916">
        <v>274</v>
      </c>
      <c r="U1916" s="11">
        <v>0</v>
      </c>
      <c r="V1916" s="11">
        <v>1</v>
      </c>
      <c r="W1916" s="11">
        <v>-0.99986995836185921</v>
      </c>
      <c r="X1916" s="11">
        <v>-1.6126573270657762E-2</v>
      </c>
      <c r="Y1916">
        <v>0</v>
      </c>
      <c r="Z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6">
        <v>45565</v>
      </c>
      <c r="B1917" t="s">
        <v>36</v>
      </c>
      <c r="C1917" t="s">
        <v>37</v>
      </c>
      <c r="D1917" t="s">
        <v>38</v>
      </c>
      <c r="E1917" t="s">
        <v>39</v>
      </c>
      <c r="F1917">
        <v>125</v>
      </c>
      <c r="G1917">
        <v>320</v>
      </c>
      <c r="H1917">
        <v>155</v>
      </c>
      <c r="I1917">
        <v>64</v>
      </c>
      <c r="J1917" s="8">
        <v>0.51200000000000001</v>
      </c>
      <c r="K1917">
        <v>35</v>
      </c>
      <c r="L1917">
        <v>32</v>
      </c>
      <c r="M1917">
        <v>127</v>
      </c>
      <c r="N1917" s="10">
        <v>621.46</v>
      </c>
      <c r="O1917" s="7">
        <v>0.3</v>
      </c>
      <c r="P1917" s="7">
        <v>29.4</v>
      </c>
      <c r="Q1917">
        <v>0</v>
      </c>
      <c r="R1917" t="s">
        <v>62</v>
      </c>
      <c r="S1917">
        <v>9</v>
      </c>
      <c r="T1917">
        <v>274</v>
      </c>
      <c r="U1917" s="11">
        <v>0</v>
      </c>
      <c r="V1917" s="11">
        <v>1</v>
      </c>
      <c r="W1917" s="11">
        <v>-0.99986995836185921</v>
      </c>
      <c r="X1917" s="11">
        <v>-1.6126573270657762E-2</v>
      </c>
      <c r="Y1917">
        <v>0</v>
      </c>
      <c r="Z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6">
        <v>45565</v>
      </c>
      <c r="B1918" t="s">
        <v>41</v>
      </c>
      <c r="C1918" t="s">
        <v>42</v>
      </c>
      <c r="D1918" t="s">
        <v>43</v>
      </c>
      <c r="E1918" t="s">
        <v>44</v>
      </c>
      <c r="F1918">
        <v>85</v>
      </c>
      <c r="G1918">
        <v>210</v>
      </c>
      <c r="H1918">
        <v>118</v>
      </c>
      <c r="I1918">
        <v>50</v>
      </c>
      <c r="J1918" s="8">
        <v>0.58823529411764708</v>
      </c>
      <c r="K1918">
        <v>22</v>
      </c>
      <c r="L1918">
        <v>24</v>
      </c>
      <c r="M1918">
        <v>95</v>
      </c>
      <c r="N1918" s="10">
        <v>485.34</v>
      </c>
      <c r="O1918" s="7">
        <v>0.3</v>
      </c>
      <c r="P1918" s="7">
        <v>29.4</v>
      </c>
      <c r="Q1918">
        <v>0</v>
      </c>
      <c r="R1918" t="s">
        <v>62</v>
      </c>
      <c r="S1918">
        <v>9</v>
      </c>
      <c r="T1918">
        <v>274</v>
      </c>
      <c r="U1918" s="11">
        <v>0</v>
      </c>
      <c r="V1918" s="11">
        <v>1</v>
      </c>
      <c r="W1918" s="11">
        <v>-0.99986995836185921</v>
      </c>
      <c r="X1918" s="11">
        <v>-1.6126573270657762E-2</v>
      </c>
      <c r="Y1918">
        <v>0</v>
      </c>
      <c r="Z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6">
        <v>45566</v>
      </c>
      <c r="B1919" t="s">
        <v>31</v>
      </c>
      <c r="C1919" t="s">
        <v>32</v>
      </c>
      <c r="D1919" t="s">
        <v>33</v>
      </c>
      <c r="E1919" t="s">
        <v>34</v>
      </c>
      <c r="F1919">
        <v>140</v>
      </c>
      <c r="G1919">
        <v>360</v>
      </c>
      <c r="H1919">
        <v>175</v>
      </c>
      <c r="I1919">
        <v>76</v>
      </c>
      <c r="J1919" s="8">
        <v>0.54285714285714282</v>
      </c>
      <c r="K1919">
        <v>28</v>
      </c>
      <c r="L1919">
        <v>45</v>
      </c>
      <c r="M1919">
        <v>150</v>
      </c>
      <c r="N1919" s="10">
        <v>394.65</v>
      </c>
      <c r="O1919" s="7">
        <v>1.8</v>
      </c>
      <c r="P1919" s="7">
        <v>29.7</v>
      </c>
      <c r="Q1919">
        <v>1</v>
      </c>
      <c r="R1919" t="s">
        <v>63</v>
      </c>
      <c r="S1919">
        <v>10</v>
      </c>
      <c r="T1919">
        <v>275</v>
      </c>
      <c r="U1919" s="11">
        <v>0.7818314824680298</v>
      </c>
      <c r="V1919" s="11">
        <v>0.62348980185873359</v>
      </c>
      <c r="W1919" s="11">
        <v>-0.9999994220246925</v>
      </c>
      <c r="X1919" s="11">
        <v>1.0751512827982259E-3</v>
      </c>
      <c r="Y1919">
        <v>0</v>
      </c>
      <c r="Z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6">
        <v>45566</v>
      </c>
      <c r="B1920" t="s">
        <v>36</v>
      </c>
      <c r="C1920" t="s">
        <v>37</v>
      </c>
      <c r="D1920" t="s">
        <v>38</v>
      </c>
      <c r="E1920" t="s">
        <v>39</v>
      </c>
      <c r="F1920">
        <v>125</v>
      </c>
      <c r="G1920">
        <v>320</v>
      </c>
      <c r="H1920">
        <v>160</v>
      </c>
      <c r="I1920">
        <v>69</v>
      </c>
      <c r="J1920" s="8">
        <v>0.55200000000000005</v>
      </c>
      <c r="K1920">
        <v>46</v>
      </c>
      <c r="L1920">
        <v>30</v>
      </c>
      <c r="M1920">
        <v>148</v>
      </c>
      <c r="N1920" s="10">
        <v>642.03</v>
      </c>
      <c r="O1920" s="7">
        <v>1.8</v>
      </c>
      <c r="P1920" s="7">
        <v>29.7</v>
      </c>
      <c r="Q1920">
        <v>1</v>
      </c>
      <c r="R1920" t="s">
        <v>63</v>
      </c>
      <c r="S1920">
        <v>10</v>
      </c>
      <c r="T1920">
        <v>275</v>
      </c>
      <c r="U1920" s="11">
        <v>0.7818314824680298</v>
      </c>
      <c r="V1920" s="11">
        <v>0.62348980185873359</v>
      </c>
      <c r="W1920" s="11">
        <v>-0.9999994220246925</v>
      </c>
      <c r="X1920" s="11">
        <v>1.0751512827982259E-3</v>
      </c>
      <c r="Y1920">
        <v>0</v>
      </c>
      <c r="Z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6">
        <v>45566</v>
      </c>
      <c r="B1921" t="s">
        <v>41</v>
      </c>
      <c r="C1921" t="s">
        <v>42</v>
      </c>
      <c r="D1921" t="s">
        <v>43</v>
      </c>
      <c r="E1921" t="s">
        <v>44</v>
      </c>
      <c r="F1921">
        <v>85</v>
      </c>
      <c r="G1921">
        <v>210</v>
      </c>
      <c r="H1921">
        <v>121</v>
      </c>
      <c r="I1921">
        <v>54</v>
      </c>
      <c r="J1921" s="8">
        <v>0.63529411764705879</v>
      </c>
      <c r="K1921">
        <v>26</v>
      </c>
      <c r="L1921">
        <v>30</v>
      </c>
      <c r="M1921">
        <v>99</v>
      </c>
      <c r="N1921" s="10">
        <v>486.94</v>
      </c>
      <c r="O1921" s="7">
        <v>1.8</v>
      </c>
      <c r="P1921" s="7">
        <v>29.7</v>
      </c>
      <c r="Q1921">
        <v>1</v>
      </c>
      <c r="R1921" t="s">
        <v>63</v>
      </c>
      <c r="S1921">
        <v>10</v>
      </c>
      <c r="T1921">
        <v>275</v>
      </c>
      <c r="U1921" s="11">
        <v>0.7818314824680298</v>
      </c>
      <c r="V1921" s="11">
        <v>0.62348980185873359</v>
      </c>
      <c r="W1921" s="11">
        <v>-0.9999994220246925</v>
      </c>
      <c r="X1921" s="11">
        <v>1.0751512827982259E-3</v>
      </c>
      <c r="Y1921">
        <v>0</v>
      </c>
      <c r="Z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6">
        <v>45567</v>
      </c>
      <c r="B1922" t="s">
        <v>31</v>
      </c>
      <c r="C1922" t="s">
        <v>32</v>
      </c>
      <c r="D1922" t="s">
        <v>33</v>
      </c>
      <c r="E1922" t="s">
        <v>34</v>
      </c>
      <c r="F1922">
        <v>140</v>
      </c>
      <c r="G1922">
        <v>360</v>
      </c>
      <c r="H1922">
        <v>170</v>
      </c>
      <c r="I1922">
        <v>72</v>
      </c>
      <c r="J1922" s="8">
        <v>0.51428571428571423</v>
      </c>
      <c r="K1922">
        <v>28</v>
      </c>
      <c r="L1922">
        <v>36</v>
      </c>
      <c r="M1922">
        <v>143</v>
      </c>
      <c r="N1922" s="10">
        <v>451.49</v>
      </c>
      <c r="O1922" s="7">
        <v>1.7</v>
      </c>
      <c r="P1922" s="7">
        <v>30.2</v>
      </c>
      <c r="Q1922">
        <v>2</v>
      </c>
      <c r="R1922" t="s">
        <v>64</v>
      </c>
      <c r="S1922">
        <v>10</v>
      </c>
      <c r="T1922">
        <v>276</v>
      </c>
      <c r="U1922" s="11">
        <v>0.97492791218182362</v>
      </c>
      <c r="V1922" s="11">
        <v>-0.22252093395631434</v>
      </c>
      <c r="W1922" s="11">
        <v>-0.99983296977010505</v>
      </c>
      <c r="X1922" s="11">
        <v>1.8276557681691223E-2</v>
      </c>
      <c r="Y1922">
        <v>0</v>
      </c>
      <c r="Z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6">
        <v>45567</v>
      </c>
      <c r="B1923" t="s">
        <v>36</v>
      </c>
      <c r="C1923" t="s">
        <v>37</v>
      </c>
      <c r="D1923" t="s">
        <v>38</v>
      </c>
      <c r="E1923" t="s">
        <v>39</v>
      </c>
      <c r="F1923">
        <v>125</v>
      </c>
      <c r="G1923">
        <v>320</v>
      </c>
      <c r="H1923">
        <v>157</v>
      </c>
      <c r="I1923">
        <v>65</v>
      </c>
      <c r="J1923" s="8">
        <v>0.52</v>
      </c>
      <c r="K1923">
        <v>28</v>
      </c>
      <c r="L1923">
        <v>23</v>
      </c>
      <c r="M1923">
        <v>142</v>
      </c>
      <c r="N1923" s="10">
        <v>619.23</v>
      </c>
      <c r="O1923" s="7">
        <v>1.7</v>
      </c>
      <c r="P1923" s="7">
        <v>30.2</v>
      </c>
      <c r="Q1923">
        <v>2</v>
      </c>
      <c r="R1923" t="s">
        <v>64</v>
      </c>
      <c r="S1923">
        <v>10</v>
      </c>
      <c r="T1923">
        <v>276</v>
      </c>
      <c r="U1923" s="11">
        <v>0.97492791218182362</v>
      </c>
      <c r="V1923" s="11">
        <v>-0.22252093395631434</v>
      </c>
      <c r="W1923" s="11">
        <v>-0.99983296977010505</v>
      </c>
      <c r="X1923" s="11">
        <v>1.8276557681691223E-2</v>
      </c>
      <c r="Y1923">
        <v>0</v>
      </c>
      <c r="Z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6">
        <v>45567</v>
      </c>
      <c r="B1924" t="s">
        <v>41</v>
      </c>
      <c r="C1924" t="s">
        <v>42</v>
      </c>
      <c r="D1924" t="s">
        <v>43</v>
      </c>
      <c r="E1924" t="s">
        <v>44</v>
      </c>
      <c r="F1924">
        <v>85</v>
      </c>
      <c r="G1924">
        <v>210</v>
      </c>
      <c r="H1924">
        <v>103</v>
      </c>
      <c r="I1924">
        <v>48</v>
      </c>
      <c r="J1924" s="8">
        <v>0.56470588235294117</v>
      </c>
      <c r="K1924">
        <v>19</v>
      </c>
      <c r="L1924">
        <v>13</v>
      </c>
      <c r="M1924">
        <v>84</v>
      </c>
      <c r="N1924" s="10">
        <v>492.11</v>
      </c>
      <c r="O1924" s="7">
        <v>1.7</v>
      </c>
      <c r="P1924" s="7">
        <v>30.2</v>
      </c>
      <c r="Q1924">
        <v>2</v>
      </c>
      <c r="R1924" t="s">
        <v>64</v>
      </c>
      <c r="S1924">
        <v>10</v>
      </c>
      <c r="T1924">
        <v>276</v>
      </c>
      <c r="U1924" s="11">
        <v>0.97492791218182362</v>
      </c>
      <c r="V1924" s="11">
        <v>-0.22252093395631434</v>
      </c>
      <c r="W1924" s="11">
        <v>-0.99983296977010505</v>
      </c>
      <c r="X1924" s="11">
        <v>1.8276557681691223E-2</v>
      </c>
      <c r="Y1924">
        <v>0</v>
      </c>
      <c r="Z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6">
        <v>45568</v>
      </c>
      <c r="B1925" t="s">
        <v>31</v>
      </c>
      <c r="C1925" t="s">
        <v>32</v>
      </c>
      <c r="D1925" t="s">
        <v>33</v>
      </c>
      <c r="E1925" t="s">
        <v>34</v>
      </c>
      <c r="F1925">
        <v>140</v>
      </c>
      <c r="G1925">
        <v>360</v>
      </c>
      <c r="H1925">
        <v>192</v>
      </c>
      <c r="I1925">
        <v>83</v>
      </c>
      <c r="J1925" s="8">
        <v>0.59285714285714286</v>
      </c>
      <c r="K1925">
        <v>33</v>
      </c>
      <c r="L1925">
        <v>38</v>
      </c>
      <c r="M1925">
        <v>169</v>
      </c>
      <c r="N1925" s="10">
        <v>420.63</v>
      </c>
      <c r="O1925" s="7">
        <v>0</v>
      </c>
      <c r="P1925" s="7">
        <v>28.1</v>
      </c>
      <c r="Q1925">
        <v>3</v>
      </c>
      <c r="R1925" t="s">
        <v>65</v>
      </c>
      <c r="S1925">
        <v>10</v>
      </c>
      <c r="T1925">
        <v>277</v>
      </c>
      <c r="U1925" s="11">
        <v>0.43388373911755823</v>
      </c>
      <c r="V1925" s="11">
        <v>-0.90096886790241903</v>
      </c>
      <c r="W1925" s="11">
        <v>-0.9993706508539969</v>
      </c>
      <c r="X1925" s="11">
        <v>3.5472555753125558E-2</v>
      </c>
      <c r="Y1925">
        <v>0</v>
      </c>
      <c r="Z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6">
        <v>45568</v>
      </c>
      <c r="B1926" t="s">
        <v>36</v>
      </c>
      <c r="C1926" t="s">
        <v>37</v>
      </c>
      <c r="D1926" t="s">
        <v>38</v>
      </c>
      <c r="E1926" t="s">
        <v>39</v>
      </c>
      <c r="F1926">
        <v>125</v>
      </c>
      <c r="G1926">
        <v>320</v>
      </c>
      <c r="H1926">
        <v>167</v>
      </c>
      <c r="I1926">
        <v>69</v>
      </c>
      <c r="J1926" s="8">
        <v>0.55200000000000005</v>
      </c>
      <c r="K1926">
        <v>40</v>
      </c>
      <c r="L1926">
        <v>27</v>
      </c>
      <c r="M1926">
        <v>149</v>
      </c>
      <c r="N1926" s="10">
        <v>669.69</v>
      </c>
      <c r="O1926" s="7">
        <v>0</v>
      </c>
      <c r="P1926" s="7">
        <v>28.1</v>
      </c>
      <c r="Q1926">
        <v>3</v>
      </c>
      <c r="R1926" t="s">
        <v>65</v>
      </c>
      <c r="S1926">
        <v>10</v>
      </c>
      <c r="T1926">
        <v>277</v>
      </c>
      <c r="U1926" s="11">
        <v>0.43388373911755823</v>
      </c>
      <c r="V1926" s="11">
        <v>-0.90096886790241903</v>
      </c>
      <c r="W1926" s="11">
        <v>-0.9993706508539969</v>
      </c>
      <c r="X1926" s="11">
        <v>3.5472555753125558E-2</v>
      </c>
      <c r="Y1926">
        <v>0</v>
      </c>
      <c r="Z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6">
        <v>45568</v>
      </c>
      <c r="B1927" t="s">
        <v>41</v>
      </c>
      <c r="C1927" t="s">
        <v>42</v>
      </c>
      <c r="D1927" t="s">
        <v>43</v>
      </c>
      <c r="E1927" t="s">
        <v>44</v>
      </c>
      <c r="F1927">
        <v>85</v>
      </c>
      <c r="G1927">
        <v>210</v>
      </c>
      <c r="H1927">
        <v>120</v>
      </c>
      <c r="I1927">
        <v>53</v>
      </c>
      <c r="J1927" s="8">
        <v>0.62352941176470589</v>
      </c>
      <c r="K1927">
        <v>27</v>
      </c>
      <c r="L1927">
        <v>28</v>
      </c>
      <c r="M1927">
        <v>110</v>
      </c>
      <c r="N1927" s="10">
        <v>527.16999999999996</v>
      </c>
      <c r="O1927" s="7">
        <v>0</v>
      </c>
      <c r="P1927" s="7">
        <v>28.1</v>
      </c>
      <c r="Q1927">
        <v>3</v>
      </c>
      <c r="R1927" t="s">
        <v>65</v>
      </c>
      <c r="S1927">
        <v>10</v>
      </c>
      <c r="T1927">
        <v>277</v>
      </c>
      <c r="U1927" s="11">
        <v>0.43388373911755823</v>
      </c>
      <c r="V1927" s="11">
        <v>-0.90096886790241903</v>
      </c>
      <c r="W1927" s="11">
        <v>-0.9993706508539969</v>
      </c>
      <c r="X1927" s="11">
        <v>3.5472555753125558E-2</v>
      </c>
      <c r="Y1927">
        <v>0</v>
      </c>
      <c r="Z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6">
        <v>45569</v>
      </c>
      <c r="B1928" t="s">
        <v>31</v>
      </c>
      <c r="C1928" t="s">
        <v>32</v>
      </c>
      <c r="D1928" t="s">
        <v>33</v>
      </c>
      <c r="E1928" t="s">
        <v>34</v>
      </c>
      <c r="F1928">
        <v>140</v>
      </c>
      <c r="G1928">
        <v>360</v>
      </c>
      <c r="H1928">
        <v>176</v>
      </c>
      <c r="I1928">
        <v>74</v>
      </c>
      <c r="J1928" s="8">
        <v>0.52857142857142858</v>
      </c>
      <c r="K1928">
        <v>47</v>
      </c>
      <c r="L1928">
        <v>30</v>
      </c>
      <c r="M1928">
        <v>156</v>
      </c>
      <c r="N1928" s="10">
        <v>462.8</v>
      </c>
      <c r="O1928" s="7">
        <v>0</v>
      </c>
      <c r="P1928" s="7">
        <v>30.6</v>
      </c>
      <c r="Q1928">
        <v>4</v>
      </c>
      <c r="R1928" t="s">
        <v>66</v>
      </c>
      <c r="S1928">
        <v>10</v>
      </c>
      <c r="T1928">
        <v>278</v>
      </c>
      <c r="U1928" s="11">
        <v>-0.43388373911755801</v>
      </c>
      <c r="V1928" s="11">
        <v>-0.90096886790241915</v>
      </c>
      <c r="W1928" s="11">
        <v>-0.9986126020839734</v>
      </c>
      <c r="X1928" s="11">
        <v>5.2658056924614005E-2</v>
      </c>
      <c r="Y1928">
        <v>0</v>
      </c>
      <c r="Z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6">
        <v>45569</v>
      </c>
      <c r="B1929" t="s">
        <v>36</v>
      </c>
      <c r="C1929" t="s">
        <v>37</v>
      </c>
      <c r="D1929" t="s">
        <v>38</v>
      </c>
      <c r="E1929" t="s">
        <v>39</v>
      </c>
      <c r="F1929">
        <v>125</v>
      </c>
      <c r="G1929">
        <v>320</v>
      </c>
      <c r="H1929">
        <v>137</v>
      </c>
      <c r="I1929">
        <v>61</v>
      </c>
      <c r="J1929" s="8">
        <v>0.48799999999999999</v>
      </c>
      <c r="K1929">
        <v>18</v>
      </c>
      <c r="L1929">
        <v>31</v>
      </c>
      <c r="M1929">
        <v>116</v>
      </c>
      <c r="N1929" s="10">
        <v>602.58000000000004</v>
      </c>
      <c r="O1929" s="7">
        <v>0</v>
      </c>
      <c r="P1929" s="7">
        <v>30.6</v>
      </c>
      <c r="Q1929">
        <v>4</v>
      </c>
      <c r="R1929" t="s">
        <v>66</v>
      </c>
      <c r="S1929">
        <v>10</v>
      </c>
      <c r="T1929">
        <v>278</v>
      </c>
      <c r="U1929" s="11">
        <v>-0.43388373911755801</v>
      </c>
      <c r="V1929" s="11">
        <v>-0.90096886790241915</v>
      </c>
      <c r="W1929" s="11">
        <v>-0.9986126020839734</v>
      </c>
      <c r="X1929" s="11">
        <v>5.2658056924614005E-2</v>
      </c>
      <c r="Y1929">
        <v>0</v>
      </c>
      <c r="Z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6">
        <v>45569</v>
      </c>
      <c r="B1930" t="s">
        <v>41</v>
      </c>
      <c r="C1930" t="s">
        <v>42</v>
      </c>
      <c r="D1930" t="s">
        <v>43</v>
      </c>
      <c r="E1930" t="s">
        <v>44</v>
      </c>
      <c r="F1930">
        <v>85</v>
      </c>
      <c r="G1930">
        <v>210</v>
      </c>
      <c r="H1930">
        <v>118</v>
      </c>
      <c r="I1930">
        <v>54</v>
      </c>
      <c r="J1930" s="8">
        <v>0.63529411764705879</v>
      </c>
      <c r="K1930">
        <v>32</v>
      </c>
      <c r="L1930">
        <v>11</v>
      </c>
      <c r="M1930">
        <v>98</v>
      </c>
      <c r="N1930" s="10">
        <v>501.05</v>
      </c>
      <c r="O1930" s="7">
        <v>0</v>
      </c>
      <c r="P1930" s="7">
        <v>30.6</v>
      </c>
      <c r="Q1930">
        <v>4</v>
      </c>
      <c r="R1930" t="s">
        <v>66</v>
      </c>
      <c r="S1930">
        <v>10</v>
      </c>
      <c r="T1930">
        <v>278</v>
      </c>
      <c r="U1930" s="11">
        <v>-0.43388373911755801</v>
      </c>
      <c r="V1930" s="11">
        <v>-0.90096886790241915</v>
      </c>
      <c r="W1930" s="11">
        <v>-0.9986126020839734</v>
      </c>
      <c r="X1930" s="11">
        <v>5.2658056924614005E-2</v>
      </c>
      <c r="Y1930">
        <v>0</v>
      </c>
      <c r="Z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6">
        <v>45570</v>
      </c>
      <c r="B1931" t="s">
        <v>31</v>
      </c>
      <c r="C1931" t="s">
        <v>32</v>
      </c>
      <c r="D1931" t="s">
        <v>33</v>
      </c>
      <c r="E1931" t="s">
        <v>34</v>
      </c>
      <c r="F1931">
        <v>140</v>
      </c>
      <c r="G1931">
        <v>360</v>
      </c>
      <c r="H1931">
        <v>198</v>
      </c>
      <c r="I1931">
        <v>86</v>
      </c>
      <c r="J1931" s="8">
        <v>0.61428571428571432</v>
      </c>
      <c r="K1931">
        <v>50</v>
      </c>
      <c r="L1931">
        <v>28</v>
      </c>
      <c r="M1931">
        <v>180</v>
      </c>
      <c r="N1931" s="10">
        <v>513.41</v>
      </c>
      <c r="O1931" s="7">
        <v>0</v>
      </c>
      <c r="P1931" s="7">
        <v>29.9</v>
      </c>
      <c r="Q1931">
        <v>5</v>
      </c>
      <c r="R1931" t="s">
        <v>67</v>
      </c>
      <c r="S1931">
        <v>10</v>
      </c>
      <c r="T1931">
        <v>279</v>
      </c>
      <c r="U1931" s="11">
        <v>-0.97492791218182362</v>
      </c>
      <c r="V1931" s="11">
        <v>-0.22252093395631459</v>
      </c>
      <c r="W1931" s="11">
        <v>-0.99755904777886129</v>
      </c>
      <c r="X1931" s="11">
        <v>6.9827975729870886E-2</v>
      </c>
      <c r="Y1931">
        <v>1</v>
      </c>
      <c r="Z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6">
        <v>45570</v>
      </c>
      <c r="B1932" t="s">
        <v>36</v>
      </c>
      <c r="C1932" t="s">
        <v>37</v>
      </c>
      <c r="D1932" t="s">
        <v>38</v>
      </c>
      <c r="E1932" t="s">
        <v>39</v>
      </c>
      <c r="F1932">
        <v>125</v>
      </c>
      <c r="G1932">
        <v>320</v>
      </c>
      <c r="H1932">
        <v>192</v>
      </c>
      <c r="I1932">
        <v>83</v>
      </c>
      <c r="J1932" s="8">
        <v>0.66400000000000003</v>
      </c>
      <c r="K1932">
        <v>53</v>
      </c>
      <c r="L1932">
        <v>51</v>
      </c>
      <c r="M1932">
        <v>172</v>
      </c>
      <c r="N1932" s="10">
        <v>703.06</v>
      </c>
      <c r="O1932" s="7">
        <v>0</v>
      </c>
      <c r="P1932" s="7">
        <v>29.9</v>
      </c>
      <c r="Q1932">
        <v>5</v>
      </c>
      <c r="R1932" t="s">
        <v>67</v>
      </c>
      <c r="S1932">
        <v>10</v>
      </c>
      <c r="T1932">
        <v>279</v>
      </c>
      <c r="U1932" s="11">
        <v>-0.97492791218182362</v>
      </c>
      <c r="V1932" s="11">
        <v>-0.22252093395631459</v>
      </c>
      <c r="W1932" s="11">
        <v>-0.99755904777886129</v>
      </c>
      <c r="X1932" s="11">
        <v>6.9827975729870886E-2</v>
      </c>
      <c r="Y1932">
        <v>1</v>
      </c>
      <c r="Z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6">
        <v>45570</v>
      </c>
      <c r="B1933" t="s">
        <v>41</v>
      </c>
      <c r="C1933" t="s">
        <v>42</v>
      </c>
      <c r="D1933" t="s">
        <v>43</v>
      </c>
      <c r="E1933" t="s">
        <v>44</v>
      </c>
      <c r="F1933">
        <v>85</v>
      </c>
      <c r="G1933">
        <v>210</v>
      </c>
      <c r="H1933">
        <v>135</v>
      </c>
      <c r="I1933">
        <v>61</v>
      </c>
      <c r="J1933" s="8">
        <v>0.71764705882352942</v>
      </c>
      <c r="K1933">
        <v>16</v>
      </c>
      <c r="L1933">
        <v>24</v>
      </c>
      <c r="M1933">
        <v>112</v>
      </c>
      <c r="N1933" s="10">
        <v>569.74</v>
      </c>
      <c r="O1933" s="7">
        <v>0</v>
      </c>
      <c r="P1933" s="7">
        <v>29.9</v>
      </c>
      <c r="Q1933">
        <v>5</v>
      </c>
      <c r="R1933" t="s">
        <v>67</v>
      </c>
      <c r="S1933">
        <v>10</v>
      </c>
      <c r="T1933">
        <v>279</v>
      </c>
      <c r="U1933" s="11">
        <v>-0.97492791218182362</v>
      </c>
      <c r="V1933" s="11">
        <v>-0.22252093395631459</v>
      </c>
      <c r="W1933" s="11">
        <v>-0.99755904777886129</v>
      </c>
      <c r="X1933" s="11">
        <v>6.9827975729870886E-2</v>
      </c>
      <c r="Y1933">
        <v>1</v>
      </c>
      <c r="Z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6">
        <v>45571</v>
      </c>
      <c r="B1934" t="s">
        <v>31</v>
      </c>
      <c r="C1934" t="s">
        <v>32</v>
      </c>
      <c r="D1934" t="s">
        <v>33</v>
      </c>
      <c r="E1934" t="s">
        <v>34</v>
      </c>
      <c r="F1934">
        <v>140</v>
      </c>
      <c r="G1934">
        <v>360</v>
      </c>
      <c r="H1934">
        <v>194</v>
      </c>
      <c r="I1934">
        <v>85</v>
      </c>
      <c r="J1934" s="8">
        <v>0.6071428571428571</v>
      </c>
      <c r="K1934">
        <v>38</v>
      </c>
      <c r="L1934">
        <v>20</v>
      </c>
      <c r="M1934">
        <v>180</v>
      </c>
      <c r="N1934" s="10">
        <v>435.52</v>
      </c>
      <c r="O1934" s="7">
        <v>0</v>
      </c>
      <c r="P1934" s="7">
        <v>29.3</v>
      </c>
      <c r="Q1934">
        <v>6</v>
      </c>
      <c r="R1934" t="s">
        <v>60</v>
      </c>
      <c r="S1934">
        <v>10</v>
      </c>
      <c r="T1934">
        <v>280</v>
      </c>
      <c r="U1934" s="11">
        <v>-0.78183148246802991</v>
      </c>
      <c r="V1934" s="11">
        <v>0.62348980185873337</v>
      </c>
      <c r="W1934" s="11">
        <v>-0.99621029970232966</v>
      </c>
      <c r="X1934" s="11">
        <v>8.6977231313686093E-2</v>
      </c>
      <c r="Y1934">
        <v>1</v>
      </c>
      <c r="Z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6">
        <v>45571</v>
      </c>
      <c r="B1935" t="s">
        <v>36</v>
      </c>
      <c r="C1935" t="s">
        <v>37</v>
      </c>
      <c r="D1935" t="s">
        <v>38</v>
      </c>
      <c r="E1935" t="s">
        <v>39</v>
      </c>
      <c r="F1935">
        <v>125</v>
      </c>
      <c r="G1935">
        <v>320</v>
      </c>
      <c r="H1935">
        <v>200</v>
      </c>
      <c r="I1935">
        <v>82</v>
      </c>
      <c r="J1935" s="8">
        <v>0.65600000000000003</v>
      </c>
      <c r="K1935">
        <v>34</v>
      </c>
      <c r="L1935">
        <v>36</v>
      </c>
      <c r="M1935">
        <v>175</v>
      </c>
      <c r="N1935" s="10">
        <v>643.91999999999996</v>
      </c>
      <c r="O1935" s="7">
        <v>0</v>
      </c>
      <c r="P1935" s="7">
        <v>29.3</v>
      </c>
      <c r="Q1935">
        <v>6</v>
      </c>
      <c r="R1935" t="s">
        <v>60</v>
      </c>
      <c r="S1935">
        <v>10</v>
      </c>
      <c r="T1935">
        <v>280</v>
      </c>
      <c r="U1935" s="11">
        <v>-0.78183148246802991</v>
      </c>
      <c r="V1935" s="11">
        <v>0.62348980185873337</v>
      </c>
      <c r="W1935" s="11">
        <v>-0.99621029970232966</v>
      </c>
      <c r="X1935" s="11">
        <v>8.6977231313686093E-2</v>
      </c>
      <c r="Y1935">
        <v>1</v>
      </c>
      <c r="Z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6">
        <v>45571</v>
      </c>
      <c r="B1936" t="s">
        <v>41</v>
      </c>
      <c r="C1936" t="s">
        <v>42</v>
      </c>
      <c r="D1936" t="s">
        <v>43</v>
      </c>
      <c r="E1936" t="s">
        <v>44</v>
      </c>
      <c r="F1936">
        <v>85</v>
      </c>
      <c r="G1936">
        <v>210</v>
      </c>
      <c r="H1936">
        <v>143</v>
      </c>
      <c r="I1936">
        <v>59</v>
      </c>
      <c r="J1936" s="8">
        <v>0.69411764705882351</v>
      </c>
      <c r="K1936">
        <v>37</v>
      </c>
      <c r="L1936">
        <v>22</v>
      </c>
      <c r="M1936">
        <v>122</v>
      </c>
      <c r="N1936" s="10">
        <v>586.83000000000004</v>
      </c>
      <c r="O1936" s="7">
        <v>0</v>
      </c>
      <c r="P1936" s="7">
        <v>29.3</v>
      </c>
      <c r="Q1936">
        <v>6</v>
      </c>
      <c r="R1936" t="s">
        <v>60</v>
      </c>
      <c r="S1936">
        <v>10</v>
      </c>
      <c r="T1936">
        <v>280</v>
      </c>
      <c r="U1936" s="11">
        <v>-0.78183148246802991</v>
      </c>
      <c r="V1936" s="11">
        <v>0.62348980185873337</v>
      </c>
      <c r="W1936" s="11">
        <v>-0.99621029970232966</v>
      </c>
      <c r="X1936" s="11">
        <v>8.6977231313686093E-2</v>
      </c>
      <c r="Y1936">
        <v>1</v>
      </c>
      <c r="Z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6">
        <v>45572</v>
      </c>
      <c r="B1937" t="s">
        <v>31</v>
      </c>
      <c r="C1937" t="s">
        <v>32</v>
      </c>
      <c r="D1937" t="s">
        <v>33</v>
      </c>
      <c r="E1937" t="s">
        <v>34</v>
      </c>
      <c r="F1937">
        <v>140</v>
      </c>
      <c r="G1937">
        <v>360</v>
      </c>
      <c r="H1937">
        <v>185</v>
      </c>
      <c r="I1937">
        <v>79</v>
      </c>
      <c r="J1937" s="8">
        <v>0.56428571428571428</v>
      </c>
      <c r="K1937">
        <v>48</v>
      </c>
      <c r="L1937">
        <v>35</v>
      </c>
      <c r="M1937">
        <v>161</v>
      </c>
      <c r="N1937" s="10">
        <v>406.09</v>
      </c>
      <c r="O1937" s="7">
        <v>0</v>
      </c>
      <c r="P1937" s="7">
        <v>28.5</v>
      </c>
      <c r="Q1937">
        <v>0</v>
      </c>
      <c r="R1937" t="s">
        <v>62</v>
      </c>
      <c r="S1937">
        <v>10</v>
      </c>
      <c r="T1937">
        <v>281</v>
      </c>
      <c r="U1937" s="11">
        <v>0</v>
      </c>
      <c r="V1937" s="11">
        <v>1</v>
      </c>
      <c r="W1937" s="11">
        <v>-0.99456675697063368</v>
      </c>
      <c r="X1937" s="11">
        <v>0.1041007489354256</v>
      </c>
      <c r="Y1937">
        <v>0</v>
      </c>
      <c r="Z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6">
        <v>45572</v>
      </c>
      <c r="B1938" t="s">
        <v>36</v>
      </c>
      <c r="C1938" t="s">
        <v>37</v>
      </c>
      <c r="D1938" t="s">
        <v>38</v>
      </c>
      <c r="E1938" t="s">
        <v>39</v>
      </c>
      <c r="F1938">
        <v>125</v>
      </c>
      <c r="G1938">
        <v>320</v>
      </c>
      <c r="H1938">
        <v>151</v>
      </c>
      <c r="I1938">
        <v>60</v>
      </c>
      <c r="J1938" s="8">
        <v>0.48</v>
      </c>
      <c r="K1938">
        <v>19</v>
      </c>
      <c r="L1938">
        <v>36</v>
      </c>
      <c r="M1938">
        <v>134</v>
      </c>
      <c r="N1938" s="10">
        <v>673.49</v>
      </c>
      <c r="O1938" s="7">
        <v>0</v>
      </c>
      <c r="P1938" s="7">
        <v>28.5</v>
      </c>
      <c r="Q1938">
        <v>0</v>
      </c>
      <c r="R1938" t="s">
        <v>62</v>
      </c>
      <c r="S1938">
        <v>10</v>
      </c>
      <c r="T1938">
        <v>281</v>
      </c>
      <c r="U1938" s="11">
        <v>0</v>
      </c>
      <c r="V1938" s="11">
        <v>1</v>
      </c>
      <c r="W1938" s="11">
        <v>-0.99456675697063368</v>
      </c>
      <c r="X1938" s="11">
        <v>0.1041007489354256</v>
      </c>
      <c r="Y1938">
        <v>0</v>
      </c>
      <c r="Z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6">
        <v>45572</v>
      </c>
      <c r="B1939" t="s">
        <v>41</v>
      </c>
      <c r="C1939" t="s">
        <v>42</v>
      </c>
      <c r="D1939" t="s">
        <v>43</v>
      </c>
      <c r="E1939" t="s">
        <v>44</v>
      </c>
      <c r="F1939">
        <v>85</v>
      </c>
      <c r="G1939">
        <v>210</v>
      </c>
      <c r="H1939">
        <v>103</v>
      </c>
      <c r="I1939">
        <v>48</v>
      </c>
      <c r="J1939" s="8">
        <v>0.56470588235294117</v>
      </c>
      <c r="K1939">
        <v>29</v>
      </c>
      <c r="L1939">
        <v>14</v>
      </c>
      <c r="M1939">
        <v>88</v>
      </c>
      <c r="N1939" s="10">
        <v>546.84</v>
      </c>
      <c r="O1939" s="7">
        <v>0</v>
      </c>
      <c r="P1939" s="7">
        <v>28.5</v>
      </c>
      <c r="Q1939">
        <v>0</v>
      </c>
      <c r="R1939" t="s">
        <v>62</v>
      </c>
      <c r="S1939">
        <v>10</v>
      </c>
      <c r="T1939">
        <v>281</v>
      </c>
      <c r="U1939" s="11">
        <v>0</v>
      </c>
      <c r="V1939" s="11">
        <v>1</v>
      </c>
      <c r="W1939" s="11">
        <v>-0.99456675697063368</v>
      </c>
      <c r="X1939" s="11">
        <v>0.1041007489354256</v>
      </c>
      <c r="Y1939">
        <v>0</v>
      </c>
      <c r="Z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6">
        <v>45573</v>
      </c>
      <c r="B1940" t="s">
        <v>31</v>
      </c>
      <c r="C1940" t="s">
        <v>32</v>
      </c>
      <c r="D1940" t="s">
        <v>33</v>
      </c>
      <c r="E1940" t="s">
        <v>34</v>
      </c>
      <c r="F1940">
        <v>140</v>
      </c>
      <c r="G1940">
        <v>360</v>
      </c>
      <c r="H1940">
        <v>176</v>
      </c>
      <c r="I1940">
        <v>76</v>
      </c>
      <c r="J1940" s="8">
        <v>0.54285714285714282</v>
      </c>
      <c r="K1940">
        <v>34</v>
      </c>
      <c r="L1940">
        <v>29</v>
      </c>
      <c r="M1940">
        <v>161</v>
      </c>
      <c r="N1940" s="10">
        <v>404.48</v>
      </c>
      <c r="O1940" s="7">
        <v>0.8</v>
      </c>
      <c r="P1940" s="7">
        <v>30.2</v>
      </c>
      <c r="Q1940">
        <v>1</v>
      </c>
      <c r="R1940" t="s">
        <v>63</v>
      </c>
      <c r="S1940">
        <v>10</v>
      </c>
      <c r="T1940">
        <v>282</v>
      </c>
      <c r="U1940" s="11">
        <v>0.7818314824680298</v>
      </c>
      <c r="V1940" s="11">
        <v>0.62348980185873359</v>
      </c>
      <c r="W1940" s="11">
        <v>-0.99262890593450948</v>
      </c>
      <c r="X1940" s="11">
        <v>0.12119346147073599</v>
      </c>
      <c r="Y1940">
        <v>0</v>
      </c>
      <c r="Z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6">
        <v>45573</v>
      </c>
      <c r="B1941" t="s">
        <v>36</v>
      </c>
      <c r="C1941" t="s">
        <v>37</v>
      </c>
      <c r="D1941" t="s">
        <v>38</v>
      </c>
      <c r="E1941" t="s">
        <v>39</v>
      </c>
      <c r="F1941">
        <v>125</v>
      </c>
      <c r="G1941">
        <v>320</v>
      </c>
      <c r="H1941">
        <v>170</v>
      </c>
      <c r="I1941">
        <v>70</v>
      </c>
      <c r="J1941" s="8">
        <v>0.56000000000000005</v>
      </c>
      <c r="K1941">
        <v>38</v>
      </c>
      <c r="L1941">
        <v>46</v>
      </c>
      <c r="M1941">
        <v>156</v>
      </c>
      <c r="N1941" s="10">
        <v>639.78</v>
      </c>
      <c r="O1941" s="7">
        <v>0.8</v>
      </c>
      <c r="P1941" s="7">
        <v>30.2</v>
      </c>
      <c r="Q1941">
        <v>1</v>
      </c>
      <c r="R1941" t="s">
        <v>63</v>
      </c>
      <c r="S1941">
        <v>10</v>
      </c>
      <c r="T1941">
        <v>282</v>
      </c>
      <c r="U1941" s="11">
        <v>0.7818314824680298</v>
      </c>
      <c r="V1941" s="11">
        <v>0.62348980185873359</v>
      </c>
      <c r="W1941" s="11">
        <v>-0.99262890593450948</v>
      </c>
      <c r="X1941" s="11">
        <v>0.12119346147073599</v>
      </c>
      <c r="Y1941">
        <v>0</v>
      </c>
      <c r="Z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6">
        <v>45573</v>
      </c>
      <c r="B1942" t="s">
        <v>41</v>
      </c>
      <c r="C1942" t="s">
        <v>42</v>
      </c>
      <c r="D1942" t="s">
        <v>43</v>
      </c>
      <c r="E1942" t="s">
        <v>44</v>
      </c>
      <c r="F1942">
        <v>85</v>
      </c>
      <c r="G1942">
        <v>210</v>
      </c>
      <c r="H1942">
        <v>132</v>
      </c>
      <c r="I1942">
        <v>55</v>
      </c>
      <c r="J1942" s="8">
        <v>0.6470588235294118</v>
      </c>
      <c r="K1942">
        <v>27</v>
      </c>
      <c r="L1942">
        <v>23</v>
      </c>
      <c r="M1942">
        <v>112</v>
      </c>
      <c r="N1942" s="10">
        <v>554.39</v>
      </c>
      <c r="O1942" s="7">
        <v>0.8</v>
      </c>
      <c r="P1942" s="7">
        <v>30.2</v>
      </c>
      <c r="Q1942">
        <v>1</v>
      </c>
      <c r="R1942" t="s">
        <v>63</v>
      </c>
      <c r="S1942">
        <v>10</v>
      </c>
      <c r="T1942">
        <v>282</v>
      </c>
      <c r="U1942" s="11">
        <v>0.7818314824680298</v>
      </c>
      <c r="V1942" s="11">
        <v>0.62348980185873359</v>
      </c>
      <c r="W1942" s="11">
        <v>-0.99262890593450948</v>
      </c>
      <c r="X1942" s="11">
        <v>0.12119346147073599</v>
      </c>
      <c r="Y1942">
        <v>0</v>
      </c>
      <c r="Z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6">
        <v>45574</v>
      </c>
      <c r="B1943" t="s">
        <v>31</v>
      </c>
      <c r="C1943" t="s">
        <v>32</v>
      </c>
      <c r="D1943" t="s">
        <v>33</v>
      </c>
      <c r="E1943" t="s">
        <v>34</v>
      </c>
      <c r="F1943">
        <v>140</v>
      </c>
      <c r="G1943">
        <v>360</v>
      </c>
      <c r="H1943">
        <v>171</v>
      </c>
      <c r="I1943">
        <v>73</v>
      </c>
      <c r="J1943" s="8">
        <v>0.52142857142857146</v>
      </c>
      <c r="K1943">
        <v>40</v>
      </c>
      <c r="L1943">
        <v>22</v>
      </c>
      <c r="M1943">
        <v>144</v>
      </c>
      <c r="N1943" s="10">
        <v>451.01</v>
      </c>
      <c r="O1943" s="7">
        <v>5.4</v>
      </c>
      <c r="P1943" s="7">
        <v>29.4</v>
      </c>
      <c r="Q1943">
        <v>2</v>
      </c>
      <c r="R1943" t="s">
        <v>64</v>
      </c>
      <c r="S1943">
        <v>10</v>
      </c>
      <c r="T1943">
        <v>283</v>
      </c>
      <c r="U1943" s="11">
        <v>0.97492791218182362</v>
      </c>
      <c r="V1943" s="11">
        <v>-0.22252093395631434</v>
      </c>
      <c r="W1943" s="11">
        <v>-0.99039732003525582</v>
      </c>
      <c r="X1943" s="11">
        <v>0.13825031091098189</v>
      </c>
      <c r="Y1943">
        <v>0</v>
      </c>
      <c r="Z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6">
        <v>45574</v>
      </c>
      <c r="B1944" t="s">
        <v>36</v>
      </c>
      <c r="C1944" t="s">
        <v>37</v>
      </c>
      <c r="D1944" t="s">
        <v>38</v>
      </c>
      <c r="E1944" t="s">
        <v>39</v>
      </c>
      <c r="F1944">
        <v>125</v>
      </c>
      <c r="G1944">
        <v>320</v>
      </c>
      <c r="H1944">
        <v>161</v>
      </c>
      <c r="I1944">
        <v>68</v>
      </c>
      <c r="J1944" s="8">
        <v>0.54400000000000004</v>
      </c>
      <c r="K1944">
        <v>40</v>
      </c>
      <c r="L1944">
        <v>33</v>
      </c>
      <c r="M1944">
        <v>137</v>
      </c>
      <c r="N1944" s="10">
        <v>573.73</v>
      </c>
      <c r="O1944" s="7">
        <v>5.4</v>
      </c>
      <c r="P1944" s="7">
        <v>29.4</v>
      </c>
      <c r="Q1944">
        <v>2</v>
      </c>
      <c r="R1944" t="s">
        <v>64</v>
      </c>
      <c r="S1944">
        <v>10</v>
      </c>
      <c r="T1944">
        <v>283</v>
      </c>
      <c r="U1944" s="11">
        <v>0.97492791218182362</v>
      </c>
      <c r="V1944" s="11">
        <v>-0.22252093395631434</v>
      </c>
      <c r="W1944" s="11">
        <v>-0.99039732003525582</v>
      </c>
      <c r="X1944" s="11">
        <v>0.13825031091098189</v>
      </c>
      <c r="Y1944">
        <v>0</v>
      </c>
      <c r="Z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6">
        <v>45574</v>
      </c>
      <c r="B1945" t="s">
        <v>41</v>
      </c>
      <c r="C1945" t="s">
        <v>42</v>
      </c>
      <c r="D1945" t="s">
        <v>43</v>
      </c>
      <c r="E1945" t="s">
        <v>44</v>
      </c>
      <c r="F1945">
        <v>85</v>
      </c>
      <c r="G1945">
        <v>210</v>
      </c>
      <c r="H1945">
        <v>116</v>
      </c>
      <c r="I1945">
        <v>53</v>
      </c>
      <c r="J1945" s="8">
        <v>0.62352941176470589</v>
      </c>
      <c r="K1945">
        <v>28</v>
      </c>
      <c r="L1945">
        <v>18</v>
      </c>
      <c r="M1945">
        <v>101</v>
      </c>
      <c r="N1945" s="10">
        <v>531.91999999999996</v>
      </c>
      <c r="O1945" s="7">
        <v>5.4</v>
      </c>
      <c r="P1945" s="7">
        <v>29.4</v>
      </c>
      <c r="Q1945">
        <v>2</v>
      </c>
      <c r="R1945" t="s">
        <v>64</v>
      </c>
      <c r="S1945">
        <v>10</v>
      </c>
      <c r="T1945">
        <v>283</v>
      </c>
      <c r="U1945" s="11">
        <v>0.97492791218182362</v>
      </c>
      <c r="V1945" s="11">
        <v>-0.22252093395631434</v>
      </c>
      <c r="W1945" s="11">
        <v>-0.99039732003525582</v>
      </c>
      <c r="X1945" s="11">
        <v>0.13825031091098189</v>
      </c>
      <c r="Y1945">
        <v>0</v>
      </c>
      <c r="Z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6">
        <v>45575</v>
      </c>
      <c r="B1946" t="s">
        <v>31</v>
      </c>
      <c r="C1946" t="s">
        <v>32</v>
      </c>
      <c r="D1946" t="s">
        <v>33</v>
      </c>
      <c r="E1946" t="s">
        <v>34</v>
      </c>
      <c r="F1946">
        <v>140</v>
      </c>
      <c r="G1946">
        <v>360</v>
      </c>
      <c r="H1946">
        <v>166</v>
      </c>
      <c r="I1946">
        <v>72</v>
      </c>
      <c r="J1946" s="8">
        <v>0.51428571428571423</v>
      </c>
      <c r="K1946">
        <v>38</v>
      </c>
      <c r="L1946">
        <v>18</v>
      </c>
      <c r="M1946">
        <v>142</v>
      </c>
      <c r="N1946" s="10">
        <v>417.14</v>
      </c>
      <c r="O1946" s="7">
        <v>4.9000000000000004</v>
      </c>
      <c r="P1946" s="7">
        <v>28.9</v>
      </c>
      <c r="Q1946">
        <v>3</v>
      </c>
      <c r="R1946" t="s">
        <v>65</v>
      </c>
      <c r="S1946">
        <v>10</v>
      </c>
      <c r="T1946">
        <v>284</v>
      </c>
      <c r="U1946" s="11">
        <v>0.43388373911755823</v>
      </c>
      <c r="V1946" s="11">
        <v>-0.90096886790241903</v>
      </c>
      <c r="W1946" s="11">
        <v>-0.98787265963504289</v>
      </c>
      <c r="X1946" s="11">
        <v>0.15526624985999563</v>
      </c>
      <c r="Y1946">
        <v>0</v>
      </c>
      <c r="Z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6">
        <v>45575</v>
      </c>
      <c r="B1947" t="s">
        <v>36</v>
      </c>
      <c r="C1947" t="s">
        <v>37</v>
      </c>
      <c r="D1947" t="s">
        <v>38</v>
      </c>
      <c r="E1947" t="s">
        <v>39</v>
      </c>
      <c r="F1947">
        <v>125</v>
      </c>
      <c r="G1947">
        <v>320</v>
      </c>
      <c r="H1947">
        <v>162</v>
      </c>
      <c r="I1947">
        <v>69</v>
      </c>
      <c r="J1947" s="8">
        <v>0.55200000000000005</v>
      </c>
      <c r="K1947">
        <v>24</v>
      </c>
      <c r="L1947">
        <v>21</v>
      </c>
      <c r="M1947">
        <v>137</v>
      </c>
      <c r="N1947" s="10">
        <v>568.95000000000005</v>
      </c>
      <c r="O1947" s="7">
        <v>4.9000000000000004</v>
      </c>
      <c r="P1947" s="7">
        <v>28.9</v>
      </c>
      <c r="Q1947">
        <v>3</v>
      </c>
      <c r="R1947" t="s">
        <v>65</v>
      </c>
      <c r="S1947">
        <v>10</v>
      </c>
      <c r="T1947">
        <v>284</v>
      </c>
      <c r="U1947" s="11">
        <v>0.43388373911755823</v>
      </c>
      <c r="V1947" s="11">
        <v>-0.90096886790241903</v>
      </c>
      <c r="W1947" s="11">
        <v>-0.98787265963504289</v>
      </c>
      <c r="X1947" s="11">
        <v>0.15526624985999563</v>
      </c>
      <c r="Y1947">
        <v>0</v>
      </c>
      <c r="Z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6">
        <v>45575</v>
      </c>
      <c r="B1948" t="s">
        <v>41</v>
      </c>
      <c r="C1948" t="s">
        <v>42</v>
      </c>
      <c r="D1948" t="s">
        <v>43</v>
      </c>
      <c r="E1948" t="s">
        <v>44</v>
      </c>
      <c r="F1948">
        <v>85</v>
      </c>
      <c r="G1948">
        <v>210</v>
      </c>
      <c r="H1948">
        <v>121</v>
      </c>
      <c r="I1948">
        <v>50</v>
      </c>
      <c r="J1948" s="8">
        <v>0.58823529411764708</v>
      </c>
      <c r="K1948">
        <v>25</v>
      </c>
      <c r="L1948">
        <v>30</v>
      </c>
      <c r="M1948">
        <v>107</v>
      </c>
      <c r="N1948" s="10">
        <v>538.92999999999995</v>
      </c>
      <c r="O1948" s="7">
        <v>4.9000000000000004</v>
      </c>
      <c r="P1948" s="7">
        <v>28.9</v>
      </c>
      <c r="Q1948">
        <v>3</v>
      </c>
      <c r="R1948" t="s">
        <v>65</v>
      </c>
      <c r="S1948">
        <v>10</v>
      </c>
      <c r="T1948">
        <v>284</v>
      </c>
      <c r="U1948" s="11">
        <v>0.43388373911755823</v>
      </c>
      <c r="V1948" s="11">
        <v>-0.90096886790241903</v>
      </c>
      <c r="W1948" s="11">
        <v>-0.98787265963504289</v>
      </c>
      <c r="X1948" s="11">
        <v>0.15526624985999563</v>
      </c>
      <c r="Y1948">
        <v>0</v>
      </c>
      <c r="Z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6">
        <v>45576</v>
      </c>
      <c r="B1949" t="s">
        <v>31</v>
      </c>
      <c r="C1949" t="s">
        <v>32</v>
      </c>
      <c r="D1949" t="s">
        <v>33</v>
      </c>
      <c r="E1949" t="s">
        <v>34</v>
      </c>
      <c r="F1949">
        <v>140</v>
      </c>
      <c r="G1949">
        <v>360</v>
      </c>
      <c r="H1949">
        <v>157</v>
      </c>
      <c r="I1949">
        <v>66</v>
      </c>
      <c r="J1949" s="8">
        <v>0.47142857142857142</v>
      </c>
      <c r="K1949">
        <v>47</v>
      </c>
      <c r="L1949">
        <v>30</v>
      </c>
      <c r="M1949">
        <v>140</v>
      </c>
      <c r="N1949" s="10">
        <v>430.83</v>
      </c>
      <c r="O1949" s="7">
        <v>0</v>
      </c>
      <c r="P1949" s="7">
        <v>29.1</v>
      </c>
      <c r="Q1949">
        <v>4</v>
      </c>
      <c r="R1949" t="s">
        <v>66</v>
      </c>
      <c r="S1949">
        <v>10</v>
      </c>
      <c r="T1949">
        <v>285</v>
      </c>
      <c r="U1949" s="11">
        <v>-0.43388373911755801</v>
      </c>
      <c r="V1949" s="11">
        <v>-0.90096886790241915</v>
      </c>
      <c r="W1949" s="11">
        <v>-0.98505567182150133</v>
      </c>
      <c r="X1949" s="11">
        <v>0.17223624302768201</v>
      </c>
      <c r="Y1949">
        <v>0</v>
      </c>
      <c r="Z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6">
        <v>45576</v>
      </c>
      <c r="B1950" t="s">
        <v>36</v>
      </c>
      <c r="C1950" t="s">
        <v>37</v>
      </c>
      <c r="D1950" t="s">
        <v>38</v>
      </c>
      <c r="E1950" t="s">
        <v>39</v>
      </c>
      <c r="F1950">
        <v>125</v>
      </c>
      <c r="G1950">
        <v>320</v>
      </c>
      <c r="H1950">
        <v>165</v>
      </c>
      <c r="I1950">
        <v>66</v>
      </c>
      <c r="J1950" s="8">
        <v>0.52800000000000002</v>
      </c>
      <c r="K1950">
        <v>34</v>
      </c>
      <c r="L1950">
        <v>34</v>
      </c>
      <c r="M1950">
        <v>139</v>
      </c>
      <c r="N1950" s="10">
        <v>639.70000000000005</v>
      </c>
      <c r="O1950" s="7">
        <v>0</v>
      </c>
      <c r="P1950" s="7">
        <v>29.1</v>
      </c>
      <c r="Q1950">
        <v>4</v>
      </c>
      <c r="R1950" t="s">
        <v>66</v>
      </c>
      <c r="S1950">
        <v>10</v>
      </c>
      <c r="T1950">
        <v>285</v>
      </c>
      <c r="U1950" s="11">
        <v>-0.43388373911755801</v>
      </c>
      <c r="V1950" s="11">
        <v>-0.90096886790241915</v>
      </c>
      <c r="W1950" s="11">
        <v>-0.98505567182150133</v>
      </c>
      <c r="X1950" s="11">
        <v>0.17223624302768201</v>
      </c>
      <c r="Y1950">
        <v>0</v>
      </c>
      <c r="Z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s="6">
        <v>45576</v>
      </c>
      <c r="B1951" t="s">
        <v>41</v>
      </c>
      <c r="C1951" t="s">
        <v>42</v>
      </c>
      <c r="D1951" t="s">
        <v>43</v>
      </c>
      <c r="E1951" t="s">
        <v>44</v>
      </c>
      <c r="F1951">
        <v>85</v>
      </c>
      <c r="G1951">
        <v>210</v>
      </c>
      <c r="H1951">
        <v>112</v>
      </c>
      <c r="I1951">
        <v>52</v>
      </c>
      <c r="J1951" s="8">
        <v>0.61176470588235299</v>
      </c>
      <c r="K1951">
        <v>16</v>
      </c>
      <c r="L1951">
        <v>21</v>
      </c>
      <c r="M1951">
        <v>94</v>
      </c>
      <c r="N1951" s="10">
        <v>570.51</v>
      </c>
      <c r="O1951" s="7">
        <v>0</v>
      </c>
      <c r="P1951" s="7">
        <v>29.1</v>
      </c>
      <c r="Q1951">
        <v>4</v>
      </c>
      <c r="R1951" t="s">
        <v>66</v>
      </c>
      <c r="S1951">
        <v>10</v>
      </c>
      <c r="T1951">
        <v>285</v>
      </c>
      <c r="U1951" s="11">
        <v>-0.43388373911755801</v>
      </c>
      <c r="V1951" s="11">
        <v>-0.90096886790241915</v>
      </c>
      <c r="W1951" s="11">
        <v>-0.98505567182150133</v>
      </c>
      <c r="X1951" s="11">
        <v>0.17223624302768201</v>
      </c>
      <c r="Y1951">
        <v>0</v>
      </c>
      <c r="Z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6">
        <v>45577</v>
      </c>
      <c r="B1952" t="s">
        <v>31</v>
      </c>
      <c r="C1952" t="s">
        <v>32</v>
      </c>
      <c r="D1952" t="s">
        <v>33</v>
      </c>
      <c r="E1952" t="s">
        <v>34</v>
      </c>
      <c r="F1952">
        <v>140</v>
      </c>
      <c r="G1952">
        <v>360</v>
      </c>
      <c r="H1952">
        <v>242</v>
      </c>
      <c r="I1952">
        <v>102</v>
      </c>
      <c r="J1952" s="8">
        <v>0.72857142857142854</v>
      </c>
      <c r="K1952">
        <v>58</v>
      </c>
      <c r="L1952">
        <v>58</v>
      </c>
      <c r="M1952">
        <v>222</v>
      </c>
      <c r="N1952" s="10">
        <v>525.64</v>
      </c>
      <c r="O1952" s="7">
        <v>0</v>
      </c>
      <c r="P1952" s="7">
        <v>28.1</v>
      </c>
      <c r="Q1952">
        <v>5</v>
      </c>
      <c r="R1952" t="s">
        <v>67</v>
      </c>
      <c r="S1952">
        <v>10</v>
      </c>
      <c r="T1952">
        <v>286</v>
      </c>
      <c r="U1952" s="11">
        <v>-0.97492791218182362</v>
      </c>
      <c r="V1952" s="11">
        <v>-0.22252093395631459</v>
      </c>
      <c r="W1952" s="11">
        <v>-0.981947190186646</v>
      </c>
      <c r="X1952" s="11">
        <v>0.18915526872004093</v>
      </c>
      <c r="Y1952">
        <v>1</v>
      </c>
      <c r="Z1952">
        <v>1</v>
      </c>
      <c r="AA1952" t="s">
        <v>73</v>
      </c>
      <c r="AB1952">
        <v>0</v>
      </c>
      <c r="AC1952">
        <v>0</v>
      </c>
      <c r="AD1952">
        <v>0</v>
      </c>
      <c r="AE1952">
        <v>0</v>
      </c>
    </row>
    <row r="1953" spans="1:31">
      <c r="A1953" s="6">
        <v>45577</v>
      </c>
      <c r="B1953" t="s">
        <v>36</v>
      </c>
      <c r="C1953" t="s">
        <v>37</v>
      </c>
      <c r="D1953" t="s">
        <v>38</v>
      </c>
      <c r="E1953" t="s">
        <v>39</v>
      </c>
      <c r="F1953">
        <v>125</v>
      </c>
      <c r="G1953">
        <v>320</v>
      </c>
      <c r="H1953">
        <v>205</v>
      </c>
      <c r="I1953">
        <v>84</v>
      </c>
      <c r="J1953" s="8">
        <v>0.67200000000000004</v>
      </c>
      <c r="K1953">
        <v>23</v>
      </c>
      <c r="L1953">
        <v>38</v>
      </c>
      <c r="M1953">
        <v>168</v>
      </c>
      <c r="N1953" s="10">
        <v>737.73</v>
      </c>
      <c r="O1953" s="7">
        <v>0</v>
      </c>
      <c r="P1953" s="7">
        <v>28.1</v>
      </c>
      <c r="Q1953">
        <v>5</v>
      </c>
      <c r="R1953" t="s">
        <v>67</v>
      </c>
      <c r="S1953">
        <v>10</v>
      </c>
      <c r="T1953">
        <v>286</v>
      </c>
      <c r="U1953" s="11">
        <v>-0.97492791218182362</v>
      </c>
      <c r="V1953" s="11">
        <v>-0.22252093395631459</v>
      </c>
      <c r="W1953" s="11">
        <v>-0.981947190186646</v>
      </c>
      <c r="X1953" s="11">
        <v>0.18915526872004093</v>
      </c>
      <c r="Y1953">
        <v>1</v>
      </c>
      <c r="Z1953">
        <v>1</v>
      </c>
      <c r="AA1953" t="s">
        <v>73</v>
      </c>
      <c r="AB1953">
        <v>0</v>
      </c>
      <c r="AC1953">
        <v>0</v>
      </c>
      <c r="AD1953">
        <v>0</v>
      </c>
      <c r="AE1953">
        <v>0</v>
      </c>
    </row>
    <row r="1954" spans="1:31">
      <c r="A1954" s="6">
        <v>45577</v>
      </c>
      <c r="B1954" t="s">
        <v>41</v>
      </c>
      <c r="C1954" t="s">
        <v>42</v>
      </c>
      <c r="D1954" t="s">
        <v>43</v>
      </c>
      <c r="E1954" t="s">
        <v>44</v>
      </c>
      <c r="F1954">
        <v>85</v>
      </c>
      <c r="G1954">
        <v>210</v>
      </c>
      <c r="H1954">
        <v>155</v>
      </c>
      <c r="I1954">
        <v>69</v>
      </c>
      <c r="J1954" s="8">
        <v>0.81176470588235294</v>
      </c>
      <c r="K1954">
        <v>39</v>
      </c>
      <c r="L1954">
        <v>34</v>
      </c>
      <c r="M1954">
        <v>133</v>
      </c>
      <c r="N1954" s="10">
        <v>589.80999999999995</v>
      </c>
      <c r="O1954" s="7">
        <v>0</v>
      </c>
      <c r="P1954" s="7">
        <v>28.1</v>
      </c>
      <c r="Q1954">
        <v>5</v>
      </c>
      <c r="R1954" t="s">
        <v>67</v>
      </c>
      <c r="S1954">
        <v>10</v>
      </c>
      <c r="T1954">
        <v>286</v>
      </c>
      <c r="U1954" s="11">
        <v>-0.97492791218182362</v>
      </c>
      <c r="V1954" s="11">
        <v>-0.22252093395631459</v>
      </c>
      <c r="W1954" s="11">
        <v>-0.981947190186646</v>
      </c>
      <c r="X1954" s="11">
        <v>0.18915526872004093</v>
      </c>
      <c r="Y1954">
        <v>1</v>
      </c>
      <c r="Z1954">
        <v>1</v>
      </c>
      <c r="AA1954" t="s">
        <v>73</v>
      </c>
      <c r="AB1954">
        <v>0</v>
      </c>
      <c r="AC1954">
        <v>0</v>
      </c>
      <c r="AD1954">
        <v>0</v>
      </c>
      <c r="AE1954">
        <v>0</v>
      </c>
    </row>
    <row r="1955" spans="1:31">
      <c r="A1955" s="6">
        <v>45578</v>
      </c>
      <c r="B1955" t="s">
        <v>31</v>
      </c>
      <c r="C1955" t="s">
        <v>32</v>
      </c>
      <c r="D1955" t="s">
        <v>33</v>
      </c>
      <c r="E1955" t="s">
        <v>34</v>
      </c>
      <c r="F1955">
        <v>140</v>
      </c>
      <c r="G1955">
        <v>360</v>
      </c>
      <c r="H1955">
        <v>207</v>
      </c>
      <c r="I1955">
        <v>86</v>
      </c>
      <c r="J1955" s="8">
        <v>0.61428571428571432</v>
      </c>
      <c r="K1955">
        <v>31</v>
      </c>
      <c r="L1955">
        <v>40</v>
      </c>
      <c r="M1955">
        <v>176</v>
      </c>
      <c r="N1955" s="10">
        <v>444.68</v>
      </c>
      <c r="O1955" s="7">
        <v>4.2</v>
      </c>
      <c r="P1955" s="7">
        <v>29.2</v>
      </c>
      <c r="Q1955">
        <v>6</v>
      </c>
      <c r="R1955" t="s">
        <v>60</v>
      </c>
      <c r="S1955">
        <v>10</v>
      </c>
      <c r="T1955">
        <v>287</v>
      </c>
      <c r="U1955" s="11">
        <v>-0.78183148246802991</v>
      </c>
      <c r="V1955" s="11">
        <v>0.62348980185873337</v>
      </c>
      <c r="W1955" s="11">
        <v>-0.97854813458020307</v>
      </c>
      <c r="X1955" s="11">
        <v>0.20601832032517084</v>
      </c>
      <c r="Y1955">
        <v>1</v>
      </c>
      <c r="Z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6">
        <v>45578</v>
      </c>
      <c r="B1956" t="s">
        <v>36</v>
      </c>
      <c r="C1956" t="s">
        <v>37</v>
      </c>
      <c r="D1956" t="s">
        <v>38</v>
      </c>
      <c r="E1956" t="s">
        <v>39</v>
      </c>
      <c r="F1956">
        <v>125</v>
      </c>
      <c r="G1956">
        <v>320</v>
      </c>
      <c r="H1956">
        <v>180</v>
      </c>
      <c r="I1956">
        <v>77</v>
      </c>
      <c r="J1956" s="8">
        <v>0.61599999999999999</v>
      </c>
      <c r="K1956">
        <v>22</v>
      </c>
      <c r="L1956">
        <v>38</v>
      </c>
      <c r="M1956">
        <v>153</v>
      </c>
      <c r="N1956" s="10">
        <v>679.52</v>
      </c>
      <c r="O1956" s="7">
        <v>4.2</v>
      </c>
      <c r="P1956" s="7">
        <v>29.2</v>
      </c>
      <c r="Q1956">
        <v>6</v>
      </c>
      <c r="R1956" t="s">
        <v>60</v>
      </c>
      <c r="S1956">
        <v>10</v>
      </c>
      <c r="T1956">
        <v>287</v>
      </c>
      <c r="U1956" s="11">
        <v>-0.78183148246802991</v>
      </c>
      <c r="V1956" s="11">
        <v>0.62348980185873337</v>
      </c>
      <c r="W1956" s="11">
        <v>-0.97854813458020307</v>
      </c>
      <c r="X1956" s="11">
        <v>0.20601832032517084</v>
      </c>
      <c r="Y1956">
        <v>1</v>
      </c>
      <c r="Z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6">
        <v>45578</v>
      </c>
      <c r="B1957" t="s">
        <v>41</v>
      </c>
      <c r="C1957" t="s">
        <v>42</v>
      </c>
      <c r="D1957" t="s">
        <v>43</v>
      </c>
      <c r="E1957" t="s">
        <v>44</v>
      </c>
      <c r="F1957">
        <v>85</v>
      </c>
      <c r="G1957">
        <v>210</v>
      </c>
      <c r="H1957">
        <v>140</v>
      </c>
      <c r="I1957">
        <v>62</v>
      </c>
      <c r="J1957" s="8">
        <v>0.72941176470588232</v>
      </c>
      <c r="K1957">
        <v>36</v>
      </c>
      <c r="L1957">
        <v>38</v>
      </c>
      <c r="M1957">
        <v>120</v>
      </c>
      <c r="N1957" s="10">
        <v>617.14</v>
      </c>
      <c r="O1957" s="7">
        <v>4.2</v>
      </c>
      <c r="P1957" s="7">
        <v>29.2</v>
      </c>
      <c r="Q1957">
        <v>6</v>
      </c>
      <c r="R1957" t="s">
        <v>60</v>
      </c>
      <c r="S1957">
        <v>10</v>
      </c>
      <c r="T1957">
        <v>287</v>
      </c>
      <c r="U1957" s="11">
        <v>-0.78183148246802991</v>
      </c>
      <c r="V1957" s="11">
        <v>0.62348980185873337</v>
      </c>
      <c r="W1957" s="11">
        <v>-0.97854813458020307</v>
      </c>
      <c r="X1957" s="11">
        <v>0.20601832032517084</v>
      </c>
      <c r="Y1957">
        <v>1</v>
      </c>
      <c r="Z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6">
        <v>45579</v>
      </c>
      <c r="B1958" t="s">
        <v>31</v>
      </c>
      <c r="C1958" t="s">
        <v>32</v>
      </c>
      <c r="D1958" t="s">
        <v>33</v>
      </c>
      <c r="E1958" t="s">
        <v>34</v>
      </c>
      <c r="F1958">
        <v>140</v>
      </c>
      <c r="G1958">
        <v>360</v>
      </c>
      <c r="H1958">
        <v>182</v>
      </c>
      <c r="I1958">
        <v>78</v>
      </c>
      <c r="J1958" s="8">
        <v>0.55714285714285716</v>
      </c>
      <c r="K1958">
        <v>50</v>
      </c>
      <c r="L1958">
        <v>22</v>
      </c>
      <c r="M1958">
        <v>163</v>
      </c>
      <c r="N1958" s="10">
        <v>435.57</v>
      </c>
      <c r="O1958" s="7">
        <v>3.5</v>
      </c>
      <c r="P1958" s="7">
        <v>31.2</v>
      </c>
      <c r="Q1958">
        <v>0</v>
      </c>
      <c r="R1958" t="s">
        <v>62</v>
      </c>
      <c r="S1958">
        <v>10</v>
      </c>
      <c r="T1958">
        <v>288</v>
      </c>
      <c r="U1958" s="11">
        <v>0</v>
      </c>
      <c r="V1958" s="11">
        <v>1</v>
      </c>
      <c r="W1958" s="11">
        <v>-0.97485951083741251</v>
      </c>
      <c r="X1958" s="11">
        <v>0.22282040779479959</v>
      </c>
      <c r="Y1958">
        <v>0</v>
      </c>
      <c r="Z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6">
        <v>45579</v>
      </c>
      <c r="B1959" t="s">
        <v>36</v>
      </c>
      <c r="C1959" t="s">
        <v>37</v>
      </c>
      <c r="D1959" t="s">
        <v>38</v>
      </c>
      <c r="E1959" t="s">
        <v>39</v>
      </c>
      <c r="F1959">
        <v>125</v>
      </c>
      <c r="G1959">
        <v>320</v>
      </c>
      <c r="H1959">
        <v>142</v>
      </c>
      <c r="I1959">
        <v>58</v>
      </c>
      <c r="J1959" s="8">
        <v>0.46400000000000002</v>
      </c>
      <c r="K1959">
        <v>41</v>
      </c>
      <c r="L1959">
        <v>26</v>
      </c>
      <c r="M1959">
        <v>129</v>
      </c>
      <c r="N1959" s="10">
        <v>585.71</v>
      </c>
      <c r="O1959" s="7">
        <v>3.5</v>
      </c>
      <c r="P1959" s="7">
        <v>31.2</v>
      </c>
      <c r="Q1959">
        <v>0</v>
      </c>
      <c r="R1959" t="s">
        <v>62</v>
      </c>
      <c r="S1959">
        <v>10</v>
      </c>
      <c r="T1959">
        <v>288</v>
      </c>
      <c r="U1959" s="11">
        <v>0</v>
      </c>
      <c r="V1959" s="11">
        <v>1</v>
      </c>
      <c r="W1959" s="11">
        <v>-0.97485951083741251</v>
      </c>
      <c r="X1959" s="11">
        <v>0.22282040779479959</v>
      </c>
      <c r="Y1959">
        <v>0</v>
      </c>
      <c r="Z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6">
        <v>45579</v>
      </c>
      <c r="B1960" t="s">
        <v>41</v>
      </c>
      <c r="C1960" t="s">
        <v>42</v>
      </c>
      <c r="D1960" t="s">
        <v>43</v>
      </c>
      <c r="E1960" t="s">
        <v>44</v>
      </c>
      <c r="F1960">
        <v>85</v>
      </c>
      <c r="G1960">
        <v>210</v>
      </c>
      <c r="H1960">
        <v>106</v>
      </c>
      <c r="I1960">
        <v>45</v>
      </c>
      <c r="J1960" s="8">
        <v>0.52941176470588236</v>
      </c>
      <c r="K1960">
        <v>26</v>
      </c>
      <c r="L1960">
        <v>18</v>
      </c>
      <c r="M1960">
        <v>88</v>
      </c>
      <c r="N1960" s="10">
        <v>492.1</v>
      </c>
      <c r="O1960" s="7">
        <v>3.5</v>
      </c>
      <c r="P1960" s="7">
        <v>31.2</v>
      </c>
      <c r="Q1960">
        <v>0</v>
      </c>
      <c r="R1960" t="s">
        <v>62</v>
      </c>
      <c r="S1960">
        <v>10</v>
      </c>
      <c r="T1960">
        <v>288</v>
      </c>
      <c r="U1960" s="11">
        <v>0</v>
      </c>
      <c r="V1960" s="11">
        <v>1</v>
      </c>
      <c r="W1960" s="11">
        <v>-0.97485951083741251</v>
      </c>
      <c r="X1960" s="11">
        <v>0.22282040779479959</v>
      </c>
      <c r="Y1960">
        <v>0</v>
      </c>
      <c r="Z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6">
        <v>45580</v>
      </c>
      <c r="B1961" t="s">
        <v>31</v>
      </c>
      <c r="C1961" t="s">
        <v>32</v>
      </c>
      <c r="D1961" t="s">
        <v>33</v>
      </c>
      <c r="E1961" t="s">
        <v>34</v>
      </c>
      <c r="F1961">
        <v>140</v>
      </c>
      <c r="G1961">
        <v>360</v>
      </c>
      <c r="H1961">
        <v>165</v>
      </c>
      <c r="I1961">
        <v>71</v>
      </c>
      <c r="J1961" s="8">
        <v>0.50714285714285712</v>
      </c>
      <c r="K1961">
        <v>16</v>
      </c>
      <c r="L1961">
        <v>13</v>
      </c>
      <c r="M1961">
        <v>151</v>
      </c>
      <c r="N1961" s="10">
        <v>451.36</v>
      </c>
      <c r="O1961" s="7">
        <v>5.8</v>
      </c>
      <c r="P1961" s="7">
        <v>29.5</v>
      </c>
      <c r="Q1961">
        <v>1</v>
      </c>
      <c r="R1961" t="s">
        <v>63</v>
      </c>
      <c r="S1961">
        <v>10</v>
      </c>
      <c r="T1961">
        <v>289</v>
      </c>
      <c r="U1961" s="11">
        <v>0.7818314824680298</v>
      </c>
      <c r="V1961" s="11">
        <v>0.62348980185873359</v>
      </c>
      <c r="W1961" s="11">
        <v>-0.97088241048138357</v>
      </c>
      <c r="X1961" s="11">
        <v>0.23955655912092708</v>
      </c>
      <c r="Y1961">
        <v>0</v>
      </c>
      <c r="Z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6">
        <v>45580</v>
      </c>
      <c r="B1962" t="s">
        <v>36</v>
      </c>
      <c r="C1962" t="s">
        <v>37</v>
      </c>
      <c r="D1962" t="s">
        <v>38</v>
      </c>
      <c r="E1962" t="s">
        <v>39</v>
      </c>
      <c r="F1962">
        <v>125</v>
      </c>
      <c r="G1962">
        <v>320</v>
      </c>
      <c r="H1962">
        <v>165</v>
      </c>
      <c r="I1962">
        <v>66</v>
      </c>
      <c r="J1962" s="8">
        <v>0.52800000000000002</v>
      </c>
      <c r="K1962">
        <v>31</v>
      </c>
      <c r="L1962">
        <v>44</v>
      </c>
      <c r="M1962">
        <v>151</v>
      </c>
      <c r="N1962" s="10">
        <v>578.09</v>
      </c>
      <c r="O1962" s="7">
        <v>5.8</v>
      </c>
      <c r="P1962" s="7">
        <v>29.5</v>
      </c>
      <c r="Q1962">
        <v>1</v>
      </c>
      <c r="R1962" t="s">
        <v>63</v>
      </c>
      <c r="S1962">
        <v>10</v>
      </c>
      <c r="T1962">
        <v>289</v>
      </c>
      <c r="U1962" s="11">
        <v>0.7818314824680298</v>
      </c>
      <c r="V1962" s="11">
        <v>0.62348980185873359</v>
      </c>
      <c r="W1962" s="11">
        <v>-0.97088241048138357</v>
      </c>
      <c r="X1962" s="11">
        <v>0.23955655912092708</v>
      </c>
      <c r="Y1962">
        <v>0</v>
      </c>
      <c r="Z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6">
        <v>45580</v>
      </c>
      <c r="B1963" t="s">
        <v>41</v>
      </c>
      <c r="C1963" t="s">
        <v>42</v>
      </c>
      <c r="D1963" t="s">
        <v>43</v>
      </c>
      <c r="E1963" t="s">
        <v>44</v>
      </c>
      <c r="F1963">
        <v>85</v>
      </c>
      <c r="G1963">
        <v>210</v>
      </c>
      <c r="H1963">
        <v>121</v>
      </c>
      <c r="I1963">
        <v>53</v>
      </c>
      <c r="J1963" s="8">
        <v>0.62352941176470589</v>
      </c>
      <c r="K1963">
        <v>10</v>
      </c>
      <c r="L1963">
        <v>27</v>
      </c>
      <c r="M1963">
        <v>108</v>
      </c>
      <c r="N1963" s="10">
        <v>553.80999999999995</v>
      </c>
      <c r="O1963" s="7">
        <v>5.8</v>
      </c>
      <c r="P1963" s="7">
        <v>29.5</v>
      </c>
      <c r="Q1963">
        <v>1</v>
      </c>
      <c r="R1963" t="s">
        <v>63</v>
      </c>
      <c r="S1963">
        <v>10</v>
      </c>
      <c r="T1963">
        <v>289</v>
      </c>
      <c r="U1963" s="11">
        <v>0.7818314824680298</v>
      </c>
      <c r="V1963" s="11">
        <v>0.62348980185873359</v>
      </c>
      <c r="W1963" s="11">
        <v>-0.97088241048138357</v>
      </c>
      <c r="X1963" s="11">
        <v>0.23955655912092708</v>
      </c>
      <c r="Y1963">
        <v>0</v>
      </c>
      <c r="Z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6">
        <v>45581</v>
      </c>
      <c r="B1964" t="s">
        <v>31</v>
      </c>
      <c r="C1964" t="s">
        <v>32</v>
      </c>
      <c r="D1964" t="s">
        <v>33</v>
      </c>
      <c r="E1964" t="s">
        <v>34</v>
      </c>
      <c r="F1964">
        <v>140</v>
      </c>
      <c r="G1964">
        <v>360</v>
      </c>
      <c r="H1964">
        <v>201</v>
      </c>
      <c r="I1964">
        <v>84</v>
      </c>
      <c r="J1964" s="8">
        <v>0.6</v>
      </c>
      <c r="K1964">
        <v>34</v>
      </c>
      <c r="L1964">
        <v>35</v>
      </c>
      <c r="M1964">
        <v>168</v>
      </c>
      <c r="N1964" s="10">
        <v>394.51</v>
      </c>
      <c r="O1964" s="7">
        <v>0.2</v>
      </c>
      <c r="P1964" s="7">
        <v>28.7</v>
      </c>
      <c r="Q1964">
        <v>2</v>
      </c>
      <c r="R1964" t="s">
        <v>64</v>
      </c>
      <c r="S1964">
        <v>10</v>
      </c>
      <c r="T1964">
        <v>290</v>
      </c>
      <c r="U1964" s="11">
        <v>0.97492791218182362</v>
      </c>
      <c r="V1964" s="11">
        <v>-0.22252093395631434</v>
      </c>
      <c r="W1964" s="11">
        <v>-0.96661801040009721</v>
      </c>
      <c r="X1964" s="11">
        <v>0.25622182180711628</v>
      </c>
      <c r="Y1964">
        <v>0</v>
      </c>
      <c r="Z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6">
        <v>45581</v>
      </c>
      <c r="B1965" t="s">
        <v>36</v>
      </c>
      <c r="C1965" t="s">
        <v>37</v>
      </c>
      <c r="D1965" t="s">
        <v>38</v>
      </c>
      <c r="E1965" t="s">
        <v>39</v>
      </c>
      <c r="F1965">
        <v>125</v>
      </c>
      <c r="G1965">
        <v>320</v>
      </c>
      <c r="H1965">
        <v>149</v>
      </c>
      <c r="I1965">
        <v>61</v>
      </c>
      <c r="J1965" s="8">
        <v>0.48799999999999999</v>
      </c>
      <c r="K1965">
        <v>39</v>
      </c>
      <c r="L1965">
        <v>29</v>
      </c>
      <c r="M1965">
        <v>125</v>
      </c>
      <c r="N1965" s="10">
        <v>602.63</v>
      </c>
      <c r="O1965" s="7">
        <v>0.2</v>
      </c>
      <c r="P1965" s="7">
        <v>28.7</v>
      </c>
      <c r="Q1965">
        <v>2</v>
      </c>
      <c r="R1965" t="s">
        <v>64</v>
      </c>
      <c r="S1965">
        <v>10</v>
      </c>
      <c r="T1965">
        <v>290</v>
      </c>
      <c r="U1965" s="11">
        <v>0.97492791218182362</v>
      </c>
      <c r="V1965" s="11">
        <v>-0.22252093395631434</v>
      </c>
      <c r="W1965" s="11">
        <v>-0.96661801040009721</v>
      </c>
      <c r="X1965" s="11">
        <v>0.25622182180711628</v>
      </c>
      <c r="Y1965">
        <v>0</v>
      </c>
      <c r="Z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6">
        <v>45581</v>
      </c>
      <c r="B1966" t="s">
        <v>41</v>
      </c>
      <c r="C1966" t="s">
        <v>42</v>
      </c>
      <c r="D1966" t="s">
        <v>43</v>
      </c>
      <c r="E1966" t="s">
        <v>44</v>
      </c>
      <c r="F1966">
        <v>85</v>
      </c>
      <c r="G1966">
        <v>210</v>
      </c>
      <c r="H1966">
        <v>100</v>
      </c>
      <c r="I1966">
        <v>47</v>
      </c>
      <c r="J1966" s="8">
        <v>0.55294117647058827</v>
      </c>
      <c r="K1966">
        <v>18</v>
      </c>
      <c r="L1966">
        <v>23</v>
      </c>
      <c r="M1966">
        <v>91</v>
      </c>
      <c r="N1966" s="10">
        <v>507.38</v>
      </c>
      <c r="O1966" s="7">
        <v>0.2</v>
      </c>
      <c r="P1966" s="7">
        <v>28.7</v>
      </c>
      <c r="Q1966">
        <v>2</v>
      </c>
      <c r="R1966" t="s">
        <v>64</v>
      </c>
      <c r="S1966">
        <v>10</v>
      </c>
      <c r="T1966">
        <v>290</v>
      </c>
      <c r="U1966" s="11">
        <v>0.97492791218182362</v>
      </c>
      <c r="V1966" s="11">
        <v>-0.22252093395631434</v>
      </c>
      <c r="W1966" s="11">
        <v>-0.96661801040009721</v>
      </c>
      <c r="X1966" s="11">
        <v>0.25622182180711628</v>
      </c>
      <c r="Y1966">
        <v>0</v>
      </c>
      <c r="Z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6">
        <v>45582</v>
      </c>
      <c r="B1967" t="s">
        <v>31</v>
      </c>
      <c r="C1967" t="s">
        <v>32</v>
      </c>
      <c r="D1967" t="s">
        <v>33</v>
      </c>
      <c r="E1967" t="s">
        <v>34</v>
      </c>
      <c r="F1967">
        <v>140</v>
      </c>
      <c r="G1967">
        <v>360</v>
      </c>
      <c r="H1967">
        <v>173</v>
      </c>
      <c r="I1967">
        <v>71</v>
      </c>
      <c r="J1967" s="8">
        <v>0.50714285714285712</v>
      </c>
      <c r="K1967">
        <v>38</v>
      </c>
      <c r="L1967">
        <v>24</v>
      </c>
      <c r="M1967">
        <v>151</v>
      </c>
      <c r="N1967" s="10">
        <v>438.73</v>
      </c>
      <c r="O1967" s="7">
        <v>2.1</v>
      </c>
      <c r="P1967" s="7">
        <v>30.9</v>
      </c>
      <c r="Q1967">
        <v>3</v>
      </c>
      <c r="R1967" t="s">
        <v>65</v>
      </c>
      <c r="S1967">
        <v>10</v>
      </c>
      <c r="T1967">
        <v>291</v>
      </c>
      <c r="U1967" s="11">
        <v>0.43388373911755823</v>
      </c>
      <c r="V1967" s="11">
        <v>-0.90096886790241903</v>
      </c>
      <c r="W1967" s="11">
        <v>-0.96206757249814523</v>
      </c>
      <c r="X1967" s="11">
        <v>0.27281126433401914</v>
      </c>
      <c r="Y1967">
        <v>0</v>
      </c>
      <c r="Z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6">
        <v>45582</v>
      </c>
      <c r="B1968" t="s">
        <v>36</v>
      </c>
      <c r="C1968" t="s">
        <v>37</v>
      </c>
      <c r="D1968" t="s">
        <v>38</v>
      </c>
      <c r="E1968" t="s">
        <v>39</v>
      </c>
      <c r="F1968">
        <v>125</v>
      </c>
      <c r="G1968">
        <v>320</v>
      </c>
      <c r="H1968">
        <v>156</v>
      </c>
      <c r="I1968">
        <v>66</v>
      </c>
      <c r="J1968" s="8">
        <v>0.52800000000000002</v>
      </c>
      <c r="K1968">
        <v>24</v>
      </c>
      <c r="L1968">
        <v>21</v>
      </c>
      <c r="M1968">
        <v>130</v>
      </c>
      <c r="N1968" s="10">
        <v>583.24</v>
      </c>
      <c r="O1968" s="7">
        <v>2.1</v>
      </c>
      <c r="P1968" s="7">
        <v>30.9</v>
      </c>
      <c r="Q1968">
        <v>3</v>
      </c>
      <c r="R1968" t="s">
        <v>65</v>
      </c>
      <c r="S1968">
        <v>10</v>
      </c>
      <c r="T1968">
        <v>291</v>
      </c>
      <c r="U1968" s="11">
        <v>0.43388373911755823</v>
      </c>
      <c r="V1968" s="11">
        <v>-0.90096886790241903</v>
      </c>
      <c r="W1968" s="11">
        <v>-0.96206757249814523</v>
      </c>
      <c r="X1968" s="11">
        <v>0.27281126433401914</v>
      </c>
      <c r="Y1968">
        <v>0</v>
      </c>
      <c r="Z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6">
        <v>45582</v>
      </c>
      <c r="B1969" t="s">
        <v>41</v>
      </c>
      <c r="C1969" t="s">
        <v>42</v>
      </c>
      <c r="D1969" t="s">
        <v>43</v>
      </c>
      <c r="E1969" t="s">
        <v>44</v>
      </c>
      <c r="F1969">
        <v>85</v>
      </c>
      <c r="G1969">
        <v>210</v>
      </c>
      <c r="H1969">
        <v>108</v>
      </c>
      <c r="I1969">
        <v>52</v>
      </c>
      <c r="J1969" s="8">
        <v>0.61176470588235299</v>
      </c>
      <c r="K1969">
        <v>27</v>
      </c>
      <c r="L1969">
        <v>25</v>
      </c>
      <c r="M1969">
        <v>102</v>
      </c>
      <c r="N1969" s="10">
        <v>512.01</v>
      </c>
      <c r="O1969" s="7">
        <v>2.1</v>
      </c>
      <c r="P1969" s="7">
        <v>30.9</v>
      </c>
      <c r="Q1969">
        <v>3</v>
      </c>
      <c r="R1969" t="s">
        <v>65</v>
      </c>
      <c r="S1969">
        <v>10</v>
      </c>
      <c r="T1969">
        <v>291</v>
      </c>
      <c r="U1969" s="11">
        <v>0.43388373911755823</v>
      </c>
      <c r="V1969" s="11">
        <v>-0.90096886790241903</v>
      </c>
      <c r="W1969" s="11">
        <v>-0.96206757249814523</v>
      </c>
      <c r="X1969" s="11">
        <v>0.27281126433401914</v>
      </c>
      <c r="Y1969">
        <v>0</v>
      </c>
      <c r="Z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6">
        <v>45583</v>
      </c>
      <c r="B1970" t="s">
        <v>31</v>
      </c>
      <c r="C1970" t="s">
        <v>32</v>
      </c>
      <c r="D1970" t="s">
        <v>33</v>
      </c>
      <c r="E1970" t="s">
        <v>34</v>
      </c>
      <c r="F1970">
        <v>140</v>
      </c>
      <c r="G1970">
        <v>360</v>
      </c>
      <c r="H1970">
        <v>172</v>
      </c>
      <c r="I1970">
        <v>76</v>
      </c>
      <c r="J1970" s="8">
        <v>0.54285714285714282</v>
      </c>
      <c r="K1970">
        <v>44</v>
      </c>
      <c r="L1970">
        <v>26</v>
      </c>
      <c r="M1970">
        <v>161</v>
      </c>
      <c r="N1970" s="10">
        <v>423.51</v>
      </c>
      <c r="O1970" s="7">
        <v>0</v>
      </c>
      <c r="P1970" s="7">
        <v>29.6</v>
      </c>
      <c r="Q1970">
        <v>4</v>
      </c>
      <c r="R1970" t="s">
        <v>66</v>
      </c>
      <c r="S1970">
        <v>10</v>
      </c>
      <c r="T1970">
        <v>292</v>
      </c>
      <c r="U1970" s="11">
        <v>-0.43388373911755801</v>
      </c>
      <c r="V1970" s="11">
        <v>-0.90096886790241915</v>
      </c>
      <c r="W1970" s="11">
        <v>-0.95723244332331203</v>
      </c>
      <c r="X1970" s="11">
        <v>0.28931997761869527</v>
      </c>
      <c r="Y1970">
        <v>0</v>
      </c>
      <c r="Z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6">
        <v>45583</v>
      </c>
      <c r="B1971" t="s">
        <v>36</v>
      </c>
      <c r="C1971" t="s">
        <v>37</v>
      </c>
      <c r="D1971" t="s">
        <v>38</v>
      </c>
      <c r="E1971" t="s">
        <v>39</v>
      </c>
      <c r="F1971">
        <v>125</v>
      </c>
      <c r="G1971">
        <v>320</v>
      </c>
      <c r="H1971">
        <v>167</v>
      </c>
      <c r="I1971">
        <v>68</v>
      </c>
      <c r="J1971" s="8">
        <v>0.54400000000000004</v>
      </c>
      <c r="K1971">
        <v>42</v>
      </c>
      <c r="L1971">
        <v>24</v>
      </c>
      <c r="M1971">
        <v>152</v>
      </c>
      <c r="N1971" s="10">
        <v>587.30999999999995</v>
      </c>
      <c r="O1971" s="7">
        <v>0</v>
      </c>
      <c r="P1971" s="7">
        <v>29.6</v>
      </c>
      <c r="Q1971">
        <v>4</v>
      </c>
      <c r="R1971" t="s">
        <v>66</v>
      </c>
      <c r="S1971">
        <v>10</v>
      </c>
      <c r="T1971">
        <v>292</v>
      </c>
      <c r="U1971" s="11">
        <v>-0.43388373911755801</v>
      </c>
      <c r="V1971" s="11">
        <v>-0.90096886790241915</v>
      </c>
      <c r="W1971" s="11">
        <v>-0.95723244332331203</v>
      </c>
      <c r="X1971" s="11">
        <v>0.28931997761869527</v>
      </c>
      <c r="Y1971">
        <v>0</v>
      </c>
      <c r="Z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6">
        <v>45583</v>
      </c>
      <c r="B1972" t="s">
        <v>41</v>
      </c>
      <c r="C1972" t="s">
        <v>42</v>
      </c>
      <c r="D1972" t="s">
        <v>43</v>
      </c>
      <c r="E1972" t="s">
        <v>44</v>
      </c>
      <c r="F1972">
        <v>85</v>
      </c>
      <c r="G1972">
        <v>210</v>
      </c>
      <c r="H1972">
        <v>111</v>
      </c>
      <c r="I1972">
        <v>48</v>
      </c>
      <c r="J1972" s="8">
        <v>0.56470588235294117</v>
      </c>
      <c r="K1972">
        <v>20</v>
      </c>
      <c r="L1972">
        <v>14</v>
      </c>
      <c r="M1972">
        <v>91</v>
      </c>
      <c r="N1972" s="10">
        <v>492.47</v>
      </c>
      <c r="O1972" s="7">
        <v>0</v>
      </c>
      <c r="P1972" s="7">
        <v>29.6</v>
      </c>
      <c r="Q1972">
        <v>4</v>
      </c>
      <c r="R1972" t="s">
        <v>66</v>
      </c>
      <c r="S1972">
        <v>10</v>
      </c>
      <c r="T1972">
        <v>292</v>
      </c>
      <c r="U1972" s="11">
        <v>-0.43388373911755801</v>
      </c>
      <c r="V1972" s="11">
        <v>-0.90096886790241915</v>
      </c>
      <c r="W1972" s="11">
        <v>-0.95723244332331203</v>
      </c>
      <c r="X1972" s="11">
        <v>0.28931997761869527</v>
      </c>
      <c r="Y1972">
        <v>0</v>
      </c>
      <c r="Z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6">
        <v>45584</v>
      </c>
      <c r="B1973" t="s">
        <v>31</v>
      </c>
      <c r="C1973" t="s">
        <v>32</v>
      </c>
      <c r="D1973" t="s">
        <v>33</v>
      </c>
      <c r="E1973" t="s">
        <v>34</v>
      </c>
      <c r="F1973">
        <v>140</v>
      </c>
      <c r="G1973">
        <v>360</v>
      </c>
      <c r="H1973">
        <v>209</v>
      </c>
      <c r="I1973">
        <v>89</v>
      </c>
      <c r="J1973" s="8">
        <v>0.63571428571428568</v>
      </c>
      <c r="K1973">
        <v>30</v>
      </c>
      <c r="L1973">
        <v>31</v>
      </c>
      <c r="M1973">
        <v>188</v>
      </c>
      <c r="N1973" s="10">
        <v>516.64</v>
      </c>
      <c r="O1973" s="7">
        <v>0</v>
      </c>
      <c r="P1973" s="7">
        <v>29</v>
      </c>
      <c r="Q1973">
        <v>5</v>
      </c>
      <c r="R1973" t="s">
        <v>67</v>
      </c>
      <c r="S1973">
        <v>10</v>
      </c>
      <c r="T1973">
        <v>293</v>
      </c>
      <c r="U1973" s="11">
        <v>-0.97492791218182362</v>
      </c>
      <c r="V1973" s="11">
        <v>-0.22252093395631459</v>
      </c>
      <c r="W1973" s="11">
        <v>-0.95211405366811019</v>
      </c>
      <c r="X1973" s="11">
        <v>0.3057430764672831</v>
      </c>
      <c r="Y1973">
        <v>1</v>
      </c>
      <c r="Z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 s="6">
        <v>45584</v>
      </c>
      <c r="B1974" t="s">
        <v>36</v>
      </c>
      <c r="C1974" t="s">
        <v>37</v>
      </c>
      <c r="D1974" t="s">
        <v>38</v>
      </c>
      <c r="E1974" t="s">
        <v>39</v>
      </c>
      <c r="F1974">
        <v>125</v>
      </c>
      <c r="G1974">
        <v>320</v>
      </c>
      <c r="H1974">
        <v>182</v>
      </c>
      <c r="I1974">
        <v>78</v>
      </c>
      <c r="J1974" s="8">
        <v>0.624</v>
      </c>
      <c r="K1974">
        <v>26</v>
      </c>
      <c r="L1974">
        <v>31</v>
      </c>
      <c r="M1974">
        <v>153</v>
      </c>
      <c r="N1974" s="10">
        <v>702.41</v>
      </c>
      <c r="O1974" s="7">
        <v>0</v>
      </c>
      <c r="P1974" s="7">
        <v>29</v>
      </c>
      <c r="Q1974">
        <v>5</v>
      </c>
      <c r="R1974" t="s">
        <v>67</v>
      </c>
      <c r="S1974">
        <v>10</v>
      </c>
      <c r="T1974">
        <v>293</v>
      </c>
      <c r="U1974" s="11">
        <v>-0.97492791218182362</v>
      </c>
      <c r="V1974" s="11">
        <v>-0.22252093395631459</v>
      </c>
      <c r="W1974" s="11">
        <v>-0.95211405366811019</v>
      </c>
      <c r="X1974" s="11">
        <v>0.3057430764672831</v>
      </c>
      <c r="Y1974">
        <v>1</v>
      </c>
      <c r="Z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6">
        <v>45584</v>
      </c>
      <c r="B1975" t="s">
        <v>41</v>
      </c>
      <c r="C1975" t="s">
        <v>42</v>
      </c>
      <c r="D1975" t="s">
        <v>43</v>
      </c>
      <c r="E1975" t="s">
        <v>44</v>
      </c>
      <c r="F1975">
        <v>85</v>
      </c>
      <c r="G1975">
        <v>210</v>
      </c>
      <c r="H1975">
        <v>136</v>
      </c>
      <c r="I1975">
        <v>60</v>
      </c>
      <c r="J1975" s="8">
        <v>0.70588235294117652</v>
      </c>
      <c r="K1975">
        <v>27</v>
      </c>
      <c r="L1975">
        <v>26</v>
      </c>
      <c r="M1975">
        <v>120</v>
      </c>
      <c r="N1975" s="10">
        <v>601.29999999999995</v>
      </c>
      <c r="O1975" s="7">
        <v>0</v>
      </c>
      <c r="P1975" s="7">
        <v>29</v>
      </c>
      <c r="Q1975">
        <v>5</v>
      </c>
      <c r="R1975" t="s">
        <v>67</v>
      </c>
      <c r="S1975">
        <v>10</v>
      </c>
      <c r="T1975">
        <v>293</v>
      </c>
      <c r="U1975" s="11">
        <v>-0.97492791218182362</v>
      </c>
      <c r="V1975" s="11">
        <v>-0.22252093395631459</v>
      </c>
      <c r="W1975" s="11">
        <v>-0.95211405366811019</v>
      </c>
      <c r="X1975" s="11">
        <v>0.3057430764672831</v>
      </c>
      <c r="Y1975">
        <v>1</v>
      </c>
      <c r="Z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6">
        <v>45585</v>
      </c>
      <c r="B1976" t="s">
        <v>31</v>
      </c>
      <c r="C1976" t="s">
        <v>32</v>
      </c>
      <c r="D1976" t="s">
        <v>33</v>
      </c>
      <c r="E1976" t="s">
        <v>34</v>
      </c>
      <c r="F1976">
        <v>140</v>
      </c>
      <c r="G1976">
        <v>360</v>
      </c>
      <c r="H1976">
        <v>210</v>
      </c>
      <c r="I1976">
        <v>89</v>
      </c>
      <c r="J1976" s="8">
        <v>0.63571428571428568</v>
      </c>
      <c r="K1976">
        <v>46</v>
      </c>
      <c r="L1976">
        <v>55</v>
      </c>
      <c r="M1976">
        <v>176</v>
      </c>
      <c r="N1976" s="10">
        <v>479.64</v>
      </c>
      <c r="O1976" s="7">
        <v>2.8</v>
      </c>
      <c r="P1976" s="7">
        <v>29.9</v>
      </c>
      <c r="Q1976">
        <v>6</v>
      </c>
      <c r="R1976" t="s">
        <v>60</v>
      </c>
      <c r="S1976">
        <v>10</v>
      </c>
      <c r="T1976">
        <v>294</v>
      </c>
      <c r="U1976" s="11">
        <v>-0.78183148246802991</v>
      </c>
      <c r="V1976" s="11">
        <v>0.62348980185873337</v>
      </c>
      <c r="W1976" s="11">
        <v>-0.94671391814638617</v>
      </c>
      <c r="X1976" s="11">
        <v>0.32207570102061039</v>
      </c>
      <c r="Y1976">
        <v>1</v>
      </c>
      <c r="Z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6">
        <v>45585</v>
      </c>
      <c r="B1977" t="s">
        <v>36</v>
      </c>
      <c r="C1977" t="s">
        <v>37</v>
      </c>
      <c r="D1977" t="s">
        <v>38</v>
      </c>
      <c r="E1977" t="s">
        <v>39</v>
      </c>
      <c r="F1977">
        <v>125</v>
      </c>
      <c r="G1977">
        <v>320</v>
      </c>
      <c r="H1977">
        <v>177</v>
      </c>
      <c r="I1977">
        <v>74</v>
      </c>
      <c r="J1977" s="8">
        <v>0.59199999999999997</v>
      </c>
      <c r="K1977">
        <v>32</v>
      </c>
      <c r="L1977">
        <v>38</v>
      </c>
      <c r="M1977">
        <v>144</v>
      </c>
      <c r="N1977" s="10">
        <v>751.13</v>
      </c>
      <c r="O1977" s="7">
        <v>2.8</v>
      </c>
      <c r="P1977" s="7">
        <v>29.9</v>
      </c>
      <c r="Q1977">
        <v>6</v>
      </c>
      <c r="R1977" t="s">
        <v>60</v>
      </c>
      <c r="S1977">
        <v>10</v>
      </c>
      <c r="T1977">
        <v>294</v>
      </c>
      <c r="U1977" s="11">
        <v>-0.78183148246802991</v>
      </c>
      <c r="V1977" s="11">
        <v>0.62348980185873337</v>
      </c>
      <c r="W1977" s="11">
        <v>-0.94671391814638617</v>
      </c>
      <c r="X1977" s="11">
        <v>0.32207570102061039</v>
      </c>
      <c r="Y1977">
        <v>1</v>
      </c>
      <c r="Z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6">
        <v>45585</v>
      </c>
      <c r="B1978" t="s">
        <v>41</v>
      </c>
      <c r="C1978" t="s">
        <v>42</v>
      </c>
      <c r="D1978" t="s">
        <v>43</v>
      </c>
      <c r="E1978" t="s">
        <v>44</v>
      </c>
      <c r="F1978">
        <v>85</v>
      </c>
      <c r="G1978">
        <v>210</v>
      </c>
      <c r="H1978">
        <v>140</v>
      </c>
      <c r="I1978">
        <v>62</v>
      </c>
      <c r="J1978" s="8">
        <v>0.72941176470588232</v>
      </c>
      <c r="K1978">
        <v>29</v>
      </c>
      <c r="L1978">
        <v>24</v>
      </c>
      <c r="M1978">
        <v>125</v>
      </c>
      <c r="N1978" s="10">
        <v>600.42999999999995</v>
      </c>
      <c r="O1978" s="7">
        <v>2.8</v>
      </c>
      <c r="P1978" s="7">
        <v>29.9</v>
      </c>
      <c r="Q1978">
        <v>6</v>
      </c>
      <c r="R1978" t="s">
        <v>60</v>
      </c>
      <c r="S1978">
        <v>10</v>
      </c>
      <c r="T1978">
        <v>294</v>
      </c>
      <c r="U1978" s="11">
        <v>-0.78183148246802991</v>
      </c>
      <c r="V1978" s="11">
        <v>0.62348980185873337</v>
      </c>
      <c r="W1978" s="11">
        <v>-0.94671391814638617</v>
      </c>
      <c r="X1978" s="11">
        <v>0.32207570102061039</v>
      </c>
      <c r="Y1978">
        <v>1</v>
      </c>
      <c r="Z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6">
        <v>45586</v>
      </c>
      <c r="B1979" t="s">
        <v>31</v>
      </c>
      <c r="C1979" t="s">
        <v>32</v>
      </c>
      <c r="D1979" t="s">
        <v>33</v>
      </c>
      <c r="E1979" t="s">
        <v>34</v>
      </c>
      <c r="F1979">
        <v>140</v>
      </c>
      <c r="G1979">
        <v>360</v>
      </c>
      <c r="H1979">
        <v>180</v>
      </c>
      <c r="I1979">
        <v>76</v>
      </c>
      <c r="J1979" s="8">
        <v>0.54285714285714282</v>
      </c>
      <c r="K1979">
        <v>44</v>
      </c>
      <c r="L1979">
        <v>40</v>
      </c>
      <c r="M1979">
        <v>160</v>
      </c>
      <c r="N1979" s="10">
        <v>427.37</v>
      </c>
      <c r="O1979" s="7">
        <v>0.5</v>
      </c>
      <c r="P1979" s="7">
        <v>29.6</v>
      </c>
      <c r="Q1979">
        <v>0</v>
      </c>
      <c r="R1979" t="s">
        <v>62</v>
      </c>
      <c r="S1979">
        <v>10</v>
      </c>
      <c r="T1979">
        <v>295</v>
      </c>
      <c r="U1979" s="11">
        <v>0</v>
      </c>
      <c r="V1979" s="11">
        <v>1</v>
      </c>
      <c r="W1979" s="11">
        <v>-0.9410336347451197</v>
      </c>
      <c r="X1979" s="11">
        <v>0.33831301819230758</v>
      </c>
      <c r="Y1979">
        <v>0</v>
      </c>
      <c r="Z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6">
        <v>45586</v>
      </c>
      <c r="B1980" t="s">
        <v>36</v>
      </c>
      <c r="C1980" t="s">
        <v>37</v>
      </c>
      <c r="D1980" t="s">
        <v>38</v>
      </c>
      <c r="E1980" t="s">
        <v>39</v>
      </c>
      <c r="F1980">
        <v>125</v>
      </c>
      <c r="G1980">
        <v>320</v>
      </c>
      <c r="H1980">
        <v>151</v>
      </c>
      <c r="I1980">
        <v>64</v>
      </c>
      <c r="J1980" s="8">
        <v>0.51200000000000001</v>
      </c>
      <c r="K1980">
        <v>28</v>
      </c>
      <c r="L1980">
        <v>28</v>
      </c>
      <c r="M1980">
        <v>125</v>
      </c>
      <c r="N1980" s="10">
        <v>642.49</v>
      </c>
      <c r="O1980" s="7">
        <v>0.5</v>
      </c>
      <c r="P1980" s="7">
        <v>29.6</v>
      </c>
      <c r="Q1980">
        <v>0</v>
      </c>
      <c r="R1980" t="s">
        <v>62</v>
      </c>
      <c r="S1980">
        <v>10</v>
      </c>
      <c r="T1980">
        <v>295</v>
      </c>
      <c r="U1980" s="11">
        <v>0</v>
      </c>
      <c r="V1980" s="11">
        <v>1</v>
      </c>
      <c r="W1980" s="11">
        <v>-0.9410336347451197</v>
      </c>
      <c r="X1980" s="11">
        <v>0.33831301819230758</v>
      </c>
      <c r="Y1980">
        <v>0</v>
      </c>
      <c r="Z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6">
        <v>45586</v>
      </c>
      <c r="B1981" t="s">
        <v>41</v>
      </c>
      <c r="C1981" t="s">
        <v>42</v>
      </c>
      <c r="D1981" t="s">
        <v>43</v>
      </c>
      <c r="E1981" t="s">
        <v>44</v>
      </c>
      <c r="F1981">
        <v>85</v>
      </c>
      <c r="G1981">
        <v>210</v>
      </c>
      <c r="H1981">
        <v>96</v>
      </c>
      <c r="I1981">
        <v>42</v>
      </c>
      <c r="J1981" s="8">
        <v>0.49411764705882355</v>
      </c>
      <c r="K1981">
        <v>22</v>
      </c>
      <c r="L1981">
        <v>19</v>
      </c>
      <c r="M1981">
        <v>82</v>
      </c>
      <c r="N1981" s="10">
        <v>491.55</v>
      </c>
      <c r="O1981" s="7">
        <v>0.5</v>
      </c>
      <c r="P1981" s="7">
        <v>29.6</v>
      </c>
      <c r="Q1981">
        <v>0</v>
      </c>
      <c r="R1981" t="s">
        <v>62</v>
      </c>
      <c r="S1981">
        <v>10</v>
      </c>
      <c r="T1981">
        <v>295</v>
      </c>
      <c r="U1981" s="11">
        <v>0</v>
      </c>
      <c r="V1981" s="11">
        <v>1</v>
      </c>
      <c r="W1981" s="11">
        <v>-0.9410336347451197</v>
      </c>
      <c r="X1981" s="11">
        <v>0.33831301819230758</v>
      </c>
      <c r="Y1981">
        <v>0</v>
      </c>
      <c r="Z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6">
        <v>45587</v>
      </c>
      <c r="B1982" t="s">
        <v>31</v>
      </c>
      <c r="C1982" t="s">
        <v>32</v>
      </c>
      <c r="D1982" t="s">
        <v>33</v>
      </c>
      <c r="E1982" t="s">
        <v>34</v>
      </c>
      <c r="F1982">
        <v>140</v>
      </c>
      <c r="G1982">
        <v>360</v>
      </c>
      <c r="H1982">
        <v>188</v>
      </c>
      <c r="I1982">
        <v>82</v>
      </c>
      <c r="J1982" s="8">
        <v>0.58571428571428574</v>
      </c>
      <c r="K1982">
        <v>43</v>
      </c>
      <c r="L1982">
        <v>48</v>
      </c>
      <c r="M1982">
        <v>170</v>
      </c>
      <c r="N1982" s="10">
        <v>427.49</v>
      </c>
      <c r="O1982" s="7">
        <v>0.8</v>
      </c>
      <c r="P1982" s="7">
        <v>30.3</v>
      </c>
      <c r="Q1982">
        <v>1</v>
      </c>
      <c r="R1982" t="s">
        <v>63</v>
      </c>
      <c r="S1982">
        <v>10</v>
      </c>
      <c r="T1982">
        <v>296</v>
      </c>
      <c r="U1982" s="11">
        <v>0.7818314824680298</v>
      </c>
      <c r="V1982" s="11">
        <v>0.62348980185873359</v>
      </c>
      <c r="W1982" s="11">
        <v>-0.93507488435155739</v>
      </c>
      <c r="X1982" s="11">
        <v>0.35445022309898688</v>
      </c>
      <c r="Y1982">
        <v>0</v>
      </c>
      <c r="Z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6">
        <v>45587</v>
      </c>
      <c r="B1983" t="s">
        <v>36</v>
      </c>
      <c r="C1983" t="s">
        <v>37</v>
      </c>
      <c r="D1983" t="s">
        <v>38</v>
      </c>
      <c r="E1983" t="s">
        <v>39</v>
      </c>
      <c r="F1983">
        <v>125</v>
      </c>
      <c r="G1983">
        <v>320</v>
      </c>
      <c r="H1983">
        <v>167</v>
      </c>
      <c r="I1983">
        <v>68</v>
      </c>
      <c r="J1983" s="8">
        <v>0.54400000000000004</v>
      </c>
      <c r="K1983">
        <v>40</v>
      </c>
      <c r="L1983">
        <v>29</v>
      </c>
      <c r="M1983">
        <v>149</v>
      </c>
      <c r="N1983" s="10">
        <v>599.04</v>
      </c>
      <c r="O1983" s="7">
        <v>0.8</v>
      </c>
      <c r="P1983" s="7">
        <v>30.3</v>
      </c>
      <c r="Q1983">
        <v>1</v>
      </c>
      <c r="R1983" t="s">
        <v>63</v>
      </c>
      <c r="S1983">
        <v>10</v>
      </c>
      <c r="T1983">
        <v>296</v>
      </c>
      <c r="U1983" s="11">
        <v>0.7818314824680298</v>
      </c>
      <c r="V1983" s="11">
        <v>0.62348980185873359</v>
      </c>
      <c r="W1983" s="11">
        <v>-0.93507488435155739</v>
      </c>
      <c r="X1983" s="11">
        <v>0.35445022309898688</v>
      </c>
      <c r="Y1983">
        <v>0</v>
      </c>
      <c r="Z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6">
        <v>45587</v>
      </c>
      <c r="B1984" t="s">
        <v>41</v>
      </c>
      <c r="C1984" t="s">
        <v>42</v>
      </c>
      <c r="D1984" t="s">
        <v>43</v>
      </c>
      <c r="E1984" t="s">
        <v>44</v>
      </c>
      <c r="F1984">
        <v>85</v>
      </c>
      <c r="G1984">
        <v>210</v>
      </c>
      <c r="H1984">
        <v>114</v>
      </c>
      <c r="I1984">
        <v>48</v>
      </c>
      <c r="J1984" s="8">
        <v>0.56470588235294117</v>
      </c>
      <c r="K1984">
        <v>26</v>
      </c>
      <c r="L1984">
        <v>12</v>
      </c>
      <c r="M1984">
        <v>95</v>
      </c>
      <c r="N1984" s="10">
        <v>505.22</v>
      </c>
      <c r="O1984" s="7">
        <v>0.8</v>
      </c>
      <c r="P1984" s="7">
        <v>30.3</v>
      </c>
      <c r="Q1984">
        <v>1</v>
      </c>
      <c r="R1984" t="s">
        <v>63</v>
      </c>
      <c r="S1984">
        <v>10</v>
      </c>
      <c r="T1984">
        <v>296</v>
      </c>
      <c r="U1984" s="11">
        <v>0.7818314824680298</v>
      </c>
      <c r="V1984" s="11">
        <v>0.62348980185873359</v>
      </c>
      <c r="W1984" s="11">
        <v>-0.93507488435155739</v>
      </c>
      <c r="X1984" s="11">
        <v>0.35445022309898688</v>
      </c>
      <c r="Y1984">
        <v>0</v>
      </c>
      <c r="Z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6">
        <v>45588</v>
      </c>
      <c r="B1985" t="s">
        <v>31</v>
      </c>
      <c r="C1985" t="s">
        <v>32</v>
      </c>
      <c r="D1985" t="s">
        <v>33</v>
      </c>
      <c r="E1985" t="s">
        <v>34</v>
      </c>
      <c r="F1985">
        <v>140</v>
      </c>
      <c r="G1985">
        <v>360</v>
      </c>
      <c r="H1985">
        <v>188</v>
      </c>
      <c r="I1985">
        <v>79</v>
      </c>
      <c r="J1985" s="8">
        <v>0.56428571428571428</v>
      </c>
      <c r="K1985">
        <v>40</v>
      </c>
      <c r="L1985">
        <v>23</v>
      </c>
      <c r="M1985">
        <v>161</v>
      </c>
      <c r="N1985" s="10">
        <v>416.42</v>
      </c>
      <c r="O1985" s="7">
        <v>1.2</v>
      </c>
      <c r="P1985" s="7">
        <v>31.5</v>
      </c>
      <c r="Q1985">
        <v>2</v>
      </c>
      <c r="R1985" t="s">
        <v>64</v>
      </c>
      <c r="S1985">
        <v>10</v>
      </c>
      <c r="T1985">
        <v>297</v>
      </c>
      <c r="U1985" s="11">
        <v>0.97492791218182362</v>
      </c>
      <c r="V1985" s="11">
        <v>-0.22252093395631434</v>
      </c>
      <c r="W1985" s="11">
        <v>-0.92883943025580684</v>
      </c>
      <c r="X1985" s="11">
        <v>0.37048254048209628</v>
      </c>
      <c r="Y1985">
        <v>0</v>
      </c>
      <c r="Z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6">
        <v>45588</v>
      </c>
      <c r="B1986" t="s">
        <v>36</v>
      </c>
      <c r="C1986" t="s">
        <v>37</v>
      </c>
      <c r="D1986" t="s">
        <v>38</v>
      </c>
      <c r="E1986" t="s">
        <v>39</v>
      </c>
      <c r="F1986">
        <v>125</v>
      </c>
      <c r="G1986">
        <v>320</v>
      </c>
      <c r="H1986">
        <v>162</v>
      </c>
      <c r="I1986">
        <v>68</v>
      </c>
      <c r="J1986" s="8">
        <v>0.54400000000000004</v>
      </c>
      <c r="K1986">
        <v>37</v>
      </c>
      <c r="L1986">
        <v>38</v>
      </c>
      <c r="M1986">
        <v>142</v>
      </c>
      <c r="N1986" s="10">
        <v>621.75</v>
      </c>
      <c r="O1986" s="7">
        <v>1.2</v>
      </c>
      <c r="P1986" s="7">
        <v>31.5</v>
      </c>
      <c r="Q1986">
        <v>2</v>
      </c>
      <c r="R1986" t="s">
        <v>64</v>
      </c>
      <c r="S1986">
        <v>10</v>
      </c>
      <c r="T1986">
        <v>297</v>
      </c>
      <c r="U1986" s="11">
        <v>0.97492791218182362</v>
      </c>
      <c r="V1986" s="11">
        <v>-0.22252093395631434</v>
      </c>
      <c r="W1986" s="11">
        <v>-0.92883943025580684</v>
      </c>
      <c r="X1986" s="11">
        <v>0.37048254048209628</v>
      </c>
      <c r="Y1986">
        <v>0</v>
      </c>
      <c r="Z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6">
        <v>45588</v>
      </c>
      <c r="B1987" t="s">
        <v>41</v>
      </c>
      <c r="C1987" t="s">
        <v>42</v>
      </c>
      <c r="D1987" t="s">
        <v>43</v>
      </c>
      <c r="E1987" t="s">
        <v>44</v>
      </c>
      <c r="F1987">
        <v>85</v>
      </c>
      <c r="G1987">
        <v>210</v>
      </c>
      <c r="H1987">
        <v>109</v>
      </c>
      <c r="I1987">
        <v>48</v>
      </c>
      <c r="J1987" s="8">
        <v>0.56470588235294117</v>
      </c>
      <c r="K1987">
        <v>25</v>
      </c>
      <c r="L1987">
        <v>19</v>
      </c>
      <c r="M1987">
        <v>89</v>
      </c>
      <c r="N1987" s="10">
        <v>535.70000000000005</v>
      </c>
      <c r="O1987" s="7">
        <v>1.2</v>
      </c>
      <c r="P1987" s="7">
        <v>31.5</v>
      </c>
      <c r="Q1987">
        <v>2</v>
      </c>
      <c r="R1987" t="s">
        <v>64</v>
      </c>
      <c r="S1987">
        <v>10</v>
      </c>
      <c r="T1987">
        <v>297</v>
      </c>
      <c r="U1987" s="11">
        <v>0.97492791218182362</v>
      </c>
      <c r="V1987" s="11">
        <v>-0.22252093395631434</v>
      </c>
      <c r="W1987" s="11">
        <v>-0.92883943025580684</v>
      </c>
      <c r="X1987" s="11">
        <v>0.37048254048209628</v>
      </c>
      <c r="Y1987">
        <v>0</v>
      </c>
      <c r="Z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6">
        <v>45589</v>
      </c>
      <c r="B1988" t="s">
        <v>31</v>
      </c>
      <c r="C1988" t="s">
        <v>32</v>
      </c>
      <c r="D1988" t="s">
        <v>33</v>
      </c>
      <c r="E1988" t="s">
        <v>34</v>
      </c>
      <c r="F1988">
        <v>140</v>
      </c>
      <c r="G1988">
        <v>360</v>
      </c>
      <c r="H1988">
        <v>178</v>
      </c>
      <c r="I1988">
        <v>76</v>
      </c>
      <c r="J1988" s="8">
        <v>0.54285714285714282</v>
      </c>
      <c r="K1988">
        <v>45</v>
      </c>
      <c r="L1988">
        <v>29</v>
      </c>
      <c r="M1988">
        <v>146</v>
      </c>
      <c r="N1988" s="10">
        <v>402.82</v>
      </c>
      <c r="O1988" s="7">
        <v>0.8</v>
      </c>
      <c r="P1988" s="7">
        <v>29.3</v>
      </c>
      <c r="Q1988">
        <v>3</v>
      </c>
      <c r="R1988" t="s">
        <v>65</v>
      </c>
      <c r="S1988">
        <v>10</v>
      </c>
      <c r="T1988">
        <v>298</v>
      </c>
      <c r="U1988" s="11">
        <v>0.43388373911755823</v>
      </c>
      <c r="V1988" s="11">
        <v>-0.90096886790241903</v>
      </c>
      <c r="W1988" s="11">
        <v>-0.92232911762905445</v>
      </c>
      <c r="X1988" s="11">
        <v>0.38640522612098532</v>
      </c>
      <c r="Y1988">
        <v>0</v>
      </c>
      <c r="Z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6">
        <v>45589</v>
      </c>
      <c r="B1989" t="s">
        <v>36</v>
      </c>
      <c r="C1989" t="s">
        <v>37</v>
      </c>
      <c r="D1989" t="s">
        <v>38</v>
      </c>
      <c r="E1989" t="s">
        <v>39</v>
      </c>
      <c r="F1989">
        <v>125</v>
      </c>
      <c r="G1989">
        <v>320</v>
      </c>
      <c r="H1989">
        <v>148</v>
      </c>
      <c r="I1989">
        <v>62</v>
      </c>
      <c r="J1989" s="8">
        <v>0.496</v>
      </c>
      <c r="K1989">
        <v>19</v>
      </c>
      <c r="L1989">
        <v>12</v>
      </c>
      <c r="M1989">
        <v>129</v>
      </c>
      <c r="N1989" s="10">
        <v>678.16</v>
      </c>
      <c r="O1989" s="7">
        <v>0.8</v>
      </c>
      <c r="P1989" s="7">
        <v>29.3</v>
      </c>
      <c r="Q1989">
        <v>3</v>
      </c>
      <c r="R1989" t="s">
        <v>65</v>
      </c>
      <c r="S1989">
        <v>10</v>
      </c>
      <c r="T1989">
        <v>298</v>
      </c>
      <c r="U1989" s="11">
        <v>0.43388373911755823</v>
      </c>
      <c r="V1989" s="11">
        <v>-0.90096886790241903</v>
      </c>
      <c r="W1989" s="11">
        <v>-0.92232911762905445</v>
      </c>
      <c r="X1989" s="11">
        <v>0.38640522612098532</v>
      </c>
      <c r="Y1989">
        <v>0</v>
      </c>
      <c r="Z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6">
        <v>45589</v>
      </c>
      <c r="B1990" t="s">
        <v>41</v>
      </c>
      <c r="C1990" t="s">
        <v>42</v>
      </c>
      <c r="D1990" t="s">
        <v>43</v>
      </c>
      <c r="E1990" t="s">
        <v>44</v>
      </c>
      <c r="F1990">
        <v>85</v>
      </c>
      <c r="G1990">
        <v>210</v>
      </c>
      <c r="H1990">
        <v>104</v>
      </c>
      <c r="I1990">
        <v>52</v>
      </c>
      <c r="J1990" s="8">
        <v>0.61176470588235299</v>
      </c>
      <c r="K1990">
        <v>28</v>
      </c>
      <c r="L1990">
        <v>21</v>
      </c>
      <c r="M1990">
        <v>93</v>
      </c>
      <c r="N1990" s="10">
        <v>531.27</v>
      </c>
      <c r="O1990" s="7">
        <v>0.8</v>
      </c>
      <c r="P1990" s="7">
        <v>29.3</v>
      </c>
      <c r="Q1990">
        <v>3</v>
      </c>
      <c r="R1990" t="s">
        <v>65</v>
      </c>
      <c r="S1990">
        <v>10</v>
      </c>
      <c r="T1990">
        <v>298</v>
      </c>
      <c r="U1990" s="11">
        <v>0.43388373911755823</v>
      </c>
      <c r="V1990" s="11">
        <v>-0.90096886790241903</v>
      </c>
      <c r="W1990" s="11">
        <v>-0.92232911762905445</v>
      </c>
      <c r="X1990" s="11">
        <v>0.38640522612098532</v>
      </c>
      <c r="Y1990">
        <v>0</v>
      </c>
      <c r="Z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6">
        <v>45590</v>
      </c>
      <c r="B1991" t="s">
        <v>31</v>
      </c>
      <c r="C1991" t="s">
        <v>32</v>
      </c>
      <c r="D1991" t="s">
        <v>33</v>
      </c>
      <c r="E1991" t="s">
        <v>34</v>
      </c>
      <c r="F1991">
        <v>140</v>
      </c>
      <c r="G1991">
        <v>360</v>
      </c>
      <c r="H1991">
        <v>176</v>
      </c>
      <c r="I1991">
        <v>75</v>
      </c>
      <c r="J1991" s="8">
        <v>0.5357142857142857</v>
      </c>
      <c r="K1991">
        <v>25</v>
      </c>
      <c r="L1991">
        <v>17</v>
      </c>
      <c r="M1991">
        <v>156</v>
      </c>
      <c r="N1991" s="10">
        <v>405.34</v>
      </c>
      <c r="O1991" s="7">
        <v>0.9</v>
      </c>
      <c r="P1991" s="7">
        <v>30.4</v>
      </c>
      <c r="Q1991">
        <v>4</v>
      </c>
      <c r="R1991" t="s">
        <v>66</v>
      </c>
      <c r="S1991">
        <v>10</v>
      </c>
      <c r="T1991">
        <v>299</v>
      </c>
      <c r="U1991" s="11">
        <v>-0.43388373911755801</v>
      </c>
      <c r="V1991" s="11">
        <v>-0.90096886790241915</v>
      </c>
      <c r="W1991" s="11">
        <v>-0.91554587297754675</v>
      </c>
      <c r="X1991" s="11">
        <v>0.40221356823680365</v>
      </c>
      <c r="Y1991">
        <v>0</v>
      </c>
      <c r="Z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6">
        <v>45590</v>
      </c>
      <c r="B1992" t="s">
        <v>36</v>
      </c>
      <c r="C1992" t="s">
        <v>37</v>
      </c>
      <c r="D1992" t="s">
        <v>38</v>
      </c>
      <c r="E1992" t="s">
        <v>39</v>
      </c>
      <c r="F1992">
        <v>125</v>
      </c>
      <c r="G1992">
        <v>320</v>
      </c>
      <c r="H1992">
        <v>136</v>
      </c>
      <c r="I1992">
        <v>58</v>
      </c>
      <c r="J1992" s="8">
        <v>0.46400000000000002</v>
      </c>
      <c r="K1992">
        <v>34</v>
      </c>
      <c r="L1992">
        <v>35</v>
      </c>
      <c r="M1992">
        <v>124</v>
      </c>
      <c r="N1992" s="10">
        <v>596.97</v>
      </c>
      <c r="O1992" s="7">
        <v>0.9</v>
      </c>
      <c r="P1992" s="7">
        <v>30.4</v>
      </c>
      <c r="Q1992">
        <v>4</v>
      </c>
      <c r="R1992" t="s">
        <v>66</v>
      </c>
      <c r="S1992">
        <v>10</v>
      </c>
      <c r="T1992">
        <v>299</v>
      </c>
      <c r="U1992" s="11">
        <v>-0.43388373911755801</v>
      </c>
      <c r="V1992" s="11">
        <v>-0.90096886790241915</v>
      </c>
      <c r="W1992" s="11">
        <v>-0.91554587297754675</v>
      </c>
      <c r="X1992" s="11">
        <v>0.40221356823680365</v>
      </c>
      <c r="Y1992">
        <v>0</v>
      </c>
      <c r="Z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6">
        <v>45590</v>
      </c>
      <c r="B1993" t="s">
        <v>41</v>
      </c>
      <c r="C1993" t="s">
        <v>42</v>
      </c>
      <c r="D1993" t="s">
        <v>43</v>
      </c>
      <c r="E1993" t="s">
        <v>44</v>
      </c>
      <c r="F1993">
        <v>85</v>
      </c>
      <c r="G1993">
        <v>210</v>
      </c>
      <c r="H1993">
        <v>99</v>
      </c>
      <c r="I1993">
        <v>47</v>
      </c>
      <c r="J1993" s="8">
        <v>0.55294117647058827</v>
      </c>
      <c r="K1993">
        <v>9</v>
      </c>
      <c r="L1993">
        <v>19</v>
      </c>
      <c r="M1993">
        <v>84</v>
      </c>
      <c r="N1993" s="10">
        <v>492.27</v>
      </c>
      <c r="O1993" s="7">
        <v>0.9</v>
      </c>
      <c r="P1993" s="7">
        <v>30.4</v>
      </c>
      <c r="Q1993">
        <v>4</v>
      </c>
      <c r="R1993" t="s">
        <v>66</v>
      </c>
      <c r="S1993">
        <v>10</v>
      </c>
      <c r="T1993">
        <v>299</v>
      </c>
      <c r="U1993" s="11">
        <v>-0.43388373911755801</v>
      </c>
      <c r="V1993" s="11">
        <v>-0.90096886790241915</v>
      </c>
      <c r="W1993" s="11">
        <v>-0.91554587297754675</v>
      </c>
      <c r="X1993" s="11">
        <v>0.40221356823680365</v>
      </c>
      <c r="Y1993">
        <v>0</v>
      </c>
      <c r="Z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6">
        <v>45591</v>
      </c>
      <c r="B1994" t="s">
        <v>31</v>
      </c>
      <c r="C1994" t="s">
        <v>32</v>
      </c>
      <c r="D1994" t="s">
        <v>33</v>
      </c>
      <c r="E1994" t="s">
        <v>34</v>
      </c>
      <c r="F1994">
        <v>140</v>
      </c>
      <c r="G1994">
        <v>360</v>
      </c>
      <c r="H1994">
        <v>189</v>
      </c>
      <c r="I1994">
        <v>81</v>
      </c>
      <c r="J1994" s="8">
        <v>0.57857142857142863</v>
      </c>
      <c r="K1994">
        <v>33</v>
      </c>
      <c r="L1994">
        <v>40</v>
      </c>
      <c r="M1994">
        <v>160</v>
      </c>
      <c r="N1994" s="10">
        <v>485.9</v>
      </c>
      <c r="O1994" s="7">
        <v>0</v>
      </c>
      <c r="P1994" s="7">
        <v>29.2</v>
      </c>
      <c r="Q1994">
        <v>5</v>
      </c>
      <c r="R1994" t="s">
        <v>67</v>
      </c>
      <c r="S1994">
        <v>10</v>
      </c>
      <c r="T1994">
        <v>300</v>
      </c>
      <c r="U1994" s="11">
        <v>-0.97492791218182362</v>
      </c>
      <c r="V1994" s="11">
        <v>-0.22252093395631459</v>
      </c>
      <c r="W1994" s="11">
        <v>-0.90849170357250819</v>
      </c>
      <c r="X1994" s="11">
        <v>0.41790288888678667</v>
      </c>
      <c r="Y1994">
        <v>1</v>
      </c>
      <c r="Z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6">
        <v>45591</v>
      </c>
      <c r="B1995" t="s">
        <v>36</v>
      </c>
      <c r="C1995" t="s">
        <v>37</v>
      </c>
      <c r="D1995" t="s">
        <v>38</v>
      </c>
      <c r="E1995" t="s">
        <v>39</v>
      </c>
      <c r="F1995">
        <v>125</v>
      </c>
      <c r="G1995">
        <v>320</v>
      </c>
      <c r="H1995">
        <v>178</v>
      </c>
      <c r="I1995">
        <v>73</v>
      </c>
      <c r="J1995" s="8">
        <v>0.58399999999999996</v>
      </c>
      <c r="K1995">
        <v>36</v>
      </c>
      <c r="L1995">
        <v>19</v>
      </c>
      <c r="M1995">
        <v>149</v>
      </c>
      <c r="N1995" s="10">
        <v>753.22</v>
      </c>
      <c r="O1995" s="7">
        <v>0</v>
      </c>
      <c r="P1995" s="7">
        <v>29.2</v>
      </c>
      <c r="Q1995">
        <v>5</v>
      </c>
      <c r="R1995" t="s">
        <v>67</v>
      </c>
      <c r="S1995">
        <v>10</v>
      </c>
      <c r="T1995">
        <v>300</v>
      </c>
      <c r="U1995" s="11">
        <v>-0.97492791218182362</v>
      </c>
      <c r="V1995" s="11">
        <v>-0.22252093395631459</v>
      </c>
      <c r="W1995" s="11">
        <v>-0.90849170357250819</v>
      </c>
      <c r="X1995" s="11">
        <v>0.41790288888678667</v>
      </c>
      <c r="Y1995">
        <v>1</v>
      </c>
      <c r="Z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6">
        <v>45591</v>
      </c>
      <c r="B1996" t="s">
        <v>41</v>
      </c>
      <c r="C1996" t="s">
        <v>42</v>
      </c>
      <c r="D1996" t="s">
        <v>43</v>
      </c>
      <c r="E1996" t="s">
        <v>44</v>
      </c>
      <c r="F1996">
        <v>85</v>
      </c>
      <c r="G1996">
        <v>210</v>
      </c>
      <c r="H1996">
        <v>133</v>
      </c>
      <c r="I1996">
        <v>57</v>
      </c>
      <c r="J1996" s="8">
        <v>0.6705882352941176</v>
      </c>
      <c r="K1996">
        <v>33</v>
      </c>
      <c r="L1996">
        <v>15</v>
      </c>
      <c r="M1996">
        <v>113</v>
      </c>
      <c r="N1996" s="10">
        <v>634.35</v>
      </c>
      <c r="O1996" s="7">
        <v>0</v>
      </c>
      <c r="P1996" s="7">
        <v>29.2</v>
      </c>
      <c r="Q1996">
        <v>5</v>
      </c>
      <c r="R1996" t="s">
        <v>67</v>
      </c>
      <c r="S1996">
        <v>10</v>
      </c>
      <c r="T1996">
        <v>300</v>
      </c>
      <c r="U1996" s="11">
        <v>-0.97492791218182362</v>
      </c>
      <c r="V1996" s="11">
        <v>-0.22252093395631459</v>
      </c>
      <c r="W1996" s="11">
        <v>-0.90849170357250819</v>
      </c>
      <c r="X1996" s="11">
        <v>0.41790288888678667</v>
      </c>
      <c r="Y1996">
        <v>1</v>
      </c>
      <c r="Z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6">
        <v>45592</v>
      </c>
      <c r="B1997" t="s">
        <v>31</v>
      </c>
      <c r="C1997" t="s">
        <v>32</v>
      </c>
      <c r="D1997" t="s">
        <v>33</v>
      </c>
      <c r="E1997" t="s">
        <v>34</v>
      </c>
      <c r="F1997">
        <v>140</v>
      </c>
      <c r="G1997">
        <v>360</v>
      </c>
      <c r="H1997">
        <v>202</v>
      </c>
      <c r="I1997">
        <v>87</v>
      </c>
      <c r="J1997" s="8">
        <v>0.62142857142857144</v>
      </c>
      <c r="K1997">
        <v>46</v>
      </c>
      <c r="L1997">
        <v>50</v>
      </c>
      <c r="M1997">
        <v>181</v>
      </c>
      <c r="N1997" s="10">
        <v>443.65</v>
      </c>
      <c r="O1997" s="7">
        <v>1.1000000000000001</v>
      </c>
      <c r="P1997" s="7">
        <v>30.9</v>
      </c>
      <c r="Q1997">
        <v>6</v>
      </c>
      <c r="R1997" t="s">
        <v>60</v>
      </c>
      <c r="S1997">
        <v>10</v>
      </c>
      <c r="T1997">
        <v>301</v>
      </c>
      <c r="U1997" s="11">
        <v>-0.78183148246802991</v>
      </c>
      <c r="V1997" s="11">
        <v>0.62348980185873337</v>
      </c>
      <c r="W1997" s="11">
        <v>-0.90116869685615686</v>
      </c>
      <c r="X1997" s="11">
        <v>0.43346854534853629</v>
      </c>
      <c r="Y1997">
        <v>1</v>
      </c>
      <c r="Z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6">
        <v>45592</v>
      </c>
      <c r="B1998" t="s">
        <v>36</v>
      </c>
      <c r="C1998" t="s">
        <v>37</v>
      </c>
      <c r="D1998" t="s">
        <v>38</v>
      </c>
      <c r="E1998" t="s">
        <v>39</v>
      </c>
      <c r="F1998">
        <v>125</v>
      </c>
      <c r="G1998">
        <v>320</v>
      </c>
      <c r="H1998">
        <v>188</v>
      </c>
      <c r="I1998">
        <v>82</v>
      </c>
      <c r="J1998" s="8">
        <v>0.65600000000000003</v>
      </c>
      <c r="K1998">
        <v>53</v>
      </c>
      <c r="L1998">
        <v>28</v>
      </c>
      <c r="M1998">
        <v>166</v>
      </c>
      <c r="N1998" s="10">
        <v>734.62</v>
      </c>
      <c r="O1998" s="7">
        <v>1.1000000000000001</v>
      </c>
      <c r="P1998" s="7">
        <v>30.9</v>
      </c>
      <c r="Q1998">
        <v>6</v>
      </c>
      <c r="R1998" t="s">
        <v>60</v>
      </c>
      <c r="S1998">
        <v>10</v>
      </c>
      <c r="T1998">
        <v>301</v>
      </c>
      <c r="U1998" s="11">
        <v>-0.78183148246802991</v>
      </c>
      <c r="V1998" s="11">
        <v>0.62348980185873337</v>
      </c>
      <c r="W1998" s="11">
        <v>-0.90116869685615686</v>
      </c>
      <c r="X1998" s="11">
        <v>0.43346854534853629</v>
      </c>
      <c r="Y1998">
        <v>1</v>
      </c>
      <c r="Z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6">
        <v>45592</v>
      </c>
      <c r="B1999" t="s">
        <v>41</v>
      </c>
      <c r="C1999" t="s">
        <v>42</v>
      </c>
      <c r="D1999" t="s">
        <v>43</v>
      </c>
      <c r="E1999" t="s">
        <v>44</v>
      </c>
      <c r="F1999">
        <v>85</v>
      </c>
      <c r="G1999">
        <v>210</v>
      </c>
      <c r="H1999">
        <v>130</v>
      </c>
      <c r="I1999">
        <v>58</v>
      </c>
      <c r="J1999" s="8">
        <v>0.68235294117647061</v>
      </c>
      <c r="K1999">
        <v>31</v>
      </c>
      <c r="L1999">
        <v>20</v>
      </c>
      <c r="M1999">
        <v>118</v>
      </c>
      <c r="N1999" s="10">
        <v>567.61</v>
      </c>
      <c r="O1999" s="7">
        <v>1.1000000000000001</v>
      </c>
      <c r="P1999" s="7">
        <v>30.9</v>
      </c>
      <c r="Q1999">
        <v>6</v>
      </c>
      <c r="R1999" t="s">
        <v>60</v>
      </c>
      <c r="S1999">
        <v>10</v>
      </c>
      <c r="T1999">
        <v>301</v>
      </c>
      <c r="U1999" s="11">
        <v>-0.78183148246802991</v>
      </c>
      <c r="V1999" s="11">
        <v>0.62348980185873337</v>
      </c>
      <c r="W1999" s="11">
        <v>-0.90116869685615686</v>
      </c>
      <c r="X1999" s="11">
        <v>0.43346854534853629</v>
      </c>
      <c r="Y1999">
        <v>1</v>
      </c>
      <c r="Z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6">
        <v>45593</v>
      </c>
      <c r="B2000" t="s">
        <v>31</v>
      </c>
      <c r="C2000" t="s">
        <v>32</v>
      </c>
      <c r="D2000" t="s">
        <v>33</v>
      </c>
      <c r="E2000" t="s">
        <v>34</v>
      </c>
      <c r="F2000">
        <v>140</v>
      </c>
      <c r="G2000">
        <v>360</v>
      </c>
      <c r="H2000">
        <v>198</v>
      </c>
      <c r="I2000">
        <v>86</v>
      </c>
      <c r="J2000" s="8">
        <v>0.61428571428571432</v>
      </c>
      <c r="K2000">
        <v>33</v>
      </c>
      <c r="L2000">
        <v>23</v>
      </c>
      <c r="M2000">
        <v>172</v>
      </c>
      <c r="N2000" s="10">
        <v>470.02</v>
      </c>
      <c r="O2000" s="7">
        <v>0</v>
      </c>
      <c r="P2000" s="7">
        <v>30.2</v>
      </c>
      <c r="Q2000">
        <v>0</v>
      </c>
      <c r="R2000" t="s">
        <v>62</v>
      </c>
      <c r="S2000">
        <v>10</v>
      </c>
      <c r="T2000">
        <v>302</v>
      </c>
      <c r="U2000" s="11">
        <v>0</v>
      </c>
      <c r="V2000" s="11">
        <v>1</v>
      </c>
      <c r="W2000" s="11">
        <v>-0.89357901982399524</v>
      </c>
      <c r="X2000" s="11">
        <v>0.44890593149387981</v>
      </c>
      <c r="Y2000">
        <v>0</v>
      </c>
      <c r="Z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6">
        <v>45593</v>
      </c>
      <c r="B2001" t="s">
        <v>36</v>
      </c>
      <c r="C2001" t="s">
        <v>37</v>
      </c>
      <c r="D2001" t="s">
        <v>38</v>
      </c>
      <c r="E2001" t="s">
        <v>39</v>
      </c>
      <c r="F2001">
        <v>125</v>
      </c>
      <c r="G2001">
        <v>320</v>
      </c>
      <c r="H2001">
        <v>155</v>
      </c>
      <c r="I2001">
        <v>65</v>
      </c>
      <c r="J2001" s="8">
        <v>0.52</v>
      </c>
      <c r="K2001">
        <v>33</v>
      </c>
      <c r="L2001">
        <v>29</v>
      </c>
      <c r="M2001">
        <v>132</v>
      </c>
      <c r="N2001" s="10">
        <v>671.81</v>
      </c>
      <c r="O2001" s="7">
        <v>0</v>
      </c>
      <c r="P2001" s="7">
        <v>30.2</v>
      </c>
      <c r="Q2001">
        <v>0</v>
      </c>
      <c r="R2001" t="s">
        <v>62</v>
      </c>
      <c r="S2001">
        <v>10</v>
      </c>
      <c r="T2001">
        <v>302</v>
      </c>
      <c r="U2001" s="11">
        <v>0</v>
      </c>
      <c r="V2001" s="11">
        <v>1</v>
      </c>
      <c r="W2001" s="11">
        <v>-0.89357901982399524</v>
      </c>
      <c r="X2001" s="11">
        <v>0.44890593149387981</v>
      </c>
      <c r="Y2001">
        <v>0</v>
      </c>
      <c r="Z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6">
        <v>45593</v>
      </c>
      <c r="B2002" t="s">
        <v>41</v>
      </c>
      <c r="C2002" t="s">
        <v>42</v>
      </c>
      <c r="D2002" t="s">
        <v>43</v>
      </c>
      <c r="E2002" t="s">
        <v>44</v>
      </c>
      <c r="F2002">
        <v>85</v>
      </c>
      <c r="G2002">
        <v>210</v>
      </c>
      <c r="H2002">
        <v>132</v>
      </c>
      <c r="I2002">
        <v>60</v>
      </c>
      <c r="J2002" s="8">
        <v>0.70588235294117652</v>
      </c>
      <c r="K2002">
        <v>32</v>
      </c>
      <c r="L2002">
        <v>20</v>
      </c>
      <c r="M2002">
        <v>122</v>
      </c>
      <c r="N2002" s="10">
        <v>538.39</v>
      </c>
      <c r="O2002" s="7">
        <v>0</v>
      </c>
      <c r="P2002" s="7">
        <v>30.2</v>
      </c>
      <c r="Q2002">
        <v>0</v>
      </c>
      <c r="R2002" t="s">
        <v>62</v>
      </c>
      <c r="S2002">
        <v>10</v>
      </c>
      <c r="T2002">
        <v>302</v>
      </c>
      <c r="U2002" s="11">
        <v>0</v>
      </c>
      <c r="V2002" s="11">
        <v>1</v>
      </c>
      <c r="W2002" s="11">
        <v>-0.89357901982399524</v>
      </c>
      <c r="X2002" s="11">
        <v>0.44890593149387981</v>
      </c>
      <c r="Y2002">
        <v>0</v>
      </c>
      <c r="Z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6">
        <v>45594</v>
      </c>
      <c r="B2003" t="s">
        <v>31</v>
      </c>
      <c r="C2003" t="s">
        <v>32</v>
      </c>
      <c r="D2003" t="s">
        <v>33</v>
      </c>
      <c r="E2003" t="s">
        <v>34</v>
      </c>
      <c r="F2003">
        <v>140</v>
      </c>
      <c r="G2003">
        <v>360</v>
      </c>
      <c r="H2003">
        <v>161</v>
      </c>
      <c r="I2003">
        <v>71</v>
      </c>
      <c r="J2003" s="8">
        <v>0.50714285714285712</v>
      </c>
      <c r="K2003">
        <v>32</v>
      </c>
      <c r="L2003">
        <v>29</v>
      </c>
      <c r="M2003">
        <v>140</v>
      </c>
      <c r="N2003" s="10">
        <v>425.34</v>
      </c>
      <c r="O2003" s="7">
        <v>2.8</v>
      </c>
      <c r="P2003" s="7">
        <v>30.5</v>
      </c>
      <c r="Q2003">
        <v>1</v>
      </c>
      <c r="R2003" t="s">
        <v>63</v>
      </c>
      <c r="S2003">
        <v>10</v>
      </c>
      <c r="T2003">
        <v>303</v>
      </c>
      <c r="U2003" s="11">
        <v>0.7818314824680298</v>
      </c>
      <c r="V2003" s="11">
        <v>0.62348980185873359</v>
      </c>
      <c r="W2003" s="11">
        <v>-0.88572491838356371</v>
      </c>
      <c r="X2003" s="11">
        <v>0.46421047915189229</v>
      </c>
      <c r="Y2003">
        <v>0</v>
      </c>
      <c r="Z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6">
        <v>45594</v>
      </c>
      <c r="B2004" t="s">
        <v>36</v>
      </c>
      <c r="C2004" t="s">
        <v>37</v>
      </c>
      <c r="D2004" t="s">
        <v>38</v>
      </c>
      <c r="E2004" t="s">
        <v>39</v>
      </c>
      <c r="F2004">
        <v>125</v>
      </c>
      <c r="G2004">
        <v>320</v>
      </c>
      <c r="H2004">
        <v>143</v>
      </c>
      <c r="I2004">
        <v>59</v>
      </c>
      <c r="J2004" s="8">
        <v>0.47199999999999998</v>
      </c>
      <c r="K2004">
        <v>40</v>
      </c>
      <c r="L2004">
        <v>21</v>
      </c>
      <c r="M2004">
        <v>134</v>
      </c>
      <c r="N2004" s="10">
        <v>628.5</v>
      </c>
      <c r="O2004" s="7">
        <v>2.8</v>
      </c>
      <c r="P2004" s="7">
        <v>30.5</v>
      </c>
      <c r="Q2004">
        <v>1</v>
      </c>
      <c r="R2004" t="s">
        <v>63</v>
      </c>
      <c r="S2004">
        <v>10</v>
      </c>
      <c r="T2004">
        <v>303</v>
      </c>
      <c r="U2004" s="11">
        <v>0.7818314824680298</v>
      </c>
      <c r="V2004" s="11">
        <v>0.62348980185873359</v>
      </c>
      <c r="W2004" s="11">
        <v>-0.88572491838356371</v>
      </c>
      <c r="X2004" s="11">
        <v>0.46421047915189229</v>
      </c>
      <c r="Y2004">
        <v>0</v>
      </c>
      <c r="Z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6">
        <v>45594</v>
      </c>
      <c r="B2005" t="s">
        <v>41</v>
      </c>
      <c r="C2005" t="s">
        <v>42</v>
      </c>
      <c r="D2005" t="s">
        <v>43</v>
      </c>
      <c r="E2005" t="s">
        <v>44</v>
      </c>
      <c r="F2005">
        <v>85</v>
      </c>
      <c r="G2005">
        <v>210</v>
      </c>
      <c r="H2005">
        <v>108</v>
      </c>
      <c r="I2005">
        <v>49</v>
      </c>
      <c r="J2005" s="8">
        <v>0.57647058823529407</v>
      </c>
      <c r="K2005">
        <v>21</v>
      </c>
      <c r="L2005">
        <v>14</v>
      </c>
      <c r="M2005">
        <v>88</v>
      </c>
      <c r="N2005" s="10">
        <v>543.46</v>
      </c>
      <c r="O2005" s="7">
        <v>2.8</v>
      </c>
      <c r="P2005" s="7">
        <v>30.5</v>
      </c>
      <c r="Q2005">
        <v>1</v>
      </c>
      <c r="R2005" t="s">
        <v>63</v>
      </c>
      <c r="S2005">
        <v>10</v>
      </c>
      <c r="T2005">
        <v>303</v>
      </c>
      <c r="U2005" s="11">
        <v>0.7818314824680298</v>
      </c>
      <c r="V2005" s="11">
        <v>0.62348980185873359</v>
      </c>
      <c r="W2005" s="11">
        <v>-0.88572491838356371</v>
      </c>
      <c r="X2005" s="11">
        <v>0.46421047915189229</v>
      </c>
      <c r="Y2005">
        <v>0</v>
      </c>
      <c r="Z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6">
        <v>45595</v>
      </c>
      <c r="B2006" t="s">
        <v>31</v>
      </c>
      <c r="C2006" t="s">
        <v>32</v>
      </c>
      <c r="D2006" t="s">
        <v>33</v>
      </c>
      <c r="E2006" t="s">
        <v>34</v>
      </c>
      <c r="F2006">
        <v>140</v>
      </c>
      <c r="G2006">
        <v>360</v>
      </c>
      <c r="H2006">
        <v>193</v>
      </c>
      <c r="I2006">
        <v>85</v>
      </c>
      <c r="J2006" s="8">
        <v>0.6071428571428571</v>
      </c>
      <c r="K2006">
        <v>46</v>
      </c>
      <c r="L2006">
        <v>34</v>
      </c>
      <c r="M2006">
        <v>155</v>
      </c>
      <c r="N2006" s="10">
        <v>424.32</v>
      </c>
      <c r="O2006" s="7">
        <v>0</v>
      </c>
      <c r="P2006" s="7">
        <v>28.8</v>
      </c>
      <c r="Q2006">
        <v>2</v>
      </c>
      <c r="R2006" t="s">
        <v>64</v>
      </c>
      <c r="S2006">
        <v>10</v>
      </c>
      <c r="T2006">
        <v>304</v>
      </c>
      <c r="U2006" s="11">
        <v>0.97492791218182362</v>
      </c>
      <c r="V2006" s="11">
        <v>-0.22252093395631434</v>
      </c>
      <c r="W2006" s="11">
        <v>-0.8776087166898392</v>
      </c>
      <c r="X2006" s="11">
        <v>0.47937765946069449</v>
      </c>
      <c r="Y2006">
        <v>0</v>
      </c>
      <c r="Z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6">
        <v>45595</v>
      </c>
      <c r="B2007" t="s">
        <v>36</v>
      </c>
      <c r="C2007" t="s">
        <v>37</v>
      </c>
      <c r="D2007" t="s">
        <v>38</v>
      </c>
      <c r="E2007" t="s">
        <v>39</v>
      </c>
      <c r="F2007">
        <v>125</v>
      </c>
      <c r="G2007">
        <v>320</v>
      </c>
      <c r="H2007">
        <v>165</v>
      </c>
      <c r="I2007">
        <v>66</v>
      </c>
      <c r="J2007" s="8">
        <v>0.52800000000000002</v>
      </c>
      <c r="K2007">
        <v>38</v>
      </c>
      <c r="L2007">
        <v>30</v>
      </c>
      <c r="M2007">
        <v>135</v>
      </c>
      <c r="N2007" s="10">
        <v>669.42</v>
      </c>
      <c r="O2007" s="7">
        <v>0</v>
      </c>
      <c r="P2007" s="7">
        <v>28.8</v>
      </c>
      <c r="Q2007">
        <v>2</v>
      </c>
      <c r="R2007" t="s">
        <v>64</v>
      </c>
      <c r="S2007">
        <v>10</v>
      </c>
      <c r="T2007">
        <v>304</v>
      </c>
      <c r="U2007" s="11">
        <v>0.97492791218182362</v>
      </c>
      <c r="V2007" s="11">
        <v>-0.22252093395631434</v>
      </c>
      <c r="W2007" s="11">
        <v>-0.8776087166898392</v>
      </c>
      <c r="X2007" s="11">
        <v>0.47937765946069449</v>
      </c>
      <c r="Y2007">
        <v>0</v>
      </c>
      <c r="Z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6">
        <v>45595</v>
      </c>
      <c r="B2008" t="s">
        <v>41</v>
      </c>
      <c r="C2008" t="s">
        <v>42</v>
      </c>
      <c r="D2008" t="s">
        <v>43</v>
      </c>
      <c r="E2008" t="s">
        <v>44</v>
      </c>
      <c r="F2008">
        <v>85</v>
      </c>
      <c r="G2008">
        <v>210</v>
      </c>
      <c r="H2008">
        <v>125</v>
      </c>
      <c r="I2008">
        <v>54</v>
      </c>
      <c r="J2008" s="8">
        <v>0.63529411764705879</v>
      </c>
      <c r="K2008">
        <v>17</v>
      </c>
      <c r="L2008">
        <v>19</v>
      </c>
      <c r="M2008">
        <v>115</v>
      </c>
      <c r="N2008" s="10">
        <v>540.46</v>
      </c>
      <c r="O2008" s="7">
        <v>0</v>
      </c>
      <c r="P2008" s="7">
        <v>28.8</v>
      </c>
      <c r="Q2008">
        <v>2</v>
      </c>
      <c r="R2008" t="s">
        <v>64</v>
      </c>
      <c r="S2008">
        <v>10</v>
      </c>
      <c r="T2008">
        <v>304</v>
      </c>
      <c r="U2008" s="11">
        <v>0.97492791218182362</v>
      </c>
      <c r="V2008" s="11">
        <v>-0.22252093395631434</v>
      </c>
      <c r="W2008" s="11">
        <v>-0.8776087166898392</v>
      </c>
      <c r="X2008" s="11">
        <v>0.47937765946069449</v>
      </c>
      <c r="Y2008">
        <v>0</v>
      </c>
      <c r="Z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6">
        <v>45596</v>
      </c>
      <c r="B2009" t="s">
        <v>31</v>
      </c>
      <c r="C2009" t="s">
        <v>32</v>
      </c>
      <c r="D2009" t="s">
        <v>33</v>
      </c>
      <c r="E2009" t="s">
        <v>34</v>
      </c>
      <c r="F2009">
        <v>140</v>
      </c>
      <c r="G2009">
        <v>360</v>
      </c>
      <c r="H2009">
        <v>178</v>
      </c>
      <c r="I2009">
        <v>74</v>
      </c>
      <c r="J2009" s="8">
        <v>0.52857142857142858</v>
      </c>
      <c r="K2009">
        <v>41</v>
      </c>
      <c r="L2009">
        <v>45</v>
      </c>
      <c r="M2009">
        <v>167</v>
      </c>
      <c r="N2009" s="10">
        <v>423.01</v>
      </c>
      <c r="O2009" s="7">
        <v>1</v>
      </c>
      <c r="P2009" s="7">
        <v>28.8</v>
      </c>
      <c r="Q2009">
        <v>3</v>
      </c>
      <c r="R2009" t="s">
        <v>65</v>
      </c>
      <c r="S2009">
        <v>10</v>
      </c>
      <c r="T2009">
        <v>305</v>
      </c>
      <c r="U2009" s="11">
        <v>0.43388373911755823</v>
      </c>
      <c r="V2009" s="11">
        <v>-0.90096886790241903</v>
      </c>
      <c r="W2009" s="11">
        <v>-0.86923281645747918</v>
      </c>
      <c r="X2009" s="11">
        <v>0.49440298420761813</v>
      </c>
      <c r="Y2009">
        <v>0</v>
      </c>
      <c r="Z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6">
        <v>45596</v>
      </c>
      <c r="B2010" t="s">
        <v>36</v>
      </c>
      <c r="C2010" t="s">
        <v>37</v>
      </c>
      <c r="D2010" t="s">
        <v>38</v>
      </c>
      <c r="E2010" t="s">
        <v>39</v>
      </c>
      <c r="F2010">
        <v>125</v>
      </c>
      <c r="G2010">
        <v>320</v>
      </c>
      <c r="H2010">
        <v>144</v>
      </c>
      <c r="I2010">
        <v>61</v>
      </c>
      <c r="J2010" s="8">
        <v>0.48799999999999999</v>
      </c>
      <c r="K2010">
        <v>28</v>
      </c>
      <c r="L2010">
        <v>20</v>
      </c>
      <c r="M2010">
        <v>124</v>
      </c>
      <c r="N2010" s="10">
        <v>637.78</v>
      </c>
      <c r="O2010" s="7">
        <v>1</v>
      </c>
      <c r="P2010" s="7">
        <v>28.8</v>
      </c>
      <c r="Q2010">
        <v>3</v>
      </c>
      <c r="R2010" t="s">
        <v>65</v>
      </c>
      <c r="S2010">
        <v>10</v>
      </c>
      <c r="T2010">
        <v>305</v>
      </c>
      <c r="U2010" s="11">
        <v>0.43388373911755823</v>
      </c>
      <c r="V2010" s="11">
        <v>-0.90096886790241903</v>
      </c>
      <c r="W2010" s="11">
        <v>-0.86923281645747918</v>
      </c>
      <c r="X2010" s="11">
        <v>0.49440298420761813</v>
      </c>
      <c r="Y2010">
        <v>0</v>
      </c>
      <c r="Z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6">
        <v>45596</v>
      </c>
      <c r="B2011" t="s">
        <v>41</v>
      </c>
      <c r="C2011" t="s">
        <v>42</v>
      </c>
      <c r="D2011" t="s">
        <v>43</v>
      </c>
      <c r="E2011" t="s">
        <v>44</v>
      </c>
      <c r="F2011">
        <v>85</v>
      </c>
      <c r="G2011">
        <v>210</v>
      </c>
      <c r="H2011">
        <v>117</v>
      </c>
      <c r="I2011">
        <v>52</v>
      </c>
      <c r="J2011" s="8">
        <v>0.61176470588235299</v>
      </c>
      <c r="K2011">
        <v>26</v>
      </c>
      <c r="L2011">
        <v>20</v>
      </c>
      <c r="M2011">
        <v>107</v>
      </c>
      <c r="N2011" s="10">
        <v>569.33000000000004</v>
      </c>
      <c r="O2011" s="7">
        <v>1</v>
      </c>
      <c r="P2011" s="7">
        <v>28.8</v>
      </c>
      <c r="Q2011">
        <v>3</v>
      </c>
      <c r="R2011" t="s">
        <v>65</v>
      </c>
      <c r="S2011">
        <v>10</v>
      </c>
      <c r="T2011">
        <v>305</v>
      </c>
      <c r="U2011" s="11">
        <v>0.43388373911755823</v>
      </c>
      <c r="V2011" s="11">
        <v>-0.90096886790241903</v>
      </c>
      <c r="W2011" s="11">
        <v>-0.86923281645747918</v>
      </c>
      <c r="X2011" s="11">
        <v>0.49440298420761813</v>
      </c>
      <c r="Y2011">
        <v>0</v>
      </c>
      <c r="Z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6">
        <v>45597</v>
      </c>
      <c r="B2012" t="s">
        <v>31</v>
      </c>
      <c r="C2012" t="s">
        <v>32</v>
      </c>
      <c r="D2012" t="s">
        <v>33</v>
      </c>
      <c r="E2012" t="s">
        <v>34</v>
      </c>
      <c r="F2012">
        <v>140</v>
      </c>
      <c r="G2012">
        <v>360</v>
      </c>
      <c r="H2012">
        <v>210</v>
      </c>
      <c r="I2012">
        <v>91</v>
      </c>
      <c r="J2012" s="8">
        <v>0.65</v>
      </c>
      <c r="K2012">
        <v>56</v>
      </c>
      <c r="L2012">
        <v>43</v>
      </c>
      <c r="M2012">
        <v>171</v>
      </c>
      <c r="N2012" s="10">
        <v>459.99</v>
      </c>
      <c r="O2012" s="7">
        <v>0</v>
      </c>
      <c r="P2012" s="7">
        <v>30.4</v>
      </c>
      <c r="Q2012">
        <v>4</v>
      </c>
      <c r="R2012" t="s">
        <v>66</v>
      </c>
      <c r="S2012">
        <v>11</v>
      </c>
      <c r="T2012">
        <v>306</v>
      </c>
      <c r="U2012" s="11">
        <v>-0.43388373911755801</v>
      </c>
      <c r="V2012" s="11">
        <v>-0.90096886790241915</v>
      </c>
      <c r="W2012" s="11">
        <v>-0.86059969625011812</v>
      </c>
      <c r="X2012" s="11">
        <v>0.50928200715733563</v>
      </c>
      <c r="Y2012">
        <v>0</v>
      </c>
      <c r="Z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6">
        <v>45597</v>
      </c>
      <c r="B2013" t="s">
        <v>36</v>
      </c>
      <c r="C2013" t="s">
        <v>37</v>
      </c>
      <c r="D2013" t="s">
        <v>38</v>
      </c>
      <c r="E2013" t="s">
        <v>39</v>
      </c>
      <c r="F2013">
        <v>125</v>
      </c>
      <c r="G2013">
        <v>320</v>
      </c>
      <c r="H2013">
        <v>161</v>
      </c>
      <c r="I2013">
        <v>67</v>
      </c>
      <c r="J2013" s="8">
        <v>0.53600000000000003</v>
      </c>
      <c r="K2013">
        <v>29</v>
      </c>
      <c r="L2013">
        <v>25</v>
      </c>
      <c r="M2013">
        <v>147</v>
      </c>
      <c r="N2013" s="10">
        <v>669.77</v>
      </c>
      <c r="O2013" s="7">
        <v>0</v>
      </c>
      <c r="P2013" s="7">
        <v>30.4</v>
      </c>
      <c r="Q2013">
        <v>4</v>
      </c>
      <c r="R2013" t="s">
        <v>66</v>
      </c>
      <c r="S2013">
        <v>11</v>
      </c>
      <c r="T2013">
        <v>306</v>
      </c>
      <c r="U2013" s="11">
        <v>-0.43388373911755801</v>
      </c>
      <c r="V2013" s="11">
        <v>-0.90096886790241915</v>
      </c>
      <c r="W2013" s="11">
        <v>-0.86059969625011812</v>
      </c>
      <c r="X2013" s="11">
        <v>0.50928200715733563</v>
      </c>
      <c r="Y2013">
        <v>0</v>
      </c>
      <c r="Z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6">
        <v>45597</v>
      </c>
      <c r="B2014" t="s">
        <v>41</v>
      </c>
      <c r="C2014" t="s">
        <v>42</v>
      </c>
      <c r="D2014" t="s">
        <v>43</v>
      </c>
      <c r="E2014" t="s">
        <v>44</v>
      </c>
      <c r="F2014">
        <v>85</v>
      </c>
      <c r="G2014">
        <v>210</v>
      </c>
      <c r="H2014">
        <v>118</v>
      </c>
      <c r="I2014">
        <v>52</v>
      </c>
      <c r="J2014" s="8">
        <v>0.61176470588235299</v>
      </c>
      <c r="K2014">
        <v>24</v>
      </c>
      <c r="L2014">
        <v>33</v>
      </c>
      <c r="M2014">
        <v>106</v>
      </c>
      <c r="N2014" s="10">
        <v>492.19</v>
      </c>
      <c r="O2014" s="7">
        <v>0</v>
      </c>
      <c r="P2014" s="7">
        <v>30.4</v>
      </c>
      <c r="Q2014">
        <v>4</v>
      </c>
      <c r="R2014" t="s">
        <v>66</v>
      </c>
      <c r="S2014">
        <v>11</v>
      </c>
      <c r="T2014">
        <v>306</v>
      </c>
      <c r="U2014" s="11">
        <v>-0.43388373911755801</v>
      </c>
      <c r="V2014" s="11">
        <v>-0.90096886790241915</v>
      </c>
      <c r="W2014" s="11">
        <v>-0.86059969625011812</v>
      </c>
      <c r="X2014" s="11">
        <v>0.50928200715733563</v>
      </c>
      <c r="Y2014">
        <v>0</v>
      </c>
      <c r="Z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6">
        <v>45598</v>
      </c>
      <c r="B2015" t="s">
        <v>31</v>
      </c>
      <c r="C2015" t="s">
        <v>32</v>
      </c>
      <c r="D2015" t="s">
        <v>33</v>
      </c>
      <c r="E2015" t="s">
        <v>34</v>
      </c>
      <c r="F2015">
        <v>140</v>
      </c>
      <c r="G2015">
        <v>360</v>
      </c>
      <c r="H2015">
        <v>233</v>
      </c>
      <c r="I2015">
        <v>96</v>
      </c>
      <c r="J2015" s="8">
        <v>0.68571428571428572</v>
      </c>
      <c r="K2015">
        <v>59</v>
      </c>
      <c r="L2015">
        <v>56</v>
      </c>
      <c r="M2015">
        <v>211</v>
      </c>
      <c r="N2015" s="10">
        <v>455.97</v>
      </c>
      <c r="O2015" s="7">
        <v>0</v>
      </c>
      <c r="P2015" s="7">
        <v>29</v>
      </c>
      <c r="Q2015">
        <v>5</v>
      </c>
      <c r="R2015" t="s">
        <v>67</v>
      </c>
      <c r="S2015">
        <v>11</v>
      </c>
      <c r="T2015">
        <v>307</v>
      </c>
      <c r="U2015" s="11">
        <v>-0.97492791218182362</v>
      </c>
      <c r="V2015" s="11">
        <v>-0.22252093395631459</v>
      </c>
      <c r="W2015" s="11">
        <v>-0.85171191074691888</v>
      </c>
      <c r="X2015" s="11">
        <v>0.52401032536757564</v>
      </c>
      <c r="Y2015">
        <v>1</v>
      </c>
      <c r="Z2015">
        <v>1</v>
      </c>
      <c r="AA2015" t="s">
        <v>74</v>
      </c>
      <c r="AB2015">
        <v>0</v>
      </c>
      <c r="AC2015">
        <v>0</v>
      </c>
      <c r="AD2015">
        <v>0</v>
      </c>
      <c r="AE2015">
        <v>0</v>
      </c>
    </row>
    <row r="2016" spans="1:31">
      <c r="A2016" s="6">
        <v>45598</v>
      </c>
      <c r="B2016" t="s">
        <v>36</v>
      </c>
      <c r="C2016" t="s">
        <v>37</v>
      </c>
      <c r="D2016" t="s">
        <v>38</v>
      </c>
      <c r="E2016" t="s">
        <v>39</v>
      </c>
      <c r="F2016">
        <v>125</v>
      </c>
      <c r="G2016">
        <v>320</v>
      </c>
      <c r="H2016">
        <v>226</v>
      </c>
      <c r="I2016">
        <v>93</v>
      </c>
      <c r="J2016" s="8">
        <v>0.74399999999999999</v>
      </c>
      <c r="K2016">
        <v>51</v>
      </c>
      <c r="L2016">
        <v>29</v>
      </c>
      <c r="M2016">
        <v>201</v>
      </c>
      <c r="N2016" s="10">
        <v>693.29</v>
      </c>
      <c r="O2016" s="7">
        <v>0</v>
      </c>
      <c r="P2016" s="7">
        <v>29</v>
      </c>
      <c r="Q2016">
        <v>5</v>
      </c>
      <c r="R2016" t="s">
        <v>67</v>
      </c>
      <c r="S2016">
        <v>11</v>
      </c>
      <c r="T2016">
        <v>307</v>
      </c>
      <c r="U2016" s="11">
        <v>-0.97492791218182362</v>
      </c>
      <c r="V2016" s="11">
        <v>-0.22252093395631459</v>
      </c>
      <c r="W2016" s="11">
        <v>-0.85171191074691888</v>
      </c>
      <c r="X2016" s="11">
        <v>0.52401032536757564</v>
      </c>
      <c r="Y2016">
        <v>1</v>
      </c>
      <c r="Z2016">
        <v>1</v>
      </c>
      <c r="AA2016" t="s">
        <v>74</v>
      </c>
      <c r="AB2016">
        <v>0</v>
      </c>
      <c r="AC2016">
        <v>0</v>
      </c>
      <c r="AD2016">
        <v>0</v>
      </c>
      <c r="AE2016">
        <v>0</v>
      </c>
    </row>
    <row r="2017" spans="1:31">
      <c r="A2017" s="6">
        <v>45598</v>
      </c>
      <c r="B2017" t="s">
        <v>41</v>
      </c>
      <c r="C2017" t="s">
        <v>42</v>
      </c>
      <c r="D2017" t="s">
        <v>43</v>
      </c>
      <c r="E2017" t="s">
        <v>44</v>
      </c>
      <c r="F2017">
        <v>85</v>
      </c>
      <c r="G2017">
        <v>210</v>
      </c>
      <c r="H2017">
        <v>148</v>
      </c>
      <c r="I2017">
        <v>65</v>
      </c>
      <c r="J2017" s="8">
        <v>0.76470588235294112</v>
      </c>
      <c r="K2017">
        <v>26</v>
      </c>
      <c r="L2017">
        <v>30</v>
      </c>
      <c r="M2017">
        <v>129</v>
      </c>
      <c r="N2017" s="10">
        <v>563.04999999999995</v>
      </c>
      <c r="O2017" s="7">
        <v>0</v>
      </c>
      <c r="P2017" s="7">
        <v>29</v>
      </c>
      <c r="Q2017">
        <v>5</v>
      </c>
      <c r="R2017" t="s">
        <v>67</v>
      </c>
      <c r="S2017">
        <v>11</v>
      </c>
      <c r="T2017">
        <v>307</v>
      </c>
      <c r="U2017" s="11">
        <v>-0.97492791218182362</v>
      </c>
      <c r="V2017" s="11">
        <v>-0.22252093395631459</v>
      </c>
      <c r="W2017" s="11">
        <v>-0.85171191074691888</v>
      </c>
      <c r="X2017" s="11">
        <v>0.52401032536757564</v>
      </c>
      <c r="Y2017">
        <v>1</v>
      </c>
      <c r="Z2017">
        <v>1</v>
      </c>
      <c r="AA2017" t="s">
        <v>74</v>
      </c>
      <c r="AB2017">
        <v>0</v>
      </c>
      <c r="AC2017">
        <v>0</v>
      </c>
      <c r="AD2017">
        <v>0</v>
      </c>
      <c r="AE2017">
        <v>0</v>
      </c>
    </row>
    <row r="2018" spans="1:31">
      <c r="A2018" s="6">
        <v>45599</v>
      </c>
      <c r="B2018" t="s">
        <v>31</v>
      </c>
      <c r="C2018" t="s">
        <v>32</v>
      </c>
      <c r="D2018" t="s">
        <v>33</v>
      </c>
      <c r="E2018" t="s">
        <v>34</v>
      </c>
      <c r="F2018">
        <v>140</v>
      </c>
      <c r="G2018">
        <v>360</v>
      </c>
      <c r="H2018">
        <v>194</v>
      </c>
      <c r="I2018">
        <v>84</v>
      </c>
      <c r="J2018" s="8">
        <v>0.6</v>
      </c>
      <c r="K2018">
        <v>36</v>
      </c>
      <c r="L2018">
        <v>35</v>
      </c>
      <c r="M2018">
        <v>163</v>
      </c>
      <c r="N2018" s="10">
        <v>514.23</v>
      </c>
      <c r="O2018" s="7">
        <v>3.2</v>
      </c>
      <c r="P2018" s="7">
        <v>28.8</v>
      </c>
      <c r="Q2018">
        <v>6</v>
      </c>
      <c r="R2018" t="s">
        <v>60</v>
      </c>
      <c r="S2018">
        <v>11</v>
      </c>
      <c r="T2018">
        <v>308</v>
      </c>
      <c r="U2018" s="11">
        <v>-0.78183148246802991</v>
      </c>
      <c r="V2018" s="11">
        <v>0.62348980185873337</v>
      </c>
      <c r="W2018" s="11">
        <v>-0.84257208998660316</v>
      </c>
      <c r="X2018" s="11">
        <v>0.53858358049202315</v>
      </c>
      <c r="Y2018">
        <v>1</v>
      </c>
      <c r="Z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6">
        <v>45599</v>
      </c>
      <c r="B2019" t="s">
        <v>36</v>
      </c>
      <c r="C2019" t="s">
        <v>37</v>
      </c>
      <c r="D2019" t="s">
        <v>38</v>
      </c>
      <c r="E2019" t="s">
        <v>39</v>
      </c>
      <c r="F2019">
        <v>125</v>
      </c>
      <c r="G2019">
        <v>320</v>
      </c>
      <c r="H2019">
        <v>192</v>
      </c>
      <c r="I2019">
        <v>77</v>
      </c>
      <c r="J2019" s="8">
        <v>0.61599999999999999</v>
      </c>
      <c r="K2019">
        <v>38</v>
      </c>
      <c r="L2019">
        <v>28</v>
      </c>
      <c r="M2019">
        <v>165</v>
      </c>
      <c r="N2019" s="10">
        <v>757.64</v>
      </c>
      <c r="O2019" s="7">
        <v>3.2</v>
      </c>
      <c r="P2019" s="7">
        <v>28.8</v>
      </c>
      <c r="Q2019">
        <v>6</v>
      </c>
      <c r="R2019" t="s">
        <v>60</v>
      </c>
      <c r="S2019">
        <v>11</v>
      </c>
      <c r="T2019">
        <v>308</v>
      </c>
      <c r="U2019" s="11">
        <v>-0.78183148246802991</v>
      </c>
      <c r="V2019" s="11">
        <v>0.62348980185873337</v>
      </c>
      <c r="W2019" s="11">
        <v>-0.84257208998660316</v>
      </c>
      <c r="X2019" s="11">
        <v>0.53858358049202315</v>
      </c>
      <c r="Y2019">
        <v>1</v>
      </c>
      <c r="Z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6">
        <v>45599</v>
      </c>
      <c r="B2020" t="s">
        <v>41</v>
      </c>
      <c r="C2020" t="s">
        <v>42</v>
      </c>
      <c r="D2020" t="s">
        <v>43</v>
      </c>
      <c r="E2020" t="s">
        <v>44</v>
      </c>
      <c r="F2020">
        <v>85</v>
      </c>
      <c r="G2020">
        <v>210</v>
      </c>
      <c r="H2020">
        <v>133</v>
      </c>
      <c r="I2020">
        <v>58</v>
      </c>
      <c r="J2020" s="8">
        <v>0.68235294117647061</v>
      </c>
      <c r="K2020">
        <v>23</v>
      </c>
      <c r="L2020">
        <v>16</v>
      </c>
      <c r="M2020">
        <v>117</v>
      </c>
      <c r="N2020" s="10">
        <v>579.23</v>
      </c>
      <c r="O2020" s="7">
        <v>3.2</v>
      </c>
      <c r="P2020" s="7">
        <v>28.8</v>
      </c>
      <c r="Q2020">
        <v>6</v>
      </c>
      <c r="R2020" t="s">
        <v>60</v>
      </c>
      <c r="S2020">
        <v>11</v>
      </c>
      <c r="T2020">
        <v>308</v>
      </c>
      <c r="U2020" s="11">
        <v>-0.78183148246802991</v>
      </c>
      <c r="V2020" s="11">
        <v>0.62348980185873337</v>
      </c>
      <c r="W2020" s="11">
        <v>-0.84257208998660316</v>
      </c>
      <c r="X2020" s="11">
        <v>0.53858358049202315</v>
      </c>
      <c r="Y2020">
        <v>1</v>
      </c>
      <c r="Z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6">
        <v>45600</v>
      </c>
      <c r="B2021" t="s">
        <v>31</v>
      </c>
      <c r="C2021" t="s">
        <v>32</v>
      </c>
      <c r="D2021" t="s">
        <v>33</v>
      </c>
      <c r="E2021" t="s">
        <v>34</v>
      </c>
      <c r="F2021">
        <v>140</v>
      </c>
      <c r="G2021">
        <v>360</v>
      </c>
      <c r="H2021">
        <v>179</v>
      </c>
      <c r="I2021">
        <v>78</v>
      </c>
      <c r="J2021" s="8">
        <v>0.55714285714285716</v>
      </c>
      <c r="K2021">
        <v>29</v>
      </c>
      <c r="L2021">
        <v>20</v>
      </c>
      <c r="M2021">
        <v>157</v>
      </c>
      <c r="N2021" s="10">
        <v>399.21</v>
      </c>
      <c r="O2021" s="7">
        <v>4.5999999999999996</v>
      </c>
      <c r="P2021" s="7">
        <v>28.4</v>
      </c>
      <c r="Q2021">
        <v>0</v>
      </c>
      <c r="R2021" t="s">
        <v>62</v>
      </c>
      <c r="S2021">
        <v>11</v>
      </c>
      <c r="T2021">
        <v>309</v>
      </c>
      <c r="U2021" s="11">
        <v>0</v>
      </c>
      <c r="V2021" s="11">
        <v>1</v>
      </c>
      <c r="W2021" s="11">
        <v>-0.83318293858917847</v>
      </c>
      <c r="X2021" s="11">
        <v>0.55299746007002715</v>
      </c>
      <c r="Y2021">
        <v>0</v>
      </c>
      <c r="Z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6">
        <v>45600</v>
      </c>
      <c r="B2022" t="s">
        <v>36</v>
      </c>
      <c r="C2022" t="s">
        <v>37</v>
      </c>
      <c r="D2022" t="s">
        <v>38</v>
      </c>
      <c r="E2022" t="s">
        <v>39</v>
      </c>
      <c r="F2022">
        <v>125</v>
      </c>
      <c r="G2022">
        <v>320</v>
      </c>
      <c r="H2022">
        <v>149</v>
      </c>
      <c r="I2022">
        <v>60</v>
      </c>
      <c r="J2022" s="8">
        <v>0.48</v>
      </c>
      <c r="K2022">
        <v>30</v>
      </c>
      <c r="L2022">
        <v>12</v>
      </c>
      <c r="M2022">
        <v>137</v>
      </c>
      <c r="N2022" s="10">
        <v>610.20000000000005</v>
      </c>
      <c r="O2022" s="7">
        <v>4.5999999999999996</v>
      </c>
      <c r="P2022" s="7">
        <v>28.4</v>
      </c>
      <c r="Q2022">
        <v>0</v>
      </c>
      <c r="R2022" t="s">
        <v>62</v>
      </c>
      <c r="S2022">
        <v>11</v>
      </c>
      <c r="T2022">
        <v>309</v>
      </c>
      <c r="U2022" s="11">
        <v>0</v>
      </c>
      <c r="V2022" s="11">
        <v>1</v>
      </c>
      <c r="W2022" s="11">
        <v>-0.83318293858917847</v>
      </c>
      <c r="X2022" s="11">
        <v>0.55299746007002715</v>
      </c>
      <c r="Y2022">
        <v>0</v>
      </c>
      <c r="Z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6">
        <v>45600</v>
      </c>
      <c r="B2023" t="s">
        <v>41</v>
      </c>
      <c r="C2023" t="s">
        <v>42</v>
      </c>
      <c r="D2023" t="s">
        <v>43</v>
      </c>
      <c r="E2023" t="s">
        <v>44</v>
      </c>
      <c r="F2023">
        <v>85</v>
      </c>
      <c r="G2023">
        <v>210</v>
      </c>
      <c r="H2023">
        <v>110</v>
      </c>
      <c r="I2023">
        <v>48</v>
      </c>
      <c r="J2023" s="8">
        <v>0.56470588235294117</v>
      </c>
      <c r="K2023">
        <v>29</v>
      </c>
      <c r="L2023">
        <v>13</v>
      </c>
      <c r="M2023">
        <v>100</v>
      </c>
      <c r="N2023" s="10">
        <v>504.77</v>
      </c>
      <c r="O2023" s="7">
        <v>4.5999999999999996</v>
      </c>
      <c r="P2023" s="7">
        <v>28.4</v>
      </c>
      <c r="Q2023">
        <v>0</v>
      </c>
      <c r="R2023" t="s">
        <v>62</v>
      </c>
      <c r="S2023">
        <v>11</v>
      </c>
      <c r="T2023">
        <v>309</v>
      </c>
      <c r="U2023" s="11">
        <v>0</v>
      </c>
      <c r="V2023" s="11">
        <v>1</v>
      </c>
      <c r="W2023" s="11">
        <v>-0.83318293858917847</v>
      </c>
      <c r="X2023" s="11">
        <v>0.55299746007002715</v>
      </c>
      <c r="Y2023">
        <v>0</v>
      </c>
      <c r="Z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6">
        <v>45601</v>
      </c>
      <c r="B2024" t="s">
        <v>31</v>
      </c>
      <c r="C2024" t="s">
        <v>32</v>
      </c>
      <c r="D2024" t="s">
        <v>33</v>
      </c>
      <c r="E2024" t="s">
        <v>34</v>
      </c>
      <c r="F2024">
        <v>140</v>
      </c>
      <c r="G2024">
        <v>360</v>
      </c>
      <c r="H2024">
        <v>177</v>
      </c>
      <c r="I2024">
        <v>78</v>
      </c>
      <c r="J2024" s="8">
        <v>0.55714285714285716</v>
      </c>
      <c r="K2024">
        <v>29</v>
      </c>
      <c r="L2024">
        <v>52</v>
      </c>
      <c r="M2024">
        <v>156</v>
      </c>
      <c r="N2024" s="10">
        <v>399.06</v>
      </c>
      <c r="O2024" s="7">
        <v>3.3</v>
      </c>
      <c r="P2024" s="7">
        <v>29.6</v>
      </c>
      <c r="Q2024">
        <v>1</v>
      </c>
      <c r="R2024" t="s">
        <v>63</v>
      </c>
      <c r="S2024">
        <v>11</v>
      </c>
      <c r="T2024">
        <v>310</v>
      </c>
      <c r="U2024" s="11">
        <v>0.7818314824680298</v>
      </c>
      <c r="V2024" s="11">
        <v>0.62348980185873359</v>
      </c>
      <c r="W2024" s="11">
        <v>-0.82354723495560067</v>
      </c>
      <c r="X2024" s="11">
        <v>0.56724769880272286</v>
      </c>
      <c r="Y2024">
        <v>0</v>
      </c>
      <c r="Z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6">
        <v>45601</v>
      </c>
      <c r="B2025" t="s">
        <v>36</v>
      </c>
      <c r="C2025" t="s">
        <v>37</v>
      </c>
      <c r="D2025" t="s">
        <v>38</v>
      </c>
      <c r="E2025" t="s">
        <v>39</v>
      </c>
      <c r="F2025">
        <v>125</v>
      </c>
      <c r="G2025">
        <v>320</v>
      </c>
      <c r="H2025">
        <v>145</v>
      </c>
      <c r="I2025">
        <v>61</v>
      </c>
      <c r="J2025" s="8">
        <v>0.48799999999999999</v>
      </c>
      <c r="K2025">
        <v>19</v>
      </c>
      <c r="L2025">
        <v>31</v>
      </c>
      <c r="M2025">
        <v>125</v>
      </c>
      <c r="N2025" s="10">
        <v>646.52</v>
      </c>
      <c r="O2025" s="7">
        <v>3.3</v>
      </c>
      <c r="P2025" s="7">
        <v>29.6</v>
      </c>
      <c r="Q2025">
        <v>1</v>
      </c>
      <c r="R2025" t="s">
        <v>63</v>
      </c>
      <c r="S2025">
        <v>11</v>
      </c>
      <c r="T2025">
        <v>310</v>
      </c>
      <c r="U2025" s="11">
        <v>0.7818314824680298</v>
      </c>
      <c r="V2025" s="11">
        <v>0.62348980185873359</v>
      </c>
      <c r="W2025" s="11">
        <v>-0.82354723495560067</v>
      </c>
      <c r="X2025" s="11">
        <v>0.56724769880272286</v>
      </c>
      <c r="Y2025">
        <v>0</v>
      </c>
      <c r="Z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6">
        <v>45601</v>
      </c>
      <c r="B2026" t="s">
        <v>41</v>
      </c>
      <c r="C2026" t="s">
        <v>42</v>
      </c>
      <c r="D2026" t="s">
        <v>43</v>
      </c>
      <c r="E2026" t="s">
        <v>44</v>
      </c>
      <c r="F2026">
        <v>85</v>
      </c>
      <c r="G2026">
        <v>210</v>
      </c>
      <c r="H2026">
        <v>105</v>
      </c>
      <c r="I2026">
        <v>48</v>
      </c>
      <c r="J2026" s="8">
        <v>0.56470588235294117</v>
      </c>
      <c r="K2026">
        <v>30</v>
      </c>
      <c r="L2026">
        <v>29</v>
      </c>
      <c r="M2026">
        <v>91</v>
      </c>
      <c r="N2026" s="10">
        <v>530.66999999999996</v>
      </c>
      <c r="O2026" s="7">
        <v>3.3</v>
      </c>
      <c r="P2026" s="7">
        <v>29.6</v>
      </c>
      <c r="Q2026">
        <v>1</v>
      </c>
      <c r="R2026" t="s">
        <v>63</v>
      </c>
      <c r="S2026">
        <v>11</v>
      </c>
      <c r="T2026">
        <v>310</v>
      </c>
      <c r="U2026" s="11">
        <v>0.7818314824680298</v>
      </c>
      <c r="V2026" s="11">
        <v>0.62348980185873359</v>
      </c>
      <c r="W2026" s="11">
        <v>-0.82354723495560067</v>
      </c>
      <c r="X2026" s="11">
        <v>0.56724769880272286</v>
      </c>
      <c r="Y2026">
        <v>0</v>
      </c>
      <c r="Z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6">
        <v>45602</v>
      </c>
      <c r="B2027" t="s">
        <v>31</v>
      </c>
      <c r="C2027" t="s">
        <v>32</v>
      </c>
      <c r="D2027" t="s">
        <v>33</v>
      </c>
      <c r="E2027" t="s">
        <v>34</v>
      </c>
      <c r="F2027">
        <v>140</v>
      </c>
      <c r="G2027">
        <v>360</v>
      </c>
      <c r="H2027">
        <v>183</v>
      </c>
      <c r="I2027">
        <v>77</v>
      </c>
      <c r="J2027" s="8">
        <v>0.55000000000000004</v>
      </c>
      <c r="K2027">
        <v>36</v>
      </c>
      <c r="L2027">
        <v>44</v>
      </c>
      <c r="M2027">
        <v>153</v>
      </c>
      <c r="N2027" s="10">
        <v>429.04</v>
      </c>
      <c r="O2027" s="7">
        <v>1.6</v>
      </c>
      <c r="P2027" s="7">
        <v>29.7</v>
      </c>
      <c r="Q2027">
        <v>2</v>
      </c>
      <c r="R2027" t="s">
        <v>64</v>
      </c>
      <c r="S2027">
        <v>11</v>
      </c>
      <c r="T2027">
        <v>311</v>
      </c>
      <c r="U2027" s="11">
        <v>0.97492791218182362</v>
      </c>
      <c r="V2027" s="11">
        <v>-0.22252093395631434</v>
      </c>
      <c r="W2027" s="11">
        <v>-0.81366783044559909</v>
      </c>
      <c r="X2027" s="11">
        <v>0.58133007981520424</v>
      </c>
      <c r="Y2027">
        <v>0</v>
      </c>
      <c r="Z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6">
        <v>45602</v>
      </c>
      <c r="B2028" t="s">
        <v>36</v>
      </c>
      <c r="C2028" t="s">
        <v>37</v>
      </c>
      <c r="D2028" t="s">
        <v>38</v>
      </c>
      <c r="E2028" t="s">
        <v>39</v>
      </c>
      <c r="F2028">
        <v>125</v>
      </c>
      <c r="G2028">
        <v>320</v>
      </c>
      <c r="H2028">
        <v>151</v>
      </c>
      <c r="I2028">
        <v>63</v>
      </c>
      <c r="J2028" s="8">
        <v>0.504</v>
      </c>
      <c r="K2028">
        <v>41</v>
      </c>
      <c r="L2028">
        <v>24</v>
      </c>
      <c r="M2028">
        <v>122</v>
      </c>
      <c r="N2028" s="10">
        <v>619.09</v>
      </c>
      <c r="O2028" s="7">
        <v>1.6</v>
      </c>
      <c r="P2028" s="7">
        <v>29.7</v>
      </c>
      <c r="Q2028">
        <v>2</v>
      </c>
      <c r="R2028" t="s">
        <v>64</v>
      </c>
      <c r="S2028">
        <v>11</v>
      </c>
      <c r="T2028">
        <v>311</v>
      </c>
      <c r="U2028" s="11">
        <v>0.97492791218182362</v>
      </c>
      <c r="V2028" s="11">
        <v>-0.22252093395631434</v>
      </c>
      <c r="W2028" s="11">
        <v>-0.81366783044559909</v>
      </c>
      <c r="X2028" s="11">
        <v>0.58133007981520424</v>
      </c>
      <c r="Y2028">
        <v>0</v>
      </c>
      <c r="Z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6">
        <v>45602</v>
      </c>
      <c r="B2029" t="s">
        <v>41</v>
      </c>
      <c r="C2029" t="s">
        <v>42</v>
      </c>
      <c r="D2029" t="s">
        <v>43</v>
      </c>
      <c r="E2029" t="s">
        <v>44</v>
      </c>
      <c r="F2029">
        <v>85</v>
      </c>
      <c r="G2029">
        <v>210</v>
      </c>
      <c r="H2029">
        <v>116</v>
      </c>
      <c r="I2029">
        <v>53</v>
      </c>
      <c r="J2029" s="8">
        <v>0.62352941176470589</v>
      </c>
      <c r="K2029">
        <v>25</v>
      </c>
      <c r="L2029">
        <v>32</v>
      </c>
      <c r="M2029">
        <v>99</v>
      </c>
      <c r="N2029" s="10">
        <v>560.67999999999995</v>
      </c>
      <c r="O2029" s="7">
        <v>1.6</v>
      </c>
      <c r="P2029" s="7">
        <v>29.7</v>
      </c>
      <c r="Q2029">
        <v>2</v>
      </c>
      <c r="R2029" t="s">
        <v>64</v>
      </c>
      <c r="S2029">
        <v>11</v>
      </c>
      <c r="T2029">
        <v>311</v>
      </c>
      <c r="U2029" s="11">
        <v>0.97492791218182362</v>
      </c>
      <c r="V2029" s="11">
        <v>-0.22252093395631434</v>
      </c>
      <c r="W2029" s="11">
        <v>-0.81366783044559909</v>
      </c>
      <c r="X2029" s="11">
        <v>0.58133007981520424</v>
      </c>
      <c r="Y2029">
        <v>0</v>
      </c>
      <c r="Z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6">
        <v>45603</v>
      </c>
      <c r="B2030" t="s">
        <v>31</v>
      </c>
      <c r="C2030" t="s">
        <v>32</v>
      </c>
      <c r="D2030" t="s">
        <v>33</v>
      </c>
      <c r="E2030" t="s">
        <v>34</v>
      </c>
      <c r="F2030">
        <v>140</v>
      </c>
      <c r="G2030">
        <v>360</v>
      </c>
      <c r="H2030">
        <v>175</v>
      </c>
      <c r="I2030">
        <v>72</v>
      </c>
      <c r="J2030" s="8">
        <v>0.51428571428571423</v>
      </c>
      <c r="K2030">
        <v>34</v>
      </c>
      <c r="L2030">
        <v>41</v>
      </c>
      <c r="M2030">
        <v>156</v>
      </c>
      <c r="N2030" s="10">
        <v>430.92</v>
      </c>
      <c r="O2030" s="7">
        <v>0</v>
      </c>
      <c r="P2030" s="7">
        <v>29.9</v>
      </c>
      <c r="Q2030">
        <v>3</v>
      </c>
      <c r="R2030" t="s">
        <v>65</v>
      </c>
      <c r="S2030">
        <v>11</v>
      </c>
      <c r="T2030">
        <v>312</v>
      </c>
      <c r="U2030" s="11">
        <v>0.43388373911755823</v>
      </c>
      <c r="V2030" s="11">
        <v>-0.90096886790241903</v>
      </c>
      <c r="W2030" s="11">
        <v>-0.80354764853391158</v>
      </c>
      <c r="X2030" s="11">
        <v>0.59524043590436737</v>
      </c>
      <c r="Y2030">
        <v>0</v>
      </c>
      <c r="Z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6">
        <v>45603</v>
      </c>
      <c r="B2031" t="s">
        <v>36</v>
      </c>
      <c r="C2031" t="s">
        <v>37</v>
      </c>
      <c r="D2031" t="s">
        <v>38</v>
      </c>
      <c r="E2031" t="s">
        <v>39</v>
      </c>
      <c r="F2031">
        <v>125</v>
      </c>
      <c r="G2031">
        <v>320</v>
      </c>
      <c r="H2031">
        <v>154</v>
      </c>
      <c r="I2031">
        <v>66</v>
      </c>
      <c r="J2031" s="8">
        <v>0.52800000000000002</v>
      </c>
      <c r="K2031">
        <v>32</v>
      </c>
      <c r="L2031">
        <v>41</v>
      </c>
      <c r="M2031">
        <v>142</v>
      </c>
      <c r="N2031" s="10">
        <v>606.94000000000005</v>
      </c>
      <c r="O2031" s="7">
        <v>0</v>
      </c>
      <c r="P2031" s="7">
        <v>29.9</v>
      </c>
      <c r="Q2031">
        <v>3</v>
      </c>
      <c r="R2031" t="s">
        <v>65</v>
      </c>
      <c r="S2031">
        <v>11</v>
      </c>
      <c r="T2031">
        <v>312</v>
      </c>
      <c r="U2031" s="11">
        <v>0.43388373911755823</v>
      </c>
      <c r="V2031" s="11">
        <v>-0.90096886790241903</v>
      </c>
      <c r="W2031" s="11">
        <v>-0.80354764853391158</v>
      </c>
      <c r="X2031" s="11">
        <v>0.59524043590436737</v>
      </c>
      <c r="Y2031">
        <v>0</v>
      </c>
      <c r="Z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6">
        <v>45603</v>
      </c>
      <c r="B2032" t="s">
        <v>41</v>
      </c>
      <c r="C2032" t="s">
        <v>42</v>
      </c>
      <c r="D2032" t="s">
        <v>43</v>
      </c>
      <c r="E2032" t="s">
        <v>44</v>
      </c>
      <c r="F2032">
        <v>85</v>
      </c>
      <c r="G2032">
        <v>210</v>
      </c>
      <c r="H2032">
        <v>108</v>
      </c>
      <c r="I2032">
        <v>49</v>
      </c>
      <c r="J2032" s="8">
        <v>0.57647058823529407</v>
      </c>
      <c r="K2032">
        <v>24</v>
      </c>
      <c r="L2032">
        <v>15</v>
      </c>
      <c r="M2032">
        <v>94</v>
      </c>
      <c r="N2032" s="10">
        <v>557.21</v>
      </c>
      <c r="O2032" s="7">
        <v>0</v>
      </c>
      <c r="P2032" s="7">
        <v>29.9</v>
      </c>
      <c r="Q2032">
        <v>3</v>
      </c>
      <c r="R2032" t="s">
        <v>65</v>
      </c>
      <c r="S2032">
        <v>11</v>
      </c>
      <c r="T2032">
        <v>312</v>
      </c>
      <c r="U2032" s="11">
        <v>0.43388373911755823</v>
      </c>
      <c r="V2032" s="11">
        <v>-0.90096886790241903</v>
      </c>
      <c r="W2032" s="11">
        <v>-0.80354764853391158</v>
      </c>
      <c r="X2032" s="11">
        <v>0.59524043590436737</v>
      </c>
      <c r="Y2032">
        <v>0</v>
      </c>
      <c r="Z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6">
        <v>45604</v>
      </c>
      <c r="B2033" t="s">
        <v>31</v>
      </c>
      <c r="C2033" t="s">
        <v>32</v>
      </c>
      <c r="D2033" t="s">
        <v>33</v>
      </c>
      <c r="E2033" t="s">
        <v>34</v>
      </c>
      <c r="F2033">
        <v>140</v>
      </c>
      <c r="G2033">
        <v>360</v>
      </c>
      <c r="H2033">
        <v>197</v>
      </c>
      <c r="I2033">
        <v>82</v>
      </c>
      <c r="J2033" s="8">
        <v>0.58571428571428574</v>
      </c>
      <c r="K2033">
        <v>44</v>
      </c>
      <c r="L2033">
        <v>45</v>
      </c>
      <c r="M2033">
        <v>164</v>
      </c>
      <c r="N2033" s="10">
        <v>451</v>
      </c>
      <c r="O2033" s="7">
        <v>3.7</v>
      </c>
      <c r="P2033" s="7">
        <v>30</v>
      </c>
      <c r="Q2033">
        <v>4</v>
      </c>
      <c r="R2033" t="s">
        <v>66</v>
      </c>
      <c r="S2033">
        <v>11</v>
      </c>
      <c r="T2033">
        <v>313</v>
      </c>
      <c r="U2033" s="11">
        <v>-0.43388373911755801</v>
      </c>
      <c r="V2033" s="11">
        <v>-0.90096886790241915</v>
      </c>
      <c r="W2033" s="11">
        <v>-0.7931896839451843</v>
      </c>
      <c r="X2033" s="11">
        <v>0.6089746507720486</v>
      </c>
      <c r="Y2033">
        <v>0</v>
      </c>
      <c r="Z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6">
        <v>45604</v>
      </c>
      <c r="B2034" t="s">
        <v>36</v>
      </c>
      <c r="C2034" t="s">
        <v>37</v>
      </c>
      <c r="D2034" t="s">
        <v>38</v>
      </c>
      <c r="E2034" t="s">
        <v>39</v>
      </c>
      <c r="F2034">
        <v>125</v>
      </c>
      <c r="G2034">
        <v>320</v>
      </c>
      <c r="H2034">
        <v>160</v>
      </c>
      <c r="I2034">
        <v>66</v>
      </c>
      <c r="J2034" s="8">
        <v>0.52800000000000002</v>
      </c>
      <c r="K2034">
        <v>42</v>
      </c>
      <c r="L2034">
        <v>25</v>
      </c>
      <c r="M2034">
        <v>149</v>
      </c>
      <c r="N2034" s="10">
        <v>665.03</v>
      </c>
      <c r="O2034" s="7">
        <v>3.7</v>
      </c>
      <c r="P2034" s="7">
        <v>30</v>
      </c>
      <c r="Q2034">
        <v>4</v>
      </c>
      <c r="R2034" t="s">
        <v>66</v>
      </c>
      <c r="S2034">
        <v>11</v>
      </c>
      <c r="T2034">
        <v>313</v>
      </c>
      <c r="U2034" s="11">
        <v>-0.43388373911755801</v>
      </c>
      <c r="V2034" s="11">
        <v>-0.90096886790241915</v>
      </c>
      <c r="W2034" s="11">
        <v>-0.7931896839451843</v>
      </c>
      <c r="X2034" s="11">
        <v>0.6089746507720486</v>
      </c>
      <c r="Y2034">
        <v>0</v>
      </c>
      <c r="Z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6">
        <v>45604</v>
      </c>
      <c r="B2035" t="s">
        <v>41</v>
      </c>
      <c r="C2035" t="s">
        <v>42</v>
      </c>
      <c r="D2035" t="s">
        <v>43</v>
      </c>
      <c r="E2035" t="s">
        <v>44</v>
      </c>
      <c r="F2035">
        <v>85</v>
      </c>
      <c r="G2035">
        <v>210</v>
      </c>
      <c r="H2035">
        <v>116</v>
      </c>
      <c r="I2035">
        <v>52</v>
      </c>
      <c r="J2035" s="8">
        <v>0.61176470588235299</v>
      </c>
      <c r="K2035">
        <v>24</v>
      </c>
      <c r="L2035">
        <v>22</v>
      </c>
      <c r="M2035">
        <v>108</v>
      </c>
      <c r="N2035" s="10">
        <v>548.37</v>
      </c>
      <c r="O2035" s="7">
        <v>3.7</v>
      </c>
      <c r="P2035" s="7">
        <v>30</v>
      </c>
      <c r="Q2035">
        <v>4</v>
      </c>
      <c r="R2035" t="s">
        <v>66</v>
      </c>
      <c r="S2035">
        <v>11</v>
      </c>
      <c r="T2035">
        <v>313</v>
      </c>
      <c r="U2035" s="11">
        <v>-0.43388373911755801</v>
      </c>
      <c r="V2035" s="11">
        <v>-0.90096886790241915</v>
      </c>
      <c r="W2035" s="11">
        <v>-0.7931896839451843</v>
      </c>
      <c r="X2035" s="11">
        <v>0.6089746507720486</v>
      </c>
      <c r="Y2035">
        <v>0</v>
      </c>
      <c r="Z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6">
        <v>45605</v>
      </c>
      <c r="B2036" t="s">
        <v>31</v>
      </c>
      <c r="C2036" t="s">
        <v>32</v>
      </c>
      <c r="D2036" t="s">
        <v>33</v>
      </c>
      <c r="E2036" t="s">
        <v>34</v>
      </c>
      <c r="F2036">
        <v>140</v>
      </c>
      <c r="G2036">
        <v>360</v>
      </c>
      <c r="H2036">
        <v>215</v>
      </c>
      <c r="I2036">
        <v>92</v>
      </c>
      <c r="J2036" s="8">
        <v>0.65714285714285714</v>
      </c>
      <c r="K2036">
        <v>31</v>
      </c>
      <c r="L2036">
        <v>47</v>
      </c>
      <c r="M2036">
        <v>201</v>
      </c>
      <c r="N2036" s="10">
        <v>477.8</v>
      </c>
      <c r="O2036" s="7">
        <v>1.8</v>
      </c>
      <c r="P2036" s="7">
        <v>29.5</v>
      </c>
      <c r="Q2036">
        <v>5</v>
      </c>
      <c r="R2036" t="s">
        <v>67</v>
      </c>
      <c r="S2036">
        <v>11</v>
      </c>
      <c r="T2036">
        <v>314</v>
      </c>
      <c r="U2036" s="11">
        <v>-0.97492791218182362</v>
      </c>
      <c r="V2036" s="11">
        <v>-0.22252093395631459</v>
      </c>
      <c r="W2036" s="11">
        <v>-0.78259700176778335</v>
      </c>
      <c r="X2036" s="11">
        <v>0.62252866024310571</v>
      </c>
      <c r="Y2036">
        <v>1</v>
      </c>
      <c r="Z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6">
        <v>45605</v>
      </c>
      <c r="B2037" t="s">
        <v>36</v>
      </c>
      <c r="C2037" t="s">
        <v>37</v>
      </c>
      <c r="D2037" t="s">
        <v>38</v>
      </c>
      <c r="E2037" t="s">
        <v>39</v>
      </c>
      <c r="F2037">
        <v>125</v>
      </c>
      <c r="G2037">
        <v>320</v>
      </c>
      <c r="H2037">
        <v>190</v>
      </c>
      <c r="I2037">
        <v>78</v>
      </c>
      <c r="J2037" s="8">
        <v>0.624</v>
      </c>
      <c r="K2037">
        <v>32</v>
      </c>
      <c r="L2037">
        <v>29</v>
      </c>
      <c r="M2037">
        <v>162</v>
      </c>
      <c r="N2037" s="10">
        <v>642.01</v>
      </c>
      <c r="O2037" s="7">
        <v>1.8</v>
      </c>
      <c r="P2037" s="7">
        <v>29.5</v>
      </c>
      <c r="Q2037">
        <v>5</v>
      </c>
      <c r="R2037" t="s">
        <v>67</v>
      </c>
      <c r="S2037">
        <v>11</v>
      </c>
      <c r="T2037">
        <v>314</v>
      </c>
      <c r="U2037" s="11">
        <v>-0.97492791218182362</v>
      </c>
      <c r="V2037" s="11">
        <v>-0.22252093395631459</v>
      </c>
      <c r="W2037" s="11">
        <v>-0.78259700176778335</v>
      </c>
      <c r="X2037" s="11">
        <v>0.62252866024310571</v>
      </c>
      <c r="Y2037">
        <v>1</v>
      </c>
      <c r="Z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6">
        <v>45605</v>
      </c>
      <c r="B2038" t="s">
        <v>41</v>
      </c>
      <c r="C2038" t="s">
        <v>42</v>
      </c>
      <c r="D2038" t="s">
        <v>43</v>
      </c>
      <c r="E2038" t="s">
        <v>44</v>
      </c>
      <c r="F2038">
        <v>85</v>
      </c>
      <c r="G2038">
        <v>210</v>
      </c>
      <c r="H2038">
        <v>125</v>
      </c>
      <c r="I2038">
        <v>58</v>
      </c>
      <c r="J2038" s="8">
        <v>0.68235294117647061</v>
      </c>
      <c r="K2038">
        <v>21</v>
      </c>
      <c r="L2038">
        <v>10</v>
      </c>
      <c r="M2038">
        <v>105</v>
      </c>
      <c r="N2038" s="10">
        <v>615.6</v>
      </c>
      <c r="O2038" s="7">
        <v>1.8</v>
      </c>
      <c r="P2038" s="7">
        <v>29.5</v>
      </c>
      <c r="Q2038">
        <v>5</v>
      </c>
      <c r="R2038" t="s">
        <v>67</v>
      </c>
      <c r="S2038">
        <v>11</v>
      </c>
      <c r="T2038">
        <v>314</v>
      </c>
      <c r="U2038" s="11">
        <v>-0.97492791218182362</v>
      </c>
      <c r="V2038" s="11">
        <v>-0.22252093395631459</v>
      </c>
      <c r="W2038" s="11">
        <v>-0.78259700176778335</v>
      </c>
      <c r="X2038" s="11">
        <v>0.62252866024310571</v>
      </c>
      <c r="Y2038">
        <v>1</v>
      </c>
      <c r="Z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6">
        <v>45606</v>
      </c>
      <c r="B2039" t="s">
        <v>31</v>
      </c>
      <c r="C2039" t="s">
        <v>32</v>
      </c>
      <c r="D2039" t="s">
        <v>33</v>
      </c>
      <c r="E2039" t="s">
        <v>34</v>
      </c>
      <c r="F2039">
        <v>140</v>
      </c>
      <c r="G2039">
        <v>360</v>
      </c>
      <c r="H2039">
        <v>219</v>
      </c>
      <c r="I2039">
        <v>93</v>
      </c>
      <c r="J2039" s="8">
        <v>0.66428571428571426</v>
      </c>
      <c r="K2039">
        <v>36</v>
      </c>
      <c r="L2039">
        <v>30</v>
      </c>
      <c r="M2039">
        <v>200</v>
      </c>
      <c r="N2039" s="10">
        <v>445.59</v>
      </c>
      <c r="O2039" s="7">
        <v>0</v>
      </c>
      <c r="P2039" s="7">
        <v>27.9</v>
      </c>
      <c r="Q2039">
        <v>6</v>
      </c>
      <c r="R2039" t="s">
        <v>60</v>
      </c>
      <c r="S2039">
        <v>11</v>
      </c>
      <c r="T2039">
        <v>315</v>
      </c>
      <c r="U2039" s="11">
        <v>-0.78183148246802991</v>
      </c>
      <c r="V2039" s="11">
        <v>0.62348980185873337</v>
      </c>
      <c r="W2039" s="11">
        <v>-0.77177273654678369</v>
      </c>
      <c r="X2039" s="11">
        <v>0.6358984534680745</v>
      </c>
      <c r="Y2039">
        <v>1</v>
      </c>
      <c r="Z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6">
        <v>45606</v>
      </c>
      <c r="B2040" t="s">
        <v>36</v>
      </c>
      <c r="C2040" t="s">
        <v>37</v>
      </c>
      <c r="D2040" t="s">
        <v>38</v>
      </c>
      <c r="E2040" t="s">
        <v>39</v>
      </c>
      <c r="F2040">
        <v>125</v>
      </c>
      <c r="G2040">
        <v>320</v>
      </c>
      <c r="H2040">
        <v>192</v>
      </c>
      <c r="I2040">
        <v>78</v>
      </c>
      <c r="J2040" s="8">
        <v>0.624</v>
      </c>
      <c r="K2040">
        <v>52</v>
      </c>
      <c r="L2040">
        <v>44</v>
      </c>
      <c r="M2040">
        <v>175</v>
      </c>
      <c r="N2040" s="10">
        <v>711.51</v>
      </c>
      <c r="O2040" s="7">
        <v>0</v>
      </c>
      <c r="P2040" s="7">
        <v>27.9</v>
      </c>
      <c r="Q2040">
        <v>6</v>
      </c>
      <c r="R2040" t="s">
        <v>60</v>
      </c>
      <c r="S2040">
        <v>11</v>
      </c>
      <c r="T2040">
        <v>315</v>
      </c>
      <c r="U2040" s="11">
        <v>-0.78183148246802991</v>
      </c>
      <c r="V2040" s="11">
        <v>0.62348980185873337</v>
      </c>
      <c r="W2040" s="11">
        <v>-0.77177273654678369</v>
      </c>
      <c r="X2040" s="11">
        <v>0.6358984534680745</v>
      </c>
      <c r="Y2040">
        <v>1</v>
      </c>
      <c r="Z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6">
        <v>45606</v>
      </c>
      <c r="B2041" t="s">
        <v>41</v>
      </c>
      <c r="C2041" t="s">
        <v>42</v>
      </c>
      <c r="D2041" t="s">
        <v>43</v>
      </c>
      <c r="E2041" t="s">
        <v>44</v>
      </c>
      <c r="F2041">
        <v>85</v>
      </c>
      <c r="G2041">
        <v>210</v>
      </c>
      <c r="H2041">
        <v>139</v>
      </c>
      <c r="I2041">
        <v>65</v>
      </c>
      <c r="J2041" s="8">
        <v>0.76470588235294112</v>
      </c>
      <c r="K2041">
        <v>38</v>
      </c>
      <c r="L2041">
        <v>21</v>
      </c>
      <c r="M2041">
        <v>112</v>
      </c>
      <c r="N2041" s="10">
        <v>590.91999999999996</v>
      </c>
      <c r="O2041" s="7">
        <v>0</v>
      </c>
      <c r="P2041" s="7">
        <v>27.9</v>
      </c>
      <c r="Q2041">
        <v>6</v>
      </c>
      <c r="R2041" t="s">
        <v>60</v>
      </c>
      <c r="S2041">
        <v>11</v>
      </c>
      <c r="T2041">
        <v>315</v>
      </c>
      <c r="U2041" s="11">
        <v>-0.78183148246802991</v>
      </c>
      <c r="V2041" s="11">
        <v>0.62348980185873337</v>
      </c>
      <c r="W2041" s="11">
        <v>-0.77177273654678369</v>
      </c>
      <c r="X2041" s="11">
        <v>0.6358984534680745</v>
      </c>
      <c r="Y2041">
        <v>1</v>
      </c>
      <c r="Z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6">
        <v>45607</v>
      </c>
      <c r="B2042" t="s">
        <v>31</v>
      </c>
      <c r="C2042" t="s">
        <v>32</v>
      </c>
      <c r="D2042" t="s">
        <v>33</v>
      </c>
      <c r="E2042" t="s">
        <v>34</v>
      </c>
      <c r="F2042">
        <v>140</v>
      </c>
      <c r="G2042">
        <v>360</v>
      </c>
      <c r="H2042">
        <v>172</v>
      </c>
      <c r="I2042">
        <v>73</v>
      </c>
      <c r="J2042" s="8">
        <v>0.52142857142857146</v>
      </c>
      <c r="K2042">
        <v>33</v>
      </c>
      <c r="L2042">
        <v>46</v>
      </c>
      <c r="M2042">
        <v>141</v>
      </c>
      <c r="N2042" s="10">
        <v>410.96</v>
      </c>
      <c r="O2042" s="7">
        <v>4.5</v>
      </c>
      <c r="P2042" s="7">
        <v>29.5</v>
      </c>
      <c r="Q2042">
        <v>0</v>
      </c>
      <c r="R2042" t="s">
        <v>62</v>
      </c>
      <c r="S2042">
        <v>11</v>
      </c>
      <c r="T2042">
        <v>316</v>
      </c>
      <c r="U2042" s="11">
        <v>0</v>
      </c>
      <c r="V2042" s="11">
        <v>1</v>
      </c>
      <c r="W2042" s="11">
        <v>-0.76072009135641039</v>
      </c>
      <c r="X2042" s="11">
        <v>0.64908007411003976</v>
      </c>
      <c r="Y2042">
        <v>0</v>
      </c>
      <c r="Z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6">
        <v>45607</v>
      </c>
      <c r="B2043" t="s">
        <v>36</v>
      </c>
      <c r="C2043" t="s">
        <v>37</v>
      </c>
      <c r="D2043" t="s">
        <v>38</v>
      </c>
      <c r="E2043" t="s">
        <v>39</v>
      </c>
      <c r="F2043">
        <v>125</v>
      </c>
      <c r="G2043">
        <v>320</v>
      </c>
      <c r="H2043">
        <v>148</v>
      </c>
      <c r="I2043">
        <v>62</v>
      </c>
      <c r="J2043" s="8">
        <v>0.496</v>
      </c>
      <c r="K2043">
        <v>29</v>
      </c>
      <c r="L2043">
        <v>26</v>
      </c>
      <c r="M2043">
        <v>133</v>
      </c>
      <c r="N2043" s="10">
        <v>637.20000000000005</v>
      </c>
      <c r="O2043" s="7">
        <v>4.5</v>
      </c>
      <c r="P2043" s="7">
        <v>29.5</v>
      </c>
      <c r="Q2043">
        <v>0</v>
      </c>
      <c r="R2043" t="s">
        <v>62</v>
      </c>
      <c r="S2043">
        <v>11</v>
      </c>
      <c r="T2043">
        <v>316</v>
      </c>
      <c r="U2043" s="11">
        <v>0</v>
      </c>
      <c r="V2043" s="11">
        <v>1</v>
      </c>
      <c r="W2043" s="11">
        <v>-0.76072009135641039</v>
      </c>
      <c r="X2043" s="11">
        <v>0.64908007411003976</v>
      </c>
      <c r="Y2043">
        <v>0</v>
      </c>
      <c r="Z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6">
        <v>45607</v>
      </c>
      <c r="B2044" t="s">
        <v>41</v>
      </c>
      <c r="C2044" t="s">
        <v>42</v>
      </c>
      <c r="D2044" t="s">
        <v>43</v>
      </c>
      <c r="E2044" t="s">
        <v>44</v>
      </c>
      <c r="F2044">
        <v>85</v>
      </c>
      <c r="G2044">
        <v>210</v>
      </c>
      <c r="H2044">
        <v>125</v>
      </c>
      <c r="I2044">
        <v>55</v>
      </c>
      <c r="J2044" s="8">
        <v>0.6470588235294118</v>
      </c>
      <c r="K2044">
        <v>33</v>
      </c>
      <c r="L2044">
        <v>18</v>
      </c>
      <c r="M2044">
        <v>108</v>
      </c>
      <c r="N2044" s="10">
        <v>525.63</v>
      </c>
      <c r="O2044" s="7">
        <v>4.5</v>
      </c>
      <c r="P2044" s="7">
        <v>29.5</v>
      </c>
      <c r="Q2044">
        <v>0</v>
      </c>
      <c r="R2044" t="s">
        <v>62</v>
      </c>
      <c r="S2044">
        <v>11</v>
      </c>
      <c r="T2044">
        <v>316</v>
      </c>
      <c r="U2044" s="11">
        <v>0</v>
      </c>
      <c r="V2044" s="11">
        <v>1</v>
      </c>
      <c r="W2044" s="11">
        <v>-0.76072009135641039</v>
      </c>
      <c r="X2044" s="11">
        <v>0.64908007411003976</v>
      </c>
      <c r="Y2044">
        <v>0</v>
      </c>
      <c r="Z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6">
        <v>45608</v>
      </c>
      <c r="B2045" t="s">
        <v>31</v>
      </c>
      <c r="C2045" t="s">
        <v>32</v>
      </c>
      <c r="D2045" t="s">
        <v>33</v>
      </c>
      <c r="E2045" t="s">
        <v>34</v>
      </c>
      <c r="F2045">
        <v>140</v>
      </c>
      <c r="G2045">
        <v>360</v>
      </c>
      <c r="H2045">
        <v>200</v>
      </c>
      <c r="I2045">
        <v>85</v>
      </c>
      <c r="J2045" s="8">
        <v>0.6071428571428571</v>
      </c>
      <c r="K2045">
        <v>37</v>
      </c>
      <c r="L2045">
        <v>38</v>
      </c>
      <c r="M2045">
        <v>172</v>
      </c>
      <c r="N2045" s="10">
        <v>429.2</v>
      </c>
      <c r="O2045" s="7">
        <v>1.6</v>
      </c>
      <c r="P2045" s="7">
        <v>30</v>
      </c>
      <c r="Q2045">
        <v>1</v>
      </c>
      <c r="R2045" t="s">
        <v>63</v>
      </c>
      <c r="S2045">
        <v>11</v>
      </c>
      <c r="T2045">
        <v>317</v>
      </c>
      <c r="U2045" s="11">
        <v>0.7818314824680298</v>
      </c>
      <c r="V2045" s="11">
        <v>0.62348980185873359</v>
      </c>
      <c r="W2045" s="11">
        <v>-0.7494423368521953</v>
      </c>
      <c r="X2045" s="11">
        <v>0.66206962151538151</v>
      </c>
      <c r="Y2045">
        <v>0</v>
      </c>
      <c r="Z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6">
        <v>45608</v>
      </c>
      <c r="B2046" t="s">
        <v>36</v>
      </c>
      <c r="C2046" t="s">
        <v>37</v>
      </c>
      <c r="D2046" t="s">
        <v>38</v>
      </c>
      <c r="E2046" t="s">
        <v>39</v>
      </c>
      <c r="F2046">
        <v>125</v>
      </c>
      <c r="G2046">
        <v>320</v>
      </c>
      <c r="H2046">
        <v>165</v>
      </c>
      <c r="I2046">
        <v>70</v>
      </c>
      <c r="J2046" s="8">
        <v>0.56000000000000005</v>
      </c>
      <c r="K2046">
        <v>24</v>
      </c>
      <c r="L2046">
        <v>30</v>
      </c>
      <c r="M2046">
        <v>151</v>
      </c>
      <c r="N2046" s="10">
        <v>681.45</v>
      </c>
      <c r="O2046" s="7">
        <v>1.6</v>
      </c>
      <c r="P2046" s="7">
        <v>30</v>
      </c>
      <c r="Q2046">
        <v>1</v>
      </c>
      <c r="R2046" t="s">
        <v>63</v>
      </c>
      <c r="S2046">
        <v>11</v>
      </c>
      <c r="T2046">
        <v>317</v>
      </c>
      <c r="U2046" s="11">
        <v>0.7818314824680298</v>
      </c>
      <c r="V2046" s="11">
        <v>0.62348980185873359</v>
      </c>
      <c r="W2046" s="11">
        <v>-0.7494423368521953</v>
      </c>
      <c r="X2046" s="11">
        <v>0.66206962151538151</v>
      </c>
      <c r="Y2046">
        <v>0</v>
      </c>
      <c r="Z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6">
        <v>45608</v>
      </c>
      <c r="B2047" t="s">
        <v>41</v>
      </c>
      <c r="C2047" t="s">
        <v>42</v>
      </c>
      <c r="D2047" t="s">
        <v>43</v>
      </c>
      <c r="E2047" t="s">
        <v>44</v>
      </c>
      <c r="F2047">
        <v>85</v>
      </c>
      <c r="G2047">
        <v>210</v>
      </c>
      <c r="H2047">
        <v>125</v>
      </c>
      <c r="I2047">
        <v>56</v>
      </c>
      <c r="J2047" s="8">
        <v>0.6588235294117647</v>
      </c>
      <c r="K2047">
        <v>18</v>
      </c>
      <c r="L2047">
        <v>16</v>
      </c>
      <c r="M2047">
        <v>103</v>
      </c>
      <c r="N2047" s="10">
        <v>552.87</v>
      </c>
      <c r="O2047" s="7">
        <v>1.6</v>
      </c>
      <c r="P2047" s="7">
        <v>30</v>
      </c>
      <c r="Q2047">
        <v>1</v>
      </c>
      <c r="R2047" t="s">
        <v>63</v>
      </c>
      <c r="S2047">
        <v>11</v>
      </c>
      <c r="T2047">
        <v>317</v>
      </c>
      <c r="U2047" s="11">
        <v>0.7818314824680298</v>
      </c>
      <c r="V2047" s="11">
        <v>0.62348980185873359</v>
      </c>
      <c r="W2047" s="11">
        <v>-0.7494423368521953</v>
      </c>
      <c r="X2047" s="11">
        <v>0.66206962151538151</v>
      </c>
      <c r="Y2047">
        <v>0</v>
      </c>
      <c r="Z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6">
        <v>45609</v>
      </c>
      <c r="B2048" t="s">
        <v>31</v>
      </c>
      <c r="C2048" t="s">
        <v>32</v>
      </c>
      <c r="D2048" t="s">
        <v>33</v>
      </c>
      <c r="E2048" t="s">
        <v>34</v>
      </c>
      <c r="F2048">
        <v>140</v>
      </c>
      <c r="G2048">
        <v>360</v>
      </c>
      <c r="H2048">
        <v>179</v>
      </c>
      <c r="I2048">
        <v>76</v>
      </c>
      <c r="J2048" s="8">
        <v>0.54285714285714282</v>
      </c>
      <c r="K2048">
        <v>35</v>
      </c>
      <c r="L2048">
        <v>45</v>
      </c>
      <c r="M2048">
        <v>155</v>
      </c>
      <c r="N2048" s="10">
        <v>459.82</v>
      </c>
      <c r="O2048" s="7">
        <v>2.6</v>
      </c>
      <c r="P2048" s="7">
        <v>29.9</v>
      </c>
      <c r="Q2048">
        <v>2</v>
      </c>
      <c r="R2048" t="s">
        <v>64</v>
      </c>
      <c r="S2048">
        <v>11</v>
      </c>
      <c r="T2048">
        <v>318</v>
      </c>
      <c r="U2048" s="11">
        <v>0.97492791218182362</v>
      </c>
      <c r="V2048" s="11">
        <v>-0.22252093395631434</v>
      </c>
      <c r="W2048" s="11">
        <v>-0.73794281030313857</v>
      </c>
      <c r="X2048" s="11">
        <v>0.6748632518680403</v>
      </c>
      <c r="Y2048">
        <v>0</v>
      </c>
      <c r="Z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6">
        <v>45609</v>
      </c>
      <c r="B2049" t="s">
        <v>36</v>
      </c>
      <c r="C2049" t="s">
        <v>37</v>
      </c>
      <c r="D2049" t="s">
        <v>38</v>
      </c>
      <c r="E2049" t="s">
        <v>39</v>
      </c>
      <c r="F2049">
        <v>125</v>
      </c>
      <c r="G2049">
        <v>320</v>
      </c>
      <c r="H2049">
        <v>152</v>
      </c>
      <c r="I2049">
        <v>67</v>
      </c>
      <c r="J2049" s="8">
        <v>0.53600000000000003</v>
      </c>
      <c r="K2049">
        <v>42</v>
      </c>
      <c r="L2049">
        <v>23</v>
      </c>
      <c r="M2049">
        <v>133</v>
      </c>
      <c r="N2049" s="10">
        <v>582.49</v>
      </c>
      <c r="O2049" s="7">
        <v>2.6</v>
      </c>
      <c r="P2049" s="7">
        <v>29.9</v>
      </c>
      <c r="Q2049">
        <v>2</v>
      </c>
      <c r="R2049" t="s">
        <v>64</v>
      </c>
      <c r="S2049">
        <v>11</v>
      </c>
      <c r="T2049">
        <v>318</v>
      </c>
      <c r="U2049" s="11">
        <v>0.97492791218182362</v>
      </c>
      <c r="V2049" s="11">
        <v>-0.22252093395631434</v>
      </c>
      <c r="W2049" s="11">
        <v>-0.73794281030313857</v>
      </c>
      <c r="X2049" s="11">
        <v>0.6748632518680403</v>
      </c>
      <c r="Y2049">
        <v>0</v>
      </c>
      <c r="Z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6">
        <v>45609</v>
      </c>
      <c r="B2050" t="s">
        <v>41</v>
      </c>
      <c r="C2050" t="s">
        <v>42</v>
      </c>
      <c r="D2050" t="s">
        <v>43</v>
      </c>
      <c r="E2050" t="s">
        <v>44</v>
      </c>
      <c r="F2050">
        <v>85</v>
      </c>
      <c r="G2050">
        <v>210</v>
      </c>
      <c r="H2050">
        <v>135</v>
      </c>
      <c r="I2050">
        <v>57</v>
      </c>
      <c r="J2050" s="8">
        <v>0.6705882352941176</v>
      </c>
      <c r="K2050">
        <v>25</v>
      </c>
      <c r="L2050">
        <v>31</v>
      </c>
      <c r="M2050">
        <v>115</v>
      </c>
      <c r="N2050" s="10">
        <v>503.49</v>
      </c>
      <c r="O2050" s="7">
        <v>2.6</v>
      </c>
      <c r="P2050" s="7">
        <v>29.9</v>
      </c>
      <c r="Q2050">
        <v>2</v>
      </c>
      <c r="R2050" t="s">
        <v>64</v>
      </c>
      <c r="S2050">
        <v>11</v>
      </c>
      <c r="T2050">
        <v>318</v>
      </c>
      <c r="U2050" s="11">
        <v>0.97492791218182362</v>
      </c>
      <c r="V2050" s="11">
        <v>-0.22252093395631434</v>
      </c>
      <c r="W2050" s="11">
        <v>-0.73794281030313857</v>
      </c>
      <c r="X2050" s="11">
        <v>0.6748632518680403</v>
      </c>
      <c r="Y2050">
        <v>0</v>
      </c>
      <c r="Z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6">
        <v>45610</v>
      </c>
      <c r="B2051" t="s">
        <v>31</v>
      </c>
      <c r="C2051" t="s">
        <v>32</v>
      </c>
      <c r="D2051" t="s">
        <v>33</v>
      </c>
      <c r="E2051" t="s">
        <v>34</v>
      </c>
      <c r="F2051">
        <v>140</v>
      </c>
      <c r="G2051">
        <v>360</v>
      </c>
      <c r="H2051">
        <v>181</v>
      </c>
      <c r="I2051">
        <v>78</v>
      </c>
      <c r="J2051" s="8">
        <v>0.55714285714285716</v>
      </c>
      <c r="K2051">
        <v>36</v>
      </c>
      <c r="L2051">
        <v>46</v>
      </c>
      <c r="M2051">
        <v>158</v>
      </c>
      <c r="N2051" s="10">
        <v>461.22</v>
      </c>
      <c r="O2051" s="7">
        <v>2.2999999999999998</v>
      </c>
      <c r="P2051" s="7">
        <v>29</v>
      </c>
      <c r="Q2051">
        <v>3</v>
      </c>
      <c r="R2051" t="s">
        <v>65</v>
      </c>
      <c r="S2051">
        <v>11</v>
      </c>
      <c r="T2051">
        <v>319</v>
      </c>
      <c r="U2051" s="11">
        <v>0.43388373911755823</v>
      </c>
      <c r="V2051" s="11">
        <v>-0.90096886790241903</v>
      </c>
      <c r="W2051" s="11">
        <v>-0.72622491460415428</v>
      </c>
      <c r="X2051" s="11">
        <v>0.68745717932696637</v>
      </c>
      <c r="Y2051">
        <v>0</v>
      </c>
      <c r="Z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6">
        <v>45610</v>
      </c>
      <c r="B2052" t="s">
        <v>36</v>
      </c>
      <c r="C2052" t="s">
        <v>37</v>
      </c>
      <c r="D2052" t="s">
        <v>38</v>
      </c>
      <c r="E2052" t="s">
        <v>39</v>
      </c>
      <c r="F2052">
        <v>125</v>
      </c>
      <c r="G2052">
        <v>320</v>
      </c>
      <c r="H2052">
        <v>152</v>
      </c>
      <c r="I2052">
        <v>62</v>
      </c>
      <c r="J2052" s="8">
        <v>0.496</v>
      </c>
      <c r="K2052">
        <v>20</v>
      </c>
      <c r="L2052">
        <v>31</v>
      </c>
      <c r="M2052">
        <v>130</v>
      </c>
      <c r="N2052" s="10">
        <v>635.6</v>
      </c>
      <c r="O2052" s="7">
        <v>2.2999999999999998</v>
      </c>
      <c r="P2052" s="7">
        <v>29</v>
      </c>
      <c r="Q2052">
        <v>3</v>
      </c>
      <c r="R2052" t="s">
        <v>65</v>
      </c>
      <c r="S2052">
        <v>11</v>
      </c>
      <c r="T2052">
        <v>319</v>
      </c>
      <c r="U2052" s="11">
        <v>0.43388373911755823</v>
      </c>
      <c r="V2052" s="11">
        <v>-0.90096886790241903</v>
      </c>
      <c r="W2052" s="11">
        <v>-0.72622491460415428</v>
      </c>
      <c r="X2052" s="11">
        <v>0.68745717932696637</v>
      </c>
      <c r="Y2052">
        <v>0</v>
      </c>
      <c r="Z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6">
        <v>45610</v>
      </c>
      <c r="B2053" t="s">
        <v>41</v>
      </c>
      <c r="C2053" t="s">
        <v>42</v>
      </c>
      <c r="D2053" t="s">
        <v>43</v>
      </c>
      <c r="E2053" t="s">
        <v>44</v>
      </c>
      <c r="F2053">
        <v>85</v>
      </c>
      <c r="G2053">
        <v>210</v>
      </c>
      <c r="H2053">
        <v>123</v>
      </c>
      <c r="I2053">
        <v>55</v>
      </c>
      <c r="J2053" s="8">
        <v>0.6470588235294118</v>
      </c>
      <c r="K2053">
        <v>27</v>
      </c>
      <c r="L2053">
        <v>14</v>
      </c>
      <c r="M2053">
        <v>112</v>
      </c>
      <c r="N2053" s="10">
        <v>526.41999999999996</v>
      </c>
      <c r="O2053" s="7">
        <v>2.2999999999999998</v>
      </c>
      <c r="P2053" s="7">
        <v>29</v>
      </c>
      <c r="Q2053">
        <v>3</v>
      </c>
      <c r="R2053" t="s">
        <v>65</v>
      </c>
      <c r="S2053">
        <v>11</v>
      </c>
      <c r="T2053">
        <v>319</v>
      </c>
      <c r="U2053" s="11">
        <v>0.43388373911755823</v>
      </c>
      <c r="V2053" s="11">
        <v>-0.90096886790241903</v>
      </c>
      <c r="W2053" s="11">
        <v>-0.72622491460415428</v>
      </c>
      <c r="X2053" s="11">
        <v>0.68745717932696637</v>
      </c>
      <c r="Y2053">
        <v>0</v>
      </c>
      <c r="Z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6">
        <v>45611</v>
      </c>
      <c r="B2054" t="s">
        <v>31</v>
      </c>
      <c r="C2054" t="s">
        <v>32</v>
      </c>
      <c r="D2054" t="s">
        <v>33</v>
      </c>
      <c r="E2054" t="s">
        <v>34</v>
      </c>
      <c r="F2054">
        <v>140</v>
      </c>
      <c r="G2054">
        <v>360</v>
      </c>
      <c r="H2054">
        <v>192</v>
      </c>
      <c r="I2054">
        <v>82</v>
      </c>
      <c r="J2054" s="8">
        <v>0.58571428571428574</v>
      </c>
      <c r="K2054">
        <v>23</v>
      </c>
      <c r="L2054">
        <v>48</v>
      </c>
      <c r="M2054">
        <v>155</v>
      </c>
      <c r="N2054" s="10">
        <v>466.53</v>
      </c>
      <c r="O2054" s="7">
        <v>2.7</v>
      </c>
      <c r="P2054" s="7">
        <v>30.7</v>
      </c>
      <c r="Q2054">
        <v>4</v>
      </c>
      <c r="R2054" t="s">
        <v>66</v>
      </c>
      <c r="S2054">
        <v>11</v>
      </c>
      <c r="T2054">
        <v>320</v>
      </c>
      <c r="U2054" s="11">
        <v>-0.43388373911755801</v>
      </c>
      <c r="V2054" s="11">
        <v>-0.90096886790241915</v>
      </c>
      <c r="W2054" s="11">
        <v>-0.71429211726910324</v>
      </c>
      <c r="X2054" s="11">
        <v>0.69984767714640705</v>
      </c>
      <c r="Y2054">
        <v>0</v>
      </c>
      <c r="Z2054">
        <v>1</v>
      </c>
      <c r="AA2054" t="s">
        <v>75</v>
      </c>
      <c r="AB2054">
        <v>0</v>
      </c>
      <c r="AC2054">
        <v>0</v>
      </c>
      <c r="AD2054">
        <v>0</v>
      </c>
      <c r="AE2054">
        <v>0</v>
      </c>
    </row>
    <row r="2055" spans="1:31">
      <c r="A2055" s="6">
        <v>45611</v>
      </c>
      <c r="B2055" t="s">
        <v>36</v>
      </c>
      <c r="C2055" t="s">
        <v>37</v>
      </c>
      <c r="D2055" t="s">
        <v>38</v>
      </c>
      <c r="E2055" t="s">
        <v>39</v>
      </c>
      <c r="F2055">
        <v>125</v>
      </c>
      <c r="G2055">
        <v>320</v>
      </c>
      <c r="H2055">
        <v>190</v>
      </c>
      <c r="I2055">
        <v>78</v>
      </c>
      <c r="J2055" s="8">
        <v>0.624</v>
      </c>
      <c r="K2055">
        <v>57</v>
      </c>
      <c r="L2055">
        <v>26</v>
      </c>
      <c r="M2055">
        <v>153</v>
      </c>
      <c r="N2055" s="10">
        <v>590.45000000000005</v>
      </c>
      <c r="O2055" s="7">
        <v>2.7</v>
      </c>
      <c r="P2055" s="7">
        <v>30.7</v>
      </c>
      <c r="Q2055">
        <v>4</v>
      </c>
      <c r="R2055" t="s">
        <v>66</v>
      </c>
      <c r="S2055">
        <v>11</v>
      </c>
      <c r="T2055">
        <v>320</v>
      </c>
      <c r="U2055" s="11">
        <v>-0.43388373911755801</v>
      </c>
      <c r="V2055" s="11">
        <v>-0.90096886790241915</v>
      </c>
      <c r="W2055" s="11">
        <v>-0.71429211726910324</v>
      </c>
      <c r="X2055" s="11">
        <v>0.69984767714640705</v>
      </c>
      <c r="Y2055">
        <v>0</v>
      </c>
      <c r="Z2055">
        <v>1</v>
      </c>
      <c r="AA2055" t="s">
        <v>75</v>
      </c>
      <c r="AB2055">
        <v>0</v>
      </c>
      <c r="AC2055">
        <v>0</v>
      </c>
      <c r="AD2055">
        <v>0</v>
      </c>
      <c r="AE2055">
        <v>0</v>
      </c>
    </row>
    <row r="2056" spans="1:31">
      <c r="A2056" s="6">
        <v>45611</v>
      </c>
      <c r="B2056" t="s">
        <v>41</v>
      </c>
      <c r="C2056" t="s">
        <v>42</v>
      </c>
      <c r="D2056" t="s">
        <v>43</v>
      </c>
      <c r="E2056" t="s">
        <v>44</v>
      </c>
      <c r="F2056">
        <v>85</v>
      </c>
      <c r="G2056">
        <v>210</v>
      </c>
      <c r="H2056">
        <v>134</v>
      </c>
      <c r="I2056">
        <v>62</v>
      </c>
      <c r="J2056" s="8">
        <v>0.72941176470588232</v>
      </c>
      <c r="K2056">
        <v>33</v>
      </c>
      <c r="L2056">
        <v>26</v>
      </c>
      <c r="M2056">
        <v>124</v>
      </c>
      <c r="N2056" s="10">
        <v>530.16</v>
      </c>
      <c r="O2056" s="7">
        <v>2.7</v>
      </c>
      <c r="P2056" s="7">
        <v>30.7</v>
      </c>
      <c r="Q2056">
        <v>4</v>
      </c>
      <c r="R2056" t="s">
        <v>66</v>
      </c>
      <c r="S2056">
        <v>11</v>
      </c>
      <c r="T2056">
        <v>320</v>
      </c>
      <c r="U2056" s="11">
        <v>-0.43388373911755801</v>
      </c>
      <c r="V2056" s="11">
        <v>-0.90096886790241915</v>
      </c>
      <c r="W2056" s="11">
        <v>-0.71429211726910324</v>
      </c>
      <c r="X2056" s="11">
        <v>0.69984767714640705</v>
      </c>
      <c r="Y2056">
        <v>0</v>
      </c>
      <c r="Z2056">
        <v>1</v>
      </c>
      <c r="AA2056" t="s">
        <v>75</v>
      </c>
      <c r="AB2056">
        <v>0</v>
      </c>
      <c r="AC2056">
        <v>0</v>
      </c>
      <c r="AD2056">
        <v>0</v>
      </c>
      <c r="AE2056">
        <v>0</v>
      </c>
    </row>
    <row r="2057" spans="1:31">
      <c r="A2057" s="6">
        <v>45612</v>
      </c>
      <c r="B2057" t="s">
        <v>31</v>
      </c>
      <c r="C2057" t="s">
        <v>32</v>
      </c>
      <c r="D2057" t="s">
        <v>33</v>
      </c>
      <c r="E2057" t="s">
        <v>34</v>
      </c>
      <c r="F2057">
        <v>140</v>
      </c>
      <c r="G2057">
        <v>360</v>
      </c>
      <c r="H2057">
        <v>229</v>
      </c>
      <c r="I2057">
        <v>97</v>
      </c>
      <c r="J2057" s="8">
        <v>0.69285714285714284</v>
      </c>
      <c r="K2057">
        <v>45</v>
      </c>
      <c r="L2057">
        <v>59</v>
      </c>
      <c r="M2057">
        <v>192</v>
      </c>
      <c r="N2057" s="10">
        <v>434.66</v>
      </c>
      <c r="O2057" s="7">
        <v>3.2</v>
      </c>
      <c r="P2057" s="7">
        <v>28.6</v>
      </c>
      <c r="Q2057">
        <v>5</v>
      </c>
      <c r="R2057" t="s">
        <v>67</v>
      </c>
      <c r="S2057">
        <v>11</v>
      </c>
      <c r="T2057">
        <v>321</v>
      </c>
      <c r="U2057" s="11">
        <v>-0.97492791218182362</v>
      </c>
      <c r="V2057" s="11">
        <v>-0.22252093395631459</v>
      </c>
      <c r="W2057" s="11">
        <v>-0.70214794940469782</v>
      </c>
      <c r="X2057" s="11">
        <v>0.71203107877871308</v>
      </c>
      <c r="Y2057">
        <v>1</v>
      </c>
      <c r="Z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6">
        <v>45612</v>
      </c>
      <c r="B2058" t="s">
        <v>36</v>
      </c>
      <c r="C2058" t="s">
        <v>37</v>
      </c>
      <c r="D2058" t="s">
        <v>38</v>
      </c>
      <c r="E2058" t="s">
        <v>39</v>
      </c>
      <c r="F2058">
        <v>125</v>
      </c>
      <c r="G2058">
        <v>320</v>
      </c>
      <c r="H2058">
        <v>210</v>
      </c>
      <c r="I2058">
        <v>88</v>
      </c>
      <c r="J2058" s="8">
        <v>0.70399999999999996</v>
      </c>
      <c r="K2058">
        <v>33</v>
      </c>
      <c r="L2058">
        <v>48</v>
      </c>
      <c r="M2058">
        <v>188</v>
      </c>
      <c r="N2058" s="10">
        <v>720.34</v>
      </c>
      <c r="O2058" s="7">
        <v>3.2</v>
      </c>
      <c r="P2058" s="7">
        <v>28.6</v>
      </c>
      <c r="Q2058">
        <v>5</v>
      </c>
      <c r="R2058" t="s">
        <v>67</v>
      </c>
      <c r="S2058">
        <v>11</v>
      </c>
      <c r="T2058">
        <v>321</v>
      </c>
      <c r="U2058" s="11">
        <v>-0.97492791218182362</v>
      </c>
      <c r="V2058" s="11">
        <v>-0.22252093395631459</v>
      </c>
      <c r="W2058" s="11">
        <v>-0.70214794940469782</v>
      </c>
      <c r="X2058" s="11">
        <v>0.71203107877871308</v>
      </c>
      <c r="Y2058">
        <v>1</v>
      </c>
      <c r="Z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6">
        <v>45612</v>
      </c>
      <c r="B2059" t="s">
        <v>41</v>
      </c>
      <c r="C2059" t="s">
        <v>42</v>
      </c>
      <c r="D2059" t="s">
        <v>43</v>
      </c>
      <c r="E2059" t="s">
        <v>44</v>
      </c>
      <c r="F2059">
        <v>85</v>
      </c>
      <c r="G2059">
        <v>210</v>
      </c>
      <c r="H2059">
        <v>151</v>
      </c>
      <c r="I2059">
        <v>66</v>
      </c>
      <c r="J2059" s="8">
        <v>0.77647058823529413</v>
      </c>
      <c r="K2059">
        <v>18</v>
      </c>
      <c r="L2059">
        <v>32</v>
      </c>
      <c r="M2059">
        <v>131</v>
      </c>
      <c r="N2059" s="10">
        <v>639.59</v>
      </c>
      <c r="O2059" s="7">
        <v>3.2</v>
      </c>
      <c r="P2059" s="7">
        <v>28.6</v>
      </c>
      <c r="Q2059">
        <v>5</v>
      </c>
      <c r="R2059" t="s">
        <v>67</v>
      </c>
      <c r="S2059">
        <v>11</v>
      </c>
      <c r="T2059">
        <v>321</v>
      </c>
      <c r="U2059" s="11">
        <v>-0.97492791218182362</v>
      </c>
      <c r="V2059" s="11">
        <v>-0.22252093395631459</v>
      </c>
      <c r="W2059" s="11">
        <v>-0.70214794940469782</v>
      </c>
      <c r="X2059" s="11">
        <v>0.71203107877871308</v>
      </c>
      <c r="Y2059">
        <v>1</v>
      </c>
      <c r="Z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6">
        <v>45613</v>
      </c>
      <c r="B2060" t="s">
        <v>31</v>
      </c>
      <c r="C2060" t="s">
        <v>32</v>
      </c>
      <c r="D2060" t="s">
        <v>33</v>
      </c>
      <c r="E2060" t="s">
        <v>34</v>
      </c>
      <c r="F2060">
        <v>140</v>
      </c>
      <c r="G2060">
        <v>360</v>
      </c>
      <c r="H2060">
        <v>206</v>
      </c>
      <c r="I2060">
        <v>86</v>
      </c>
      <c r="J2060" s="8">
        <v>0.61428571428571432</v>
      </c>
      <c r="K2060">
        <v>21</v>
      </c>
      <c r="L2060">
        <v>23</v>
      </c>
      <c r="M2060">
        <v>188</v>
      </c>
      <c r="N2060" s="10">
        <v>441.51</v>
      </c>
      <c r="O2060" s="7">
        <v>0</v>
      </c>
      <c r="P2060" s="7">
        <v>29.9</v>
      </c>
      <c r="Q2060">
        <v>6</v>
      </c>
      <c r="R2060" t="s">
        <v>60</v>
      </c>
      <c r="S2060">
        <v>11</v>
      </c>
      <c r="T2060">
        <v>322</v>
      </c>
      <c r="U2060" s="11">
        <v>-0.78183148246802991</v>
      </c>
      <c r="V2060" s="11">
        <v>0.62348980185873337</v>
      </c>
      <c r="W2060" s="11">
        <v>-0.68979600466558866</v>
      </c>
      <c r="X2060" s="11">
        <v>0.72400377895933055</v>
      </c>
      <c r="Y2060">
        <v>1</v>
      </c>
      <c r="Z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6">
        <v>45613</v>
      </c>
      <c r="B2061" t="s">
        <v>36</v>
      </c>
      <c r="C2061" t="s">
        <v>37</v>
      </c>
      <c r="D2061" t="s">
        <v>38</v>
      </c>
      <c r="E2061" t="s">
        <v>39</v>
      </c>
      <c r="F2061">
        <v>125</v>
      </c>
      <c r="G2061">
        <v>320</v>
      </c>
      <c r="H2061">
        <v>193</v>
      </c>
      <c r="I2061">
        <v>81</v>
      </c>
      <c r="J2061" s="8">
        <v>0.64800000000000002</v>
      </c>
      <c r="K2061">
        <v>40</v>
      </c>
      <c r="L2061">
        <v>24</v>
      </c>
      <c r="M2061">
        <v>176</v>
      </c>
      <c r="N2061" s="10">
        <v>749.52</v>
      </c>
      <c r="O2061" s="7">
        <v>0</v>
      </c>
      <c r="P2061" s="7">
        <v>29.9</v>
      </c>
      <c r="Q2061">
        <v>6</v>
      </c>
      <c r="R2061" t="s">
        <v>60</v>
      </c>
      <c r="S2061">
        <v>11</v>
      </c>
      <c r="T2061">
        <v>322</v>
      </c>
      <c r="U2061" s="11">
        <v>-0.78183148246802991</v>
      </c>
      <c r="V2061" s="11">
        <v>0.62348980185873337</v>
      </c>
      <c r="W2061" s="11">
        <v>-0.68979600466558866</v>
      </c>
      <c r="X2061" s="11">
        <v>0.72400377895933055</v>
      </c>
      <c r="Y2061">
        <v>1</v>
      </c>
      <c r="Z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6">
        <v>45613</v>
      </c>
      <c r="B2062" t="s">
        <v>41</v>
      </c>
      <c r="C2062" t="s">
        <v>42</v>
      </c>
      <c r="D2062" t="s">
        <v>43</v>
      </c>
      <c r="E2062" t="s">
        <v>44</v>
      </c>
      <c r="F2062">
        <v>85</v>
      </c>
      <c r="G2062">
        <v>210</v>
      </c>
      <c r="H2062">
        <v>152</v>
      </c>
      <c r="I2062">
        <v>66</v>
      </c>
      <c r="J2062" s="8">
        <v>0.77647058823529413</v>
      </c>
      <c r="K2062">
        <v>31</v>
      </c>
      <c r="L2062">
        <v>13</v>
      </c>
      <c r="M2062">
        <v>130</v>
      </c>
      <c r="N2062" s="10">
        <v>563.21</v>
      </c>
      <c r="O2062" s="7">
        <v>0</v>
      </c>
      <c r="P2062" s="7">
        <v>29.9</v>
      </c>
      <c r="Q2062">
        <v>6</v>
      </c>
      <c r="R2062" t="s">
        <v>60</v>
      </c>
      <c r="S2062">
        <v>11</v>
      </c>
      <c r="T2062">
        <v>322</v>
      </c>
      <c r="U2062" s="11">
        <v>-0.78183148246802991</v>
      </c>
      <c r="V2062" s="11">
        <v>0.62348980185873337</v>
      </c>
      <c r="W2062" s="11">
        <v>-0.68979600466558866</v>
      </c>
      <c r="X2062" s="11">
        <v>0.72400377895933055</v>
      </c>
      <c r="Y2062">
        <v>1</v>
      </c>
      <c r="Z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6">
        <v>45614</v>
      </c>
      <c r="B2063" t="s">
        <v>31</v>
      </c>
      <c r="C2063" t="s">
        <v>32</v>
      </c>
      <c r="D2063" t="s">
        <v>33</v>
      </c>
      <c r="E2063" t="s">
        <v>34</v>
      </c>
      <c r="F2063">
        <v>140</v>
      </c>
      <c r="G2063">
        <v>360</v>
      </c>
      <c r="H2063">
        <v>176</v>
      </c>
      <c r="I2063">
        <v>77</v>
      </c>
      <c r="J2063" s="8">
        <v>0.55000000000000004</v>
      </c>
      <c r="K2063">
        <v>32</v>
      </c>
      <c r="L2063">
        <v>46</v>
      </c>
      <c r="M2063">
        <v>152</v>
      </c>
      <c r="N2063" s="10">
        <v>401.35</v>
      </c>
      <c r="O2063" s="7">
        <v>0</v>
      </c>
      <c r="P2063" s="7">
        <v>28.7</v>
      </c>
      <c r="Q2063">
        <v>0</v>
      </c>
      <c r="R2063" t="s">
        <v>62</v>
      </c>
      <c r="S2063">
        <v>11</v>
      </c>
      <c r="T2063">
        <v>323</v>
      </c>
      <c r="U2063" s="11">
        <v>0</v>
      </c>
      <c r="V2063" s="11">
        <v>1</v>
      </c>
      <c r="W2063" s="11">
        <v>-0.67723993819094908</v>
      </c>
      <c r="X2063" s="11">
        <v>0.73576223477365266</v>
      </c>
      <c r="Y2063">
        <v>0</v>
      </c>
      <c r="Z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6">
        <v>45614</v>
      </c>
      <c r="B2064" t="s">
        <v>36</v>
      </c>
      <c r="C2064" t="s">
        <v>37</v>
      </c>
      <c r="D2064" t="s">
        <v>38</v>
      </c>
      <c r="E2064" t="s">
        <v>39</v>
      </c>
      <c r="F2064">
        <v>125</v>
      </c>
      <c r="G2064">
        <v>320</v>
      </c>
      <c r="H2064">
        <v>156</v>
      </c>
      <c r="I2064">
        <v>64</v>
      </c>
      <c r="J2064" s="8">
        <v>0.51200000000000001</v>
      </c>
      <c r="K2064">
        <v>23</v>
      </c>
      <c r="L2064">
        <v>36</v>
      </c>
      <c r="M2064">
        <v>136</v>
      </c>
      <c r="N2064" s="10">
        <v>612.20000000000005</v>
      </c>
      <c r="O2064" s="7">
        <v>0</v>
      </c>
      <c r="P2064" s="7">
        <v>28.7</v>
      </c>
      <c r="Q2064">
        <v>0</v>
      </c>
      <c r="R2064" t="s">
        <v>62</v>
      </c>
      <c r="S2064">
        <v>11</v>
      </c>
      <c r="T2064">
        <v>323</v>
      </c>
      <c r="U2064" s="11">
        <v>0</v>
      </c>
      <c r="V2064" s="11">
        <v>1</v>
      </c>
      <c r="W2064" s="11">
        <v>-0.67723993819094908</v>
      </c>
      <c r="X2064" s="11">
        <v>0.73576223477365266</v>
      </c>
      <c r="Y2064">
        <v>0</v>
      </c>
      <c r="Z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6">
        <v>45614</v>
      </c>
      <c r="B2065" t="s">
        <v>41</v>
      </c>
      <c r="C2065" t="s">
        <v>42</v>
      </c>
      <c r="D2065" t="s">
        <v>43</v>
      </c>
      <c r="E2065" t="s">
        <v>44</v>
      </c>
      <c r="F2065">
        <v>85</v>
      </c>
      <c r="G2065">
        <v>210</v>
      </c>
      <c r="H2065">
        <v>119</v>
      </c>
      <c r="I2065">
        <v>51</v>
      </c>
      <c r="J2065" s="8">
        <v>0.6</v>
      </c>
      <c r="K2065">
        <v>33</v>
      </c>
      <c r="L2065">
        <v>11</v>
      </c>
      <c r="M2065">
        <v>101</v>
      </c>
      <c r="N2065" s="10">
        <v>511.7</v>
      </c>
      <c r="O2065" s="7">
        <v>0</v>
      </c>
      <c r="P2065" s="7">
        <v>28.7</v>
      </c>
      <c r="Q2065">
        <v>0</v>
      </c>
      <c r="R2065" t="s">
        <v>62</v>
      </c>
      <c r="S2065">
        <v>11</v>
      </c>
      <c r="T2065">
        <v>323</v>
      </c>
      <c r="U2065" s="11">
        <v>0</v>
      </c>
      <c r="V2065" s="11">
        <v>1</v>
      </c>
      <c r="W2065" s="11">
        <v>-0.67723993819094908</v>
      </c>
      <c r="X2065" s="11">
        <v>0.73576223477365266</v>
      </c>
      <c r="Y2065">
        <v>0</v>
      </c>
      <c r="Z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6">
        <v>45615</v>
      </c>
      <c r="B2066" t="s">
        <v>31</v>
      </c>
      <c r="C2066" t="s">
        <v>32</v>
      </c>
      <c r="D2066" t="s">
        <v>33</v>
      </c>
      <c r="E2066" t="s">
        <v>34</v>
      </c>
      <c r="F2066">
        <v>140</v>
      </c>
      <c r="G2066">
        <v>360</v>
      </c>
      <c r="H2066">
        <v>181</v>
      </c>
      <c r="I2066">
        <v>76</v>
      </c>
      <c r="J2066" s="8">
        <v>0.54285714285714282</v>
      </c>
      <c r="K2066">
        <v>48</v>
      </c>
      <c r="L2066">
        <v>15</v>
      </c>
      <c r="M2066">
        <v>145</v>
      </c>
      <c r="N2066" s="10">
        <v>453.33</v>
      </c>
      <c r="O2066" s="7">
        <v>0</v>
      </c>
      <c r="P2066" s="7">
        <v>28.9</v>
      </c>
      <c r="Q2066">
        <v>1</v>
      </c>
      <c r="R2066" t="s">
        <v>63</v>
      </c>
      <c r="S2066">
        <v>11</v>
      </c>
      <c r="T2066">
        <v>324</v>
      </c>
      <c r="U2066" s="11">
        <v>0.7818314824680298</v>
      </c>
      <c r="V2066" s="11">
        <v>0.62348980185873359</v>
      </c>
      <c r="W2066" s="11">
        <v>-0.6644834655228552</v>
      </c>
      <c r="X2066" s="11">
        <v>0.74730296670542973</v>
      </c>
      <c r="Y2066">
        <v>0</v>
      </c>
      <c r="Z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6">
        <v>45615</v>
      </c>
      <c r="B2067" t="s">
        <v>36</v>
      </c>
      <c r="C2067" t="s">
        <v>37</v>
      </c>
      <c r="D2067" t="s">
        <v>38</v>
      </c>
      <c r="E2067" t="s">
        <v>39</v>
      </c>
      <c r="F2067">
        <v>125</v>
      </c>
      <c r="G2067">
        <v>320</v>
      </c>
      <c r="H2067">
        <v>181</v>
      </c>
      <c r="I2067">
        <v>74</v>
      </c>
      <c r="J2067" s="8">
        <v>0.59199999999999997</v>
      </c>
      <c r="K2067">
        <v>35</v>
      </c>
      <c r="L2067">
        <v>19</v>
      </c>
      <c r="M2067">
        <v>163</v>
      </c>
      <c r="N2067" s="10">
        <v>669.46</v>
      </c>
      <c r="O2067" s="7">
        <v>0</v>
      </c>
      <c r="P2067" s="7">
        <v>28.9</v>
      </c>
      <c r="Q2067">
        <v>1</v>
      </c>
      <c r="R2067" t="s">
        <v>63</v>
      </c>
      <c r="S2067">
        <v>11</v>
      </c>
      <c r="T2067">
        <v>324</v>
      </c>
      <c r="U2067" s="11">
        <v>0.7818314824680298</v>
      </c>
      <c r="V2067" s="11">
        <v>0.62348980185873359</v>
      </c>
      <c r="W2067" s="11">
        <v>-0.6644834655228552</v>
      </c>
      <c r="X2067" s="11">
        <v>0.74730296670542973</v>
      </c>
      <c r="Y2067">
        <v>0</v>
      </c>
      <c r="Z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6">
        <v>45615</v>
      </c>
      <c r="B2068" t="s">
        <v>41</v>
      </c>
      <c r="C2068" t="s">
        <v>42</v>
      </c>
      <c r="D2068" t="s">
        <v>43</v>
      </c>
      <c r="E2068" t="s">
        <v>44</v>
      </c>
      <c r="F2068">
        <v>85</v>
      </c>
      <c r="G2068">
        <v>210</v>
      </c>
      <c r="H2068">
        <v>122</v>
      </c>
      <c r="I2068">
        <v>53</v>
      </c>
      <c r="J2068" s="8">
        <v>0.62352941176470589</v>
      </c>
      <c r="K2068">
        <v>28</v>
      </c>
      <c r="L2068">
        <v>27</v>
      </c>
      <c r="M2068">
        <v>107</v>
      </c>
      <c r="N2068" s="10">
        <v>580.63</v>
      </c>
      <c r="O2068" s="7">
        <v>0</v>
      </c>
      <c r="P2068" s="7">
        <v>28.9</v>
      </c>
      <c r="Q2068">
        <v>1</v>
      </c>
      <c r="R2068" t="s">
        <v>63</v>
      </c>
      <c r="S2068">
        <v>11</v>
      </c>
      <c r="T2068">
        <v>324</v>
      </c>
      <c r="U2068" s="11">
        <v>0.7818314824680298</v>
      </c>
      <c r="V2068" s="11">
        <v>0.62348980185873359</v>
      </c>
      <c r="W2068" s="11">
        <v>-0.6644834655228552</v>
      </c>
      <c r="X2068" s="11">
        <v>0.74730296670542973</v>
      </c>
      <c r="Y2068">
        <v>0</v>
      </c>
      <c r="Z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6">
        <v>45616</v>
      </c>
      <c r="B2069" t="s">
        <v>31</v>
      </c>
      <c r="C2069" t="s">
        <v>32</v>
      </c>
      <c r="D2069" t="s">
        <v>33</v>
      </c>
      <c r="E2069" t="s">
        <v>34</v>
      </c>
      <c r="F2069">
        <v>140</v>
      </c>
      <c r="G2069">
        <v>360</v>
      </c>
      <c r="H2069">
        <v>185</v>
      </c>
      <c r="I2069">
        <v>79</v>
      </c>
      <c r="J2069" s="8">
        <v>0.56428571428571428</v>
      </c>
      <c r="K2069">
        <v>27</v>
      </c>
      <c r="L2069">
        <v>17</v>
      </c>
      <c r="M2069">
        <v>153</v>
      </c>
      <c r="N2069" s="10">
        <v>397.77</v>
      </c>
      <c r="O2069" s="7">
        <v>0</v>
      </c>
      <c r="P2069" s="7">
        <v>29.1</v>
      </c>
      <c r="Q2069">
        <v>2</v>
      </c>
      <c r="R2069" t="s">
        <v>64</v>
      </c>
      <c r="S2069">
        <v>11</v>
      </c>
      <c r="T2069">
        <v>325</v>
      </c>
      <c r="U2069" s="11">
        <v>0.97492791218182362</v>
      </c>
      <c r="V2069" s="11">
        <v>-0.22252093395631434</v>
      </c>
      <c r="W2069" s="11">
        <v>-0.6515303615068021</v>
      </c>
      <c r="X2069" s="11">
        <v>0.75862255966641001</v>
      </c>
      <c r="Y2069">
        <v>0</v>
      </c>
      <c r="Z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6">
        <v>45616</v>
      </c>
      <c r="B2070" t="s">
        <v>36</v>
      </c>
      <c r="C2070" t="s">
        <v>37</v>
      </c>
      <c r="D2070" t="s">
        <v>38</v>
      </c>
      <c r="E2070" t="s">
        <v>39</v>
      </c>
      <c r="F2070">
        <v>125</v>
      </c>
      <c r="G2070">
        <v>320</v>
      </c>
      <c r="H2070">
        <v>154</v>
      </c>
      <c r="I2070">
        <v>64</v>
      </c>
      <c r="J2070" s="8">
        <v>0.51200000000000001</v>
      </c>
      <c r="K2070">
        <v>25</v>
      </c>
      <c r="L2070">
        <v>35</v>
      </c>
      <c r="M2070">
        <v>144</v>
      </c>
      <c r="N2070" s="10">
        <v>576.23</v>
      </c>
      <c r="O2070" s="7">
        <v>0</v>
      </c>
      <c r="P2070" s="7">
        <v>29.1</v>
      </c>
      <c r="Q2070">
        <v>2</v>
      </c>
      <c r="R2070" t="s">
        <v>64</v>
      </c>
      <c r="S2070">
        <v>11</v>
      </c>
      <c r="T2070">
        <v>325</v>
      </c>
      <c r="U2070" s="11">
        <v>0.97492791218182362</v>
      </c>
      <c r="V2070" s="11">
        <v>-0.22252093395631434</v>
      </c>
      <c r="W2070" s="11">
        <v>-0.6515303615068021</v>
      </c>
      <c r="X2070" s="11">
        <v>0.75862255966641001</v>
      </c>
      <c r="Y2070">
        <v>0</v>
      </c>
      <c r="Z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6">
        <v>45616</v>
      </c>
      <c r="B2071" t="s">
        <v>41</v>
      </c>
      <c r="C2071" t="s">
        <v>42</v>
      </c>
      <c r="D2071" t="s">
        <v>43</v>
      </c>
      <c r="E2071" t="s">
        <v>44</v>
      </c>
      <c r="F2071">
        <v>85</v>
      </c>
      <c r="G2071">
        <v>210</v>
      </c>
      <c r="H2071">
        <v>108</v>
      </c>
      <c r="I2071">
        <v>50</v>
      </c>
      <c r="J2071" s="8">
        <v>0.58823529411764708</v>
      </c>
      <c r="K2071">
        <v>21</v>
      </c>
      <c r="L2071">
        <v>21</v>
      </c>
      <c r="M2071">
        <v>93</v>
      </c>
      <c r="N2071" s="10">
        <v>544.72</v>
      </c>
      <c r="O2071" s="7">
        <v>0</v>
      </c>
      <c r="P2071" s="7">
        <v>29.1</v>
      </c>
      <c r="Q2071">
        <v>2</v>
      </c>
      <c r="R2071" t="s">
        <v>64</v>
      </c>
      <c r="S2071">
        <v>11</v>
      </c>
      <c r="T2071">
        <v>325</v>
      </c>
      <c r="U2071" s="11">
        <v>0.97492791218182362</v>
      </c>
      <c r="V2071" s="11">
        <v>-0.22252093395631434</v>
      </c>
      <c r="W2071" s="11">
        <v>-0.6515303615068021</v>
      </c>
      <c r="X2071" s="11">
        <v>0.75862255966641001</v>
      </c>
      <c r="Y2071">
        <v>0</v>
      </c>
      <c r="Z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6">
        <v>45617</v>
      </c>
      <c r="B2072" t="s">
        <v>31</v>
      </c>
      <c r="C2072" t="s">
        <v>32</v>
      </c>
      <c r="D2072" t="s">
        <v>33</v>
      </c>
      <c r="E2072" t="s">
        <v>34</v>
      </c>
      <c r="F2072">
        <v>140</v>
      </c>
      <c r="G2072">
        <v>360</v>
      </c>
      <c r="H2072">
        <v>182</v>
      </c>
      <c r="I2072">
        <v>79</v>
      </c>
      <c r="J2072" s="8">
        <v>0.56428571428571428</v>
      </c>
      <c r="K2072">
        <v>26</v>
      </c>
      <c r="L2072">
        <v>26</v>
      </c>
      <c r="M2072">
        <v>160</v>
      </c>
      <c r="N2072" s="10">
        <v>422.75</v>
      </c>
      <c r="O2072" s="7">
        <v>1.6</v>
      </c>
      <c r="P2072" s="7">
        <v>30.2</v>
      </c>
      <c r="Q2072">
        <v>3</v>
      </c>
      <c r="R2072" t="s">
        <v>65</v>
      </c>
      <c r="S2072">
        <v>11</v>
      </c>
      <c r="T2072">
        <v>326</v>
      </c>
      <c r="U2072" s="11">
        <v>0.43388373911755823</v>
      </c>
      <c r="V2072" s="11">
        <v>-0.90096886790241903</v>
      </c>
      <c r="W2072" s="11">
        <v>-0.63838445917466424</v>
      </c>
      <c r="X2072" s="11">
        <v>0.76971766400692099</v>
      </c>
      <c r="Y2072">
        <v>0</v>
      </c>
      <c r="Z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6">
        <v>45617</v>
      </c>
      <c r="B2073" t="s">
        <v>36</v>
      </c>
      <c r="C2073" t="s">
        <v>37</v>
      </c>
      <c r="D2073" t="s">
        <v>38</v>
      </c>
      <c r="E2073" t="s">
        <v>39</v>
      </c>
      <c r="F2073">
        <v>125</v>
      </c>
      <c r="G2073">
        <v>320</v>
      </c>
      <c r="H2073">
        <v>163</v>
      </c>
      <c r="I2073">
        <v>68</v>
      </c>
      <c r="J2073" s="8">
        <v>0.54400000000000004</v>
      </c>
      <c r="K2073">
        <v>16</v>
      </c>
      <c r="L2073">
        <v>31</v>
      </c>
      <c r="M2073">
        <v>151</v>
      </c>
      <c r="N2073" s="10">
        <v>674.83</v>
      </c>
      <c r="O2073" s="7">
        <v>1.6</v>
      </c>
      <c r="P2073" s="7">
        <v>30.2</v>
      </c>
      <c r="Q2073">
        <v>3</v>
      </c>
      <c r="R2073" t="s">
        <v>65</v>
      </c>
      <c r="S2073">
        <v>11</v>
      </c>
      <c r="T2073">
        <v>326</v>
      </c>
      <c r="U2073" s="11">
        <v>0.43388373911755823</v>
      </c>
      <c r="V2073" s="11">
        <v>-0.90096886790241903</v>
      </c>
      <c r="W2073" s="11">
        <v>-0.63838445917466424</v>
      </c>
      <c r="X2073" s="11">
        <v>0.76971766400692099</v>
      </c>
      <c r="Y2073">
        <v>0</v>
      </c>
      <c r="Z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6">
        <v>45617</v>
      </c>
      <c r="B2074" t="s">
        <v>41</v>
      </c>
      <c r="C2074" t="s">
        <v>42</v>
      </c>
      <c r="D2074" t="s">
        <v>43</v>
      </c>
      <c r="E2074" t="s">
        <v>44</v>
      </c>
      <c r="F2074">
        <v>85</v>
      </c>
      <c r="G2074">
        <v>210</v>
      </c>
      <c r="H2074">
        <v>137</v>
      </c>
      <c r="I2074">
        <v>59</v>
      </c>
      <c r="J2074" s="8">
        <v>0.69411764705882351</v>
      </c>
      <c r="K2074">
        <v>37</v>
      </c>
      <c r="L2074">
        <v>14</v>
      </c>
      <c r="M2074">
        <v>116</v>
      </c>
      <c r="N2074" s="10">
        <v>485.71</v>
      </c>
      <c r="O2074" s="7">
        <v>1.6</v>
      </c>
      <c r="P2074" s="7">
        <v>30.2</v>
      </c>
      <c r="Q2074">
        <v>3</v>
      </c>
      <c r="R2074" t="s">
        <v>65</v>
      </c>
      <c r="S2074">
        <v>11</v>
      </c>
      <c r="T2074">
        <v>326</v>
      </c>
      <c r="U2074" s="11">
        <v>0.43388373911755823</v>
      </c>
      <c r="V2074" s="11">
        <v>-0.90096886790241903</v>
      </c>
      <c r="W2074" s="11">
        <v>-0.63838445917466424</v>
      </c>
      <c r="X2074" s="11">
        <v>0.76971766400692099</v>
      </c>
      <c r="Y2074">
        <v>0</v>
      </c>
      <c r="Z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6">
        <v>45618</v>
      </c>
      <c r="B2075" t="s">
        <v>31</v>
      </c>
      <c r="C2075" t="s">
        <v>32</v>
      </c>
      <c r="D2075" t="s">
        <v>33</v>
      </c>
      <c r="E2075" t="s">
        <v>34</v>
      </c>
      <c r="F2075">
        <v>140</v>
      </c>
      <c r="G2075">
        <v>360</v>
      </c>
      <c r="H2075">
        <v>197</v>
      </c>
      <c r="I2075">
        <v>85</v>
      </c>
      <c r="J2075" s="8">
        <v>0.6071428571428571</v>
      </c>
      <c r="K2075">
        <v>55</v>
      </c>
      <c r="L2075">
        <v>49</v>
      </c>
      <c r="M2075">
        <v>183</v>
      </c>
      <c r="N2075" s="10">
        <v>411.52</v>
      </c>
      <c r="O2075" s="7">
        <v>0</v>
      </c>
      <c r="P2075" s="7">
        <v>29.9</v>
      </c>
      <c r="Q2075">
        <v>4</v>
      </c>
      <c r="R2075" t="s">
        <v>66</v>
      </c>
      <c r="S2075">
        <v>11</v>
      </c>
      <c r="T2075">
        <v>327</v>
      </c>
      <c r="U2075" s="11">
        <v>-0.43388373911755801</v>
      </c>
      <c r="V2075" s="11">
        <v>-0.90096886790241915</v>
      </c>
      <c r="W2075" s="11">
        <v>-0.62504964861043766</v>
      </c>
      <c r="X2075" s="11">
        <v>0.78058499650708657</v>
      </c>
      <c r="Y2075">
        <v>0</v>
      </c>
      <c r="Z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6">
        <v>45618</v>
      </c>
      <c r="B2076" t="s">
        <v>36</v>
      </c>
      <c r="C2076" t="s">
        <v>37</v>
      </c>
      <c r="D2076" t="s">
        <v>38</v>
      </c>
      <c r="E2076" t="s">
        <v>39</v>
      </c>
      <c r="F2076">
        <v>125</v>
      </c>
      <c r="G2076">
        <v>320</v>
      </c>
      <c r="H2076">
        <v>166</v>
      </c>
      <c r="I2076">
        <v>69</v>
      </c>
      <c r="J2076" s="8">
        <v>0.55200000000000005</v>
      </c>
      <c r="K2076">
        <v>44</v>
      </c>
      <c r="L2076">
        <v>39</v>
      </c>
      <c r="M2076">
        <v>151</v>
      </c>
      <c r="N2076" s="10">
        <v>675.87</v>
      </c>
      <c r="O2076" s="7">
        <v>0</v>
      </c>
      <c r="P2076" s="7">
        <v>29.9</v>
      </c>
      <c r="Q2076">
        <v>4</v>
      </c>
      <c r="R2076" t="s">
        <v>66</v>
      </c>
      <c r="S2076">
        <v>11</v>
      </c>
      <c r="T2076">
        <v>327</v>
      </c>
      <c r="U2076" s="11">
        <v>-0.43388373911755801</v>
      </c>
      <c r="V2076" s="11">
        <v>-0.90096886790241915</v>
      </c>
      <c r="W2076" s="11">
        <v>-0.62504964861043766</v>
      </c>
      <c r="X2076" s="11">
        <v>0.78058499650708657</v>
      </c>
      <c r="Y2076">
        <v>0</v>
      </c>
      <c r="Z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6">
        <v>45618</v>
      </c>
      <c r="B2077" t="s">
        <v>41</v>
      </c>
      <c r="C2077" t="s">
        <v>42</v>
      </c>
      <c r="D2077" t="s">
        <v>43</v>
      </c>
      <c r="E2077" t="s">
        <v>44</v>
      </c>
      <c r="F2077">
        <v>85</v>
      </c>
      <c r="G2077">
        <v>210</v>
      </c>
      <c r="H2077">
        <v>108</v>
      </c>
      <c r="I2077">
        <v>51</v>
      </c>
      <c r="J2077" s="8">
        <v>0.6</v>
      </c>
      <c r="K2077">
        <v>29</v>
      </c>
      <c r="L2077">
        <v>23</v>
      </c>
      <c r="M2077">
        <v>88</v>
      </c>
      <c r="N2077" s="10">
        <v>507.89</v>
      </c>
      <c r="O2077" s="7">
        <v>0</v>
      </c>
      <c r="P2077" s="7">
        <v>29.9</v>
      </c>
      <c r="Q2077">
        <v>4</v>
      </c>
      <c r="R2077" t="s">
        <v>66</v>
      </c>
      <c r="S2077">
        <v>11</v>
      </c>
      <c r="T2077">
        <v>327</v>
      </c>
      <c r="U2077" s="11">
        <v>-0.43388373911755801</v>
      </c>
      <c r="V2077" s="11">
        <v>-0.90096886790241915</v>
      </c>
      <c r="W2077" s="11">
        <v>-0.62504964861043766</v>
      </c>
      <c r="X2077" s="11">
        <v>0.78058499650708657</v>
      </c>
      <c r="Y2077">
        <v>0</v>
      </c>
      <c r="Z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6">
        <v>45619</v>
      </c>
      <c r="B2078" t="s">
        <v>31</v>
      </c>
      <c r="C2078" t="s">
        <v>32</v>
      </c>
      <c r="D2078" t="s">
        <v>33</v>
      </c>
      <c r="E2078" t="s">
        <v>34</v>
      </c>
      <c r="F2078">
        <v>140</v>
      </c>
      <c r="G2078">
        <v>360</v>
      </c>
      <c r="H2078">
        <v>197</v>
      </c>
      <c r="I2078">
        <v>85</v>
      </c>
      <c r="J2078" s="8">
        <v>0.6071428571428571</v>
      </c>
      <c r="K2078">
        <v>23</v>
      </c>
      <c r="L2078">
        <v>37</v>
      </c>
      <c r="M2078">
        <v>161</v>
      </c>
      <c r="N2078" s="10">
        <v>444.24</v>
      </c>
      <c r="O2078" s="7">
        <v>0.1</v>
      </c>
      <c r="P2078" s="7">
        <v>28.5</v>
      </c>
      <c r="Q2078">
        <v>5</v>
      </c>
      <c r="R2078" t="s">
        <v>67</v>
      </c>
      <c r="S2078">
        <v>11</v>
      </c>
      <c r="T2078">
        <v>328</v>
      </c>
      <c r="U2078" s="11">
        <v>-0.97492791218182362</v>
      </c>
      <c r="V2078" s="11">
        <v>-0.22252093395631459</v>
      </c>
      <c r="W2078" s="11">
        <v>-0.61152987579910534</v>
      </c>
      <c r="X2078" s="11">
        <v>0.79122134134838074</v>
      </c>
      <c r="Y2078">
        <v>1</v>
      </c>
      <c r="Z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6">
        <v>45619</v>
      </c>
      <c r="B2079" t="s">
        <v>36</v>
      </c>
      <c r="C2079" t="s">
        <v>37</v>
      </c>
      <c r="D2079" t="s">
        <v>38</v>
      </c>
      <c r="E2079" t="s">
        <v>39</v>
      </c>
      <c r="F2079">
        <v>125</v>
      </c>
      <c r="G2079">
        <v>320</v>
      </c>
      <c r="H2079">
        <v>194</v>
      </c>
      <c r="I2079">
        <v>83</v>
      </c>
      <c r="J2079" s="8">
        <v>0.66400000000000003</v>
      </c>
      <c r="K2079">
        <v>50</v>
      </c>
      <c r="L2079">
        <v>21</v>
      </c>
      <c r="M2079">
        <v>163</v>
      </c>
      <c r="N2079" s="10">
        <v>759.91</v>
      </c>
      <c r="O2079" s="7">
        <v>0.1</v>
      </c>
      <c r="P2079" s="7">
        <v>28.5</v>
      </c>
      <c r="Q2079">
        <v>5</v>
      </c>
      <c r="R2079" t="s">
        <v>67</v>
      </c>
      <c r="S2079">
        <v>11</v>
      </c>
      <c r="T2079">
        <v>328</v>
      </c>
      <c r="U2079" s="11">
        <v>-0.97492791218182362</v>
      </c>
      <c r="V2079" s="11">
        <v>-0.22252093395631459</v>
      </c>
      <c r="W2079" s="11">
        <v>-0.61152987579910534</v>
      </c>
      <c r="X2079" s="11">
        <v>0.79122134134838074</v>
      </c>
      <c r="Y2079">
        <v>1</v>
      </c>
      <c r="Z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6">
        <v>45619</v>
      </c>
      <c r="B2080" t="s">
        <v>41</v>
      </c>
      <c r="C2080" t="s">
        <v>42</v>
      </c>
      <c r="D2080" t="s">
        <v>43</v>
      </c>
      <c r="E2080" t="s">
        <v>44</v>
      </c>
      <c r="F2080">
        <v>85</v>
      </c>
      <c r="G2080">
        <v>210</v>
      </c>
      <c r="H2080">
        <v>138</v>
      </c>
      <c r="I2080">
        <v>62</v>
      </c>
      <c r="J2080" s="8">
        <v>0.72941176470588232</v>
      </c>
      <c r="K2080">
        <v>25</v>
      </c>
      <c r="L2080">
        <v>36</v>
      </c>
      <c r="M2080">
        <v>127</v>
      </c>
      <c r="N2080" s="10">
        <v>646.74</v>
      </c>
      <c r="O2080" s="7">
        <v>0.1</v>
      </c>
      <c r="P2080" s="7">
        <v>28.5</v>
      </c>
      <c r="Q2080">
        <v>5</v>
      </c>
      <c r="R2080" t="s">
        <v>67</v>
      </c>
      <c r="S2080">
        <v>11</v>
      </c>
      <c r="T2080">
        <v>328</v>
      </c>
      <c r="U2080" s="11">
        <v>-0.97492791218182362</v>
      </c>
      <c r="V2080" s="11">
        <v>-0.22252093395631459</v>
      </c>
      <c r="W2080" s="11">
        <v>-0.61152987579910534</v>
      </c>
      <c r="X2080" s="11">
        <v>0.79122134134838074</v>
      </c>
      <c r="Y2080">
        <v>1</v>
      </c>
      <c r="Z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6">
        <v>45620</v>
      </c>
      <c r="B2081" t="s">
        <v>31</v>
      </c>
      <c r="C2081" t="s">
        <v>32</v>
      </c>
      <c r="D2081" t="s">
        <v>33</v>
      </c>
      <c r="E2081" t="s">
        <v>34</v>
      </c>
      <c r="F2081">
        <v>140</v>
      </c>
      <c r="G2081">
        <v>360</v>
      </c>
      <c r="H2081">
        <v>212</v>
      </c>
      <c r="I2081">
        <v>89</v>
      </c>
      <c r="J2081" s="8">
        <v>0.63571428571428568</v>
      </c>
      <c r="K2081">
        <v>48</v>
      </c>
      <c r="L2081">
        <v>48</v>
      </c>
      <c r="M2081">
        <v>191</v>
      </c>
      <c r="N2081" s="10">
        <v>524.84</v>
      </c>
      <c r="O2081" s="7">
        <v>2.2000000000000002</v>
      </c>
      <c r="P2081" s="7">
        <v>29.4</v>
      </c>
      <c r="Q2081">
        <v>6</v>
      </c>
      <c r="R2081" t="s">
        <v>60</v>
      </c>
      <c r="S2081">
        <v>11</v>
      </c>
      <c r="T2081">
        <v>329</v>
      </c>
      <c r="U2081" s="11">
        <v>-0.78183148246802991</v>
      </c>
      <c r="V2081" s="11">
        <v>0.62348980185873337</v>
      </c>
      <c r="W2081" s="11">
        <v>-0.59782914145895516</v>
      </c>
      <c r="X2081" s="11">
        <v>0.80162355106524197</v>
      </c>
      <c r="Y2081">
        <v>1</v>
      </c>
      <c r="Z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6">
        <v>45620</v>
      </c>
      <c r="B2082" t="s">
        <v>36</v>
      </c>
      <c r="C2082" t="s">
        <v>37</v>
      </c>
      <c r="D2082" t="s">
        <v>38</v>
      </c>
      <c r="E2082" t="s">
        <v>39</v>
      </c>
      <c r="F2082">
        <v>125</v>
      </c>
      <c r="G2082">
        <v>320</v>
      </c>
      <c r="H2082">
        <v>201</v>
      </c>
      <c r="I2082">
        <v>84</v>
      </c>
      <c r="J2082" s="8">
        <v>0.67200000000000004</v>
      </c>
      <c r="K2082">
        <v>54</v>
      </c>
      <c r="L2082">
        <v>25</v>
      </c>
      <c r="M2082">
        <v>182</v>
      </c>
      <c r="N2082" s="10">
        <v>698.07</v>
      </c>
      <c r="O2082" s="7">
        <v>2.2000000000000002</v>
      </c>
      <c r="P2082" s="7">
        <v>29.4</v>
      </c>
      <c r="Q2082">
        <v>6</v>
      </c>
      <c r="R2082" t="s">
        <v>60</v>
      </c>
      <c r="S2082">
        <v>11</v>
      </c>
      <c r="T2082">
        <v>329</v>
      </c>
      <c r="U2082" s="11">
        <v>-0.78183148246802991</v>
      </c>
      <c r="V2082" s="11">
        <v>0.62348980185873337</v>
      </c>
      <c r="W2082" s="11">
        <v>-0.59782914145895516</v>
      </c>
      <c r="X2082" s="11">
        <v>0.80162355106524197</v>
      </c>
      <c r="Y2082">
        <v>1</v>
      </c>
      <c r="Z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6">
        <v>45620</v>
      </c>
      <c r="B2083" t="s">
        <v>41</v>
      </c>
      <c r="C2083" t="s">
        <v>42</v>
      </c>
      <c r="D2083" t="s">
        <v>43</v>
      </c>
      <c r="E2083" t="s">
        <v>44</v>
      </c>
      <c r="F2083">
        <v>85</v>
      </c>
      <c r="G2083">
        <v>210</v>
      </c>
      <c r="H2083">
        <v>147</v>
      </c>
      <c r="I2083">
        <v>65</v>
      </c>
      <c r="J2083" s="8">
        <v>0.76470588235294112</v>
      </c>
      <c r="K2083">
        <v>21</v>
      </c>
      <c r="L2083">
        <v>14</v>
      </c>
      <c r="M2083">
        <v>125</v>
      </c>
      <c r="N2083" s="10">
        <v>598.52</v>
      </c>
      <c r="O2083" s="7">
        <v>2.2000000000000002</v>
      </c>
      <c r="P2083" s="7">
        <v>29.4</v>
      </c>
      <c r="Q2083">
        <v>6</v>
      </c>
      <c r="R2083" t="s">
        <v>60</v>
      </c>
      <c r="S2083">
        <v>11</v>
      </c>
      <c r="T2083">
        <v>329</v>
      </c>
      <c r="U2083" s="11">
        <v>-0.78183148246802991</v>
      </c>
      <c r="V2083" s="11">
        <v>0.62348980185873337</v>
      </c>
      <c r="W2083" s="11">
        <v>-0.59782914145895516</v>
      </c>
      <c r="X2083" s="11">
        <v>0.80162355106524197</v>
      </c>
      <c r="Y2083">
        <v>1</v>
      </c>
      <c r="Z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6">
        <v>45621</v>
      </c>
      <c r="B2084" t="s">
        <v>31</v>
      </c>
      <c r="C2084" t="s">
        <v>32</v>
      </c>
      <c r="D2084" t="s">
        <v>33</v>
      </c>
      <c r="E2084" t="s">
        <v>34</v>
      </c>
      <c r="F2084">
        <v>140</v>
      </c>
      <c r="G2084">
        <v>360</v>
      </c>
      <c r="H2084">
        <v>187</v>
      </c>
      <c r="I2084">
        <v>77</v>
      </c>
      <c r="J2084" s="8">
        <v>0.55000000000000004</v>
      </c>
      <c r="K2084">
        <v>28</v>
      </c>
      <c r="L2084">
        <v>48</v>
      </c>
      <c r="M2084">
        <v>157</v>
      </c>
      <c r="N2084" s="10">
        <v>422.68</v>
      </c>
      <c r="O2084" s="7">
        <v>0.3</v>
      </c>
      <c r="P2084" s="7">
        <v>29.8</v>
      </c>
      <c r="Q2084">
        <v>0</v>
      </c>
      <c r="R2084" t="s">
        <v>62</v>
      </c>
      <c r="S2084">
        <v>11</v>
      </c>
      <c r="T2084">
        <v>330</v>
      </c>
      <c r="U2084" s="11">
        <v>0</v>
      </c>
      <c r="V2084" s="11">
        <v>1</v>
      </c>
      <c r="W2084" s="11">
        <v>-0.58395149985769979</v>
      </c>
      <c r="X2084" s="11">
        <v>0.81178854747646134</v>
      </c>
      <c r="Y2084">
        <v>0</v>
      </c>
      <c r="Z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6">
        <v>45621</v>
      </c>
      <c r="B2085" t="s">
        <v>36</v>
      </c>
      <c r="C2085" t="s">
        <v>37</v>
      </c>
      <c r="D2085" t="s">
        <v>38</v>
      </c>
      <c r="E2085" t="s">
        <v>39</v>
      </c>
      <c r="F2085">
        <v>125</v>
      </c>
      <c r="G2085">
        <v>320</v>
      </c>
      <c r="H2085">
        <v>172</v>
      </c>
      <c r="I2085">
        <v>71</v>
      </c>
      <c r="J2085" s="8">
        <v>0.56799999999999995</v>
      </c>
      <c r="K2085">
        <v>21</v>
      </c>
      <c r="L2085">
        <v>20</v>
      </c>
      <c r="M2085">
        <v>146</v>
      </c>
      <c r="N2085" s="10">
        <v>605.98</v>
      </c>
      <c r="O2085" s="7">
        <v>0.3</v>
      </c>
      <c r="P2085" s="7">
        <v>29.8</v>
      </c>
      <c r="Q2085">
        <v>0</v>
      </c>
      <c r="R2085" t="s">
        <v>62</v>
      </c>
      <c r="S2085">
        <v>11</v>
      </c>
      <c r="T2085">
        <v>330</v>
      </c>
      <c r="U2085" s="11">
        <v>0</v>
      </c>
      <c r="V2085" s="11">
        <v>1</v>
      </c>
      <c r="W2085" s="11">
        <v>-0.58395149985769979</v>
      </c>
      <c r="X2085" s="11">
        <v>0.81178854747646134</v>
      </c>
      <c r="Y2085">
        <v>0</v>
      </c>
      <c r="Z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6">
        <v>45621</v>
      </c>
      <c r="B2086" t="s">
        <v>41</v>
      </c>
      <c r="C2086" t="s">
        <v>42</v>
      </c>
      <c r="D2086" t="s">
        <v>43</v>
      </c>
      <c r="E2086" t="s">
        <v>44</v>
      </c>
      <c r="F2086">
        <v>85</v>
      </c>
      <c r="G2086">
        <v>210</v>
      </c>
      <c r="H2086">
        <v>129</v>
      </c>
      <c r="I2086">
        <v>55</v>
      </c>
      <c r="J2086" s="8">
        <v>0.6470588235294118</v>
      </c>
      <c r="K2086">
        <v>15</v>
      </c>
      <c r="L2086">
        <v>28</v>
      </c>
      <c r="M2086">
        <v>107</v>
      </c>
      <c r="N2086" s="10">
        <v>577.71</v>
      </c>
      <c r="O2086" s="7">
        <v>0.3</v>
      </c>
      <c r="P2086" s="7">
        <v>29.8</v>
      </c>
      <c r="Q2086">
        <v>0</v>
      </c>
      <c r="R2086" t="s">
        <v>62</v>
      </c>
      <c r="S2086">
        <v>11</v>
      </c>
      <c r="T2086">
        <v>330</v>
      </c>
      <c r="U2086" s="11">
        <v>0</v>
      </c>
      <c r="V2086" s="11">
        <v>1</v>
      </c>
      <c r="W2086" s="11">
        <v>-0.58395149985769979</v>
      </c>
      <c r="X2086" s="11">
        <v>0.81178854747646134</v>
      </c>
      <c r="Y2086">
        <v>0</v>
      </c>
      <c r="Z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6">
        <v>45622</v>
      </c>
      <c r="B2087" t="s">
        <v>31</v>
      </c>
      <c r="C2087" t="s">
        <v>32</v>
      </c>
      <c r="D2087" t="s">
        <v>33</v>
      </c>
      <c r="E2087" t="s">
        <v>34</v>
      </c>
      <c r="F2087">
        <v>140</v>
      </c>
      <c r="G2087">
        <v>360</v>
      </c>
      <c r="H2087">
        <v>157</v>
      </c>
      <c r="I2087">
        <v>65</v>
      </c>
      <c r="J2087" s="8">
        <v>0.4642857142857143</v>
      </c>
      <c r="K2087">
        <v>30</v>
      </c>
      <c r="L2087">
        <v>40</v>
      </c>
      <c r="M2087">
        <v>140</v>
      </c>
      <c r="N2087" s="10">
        <v>424.08</v>
      </c>
      <c r="O2087" s="7">
        <v>3.3</v>
      </c>
      <c r="P2087" s="7">
        <v>29.3</v>
      </c>
      <c r="Q2087">
        <v>1</v>
      </c>
      <c r="R2087" t="s">
        <v>63</v>
      </c>
      <c r="S2087">
        <v>11</v>
      </c>
      <c r="T2087">
        <v>331</v>
      </c>
      <c r="U2087" s="11">
        <v>0.7818314824680298</v>
      </c>
      <c r="V2087" s="11">
        <v>0.62348980185873359</v>
      </c>
      <c r="W2087" s="11">
        <v>-0.56990105761276244</v>
      </c>
      <c r="X2087" s="11">
        <v>0.821713322596059</v>
      </c>
      <c r="Y2087">
        <v>0</v>
      </c>
      <c r="Z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6">
        <v>45622</v>
      </c>
      <c r="B2088" t="s">
        <v>36</v>
      </c>
      <c r="C2088" t="s">
        <v>37</v>
      </c>
      <c r="D2088" t="s">
        <v>38</v>
      </c>
      <c r="E2088" t="s">
        <v>39</v>
      </c>
      <c r="F2088">
        <v>125</v>
      </c>
      <c r="G2088">
        <v>320</v>
      </c>
      <c r="H2088">
        <v>160</v>
      </c>
      <c r="I2088">
        <v>66</v>
      </c>
      <c r="J2088" s="8">
        <v>0.52800000000000002</v>
      </c>
      <c r="K2088">
        <v>26</v>
      </c>
      <c r="L2088">
        <v>33</v>
      </c>
      <c r="M2088">
        <v>129</v>
      </c>
      <c r="N2088" s="10">
        <v>668.17</v>
      </c>
      <c r="O2088" s="7">
        <v>3.3</v>
      </c>
      <c r="P2088" s="7">
        <v>29.3</v>
      </c>
      <c r="Q2088">
        <v>1</v>
      </c>
      <c r="R2088" t="s">
        <v>63</v>
      </c>
      <c r="S2088">
        <v>11</v>
      </c>
      <c r="T2088">
        <v>331</v>
      </c>
      <c r="U2088" s="11">
        <v>0.7818314824680298</v>
      </c>
      <c r="V2088" s="11">
        <v>0.62348980185873359</v>
      </c>
      <c r="W2088" s="11">
        <v>-0.56990105761276244</v>
      </c>
      <c r="X2088" s="11">
        <v>0.821713322596059</v>
      </c>
      <c r="Y2088">
        <v>0</v>
      </c>
      <c r="Z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6">
        <v>45622</v>
      </c>
      <c r="B2089" t="s">
        <v>41</v>
      </c>
      <c r="C2089" t="s">
        <v>42</v>
      </c>
      <c r="D2089" t="s">
        <v>43</v>
      </c>
      <c r="E2089" t="s">
        <v>44</v>
      </c>
      <c r="F2089">
        <v>85</v>
      </c>
      <c r="G2089">
        <v>210</v>
      </c>
      <c r="H2089">
        <v>121</v>
      </c>
      <c r="I2089">
        <v>51</v>
      </c>
      <c r="J2089" s="8">
        <v>0.6</v>
      </c>
      <c r="K2089">
        <v>17</v>
      </c>
      <c r="L2089">
        <v>12</v>
      </c>
      <c r="M2089">
        <v>98</v>
      </c>
      <c r="N2089" s="10">
        <v>573.12</v>
      </c>
      <c r="O2089" s="7">
        <v>3.3</v>
      </c>
      <c r="P2089" s="7">
        <v>29.3</v>
      </c>
      <c r="Q2089">
        <v>1</v>
      </c>
      <c r="R2089" t="s">
        <v>63</v>
      </c>
      <c r="S2089">
        <v>11</v>
      </c>
      <c r="T2089">
        <v>331</v>
      </c>
      <c r="U2089" s="11">
        <v>0.7818314824680298</v>
      </c>
      <c r="V2089" s="11">
        <v>0.62348980185873359</v>
      </c>
      <c r="W2089" s="11">
        <v>-0.56990105761276244</v>
      </c>
      <c r="X2089" s="11">
        <v>0.821713322596059</v>
      </c>
      <c r="Y2089">
        <v>0</v>
      </c>
      <c r="Z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6">
        <v>45623</v>
      </c>
      <c r="B2090" t="s">
        <v>31</v>
      </c>
      <c r="C2090" t="s">
        <v>32</v>
      </c>
      <c r="D2090" t="s">
        <v>33</v>
      </c>
      <c r="E2090" t="s">
        <v>34</v>
      </c>
      <c r="F2090">
        <v>140</v>
      </c>
      <c r="G2090">
        <v>360</v>
      </c>
      <c r="H2090">
        <v>170</v>
      </c>
      <c r="I2090">
        <v>72</v>
      </c>
      <c r="J2090" s="8">
        <v>0.51428571428571423</v>
      </c>
      <c r="K2090">
        <v>21</v>
      </c>
      <c r="L2090">
        <v>22</v>
      </c>
      <c r="M2090">
        <v>149</v>
      </c>
      <c r="N2090" s="10">
        <v>450.15</v>
      </c>
      <c r="O2090" s="7">
        <v>3.3</v>
      </c>
      <c r="P2090" s="7">
        <v>29.2</v>
      </c>
      <c r="Q2090">
        <v>2</v>
      </c>
      <c r="R2090" t="s">
        <v>64</v>
      </c>
      <c r="S2090">
        <v>11</v>
      </c>
      <c r="T2090">
        <v>332</v>
      </c>
      <c r="U2090" s="11">
        <v>0.97492791218182362</v>
      </c>
      <c r="V2090" s="11">
        <v>-0.22252093395631434</v>
      </c>
      <c r="W2090" s="11">
        <v>-0.55568197247604889</v>
      </c>
      <c r="X2090" s="11">
        <v>0.83139493952340582</v>
      </c>
      <c r="Y2090">
        <v>0</v>
      </c>
      <c r="Z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6">
        <v>45623</v>
      </c>
      <c r="B2091" t="s">
        <v>36</v>
      </c>
      <c r="C2091" t="s">
        <v>37</v>
      </c>
      <c r="D2091" t="s">
        <v>38</v>
      </c>
      <c r="E2091" t="s">
        <v>39</v>
      </c>
      <c r="F2091">
        <v>125</v>
      </c>
      <c r="G2091">
        <v>320</v>
      </c>
      <c r="H2091">
        <v>176</v>
      </c>
      <c r="I2091">
        <v>73</v>
      </c>
      <c r="J2091" s="8">
        <v>0.58399999999999996</v>
      </c>
      <c r="K2091">
        <v>30</v>
      </c>
      <c r="L2091">
        <v>30</v>
      </c>
      <c r="M2091">
        <v>149</v>
      </c>
      <c r="N2091" s="10">
        <v>660.11</v>
      </c>
      <c r="O2091" s="7">
        <v>3.3</v>
      </c>
      <c r="P2091" s="7">
        <v>29.2</v>
      </c>
      <c r="Q2091">
        <v>2</v>
      </c>
      <c r="R2091" t="s">
        <v>64</v>
      </c>
      <c r="S2091">
        <v>11</v>
      </c>
      <c r="T2091">
        <v>332</v>
      </c>
      <c r="U2091" s="11">
        <v>0.97492791218182362</v>
      </c>
      <c r="V2091" s="11">
        <v>-0.22252093395631434</v>
      </c>
      <c r="W2091" s="11">
        <v>-0.55568197247604889</v>
      </c>
      <c r="X2091" s="11">
        <v>0.83139493952340582</v>
      </c>
      <c r="Y2091">
        <v>0</v>
      </c>
      <c r="Z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6">
        <v>45623</v>
      </c>
      <c r="B2092" t="s">
        <v>41</v>
      </c>
      <c r="C2092" t="s">
        <v>42</v>
      </c>
      <c r="D2092" t="s">
        <v>43</v>
      </c>
      <c r="E2092" t="s">
        <v>44</v>
      </c>
      <c r="F2092">
        <v>85</v>
      </c>
      <c r="G2092">
        <v>210</v>
      </c>
      <c r="H2092">
        <v>119</v>
      </c>
      <c r="I2092">
        <v>54</v>
      </c>
      <c r="J2092" s="8">
        <v>0.63529411764705879</v>
      </c>
      <c r="K2092">
        <v>28</v>
      </c>
      <c r="L2092">
        <v>36</v>
      </c>
      <c r="M2092">
        <v>101</v>
      </c>
      <c r="N2092" s="10">
        <v>529.91999999999996</v>
      </c>
      <c r="O2092" s="7">
        <v>3.3</v>
      </c>
      <c r="P2092" s="7">
        <v>29.2</v>
      </c>
      <c r="Q2092">
        <v>2</v>
      </c>
      <c r="R2092" t="s">
        <v>64</v>
      </c>
      <c r="S2092">
        <v>11</v>
      </c>
      <c r="T2092">
        <v>332</v>
      </c>
      <c r="U2092" s="11">
        <v>0.97492791218182362</v>
      </c>
      <c r="V2092" s="11">
        <v>-0.22252093395631434</v>
      </c>
      <c r="W2092" s="11">
        <v>-0.55568197247604889</v>
      </c>
      <c r="X2092" s="11">
        <v>0.83139493952340582</v>
      </c>
      <c r="Y2092">
        <v>0</v>
      </c>
      <c r="Z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6">
        <v>45624</v>
      </c>
      <c r="B2093" t="s">
        <v>31</v>
      </c>
      <c r="C2093" t="s">
        <v>32</v>
      </c>
      <c r="D2093" t="s">
        <v>33</v>
      </c>
      <c r="E2093" t="s">
        <v>34</v>
      </c>
      <c r="F2093">
        <v>140</v>
      </c>
      <c r="G2093">
        <v>360</v>
      </c>
      <c r="H2093">
        <v>193</v>
      </c>
      <c r="I2093">
        <v>84</v>
      </c>
      <c r="J2093" s="8">
        <v>0.6</v>
      </c>
      <c r="K2093">
        <v>29</v>
      </c>
      <c r="L2093">
        <v>43</v>
      </c>
      <c r="M2093">
        <v>157</v>
      </c>
      <c r="N2093" s="10">
        <v>435.63</v>
      </c>
      <c r="O2093" s="7">
        <v>0</v>
      </c>
      <c r="P2093" s="7">
        <v>29</v>
      </c>
      <c r="Q2093">
        <v>3</v>
      </c>
      <c r="R2093" t="s">
        <v>65</v>
      </c>
      <c r="S2093">
        <v>11</v>
      </c>
      <c r="T2093">
        <v>333</v>
      </c>
      <c r="U2093" s="11">
        <v>0.43388373911755823</v>
      </c>
      <c r="V2093" s="11">
        <v>-0.90096886790241903</v>
      </c>
      <c r="W2093" s="11">
        <v>-0.54129845210361727</v>
      </c>
      <c r="X2093" s="11">
        <v>0.84083053331228874</v>
      </c>
      <c r="Y2093">
        <v>0</v>
      </c>
      <c r="Z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6">
        <v>45624</v>
      </c>
      <c r="B2094" t="s">
        <v>36</v>
      </c>
      <c r="C2094" t="s">
        <v>37</v>
      </c>
      <c r="D2094" t="s">
        <v>38</v>
      </c>
      <c r="E2094" t="s">
        <v>39</v>
      </c>
      <c r="F2094">
        <v>125</v>
      </c>
      <c r="G2094">
        <v>320</v>
      </c>
      <c r="H2094">
        <v>169</v>
      </c>
      <c r="I2094">
        <v>70</v>
      </c>
      <c r="J2094" s="8">
        <v>0.56000000000000005</v>
      </c>
      <c r="K2094">
        <v>22</v>
      </c>
      <c r="L2094">
        <v>24</v>
      </c>
      <c r="M2094">
        <v>145</v>
      </c>
      <c r="N2094" s="10">
        <v>681.9</v>
      </c>
      <c r="O2094" s="7">
        <v>0</v>
      </c>
      <c r="P2094" s="7">
        <v>29</v>
      </c>
      <c r="Q2094">
        <v>3</v>
      </c>
      <c r="R2094" t="s">
        <v>65</v>
      </c>
      <c r="S2094">
        <v>11</v>
      </c>
      <c r="T2094">
        <v>333</v>
      </c>
      <c r="U2094" s="11">
        <v>0.43388373911755823</v>
      </c>
      <c r="V2094" s="11">
        <v>-0.90096886790241903</v>
      </c>
      <c r="W2094" s="11">
        <v>-0.54129845210361727</v>
      </c>
      <c r="X2094" s="11">
        <v>0.84083053331228874</v>
      </c>
      <c r="Y2094">
        <v>0</v>
      </c>
      <c r="Z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6">
        <v>45624</v>
      </c>
      <c r="B2095" t="s">
        <v>41</v>
      </c>
      <c r="C2095" t="s">
        <v>42</v>
      </c>
      <c r="D2095" t="s">
        <v>43</v>
      </c>
      <c r="E2095" t="s">
        <v>44</v>
      </c>
      <c r="F2095">
        <v>85</v>
      </c>
      <c r="G2095">
        <v>210</v>
      </c>
      <c r="H2095">
        <v>127</v>
      </c>
      <c r="I2095">
        <v>56</v>
      </c>
      <c r="J2095" s="8">
        <v>0.6588235294117647</v>
      </c>
      <c r="K2095">
        <v>28</v>
      </c>
      <c r="L2095">
        <v>30</v>
      </c>
      <c r="M2095">
        <v>111</v>
      </c>
      <c r="N2095" s="10">
        <v>530.6</v>
      </c>
      <c r="O2095" s="7">
        <v>0</v>
      </c>
      <c r="P2095" s="7">
        <v>29</v>
      </c>
      <c r="Q2095">
        <v>3</v>
      </c>
      <c r="R2095" t="s">
        <v>65</v>
      </c>
      <c r="S2095">
        <v>11</v>
      </c>
      <c r="T2095">
        <v>333</v>
      </c>
      <c r="U2095" s="11">
        <v>0.43388373911755823</v>
      </c>
      <c r="V2095" s="11">
        <v>-0.90096886790241903</v>
      </c>
      <c r="W2095" s="11">
        <v>-0.54129845210361727</v>
      </c>
      <c r="X2095" s="11">
        <v>0.84083053331228874</v>
      </c>
      <c r="Y2095">
        <v>0</v>
      </c>
      <c r="Z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6">
        <v>45625</v>
      </c>
      <c r="B2096" t="s">
        <v>31</v>
      </c>
      <c r="C2096" t="s">
        <v>32</v>
      </c>
      <c r="D2096" t="s">
        <v>33</v>
      </c>
      <c r="E2096" t="s">
        <v>34</v>
      </c>
      <c r="F2096">
        <v>140</v>
      </c>
      <c r="G2096">
        <v>360</v>
      </c>
      <c r="H2096">
        <v>206</v>
      </c>
      <c r="I2096">
        <v>87</v>
      </c>
      <c r="J2096" s="8">
        <v>0.62142857142857144</v>
      </c>
      <c r="K2096">
        <v>36</v>
      </c>
      <c r="L2096">
        <v>41</v>
      </c>
      <c r="M2096">
        <v>171</v>
      </c>
      <c r="N2096" s="10">
        <v>402.12</v>
      </c>
      <c r="O2096" s="7">
        <v>0.3</v>
      </c>
      <c r="P2096" s="7">
        <v>29.3</v>
      </c>
      <c r="Q2096">
        <v>4</v>
      </c>
      <c r="R2096" t="s">
        <v>66</v>
      </c>
      <c r="S2096">
        <v>11</v>
      </c>
      <c r="T2096">
        <v>334</v>
      </c>
      <c r="U2096" s="11">
        <v>-0.43388373911755801</v>
      </c>
      <c r="V2096" s="11">
        <v>-0.90096886790241915</v>
      </c>
      <c r="W2096" s="11">
        <v>-0.52675475281055417</v>
      </c>
      <c r="X2096" s="11">
        <v>0.85001731181870177</v>
      </c>
      <c r="Y2096">
        <v>0</v>
      </c>
      <c r="Z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6">
        <v>45625</v>
      </c>
      <c r="B2097" t="s">
        <v>36</v>
      </c>
      <c r="C2097" t="s">
        <v>37</v>
      </c>
      <c r="D2097" t="s">
        <v>38</v>
      </c>
      <c r="E2097" t="s">
        <v>39</v>
      </c>
      <c r="F2097">
        <v>125</v>
      </c>
      <c r="G2097">
        <v>320</v>
      </c>
      <c r="H2097">
        <v>160</v>
      </c>
      <c r="I2097">
        <v>68</v>
      </c>
      <c r="J2097" s="8">
        <v>0.54400000000000004</v>
      </c>
      <c r="K2097">
        <v>31</v>
      </c>
      <c r="L2097">
        <v>37</v>
      </c>
      <c r="M2097">
        <v>144</v>
      </c>
      <c r="N2097" s="10">
        <v>675.33</v>
      </c>
      <c r="O2097" s="7">
        <v>0.3</v>
      </c>
      <c r="P2097" s="7">
        <v>29.3</v>
      </c>
      <c r="Q2097">
        <v>4</v>
      </c>
      <c r="R2097" t="s">
        <v>66</v>
      </c>
      <c r="S2097">
        <v>11</v>
      </c>
      <c r="T2097">
        <v>334</v>
      </c>
      <c r="U2097" s="11">
        <v>-0.43388373911755801</v>
      </c>
      <c r="V2097" s="11">
        <v>-0.90096886790241915</v>
      </c>
      <c r="W2097" s="11">
        <v>-0.52675475281055417</v>
      </c>
      <c r="X2097" s="11">
        <v>0.85001731181870177</v>
      </c>
      <c r="Y2097">
        <v>0</v>
      </c>
      <c r="Z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6">
        <v>45625</v>
      </c>
      <c r="B2098" t="s">
        <v>41</v>
      </c>
      <c r="C2098" t="s">
        <v>42</v>
      </c>
      <c r="D2098" t="s">
        <v>43</v>
      </c>
      <c r="E2098" t="s">
        <v>44</v>
      </c>
      <c r="F2098">
        <v>85</v>
      </c>
      <c r="G2098">
        <v>210</v>
      </c>
      <c r="H2098">
        <v>128</v>
      </c>
      <c r="I2098">
        <v>55</v>
      </c>
      <c r="J2098" s="8">
        <v>0.6470588235294118</v>
      </c>
      <c r="K2098">
        <v>28</v>
      </c>
      <c r="L2098">
        <v>13</v>
      </c>
      <c r="M2098">
        <v>111</v>
      </c>
      <c r="N2098" s="10">
        <v>485.32</v>
      </c>
      <c r="O2098" s="7">
        <v>0.3</v>
      </c>
      <c r="P2098" s="7">
        <v>29.3</v>
      </c>
      <c r="Q2098">
        <v>4</v>
      </c>
      <c r="R2098" t="s">
        <v>66</v>
      </c>
      <c r="S2098">
        <v>11</v>
      </c>
      <c r="T2098">
        <v>334</v>
      </c>
      <c r="U2098" s="11">
        <v>-0.43388373911755801</v>
      </c>
      <c r="V2098" s="11">
        <v>-0.90096886790241915</v>
      </c>
      <c r="W2098" s="11">
        <v>-0.52675475281055417</v>
      </c>
      <c r="X2098" s="11">
        <v>0.85001731181870177</v>
      </c>
      <c r="Y2098">
        <v>0</v>
      </c>
      <c r="Z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6">
        <v>45626</v>
      </c>
      <c r="B2099" t="s">
        <v>31</v>
      </c>
      <c r="C2099" t="s">
        <v>32</v>
      </c>
      <c r="D2099" t="s">
        <v>33</v>
      </c>
      <c r="E2099" t="s">
        <v>34</v>
      </c>
      <c r="F2099">
        <v>140</v>
      </c>
      <c r="G2099">
        <v>360</v>
      </c>
      <c r="H2099">
        <v>207</v>
      </c>
      <c r="I2099">
        <v>87</v>
      </c>
      <c r="J2099" s="8">
        <v>0.62142857142857144</v>
      </c>
      <c r="K2099">
        <v>34</v>
      </c>
      <c r="L2099">
        <v>49</v>
      </c>
      <c r="M2099">
        <v>191</v>
      </c>
      <c r="N2099" s="10">
        <v>467.96</v>
      </c>
      <c r="O2099" s="7">
        <v>1</v>
      </c>
      <c r="P2099" s="7">
        <v>29.6</v>
      </c>
      <c r="Q2099">
        <v>5</v>
      </c>
      <c r="R2099" t="s">
        <v>67</v>
      </c>
      <c r="S2099">
        <v>11</v>
      </c>
      <c r="T2099">
        <v>335</v>
      </c>
      <c r="U2099" s="11">
        <v>-0.97492791218182362</v>
      </c>
      <c r="V2099" s="11">
        <v>-0.22252093395631459</v>
      </c>
      <c r="W2099" s="11">
        <v>-0.51205517831146463</v>
      </c>
      <c r="X2099" s="11">
        <v>0.85895255652708447</v>
      </c>
      <c r="Y2099">
        <v>1</v>
      </c>
      <c r="Z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6">
        <v>45626</v>
      </c>
      <c r="B2100" t="s">
        <v>36</v>
      </c>
      <c r="C2100" t="s">
        <v>37</v>
      </c>
      <c r="D2100" t="s">
        <v>38</v>
      </c>
      <c r="E2100" t="s">
        <v>39</v>
      </c>
      <c r="F2100">
        <v>125</v>
      </c>
      <c r="G2100">
        <v>320</v>
      </c>
      <c r="H2100">
        <v>200</v>
      </c>
      <c r="I2100">
        <v>84</v>
      </c>
      <c r="J2100" s="8">
        <v>0.67200000000000004</v>
      </c>
      <c r="K2100">
        <v>44</v>
      </c>
      <c r="L2100">
        <v>38</v>
      </c>
      <c r="M2100">
        <v>188</v>
      </c>
      <c r="N2100" s="10">
        <v>651.79</v>
      </c>
      <c r="O2100" s="7">
        <v>1</v>
      </c>
      <c r="P2100" s="7">
        <v>29.6</v>
      </c>
      <c r="Q2100">
        <v>5</v>
      </c>
      <c r="R2100" t="s">
        <v>67</v>
      </c>
      <c r="S2100">
        <v>11</v>
      </c>
      <c r="T2100">
        <v>335</v>
      </c>
      <c r="U2100" s="11">
        <v>-0.97492791218182362</v>
      </c>
      <c r="V2100" s="11">
        <v>-0.22252093395631459</v>
      </c>
      <c r="W2100" s="11">
        <v>-0.51205517831146463</v>
      </c>
      <c r="X2100" s="11">
        <v>0.85895255652708447</v>
      </c>
      <c r="Y2100">
        <v>1</v>
      </c>
      <c r="Z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6">
        <v>45626</v>
      </c>
      <c r="B2101" t="s">
        <v>41</v>
      </c>
      <c r="C2101" t="s">
        <v>42</v>
      </c>
      <c r="D2101" t="s">
        <v>43</v>
      </c>
      <c r="E2101" t="s">
        <v>44</v>
      </c>
      <c r="F2101">
        <v>85</v>
      </c>
      <c r="G2101">
        <v>210</v>
      </c>
      <c r="H2101">
        <v>145</v>
      </c>
      <c r="I2101">
        <v>65</v>
      </c>
      <c r="J2101" s="8">
        <v>0.76470588235294112</v>
      </c>
      <c r="K2101">
        <v>18</v>
      </c>
      <c r="L2101">
        <v>40</v>
      </c>
      <c r="M2101">
        <v>130</v>
      </c>
      <c r="N2101" s="10">
        <v>598.61</v>
      </c>
      <c r="O2101" s="7">
        <v>1</v>
      </c>
      <c r="P2101" s="7">
        <v>29.6</v>
      </c>
      <c r="Q2101">
        <v>5</v>
      </c>
      <c r="R2101" t="s">
        <v>67</v>
      </c>
      <c r="S2101">
        <v>11</v>
      </c>
      <c r="T2101">
        <v>335</v>
      </c>
      <c r="U2101" s="11">
        <v>-0.97492791218182362</v>
      </c>
      <c r="V2101" s="11">
        <v>-0.22252093395631459</v>
      </c>
      <c r="W2101" s="11">
        <v>-0.51205517831146463</v>
      </c>
      <c r="X2101" s="11">
        <v>0.85895255652708447</v>
      </c>
      <c r="Y2101">
        <v>1</v>
      </c>
      <c r="Z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6">
        <v>45627</v>
      </c>
      <c r="B2102" t="s">
        <v>31</v>
      </c>
      <c r="C2102" t="s">
        <v>32</v>
      </c>
      <c r="D2102" t="s">
        <v>33</v>
      </c>
      <c r="E2102" t="s">
        <v>34</v>
      </c>
      <c r="F2102">
        <v>140</v>
      </c>
      <c r="G2102">
        <v>360</v>
      </c>
      <c r="H2102">
        <v>220</v>
      </c>
      <c r="I2102">
        <v>94</v>
      </c>
      <c r="J2102" s="8">
        <v>0.67142857142857137</v>
      </c>
      <c r="K2102">
        <v>27</v>
      </c>
      <c r="L2102">
        <v>40</v>
      </c>
      <c r="M2102">
        <v>199</v>
      </c>
      <c r="N2102" s="10">
        <v>452.68</v>
      </c>
      <c r="O2102" s="7">
        <v>1.3</v>
      </c>
      <c r="P2102" s="7">
        <v>28.6</v>
      </c>
      <c r="Q2102">
        <v>6</v>
      </c>
      <c r="R2102" t="s">
        <v>60</v>
      </c>
      <c r="S2102">
        <v>12</v>
      </c>
      <c r="T2102">
        <v>336</v>
      </c>
      <c r="U2102" s="11">
        <v>-0.78183148246802991</v>
      </c>
      <c r="V2102" s="11">
        <v>0.62348980185873337</v>
      </c>
      <c r="W2102" s="11">
        <v>-0.49720407844693781</v>
      </c>
      <c r="X2102" s="11">
        <v>0.86763362335477257</v>
      </c>
      <c r="Y2102">
        <v>1</v>
      </c>
      <c r="Z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6">
        <v>45627</v>
      </c>
      <c r="B2103" t="s">
        <v>36</v>
      </c>
      <c r="C2103" t="s">
        <v>37</v>
      </c>
      <c r="D2103" t="s">
        <v>38</v>
      </c>
      <c r="E2103" t="s">
        <v>39</v>
      </c>
      <c r="F2103">
        <v>125</v>
      </c>
      <c r="G2103">
        <v>320</v>
      </c>
      <c r="H2103">
        <v>197</v>
      </c>
      <c r="I2103">
        <v>81</v>
      </c>
      <c r="J2103" s="8">
        <v>0.64800000000000002</v>
      </c>
      <c r="K2103">
        <v>41</v>
      </c>
      <c r="L2103">
        <v>31</v>
      </c>
      <c r="M2103">
        <v>171</v>
      </c>
      <c r="N2103" s="10">
        <v>707.78</v>
      </c>
      <c r="O2103" s="7">
        <v>1.3</v>
      </c>
      <c r="P2103" s="7">
        <v>28.6</v>
      </c>
      <c r="Q2103">
        <v>6</v>
      </c>
      <c r="R2103" t="s">
        <v>60</v>
      </c>
      <c r="S2103">
        <v>12</v>
      </c>
      <c r="T2103">
        <v>336</v>
      </c>
      <c r="U2103" s="11">
        <v>-0.78183148246802991</v>
      </c>
      <c r="V2103" s="11">
        <v>0.62348980185873337</v>
      </c>
      <c r="W2103" s="11">
        <v>-0.49720407844693781</v>
      </c>
      <c r="X2103" s="11">
        <v>0.86763362335477257</v>
      </c>
      <c r="Y2103">
        <v>1</v>
      </c>
      <c r="Z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6">
        <v>45627</v>
      </c>
      <c r="B2104" t="s">
        <v>41</v>
      </c>
      <c r="C2104" t="s">
        <v>42</v>
      </c>
      <c r="D2104" t="s">
        <v>43</v>
      </c>
      <c r="E2104" t="s">
        <v>44</v>
      </c>
      <c r="F2104">
        <v>85</v>
      </c>
      <c r="G2104">
        <v>210</v>
      </c>
      <c r="H2104">
        <v>158</v>
      </c>
      <c r="I2104">
        <v>68</v>
      </c>
      <c r="J2104" s="8">
        <v>0.8</v>
      </c>
      <c r="K2104">
        <v>29</v>
      </c>
      <c r="L2104">
        <v>40</v>
      </c>
      <c r="M2104">
        <v>144</v>
      </c>
      <c r="N2104" s="10">
        <v>569</v>
      </c>
      <c r="O2104" s="7">
        <v>1.3</v>
      </c>
      <c r="P2104" s="7">
        <v>28.6</v>
      </c>
      <c r="Q2104">
        <v>6</v>
      </c>
      <c r="R2104" t="s">
        <v>60</v>
      </c>
      <c r="S2104">
        <v>12</v>
      </c>
      <c r="T2104">
        <v>336</v>
      </c>
      <c r="U2104" s="11">
        <v>-0.78183148246802991</v>
      </c>
      <c r="V2104" s="11">
        <v>0.62348980185873337</v>
      </c>
      <c r="W2104" s="11">
        <v>-0.49720407844693781</v>
      </c>
      <c r="X2104" s="11">
        <v>0.86763362335477257</v>
      </c>
      <c r="Y2104">
        <v>1</v>
      </c>
      <c r="Z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6">
        <v>45628</v>
      </c>
      <c r="B2105" t="s">
        <v>31</v>
      </c>
      <c r="C2105" t="s">
        <v>32</v>
      </c>
      <c r="D2105" t="s">
        <v>33</v>
      </c>
      <c r="E2105" t="s">
        <v>34</v>
      </c>
      <c r="F2105">
        <v>140</v>
      </c>
      <c r="G2105">
        <v>360</v>
      </c>
      <c r="H2105">
        <v>208</v>
      </c>
      <c r="I2105">
        <v>89</v>
      </c>
      <c r="J2105" s="8">
        <v>0.63571428571428568</v>
      </c>
      <c r="K2105">
        <v>25</v>
      </c>
      <c r="L2105">
        <v>43</v>
      </c>
      <c r="M2105">
        <v>167</v>
      </c>
      <c r="N2105" s="10">
        <v>465.51</v>
      </c>
      <c r="O2105" s="7">
        <v>2.8</v>
      </c>
      <c r="P2105" s="7">
        <v>29.2</v>
      </c>
      <c r="Q2105">
        <v>0</v>
      </c>
      <c r="R2105" t="s">
        <v>62</v>
      </c>
      <c r="S2105">
        <v>12</v>
      </c>
      <c r="T2105">
        <v>337</v>
      </c>
      <c r="U2105" s="11">
        <v>0</v>
      </c>
      <c r="V2105" s="11">
        <v>1</v>
      </c>
      <c r="W2105" s="11">
        <v>-0.48220584789635262</v>
      </c>
      <c r="X2105" s="11">
        <v>0.87605794343442811</v>
      </c>
      <c r="Y2105">
        <v>0</v>
      </c>
      <c r="Z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6">
        <v>45628</v>
      </c>
      <c r="B2106" t="s">
        <v>36</v>
      </c>
      <c r="C2106" t="s">
        <v>37</v>
      </c>
      <c r="D2106" t="s">
        <v>38</v>
      </c>
      <c r="E2106" t="s">
        <v>39</v>
      </c>
      <c r="F2106">
        <v>125</v>
      </c>
      <c r="G2106">
        <v>320</v>
      </c>
      <c r="H2106">
        <v>191</v>
      </c>
      <c r="I2106">
        <v>80</v>
      </c>
      <c r="J2106" s="8">
        <v>0.64</v>
      </c>
      <c r="K2106">
        <v>39</v>
      </c>
      <c r="L2106">
        <v>31</v>
      </c>
      <c r="M2106">
        <v>170</v>
      </c>
      <c r="N2106" s="10">
        <v>592.44000000000005</v>
      </c>
      <c r="O2106" s="7">
        <v>2.8</v>
      </c>
      <c r="P2106" s="7">
        <v>29.2</v>
      </c>
      <c r="Q2106">
        <v>0</v>
      </c>
      <c r="R2106" t="s">
        <v>62</v>
      </c>
      <c r="S2106">
        <v>12</v>
      </c>
      <c r="T2106">
        <v>337</v>
      </c>
      <c r="U2106" s="11">
        <v>0</v>
      </c>
      <c r="V2106" s="11">
        <v>1</v>
      </c>
      <c r="W2106" s="11">
        <v>-0.48220584789635262</v>
      </c>
      <c r="X2106" s="11">
        <v>0.87605794343442811</v>
      </c>
      <c r="Y2106">
        <v>0</v>
      </c>
      <c r="Z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6">
        <v>45628</v>
      </c>
      <c r="B2107" t="s">
        <v>41</v>
      </c>
      <c r="C2107" t="s">
        <v>42</v>
      </c>
      <c r="D2107" t="s">
        <v>43</v>
      </c>
      <c r="E2107" t="s">
        <v>44</v>
      </c>
      <c r="F2107">
        <v>85</v>
      </c>
      <c r="G2107">
        <v>210</v>
      </c>
      <c r="H2107">
        <v>119</v>
      </c>
      <c r="I2107">
        <v>54</v>
      </c>
      <c r="J2107" s="8">
        <v>0.63529411764705879</v>
      </c>
      <c r="K2107">
        <v>30</v>
      </c>
      <c r="L2107">
        <v>34</v>
      </c>
      <c r="M2107">
        <v>104</v>
      </c>
      <c r="N2107" s="10">
        <v>487.8</v>
      </c>
      <c r="O2107" s="7">
        <v>2.8</v>
      </c>
      <c r="P2107" s="7">
        <v>29.2</v>
      </c>
      <c r="Q2107">
        <v>0</v>
      </c>
      <c r="R2107" t="s">
        <v>62</v>
      </c>
      <c r="S2107">
        <v>12</v>
      </c>
      <c r="T2107">
        <v>337</v>
      </c>
      <c r="U2107" s="11">
        <v>0</v>
      </c>
      <c r="V2107" s="11">
        <v>1</v>
      </c>
      <c r="W2107" s="11">
        <v>-0.48220584789635262</v>
      </c>
      <c r="X2107" s="11">
        <v>0.87605794343442811</v>
      </c>
      <c r="Y2107">
        <v>0</v>
      </c>
      <c r="Z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6">
        <v>45629</v>
      </c>
      <c r="B2108" t="s">
        <v>31</v>
      </c>
      <c r="C2108" t="s">
        <v>32</v>
      </c>
      <c r="D2108" t="s">
        <v>33</v>
      </c>
      <c r="E2108" t="s">
        <v>34</v>
      </c>
      <c r="F2108">
        <v>140</v>
      </c>
      <c r="G2108">
        <v>360</v>
      </c>
      <c r="H2108">
        <v>215</v>
      </c>
      <c r="I2108">
        <v>89</v>
      </c>
      <c r="J2108" s="8">
        <v>0.63571428571428568</v>
      </c>
      <c r="K2108">
        <v>37</v>
      </c>
      <c r="L2108">
        <v>20</v>
      </c>
      <c r="M2108">
        <v>176</v>
      </c>
      <c r="N2108" s="10">
        <v>451.91</v>
      </c>
      <c r="O2108" s="7">
        <v>0</v>
      </c>
      <c r="P2108" s="7">
        <v>29.4</v>
      </c>
      <c r="Q2108">
        <v>1</v>
      </c>
      <c r="R2108" t="s">
        <v>63</v>
      </c>
      <c r="S2108">
        <v>12</v>
      </c>
      <c r="T2108">
        <v>338</v>
      </c>
      <c r="U2108" s="11">
        <v>0.7818314824680298</v>
      </c>
      <c r="V2108" s="11">
        <v>0.62348980185873359</v>
      </c>
      <c r="W2108" s="11">
        <v>-0.46706492487743034</v>
      </c>
      <c r="X2108" s="11">
        <v>0.8842230238742036</v>
      </c>
      <c r="Y2108">
        <v>0</v>
      </c>
      <c r="Z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6">
        <v>45629</v>
      </c>
      <c r="B2109" t="s">
        <v>36</v>
      </c>
      <c r="C2109" t="s">
        <v>37</v>
      </c>
      <c r="D2109" t="s">
        <v>38</v>
      </c>
      <c r="E2109" t="s">
        <v>39</v>
      </c>
      <c r="F2109">
        <v>125</v>
      </c>
      <c r="G2109">
        <v>320</v>
      </c>
      <c r="H2109">
        <v>185</v>
      </c>
      <c r="I2109">
        <v>77</v>
      </c>
      <c r="J2109" s="8">
        <v>0.61599999999999999</v>
      </c>
      <c r="K2109">
        <v>36</v>
      </c>
      <c r="L2109">
        <v>24</v>
      </c>
      <c r="M2109">
        <v>171</v>
      </c>
      <c r="N2109" s="10">
        <v>623.84</v>
      </c>
      <c r="O2109" s="7">
        <v>0</v>
      </c>
      <c r="P2109" s="7">
        <v>29.4</v>
      </c>
      <c r="Q2109">
        <v>1</v>
      </c>
      <c r="R2109" t="s">
        <v>63</v>
      </c>
      <c r="S2109">
        <v>12</v>
      </c>
      <c r="T2109">
        <v>338</v>
      </c>
      <c r="U2109" s="11">
        <v>0.7818314824680298</v>
      </c>
      <c r="V2109" s="11">
        <v>0.62348980185873359</v>
      </c>
      <c r="W2109" s="11">
        <v>-0.46706492487743034</v>
      </c>
      <c r="X2109" s="11">
        <v>0.8842230238742036</v>
      </c>
      <c r="Y2109">
        <v>0</v>
      </c>
      <c r="Z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6">
        <v>45629</v>
      </c>
      <c r="B2110" t="s">
        <v>41</v>
      </c>
      <c r="C2110" t="s">
        <v>42</v>
      </c>
      <c r="D2110" t="s">
        <v>43</v>
      </c>
      <c r="E2110" t="s">
        <v>44</v>
      </c>
      <c r="F2110">
        <v>85</v>
      </c>
      <c r="G2110">
        <v>210</v>
      </c>
      <c r="H2110">
        <v>127</v>
      </c>
      <c r="I2110">
        <v>54</v>
      </c>
      <c r="J2110" s="8">
        <v>0.63529411764705879</v>
      </c>
      <c r="K2110">
        <v>15</v>
      </c>
      <c r="L2110">
        <v>18</v>
      </c>
      <c r="M2110">
        <v>118</v>
      </c>
      <c r="N2110" s="10">
        <v>567.41</v>
      </c>
      <c r="O2110" s="7">
        <v>0</v>
      </c>
      <c r="P2110" s="7">
        <v>29.4</v>
      </c>
      <c r="Q2110">
        <v>1</v>
      </c>
      <c r="R2110" t="s">
        <v>63</v>
      </c>
      <c r="S2110">
        <v>12</v>
      </c>
      <c r="T2110">
        <v>338</v>
      </c>
      <c r="U2110" s="11">
        <v>0.7818314824680298</v>
      </c>
      <c r="V2110" s="11">
        <v>0.62348980185873359</v>
      </c>
      <c r="W2110" s="11">
        <v>-0.46706492487743034</v>
      </c>
      <c r="X2110" s="11">
        <v>0.8842230238742036</v>
      </c>
      <c r="Y2110">
        <v>0</v>
      </c>
      <c r="Z2110">
        <v>0</v>
      </c>
      <c r="AB2110">
        <v>0</v>
      </c>
      <c r="AC2110">
        <v>0</v>
      </c>
      <c r="AD2110">
        <v>0</v>
      </c>
      <c r="AE2110">
        <v>0</v>
      </c>
    </row>
    <row r="2111" spans="1:31">
      <c r="A2111" s="6">
        <v>45630</v>
      </c>
      <c r="B2111" t="s">
        <v>31</v>
      </c>
      <c r="C2111" t="s">
        <v>32</v>
      </c>
      <c r="D2111" t="s">
        <v>33</v>
      </c>
      <c r="E2111" t="s">
        <v>34</v>
      </c>
      <c r="F2111">
        <v>140</v>
      </c>
      <c r="G2111">
        <v>360</v>
      </c>
      <c r="H2111">
        <v>198</v>
      </c>
      <c r="I2111">
        <v>81</v>
      </c>
      <c r="J2111" s="8">
        <v>0.57857142857142863</v>
      </c>
      <c r="K2111">
        <v>53</v>
      </c>
      <c r="L2111">
        <v>38</v>
      </c>
      <c r="M2111">
        <v>166</v>
      </c>
      <c r="N2111" s="10">
        <v>427.02</v>
      </c>
      <c r="O2111" s="7">
        <v>2.6</v>
      </c>
      <c r="P2111" s="7">
        <v>29.8</v>
      </c>
      <c r="Q2111">
        <v>2</v>
      </c>
      <c r="R2111" t="s">
        <v>64</v>
      </c>
      <c r="S2111">
        <v>12</v>
      </c>
      <c r="T2111">
        <v>339</v>
      </c>
      <c r="U2111" s="11">
        <v>0.97492791218182362</v>
      </c>
      <c r="V2111" s="11">
        <v>-0.22252093395631434</v>
      </c>
      <c r="W2111" s="11">
        <v>-0.45178578983288398</v>
      </c>
      <c r="X2111" s="11">
        <v>0.89212644849543454</v>
      </c>
      <c r="Y2111">
        <v>0</v>
      </c>
      <c r="Z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6">
        <v>45630</v>
      </c>
      <c r="B2112" t="s">
        <v>36</v>
      </c>
      <c r="C2112" t="s">
        <v>37</v>
      </c>
      <c r="D2112" t="s">
        <v>38</v>
      </c>
      <c r="E2112" t="s">
        <v>39</v>
      </c>
      <c r="F2112">
        <v>125</v>
      </c>
      <c r="G2112">
        <v>320</v>
      </c>
      <c r="H2112">
        <v>177</v>
      </c>
      <c r="I2112">
        <v>75</v>
      </c>
      <c r="J2112" s="8">
        <v>0.6</v>
      </c>
      <c r="K2112">
        <v>20</v>
      </c>
      <c r="L2112">
        <v>46</v>
      </c>
      <c r="M2112">
        <v>158</v>
      </c>
      <c r="N2112" s="10">
        <v>607.64</v>
      </c>
      <c r="O2112" s="7">
        <v>2.6</v>
      </c>
      <c r="P2112" s="7">
        <v>29.8</v>
      </c>
      <c r="Q2112">
        <v>2</v>
      </c>
      <c r="R2112" t="s">
        <v>64</v>
      </c>
      <c r="S2112">
        <v>12</v>
      </c>
      <c r="T2112">
        <v>339</v>
      </c>
      <c r="U2112" s="11">
        <v>0.97492791218182362</v>
      </c>
      <c r="V2112" s="11">
        <v>-0.22252093395631434</v>
      </c>
      <c r="W2112" s="11">
        <v>-0.45178578983288398</v>
      </c>
      <c r="X2112" s="11">
        <v>0.89212644849543454</v>
      </c>
      <c r="Y2112">
        <v>0</v>
      </c>
      <c r="Z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6">
        <v>45630</v>
      </c>
      <c r="B2113" t="s">
        <v>41</v>
      </c>
      <c r="C2113" t="s">
        <v>42</v>
      </c>
      <c r="D2113" t="s">
        <v>43</v>
      </c>
      <c r="E2113" t="s">
        <v>44</v>
      </c>
      <c r="F2113">
        <v>85</v>
      </c>
      <c r="G2113">
        <v>210</v>
      </c>
      <c r="H2113">
        <v>130</v>
      </c>
      <c r="I2113">
        <v>56</v>
      </c>
      <c r="J2113" s="8">
        <v>0.6588235294117647</v>
      </c>
      <c r="K2113">
        <v>27</v>
      </c>
      <c r="L2113">
        <v>15</v>
      </c>
      <c r="M2113">
        <v>110</v>
      </c>
      <c r="N2113" s="10">
        <v>558.20000000000005</v>
      </c>
      <c r="O2113" s="7">
        <v>2.6</v>
      </c>
      <c r="P2113" s="7">
        <v>29.8</v>
      </c>
      <c r="Q2113">
        <v>2</v>
      </c>
      <c r="R2113" t="s">
        <v>64</v>
      </c>
      <c r="S2113">
        <v>12</v>
      </c>
      <c r="T2113">
        <v>339</v>
      </c>
      <c r="U2113" s="11">
        <v>0.97492791218182362</v>
      </c>
      <c r="V2113" s="11">
        <v>-0.22252093395631434</v>
      </c>
      <c r="W2113" s="11">
        <v>-0.45178578983288398</v>
      </c>
      <c r="X2113" s="11">
        <v>0.89212644849543454</v>
      </c>
      <c r="Y2113">
        <v>0</v>
      </c>
      <c r="Z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6">
        <v>45631</v>
      </c>
      <c r="B2114" t="s">
        <v>31</v>
      </c>
      <c r="C2114" t="s">
        <v>32</v>
      </c>
      <c r="D2114" t="s">
        <v>33</v>
      </c>
      <c r="E2114" t="s">
        <v>34</v>
      </c>
      <c r="F2114">
        <v>140</v>
      </c>
      <c r="G2114">
        <v>360</v>
      </c>
      <c r="H2114">
        <v>208</v>
      </c>
      <c r="I2114">
        <v>86</v>
      </c>
      <c r="J2114" s="8">
        <v>0.61428571428571432</v>
      </c>
      <c r="K2114">
        <v>42</v>
      </c>
      <c r="L2114">
        <v>37</v>
      </c>
      <c r="M2114">
        <v>179</v>
      </c>
      <c r="N2114" s="10">
        <v>470.05</v>
      </c>
      <c r="O2114" s="7">
        <v>0</v>
      </c>
      <c r="P2114" s="7">
        <v>28.8</v>
      </c>
      <c r="Q2114">
        <v>3</v>
      </c>
      <c r="R2114" t="s">
        <v>65</v>
      </c>
      <c r="S2114">
        <v>12</v>
      </c>
      <c r="T2114">
        <v>340</v>
      </c>
      <c r="U2114" s="11">
        <v>0.43388373911755823</v>
      </c>
      <c r="V2114" s="11">
        <v>-0.90096886790241903</v>
      </c>
      <c r="W2114" s="11">
        <v>-0.43637296410459242</v>
      </c>
      <c r="X2114" s="11">
        <v>0.89976587854762091</v>
      </c>
      <c r="Y2114">
        <v>0</v>
      </c>
      <c r="Z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6">
        <v>45631</v>
      </c>
      <c r="B2115" t="s">
        <v>36</v>
      </c>
      <c r="C2115" t="s">
        <v>37</v>
      </c>
      <c r="D2115" t="s">
        <v>38</v>
      </c>
      <c r="E2115" t="s">
        <v>39</v>
      </c>
      <c r="F2115">
        <v>125</v>
      </c>
      <c r="G2115">
        <v>320</v>
      </c>
      <c r="H2115">
        <v>182</v>
      </c>
      <c r="I2115">
        <v>74</v>
      </c>
      <c r="J2115" s="8">
        <v>0.59199999999999997</v>
      </c>
      <c r="K2115">
        <v>42</v>
      </c>
      <c r="L2115">
        <v>40</v>
      </c>
      <c r="M2115">
        <v>154</v>
      </c>
      <c r="N2115" s="10">
        <v>597.65</v>
      </c>
      <c r="O2115" s="7">
        <v>0</v>
      </c>
      <c r="P2115" s="7">
        <v>28.8</v>
      </c>
      <c r="Q2115">
        <v>3</v>
      </c>
      <c r="R2115" t="s">
        <v>65</v>
      </c>
      <c r="S2115">
        <v>12</v>
      </c>
      <c r="T2115">
        <v>340</v>
      </c>
      <c r="U2115" s="11">
        <v>0.43388373911755823</v>
      </c>
      <c r="V2115" s="11">
        <v>-0.90096886790241903</v>
      </c>
      <c r="W2115" s="11">
        <v>-0.43637296410459242</v>
      </c>
      <c r="X2115" s="11">
        <v>0.89976587854762091</v>
      </c>
      <c r="Y2115">
        <v>0</v>
      </c>
      <c r="Z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6">
        <v>45631</v>
      </c>
      <c r="B2116" t="s">
        <v>41</v>
      </c>
      <c r="C2116" t="s">
        <v>42</v>
      </c>
      <c r="D2116" t="s">
        <v>43</v>
      </c>
      <c r="E2116" t="s">
        <v>44</v>
      </c>
      <c r="F2116">
        <v>85</v>
      </c>
      <c r="G2116">
        <v>210</v>
      </c>
      <c r="H2116">
        <v>114</v>
      </c>
      <c r="I2116">
        <v>53</v>
      </c>
      <c r="J2116" s="8">
        <v>0.62352941176470589</v>
      </c>
      <c r="K2116">
        <v>24</v>
      </c>
      <c r="L2116">
        <v>27</v>
      </c>
      <c r="M2116">
        <v>92</v>
      </c>
      <c r="N2116" s="10">
        <v>485.08</v>
      </c>
      <c r="O2116" s="7">
        <v>0</v>
      </c>
      <c r="P2116" s="7">
        <v>28.8</v>
      </c>
      <c r="Q2116">
        <v>3</v>
      </c>
      <c r="R2116" t="s">
        <v>65</v>
      </c>
      <c r="S2116">
        <v>12</v>
      </c>
      <c r="T2116">
        <v>340</v>
      </c>
      <c r="U2116" s="11">
        <v>0.43388373911755823</v>
      </c>
      <c r="V2116" s="11">
        <v>-0.90096886790241903</v>
      </c>
      <c r="W2116" s="11">
        <v>-0.43637296410459242</v>
      </c>
      <c r="X2116" s="11">
        <v>0.89976587854762091</v>
      </c>
      <c r="Y2116">
        <v>0</v>
      </c>
      <c r="Z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6">
        <v>45632</v>
      </c>
      <c r="B2117" t="s">
        <v>31</v>
      </c>
      <c r="C2117" t="s">
        <v>32</v>
      </c>
      <c r="D2117" t="s">
        <v>33</v>
      </c>
      <c r="E2117" t="s">
        <v>34</v>
      </c>
      <c r="F2117">
        <v>140</v>
      </c>
      <c r="G2117">
        <v>360</v>
      </c>
      <c r="H2117">
        <v>207</v>
      </c>
      <c r="I2117">
        <v>89</v>
      </c>
      <c r="J2117" s="8">
        <v>0.63571428571428568</v>
      </c>
      <c r="K2117">
        <v>31</v>
      </c>
      <c r="L2117">
        <v>51</v>
      </c>
      <c r="M2117">
        <v>169</v>
      </c>
      <c r="N2117" s="10">
        <v>422.52</v>
      </c>
      <c r="O2117" s="7">
        <v>0</v>
      </c>
      <c r="P2117" s="7">
        <v>28.7</v>
      </c>
      <c r="Q2117">
        <v>4</v>
      </c>
      <c r="R2117" t="s">
        <v>66</v>
      </c>
      <c r="S2117">
        <v>12</v>
      </c>
      <c r="T2117">
        <v>341</v>
      </c>
      <c r="U2117" s="11">
        <v>-0.43388373911755801</v>
      </c>
      <c r="V2117" s="11">
        <v>-0.90096886790241915</v>
      </c>
      <c r="W2117" s="11">
        <v>-0.42083100859565564</v>
      </c>
      <c r="X2117" s="11">
        <v>0.90713905340050438</v>
      </c>
      <c r="Y2117">
        <v>0</v>
      </c>
      <c r="Z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6">
        <v>45632</v>
      </c>
      <c r="B2118" t="s">
        <v>36</v>
      </c>
      <c r="C2118" t="s">
        <v>37</v>
      </c>
      <c r="D2118" t="s">
        <v>38</v>
      </c>
      <c r="E2118" t="s">
        <v>39</v>
      </c>
      <c r="F2118">
        <v>125</v>
      </c>
      <c r="G2118">
        <v>320</v>
      </c>
      <c r="H2118">
        <v>151</v>
      </c>
      <c r="I2118">
        <v>63</v>
      </c>
      <c r="J2118" s="8">
        <v>0.504</v>
      </c>
      <c r="K2118">
        <v>26</v>
      </c>
      <c r="L2118">
        <v>28</v>
      </c>
      <c r="M2118">
        <v>121</v>
      </c>
      <c r="N2118" s="10">
        <v>635.98</v>
      </c>
      <c r="O2118" s="7">
        <v>0</v>
      </c>
      <c r="P2118" s="7">
        <v>28.7</v>
      </c>
      <c r="Q2118">
        <v>4</v>
      </c>
      <c r="R2118" t="s">
        <v>66</v>
      </c>
      <c r="S2118">
        <v>12</v>
      </c>
      <c r="T2118">
        <v>341</v>
      </c>
      <c r="U2118" s="11">
        <v>-0.43388373911755801</v>
      </c>
      <c r="V2118" s="11">
        <v>-0.90096886790241915</v>
      </c>
      <c r="W2118" s="11">
        <v>-0.42083100859565564</v>
      </c>
      <c r="X2118" s="11">
        <v>0.90713905340050438</v>
      </c>
      <c r="Y2118">
        <v>0</v>
      </c>
      <c r="Z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6">
        <v>45632</v>
      </c>
      <c r="B2119" t="s">
        <v>41</v>
      </c>
      <c r="C2119" t="s">
        <v>42</v>
      </c>
      <c r="D2119" t="s">
        <v>43</v>
      </c>
      <c r="E2119" t="s">
        <v>44</v>
      </c>
      <c r="F2119">
        <v>85</v>
      </c>
      <c r="G2119">
        <v>210</v>
      </c>
      <c r="H2119">
        <v>132</v>
      </c>
      <c r="I2119">
        <v>58</v>
      </c>
      <c r="J2119" s="8">
        <v>0.68235294117647061</v>
      </c>
      <c r="K2119">
        <v>18</v>
      </c>
      <c r="L2119">
        <v>15</v>
      </c>
      <c r="M2119">
        <v>114</v>
      </c>
      <c r="N2119" s="10">
        <v>566.51</v>
      </c>
      <c r="O2119" s="7">
        <v>0</v>
      </c>
      <c r="P2119" s="7">
        <v>28.7</v>
      </c>
      <c r="Q2119">
        <v>4</v>
      </c>
      <c r="R2119" t="s">
        <v>66</v>
      </c>
      <c r="S2119">
        <v>12</v>
      </c>
      <c r="T2119">
        <v>341</v>
      </c>
      <c r="U2119" s="11">
        <v>-0.43388373911755801</v>
      </c>
      <c r="V2119" s="11">
        <v>-0.90096886790241915</v>
      </c>
      <c r="W2119" s="11">
        <v>-0.42083100859565564</v>
      </c>
      <c r="X2119" s="11">
        <v>0.90713905340050438</v>
      </c>
      <c r="Y2119">
        <v>0</v>
      </c>
      <c r="Z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6">
        <v>45633</v>
      </c>
      <c r="B2120" t="s">
        <v>31</v>
      </c>
      <c r="C2120" t="s">
        <v>32</v>
      </c>
      <c r="D2120" t="s">
        <v>33</v>
      </c>
      <c r="E2120" t="s">
        <v>34</v>
      </c>
      <c r="F2120">
        <v>140</v>
      </c>
      <c r="G2120">
        <v>360</v>
      </c>
      <c r="H2120">
        <v>218</v>
      </c>
      <c r="I2120">
        <v>91</v>
      </c>
      <c r="J2120" s="8">
        <v>0.65</v>
      </c>
      <c r="K2120">
        <v>35</v>
      </c>
      <c r="L2120">
        <v>32</v>
      </c>
      <c r="M2120">
        <v>178</v>
      </c>
      <c r="N2120" s="10">
        <v>460.6</v>
      </c>
      <c r="O2120" s="7">
        <v>3.6</v>
      </c>
      <c r="P2120" s="7">
        <v>29.7</v>
      </c>
      <c r="Q2120">
        <v>5</v>
      </c>
      <c r="R2120" t="s">
        <v>67</v>
      </c>
      <c r="S2120">
        <v>12</v>
      </c>
      <c r="T2120">
        <v>342</v>
      </c>
      <c r="U2120" s="11">
        <v>-0.97492791218182362</v>
      </c>
      <c r="V2120" s="11">
        <v>-0.22252093395631459</v>
      </c>
      <c r="W2120" s="11">
        <v>-0.40516452242075629</v>
      </c>
      <c r="X2120" s="11">
        <v>0.91424379121302235</v>
      </c>
      <c r="Y2120">
        <v>1</v>
      </c>
      <c r="Z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6">
        <v>45633</v>
      </c>
      <c r="B2121" t="s">
        <v>36</v>
      </c>
      <c r="C2121" t="s">
        <v>37</v>
      </c>
      <c r="D2121" t="s">
        <v>38</v>
      </c>
      <c r="E2121" t="s">
        <v>39</v>
      </c>
      <c r="F2121">
        <v>125</v>
      </c>
      <c r="G2121">
        <v>320</v>
      </c>
      <c r="H2121">
        <v>195</v>
      </c>
      <c r="I2121">
        <v>82</v>
      </c>
      <c r="J2121" s="8">
        <v>0.65600000000000003</v>
      </c>
      <c r="K2121">
        <v>28</v>
      </c>
      <c r="L2121">
        <v>27</v>
      </c>
      <c r="M2121">
        <v>174</v>
      </c>
      <c r="N2121" s="10">
        <v>678.61</v>
      </c>
      <c r="O2121" s="7">
        <v>3.6</v>
      </c>
      <c r="P2121" s="7">
        <v>29.7</v>
      </c>
      <c r="Q2121">
        <v>5</v>
      </c>
      <c r="R2121" t="s">
        <v>67</v>
      </c>
      <c r="S2121">
        <v>12</v>
      </c>
      <c r="T2121">
        <v>342</v>
      </c>
      <c r="U2121" s="11">
        <v>-0.97492791218182362</v>
      </c>
      <c r="V2121" s="11">
        <v>-0.22252093395631459</v>
      </c>
      <c r="W2121" s="11">
        <v>-0.40516452242075629</v>
      </c>
      <c r="X2121" s="11">
        <v>0.91424379121302235</v>
      </c>
      <c r="Y2121">
        <v>1</v>
      </c>
      <c r="Z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6">
        <v>45633</v>
      </c>
      <c r="B2122" t="s">
        <v>41</v>
      </c>
      <c r="C2122" t="s">
        <v>42</v>
      </c>
      <c r="D2122" t="s">
        <v>43</v>
      </c>
      <c r="E2122" t="s">
        <v>44</v>
      </c>
      <c r="F2122">
        <v>85</v>
      </c>
      <c r="G2122">
        <v>210</v>
      </c>
      <c r="H2122">
        <v>145</v>
      </c>
      <c r="I2122">
        <v>65</v>
      </c>
      <c r="J2122" s="8">
        <v>0.76470588235294112</v>
      </c>
      <c r="K2122">
        <v>21</v>
      </c>
      <c r="L2122">
        <v>29</v>
      </c>
      <c r="M2122">
        <v>126</v>
      </c>
      <c r="N2122" s="10">
        <v>619.16999999999996</v>
      </c>
      <c r="O2122" s="7">
        <v>3.6</v>
      </c>
      <c r="P2122" s="7">
        <v>29.7</v>
      </c>
      <c r="Q2122">
        <v>5</v>
      </c>
      <c r="R2122" t="s">
        <v>67</v>
      </c>
      <c r="S2122">
        <v>12</v>
      </c>
      <c r="T2122">
        <v>342</v>
      </c>
      <c r="U2122" s="11">
        <v>-0.97492791218182362</v>
      </c>
      <c r="V2122" s="11">
        <v>-0.22252093395631459</v>
      </c>
      <c r="W2122" s="11">
        <v>-0.40516452242075629</v>
      </c>
      <c r="X2122" s="11">
        <v>0.91424379121302235</v>
      </c>
      <c r="Y2122">
        <v>1</v>
      </c>
      <c r="Z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6">
        <v>45634</v>
      </c>
      <c r="B2123" t="s">
        <v>31</v>
      </c>
      <c r="C2123" t="s">
        <v>32</v>
      </c>
      <c r="D2123" t="s">
        <v>33</v>
      </c>
      <c r="E2123" t="s">
        <v>34</v>
      </c>
      <c r="F2123">
        <v>140</v>
      </c>
      <c r="G2123">
        <v>360</v>
      </c>
      <c r="H2123">
        <v>230</v>
      </c>
      <c r="I2123">
        <v>96</v>
      </c>
      <c r="J2123" s="8">
        <v>0.68571428571428572</v>
      </c>
      <c r="K2123">
        <v>34</v>
      </c>
      <c r="L2123">
        <v>37</v>
      </c>
      <c r="M2123">
        <v>195</v>
      </c>
      <c r="N2123" s="10">
        <v>436.66</v>
      </c>
      <c r="O2123" s="7">
        <v>0</v>
      </c>
      <c r="P2123" s="7">
        <v>28.9</v>
      </c>
      <c r="Q2123">
        <v>6</v>
      </c>
      <c r="R2123" t="s">
        <v>60</v>
      </c>
      <c r="S2123">
        <v>12</v>
      </c>
      <c r="T2123">
        <v>343</v>
      </c>
      <c r="U2123" s="11">
        <v>-0.78183148246802991</v>
      </c>
      <c r="V2123" s="11">
        <v>0.62348980185873337</v>
      </c>
      <c r="W2123" s="11">
        <v>-0.38937814154520151</v>
      </c>
      <c r="X2123" s="11">
        <v>0.92107798957895259</v>
      </c>
      <c r="Y2123">
        <v>1</v>
      </c>
      <c r="Z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6">
        <v>45634</v>
      </c>
      <c r="B2124" t="s">
        <v>36</v>
      </c>
      <c r="C2124" t="s">
        <v>37</v>
      </c>
      <c r="D2124" t="s">
        <v>38</v>
      </c>
      <c r="E2124" t="s">
        <v>39</v>
      </c>
      <c r="F2124">
        <v>125</v>
      </c>
      <c r="G2124">
        <v>320</v>
      </c>
      <c r="H2124">
        <v>188</v>
      </c>
      <c r="I2124">
        <v>80</v>
      </c>
      <c r="J2124" s="8">
        <v>0.64</v>
      </c>
      <c r="K2124">
        <v>23</v>
      </c>
      <c r="L2124">
        <v>33</v>
      </c>
      <c r="M2124">
        <v>161</v>
      </c>
      <c r="N2124" s="10">
        <v>682.91</v>
      </c>
      <c r="O2124" s="7">
        <v>0</v>
      </c>
      <c r="P2124" s="7">
        <v>28.9</v>
      </c>
      <c r="Q2124">
        <v>6</v>
      </c>
      <c r="R2124" t="s">
        <v>60</v>
      </c>
      <c r="S2124">
        <v>12</v>
      </c>
      <c r="T2124">
        <v>343</v>
      </c>
      <c r="U2124" s="11">
        <v>-0.78183148246802991</v>
      </c>
      <c r="V2124" s="11">
        <v>0.62348980185873337</v>
      </c>
      <c r="W2124" s="11">
        <v>-0.38937814154520151</v>
      </c>
      <c r="X2124" s="11">
        <v>0.92107798957895259</v>
      </c>
      <c r="Y2124">
        <v>1</v>
      </c>
      <c r="Z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6">
        <v>45634</v>
      </c>
      <c r="B2125" t="s">
        <v>41</v>
      </c>
      <c r="C2125" t="s">
        <v>42</v>
      </c>
      <c r="D2125" t="s">
        <v>43</v>
      </c>
      <c r="E2125" t="s">
        <v>44</v>
      </c>
      <c r="F2125">
        <v>85</v>
      </c>
      <c r="G2125">
        <v>210</v>
      </c>
      <c r="H2125">
        <v>154</v>
      </c>
      <c r="I2125">
        <v>66</v>
      </c>
      <c r="J2125" s="8">
        <v>0.77647058823529413</v>
      </c>
      <c r="K2125">
        <v>29</v>
      </c>
      <c r="L2125">
        <v>22</v>
      </c>
      <c r="M2125">
        <v>138</v>
      </c>
      <c r="N2125" s="10">
        <v>572.34</v>
      </c>
      <c r="O2125" s="7">
        <v>0</v>
      </c>
      <c r="P2125" s="7">
        <v>28.9</v>
      </c>
      <c r="Q2125">
        <v>6</v>
      </c>
      <c r="R2125" t="s">
        <v>60</v>
      </c>
      <c r="S2125">
        <v>12</v>
      </c>
      <c r="T2125">
        <v>343</v>
      </c>
      <c r="U2125" s="11">
        <v>-0.78183148246802991</v>
      </c>
      <c r="V2125" s="11">
        <v>0.62348980185873337</v>
      </c>
      <c r="W2125" s="11">
        <v>-0.38937814154520151</v>
      </c>
      <c r="X2125" s="11">
        <v>0.92107798957895259</v>
      </c>
      <c r="Y2125">
        <v>1</v>
      </c>
      <c r="Z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6">
        <v>45635</v>
      </c>
      <c r="B2126" t="s">
        <v>31</v>
      </c>
      <c r="C2126" t="s">
        <v>32</v>
      </c>
      <c r="D2126" t="s">
        <v>33</v>
      </c>
      <c r="E2126" t="s">
        <v>34</v>
      </c>
      <c r="F2126">
        <v>140</v>
      </c>
      <c r="G2126">
        <v>360</v>
      </c>
      <c r="H2126">
        <v>198</v>
      </c>
      <c r="I2126">
        <v>86</v>
      </c>
      <c r="J2126" s="8">
        <v>0.61428571428571432</v>
      </c>
      <c r="K2126">
        <v>42</v>
      </c>
      <c r="L2126">
        <v>42</v>
      </c>
      <c r="M2126">
        <v>167</v>
      </c>
      <c r="N2126" s="10">
        <v>392.51</v>
      </c>
      <c r="O2126" s="7">
        <v>0.6</v>
      </c>
      <c r="P2126" s="7">
        <v>29.4</v>
      </c>
      <c r="Q2126">
        <v>0</v>
      </c>
      <c r="R2126" t="s">
        <v>62</v>
      </c>
      <c r="S2126">
        <v>12</v>
      </c>
      <c r="T2126">
        <v>344</v>
      </c>
      <c r="U2126" s="11">
        <v>0</v>
      </c>
      <c r="V2126" s="11">
        <v>1</v>
      </c>
      <c r="W2126" s="11">
        <v>-0.37347653741307074</v>
      </c>
      <c r="X2126" s="11">
        <v>0.92763962614904671</v>
      </c>
      <c r="Y2126">
        <v>0</v>
      </c>
      <c r="Z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6">
        <v>45635</v>
      </c>
      <c r="B2127" t="s">
        <v>36</v>
      </c>
      <c r="C2127" t="s">
        <v>37</v>
      </c>
      <c r="D2127" t="s">
        <v>38</v>
      </c>
      <c r="E2127" t="s">
        <v>39</v>
      </c>
      <c r="F2127">
        <v>125</v>
      </c>
      <c r="G2127">
        <v>320</v>
      </c>
      <c r="H2127">
        <v>155</v>
      </c>
      <c r="I2127">
        <v>67</v>
      </c>
      <c r="J2127" s="8">
        <v>0.53600000000000003</v>
      </c>
      <c r="K2127">
        <v>32</v>
      </c>
      <c r="L2127">
        <v>24</v>
      </c>
      <c r="M2127">
        <v>139</v>
      </c>
      <c r="N2127" s="10">
        <v>580.58000000000004</v>
      </c>
      <c r="O2127" s="7">
        <v>0.6</v>
      </c>
      <c r="P2127" s="7">
        <v>29.4</v>
      </c>
      <c r="Q2127">
        <v>0</v>
      </c>
      <c r="R2127" t="s">
        <v>62</v>
      </c>
      <c r="S2127">
        <v>12</v>
      </c>
      <c r="T2127">
        <v>344</v>
      </c>
      <c r="U2127" s="11">
        <v>0</v>
      </c>
      <c r="V2127" s="11">
        <v>1</v>
      </c>
      <c r="W2127" s="11">
        <v>-0.37347653741307074</v>
      </c>
      <c r="X2127" s="11">
        <v>0.92763962614904671</v>
      </c>
      <c r="Y2127">
        <v>0</v>
      </c>
      <c r="Z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6">
        <v>45635</v>
      </c>
      <c r="B2128" t="s">
        <v>41</v>
      </c>
      <c r="C2128" t="s">
        <v>42</v>
      </c>
      <c r="D2128" t="s">
        <v>43</v>
      </c>
      <c r="E2128" t="s">
        <v>44</v>
      </c>
      <c r="F2128">
        <v>85</v>
      </c>
      <c r="G2128">
        <v>210</v>
      </c>
      <c r="H2128">
        <v>142</v>
      </c>
      <c r="I2128">
        <v>63</v>
      </c>
      <c r="J2128" s="8">
        <v>0.74117647058823533</v>
      </c>
      <c r="K2128">
        <v>32</v>
      </c>
      <c r="L2128">
        <v>25</v>
      </c>
      <c r="M2128">
        <v>128</v>
      </c>
      <c r="N2128" s="10">
        <v>571.21</v>
      </c>
      <c r="O2128" s="7">
        <v>0.6</v>
      </c>
      <c r="P2128" s="7">
        <v>29.4</v>
      </c>
      <c r="Q2128">
        <v>0</v>
      </c>
      <c r="R2128" t="s">
        <v>62</v>
      </c>
      <c r="S2128">
        <v>12</v>
      </c>
      <c r="T2128">
        <v>344</v>
      </c>
      <c r="U2128" s="11">
        <v>0</v>
      </c>
      <c r="V2128" s="11">
        <v>1</v>
      </c>
      <c r="W2128" s="11">
        <v>-0.37347653741307074</v>
      </c>
      <c r="X2128" s="11">
        <v>0.92763962614904671</v>
      </c>
      <c r="Y2128">
        <v>0</v>
      </c>
      <c r="Z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6">
        <v>45636</v>
      </c>
      <c r="B2129" t="s">
        <v>31</v>
      </c>
      <c r="C2129" t="s">
        <v>32</v>
      </c>
      <c r="D2129" t="s">
        <v>33</v>
      </c>
      <c r="E2129" t="s">
        <v>34</v>
      </c>
      <c r="F2129">
        <v>140</v>
      </c>
      <c r="G2129">
        <v>360</v>
      </c>
      <c r="H2129">
        <v>206</v>
      </c>
      <c r="I2129">
        <v>89</v>
      </c>
      <c r="J2129" s="8">
        <v>0.63571428571428568</v>
      </c>
      <c r="K2129">
        <v>38</v>
      </c>
      <c r="L2129">
        <v>29</v>
      </c>
      <c r="M2129">
        <v>167</v>
      </c>
      <c r="N2129" s="10">
        <v>390.37</v>
      </c>
      <c r="O2129" s="7">
        <v>1.5</v>
      </c>
      <c r="P2129" s="7">
        <v>28.4</v>
      </c>
      <c r="Q2129">
        <v>1</v>
      </c>
      <c r="R2129" t="s">
        <v>63</v>
      </c>
      <c r="S2129">
        <v>12</v>
      </c>
      <c r="T2129">
        <v>345</v>
      </c>
      <c r="U2129" s="11">
        <v>0.7818314824680298</v>
      </c>
      <c r="V2129" s="11">
        <v>0.62348980185873359</v>
      </c>
      <c r="W2129" s="11">
        <v>-0.35746441556486142</v>
      </c>
      <c r="X2129" s="11">
        <v>0.93392675922947621</v>
      </c>
      <c r="Y2129">
        <v>0</v>
      </c>
      <c r="Z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6">
        <v>45636</v>
      </c>
      <c r="B2130" t="s">
        <v>36</v>
      </c>
      <c r="C2130" t="s">
        <v>37</v>
      </c>
      <c r="D2130" t="s">
        <v>38</v>
      </c>
      <c r="E2130" t="s">
        <v>39</v>
      </c>
      <c r="F2130">
        <v>125</v>
      </c>
      <c r="G2130">
        <v>320</v>
      </c>
      <c r="H2130">
        <v>171</v>
      </c>
      <c r="I2130">
        <v>70</v>
      </c>
      <c r="J2130" s="8">
        <v>0.56000000000000005</v>
      </c>
      <c r="K2130">
        <v>29</v>
      </c>
      <c r="L2130">
        <v>39</v>
      </c>
      <c r="M2130">
        <v>141</v>
      </c>
      <c r="N2130" s="10">
        <v>600.32000000000005</v>
      </c>
      <c r="O2130" s="7">
        <v>1.5</v>
      </c>
      <c r="P2130" s="7">
        <v>28.4</v>
      </c>
      <c r="Q2130">
        <v>1</v>
      </c>
      <c r="R2130" t="s">
        <v>63</v>
      </c>
      <c r="S2130">
        <v>12</v>
      </c>
      <c r="T2130">
        <v>345</v>
      </c>
      <c r="U2130" s="11">
        <v>0.7818314824680298</v>
      </c>
      <c r="V2130" s="11">
        <v>0.62348980185873359</v>
      </c>
      <c r="W2130" s="11">
        <v>-0.35746441556486142</v>
      </c>
      <c r="X2130" s="11">
        <v>0.93392675922947621</v>
      </c>
      <c r="Y2130">
        <v>0</v>
      </c>
      <c r="Z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6">
        <v>45636</v>
      </c>
      <c r="B2131" t="s">
        <v>41</v>
      </c>
      <c r="C2131" t="s">
        <v>42</v>
      </c>
      <c r="D2131" t="s">
        <v>43</v>
      </c>
      <c r="E2131" t="s">
        <v>44</v>
      </c>
      <c r="F2131">
        <v>85</v>
      </c>
      <c r="G2131">
        <v>210</v>
      </c>
      <c r="H2131">
        <v>139</v>
      </c>
      <c r="I2131">
        <v>60</v>
      </c>
      <c r="J2131" s="8">
        <v>0.70588235294117652</v>
      </c>
      <c r="K2131">
        <v>29</v>
      </c>
      <c r="L2131">
        <v>23</v>
      </c>
      <c r="M2131">
        <v>112</v>
      </c>
      <c r="N2131" s="10">
        <v>482.84</v>
      </c>
      <c r="O2131" s="7">
        <v>1.5</v>
      </c>
      <c r="P2131" s="7">
        <v>28.4</v>
      </c>
      <c r="Q2131">
        <v>1</v>
      </c>
      <c r="R2131" t="s">
        <v>63</v>
      </c>
      <c r="S2131">
        <v>12</v>
      </c>
      <c r="T2131">
        <v>345</v>
      </c>
      <c r="U2131" s="11">
        <v>0.7818314824680298</v>
      </c>
      <c r="V2131" s="11">
        <v>0.62348980185873359</v>
      </c>
      <c r="W2131" s="11">
        <v>-0.35746441556486142</v>
      </c>
      <c r="X2131" s="11">
        <v>0.93392675922947621</v>
      </c>
      <c r="Y2131">
        <v>0</v>
      </c>
      <c r="Z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6">
        <v>45637</v>
      </c>
      <c r="B2132" t="s">
        <v>31</v>
      </c>
      <c r="C2132" t="s">
        <v>32</v>
      </c>
      <c r="D2132" t="s">
        <v>33</v>
      </c>
      <c r="E2132" t="s">
        <v>34</v>
      </c>
      <c r="F2132">
        <v>140</v>
      </c>
      <c r="G2132">
        <v>360</v>
      </c>
      <c r="H2132">
        <v>205</v>
      </c>
      <c r="I2132">
        <v>84</v>
      </c>
      <c r="J2132" s="8">
        <v>0.6</v>
      </c>
      <c r="K2132">
        <v>36</v>
      </c>
      <c r="L2132">
        <v>26</v>
      </c>
      <c r="M2132">
        <v>175</v>
      </c>
      <c r="N2132" s="10">
        <v>387.57</v>
      </c>
      <c r="O2132" s="7">
        <v>3.2</v>
      </c>
      <c r="P2132" s="7">
        <v>29.9</v>
      </c>
      <c r="Q2132">
        <v>2</v>
      </c>
      <c r="R2132" t="s">
        <v>64</v>
      </c>
      <c r="S2132">
        <v>12</v>
      </c>
      <c r="T2132">
        <v>346</v>
      </c>
      <c r="U2132" s="11">
        <v>0.97492791218182362</v>
      </c>
      <c r="V2132" s="11">
        <v>-0.22252093395631434</v>
      </c>
      <c r="W2132" s="11">
        <v>-0.34134651424503615</v>
      </c>
      <c r="X2132" s="11">
        <v>0.93993752835641331</v>
      </c>
      <c r="Y2132">
        <v>0</v>
      </c>
      <c r="Z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6">
        <v>45637</v>
      </c>
      <c r="B2133" t="s">
        <v>36</v>
      </c>
      <c r="C2133" t="s">
        <v>37</v>
      </c>
      <c r="D2133" t="s">
        <v>38</v>
      </c>
      <c r="E2133" t="s">
        <v>39</v>
      </c>
      <c r="F2133">
        <v>125</v>
      </c>
      <c r="G2133">
        <v>320</v>
      </c>
      <c r="H2133">
        <v>188</v>
      </c>
      <c r="I2133">
        <v>76</v>
      </c>
      <c r="J2133" s="8">
        <v>0.60799999999999998</v>
      </c>
      <c r="K2133">
        <v>38</v>
      </c>
      <c r="L2133">
        <v>32</v>
      </c>
      <c r="M2133">
        <v>163</v>
      </c>
      <c r="N2133" s="10">
        <v>663.27</v>
      </c>
      <c r="O2133" s="7">
        <v>3.2</v>
      </c>
      <c r="P2133" s="7">
        <v>29.9</v>
      </c>
      <c r="Q2133">
        <v>2</v>
      </c>
      <c r="R2133" t="s">
        <v>64</v>
      </c>
      <c r="S2133">
        <v>12</v>
      </c>
      <c r="T2133">
        <v>346</v>
      </c>
      <c r="U2133" s="11">
        <v>0.97492791218182362</v>
      </c>
      <c r="V2133" s="11">
        <v>-0.22252093395631434</v>
      </c>
      <c r="W2133" s="11">
        <v>-0.34134651424503615</v>
      </c>
      <c r="X2133" s="11">
        <v>0.93993752835641331</v>
      </c>
      <c r="Y2133">
        <v>0</v>
      </c>
      <c r="Z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6">
        <v>45637</v>
      </c>
      <c r="B2134" t="s">
        <v>41</v>
      </c>
      <c r="C2134" t="s">
        <v>42</v>
      </c>
      <c r="D2134" t="s">
        <v>43</v>
      </c>
      <c r="E2134" t="s">
        <v>44</v>
      </c>
      <c r="F2134">
        <v>85</v>
      </c>
      <c r="G2134">
        <v>210</v>
      </c>
      <c r="H2134">
        <v>124</v>
      </c>
      <c r="I2134">
        <v>57</v>
      </c>
      <c r="J2134" s="8">
        <v>0.6705882352941176</v>
      </c>
      <c r="K2134">
        <v>28</v>
      </c>
      <c r="L2134">
        <v>32</v>
      </c>
      <c r="M2134">
        <v>101</v>
      </c>
      <c r="N2134" s="10">
        <v>526.99</v>
      </c>
      <c r="O2134" s="7">
        <v>3.2</v>
      </c>
      <c r="P2134" s="7">
        <v>29.9</v>
      </c>
      <c r="Q2134">
        <v>2</v>
      </c>
      <c r="R2134" t="s">
        <v>64</v>
      </c>
      <c r="S2134">
        <v>12</v>
      </c>
      <c r="T2134">
        <v>346</v>
      </c>
      <c r="U2134" s="11">
        <v>0.97492791218182362</v>
      </c>
      <c r="V2134" s="11">
        <v>-0.22252093395631434</v>
      </c>
      <c r="W2134" s="11">
        <v>-0.34134651424503615</v>
      </c>
      <c r="X2134" s="11">
        <v>0.93993752835641331</v>
      </c>
      <c r="Y2134">
        <v>0</v>
      </c>
      <c r="Z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6">
        <v>45638</v>
      </c>
      <c r="B2135" t="s">
        <v>31</v>
      </c>
      <c r="C2135" t="s">
        <v>32</v>
      </c>
      <c r="D2135" t="s">
        <v>33</v>
      </c>
      <c r="E2135" t="s">
        <v>34</v>
      </c>
      <c r="F2135">
        <v>140</v>
      </c>
      <c r="G2135">
        <v>360</v>
      </c>
      <c r="H2135">
        <v>207</v>
      </c>
      <c r="I2135">
        <v>90</v>
      </c>
      <c r="J2135" s="8">
        <v>0.6428571428571429</v>
      </c>
      <c r="K2135">
        <v>44</v>
      </c>
      <c r="L2135">
        <v>29</v>
      </c>
      <c r="M2135">
        <v>186</v>
      </c>
      <c r="N2135" s="10">
        <v>428.96</v>
      </c>
      <c r="O2135" s="7">
        <v>2.9</v>
      </c>
      <c r="P2135" s="7">
        <v>29.7</v>
      </c>
      <c r="Q2135">
        <v>3</v>
      </c>
      <c r="R2135" t="s">
        <v>65</v>
      </c>
      <c r="S2135">
        <v>12</v>
      </c>
      <c r="T2135">
        <v>347</v>
      </c>
      <c r="U2135" s="11">
        <v>0.43388373911755823</v>
      </c>
      <c r="V2135" s="11">
        <v>-0.90096886790241903</v>
      </c>
      <c r="W2135" s="11">
        <v>-0.32512760299990928</v>
      </c>
      <c r="X2135" s="11">
        <v>0.9456701548465688</v>
      </c>
      <c r="Y2135">
        <v>0</v>
      </c>
      <c r="Z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6">
        <v>45638</v>
      </c>
      <c r="B2136" t="s">
        <v>36</v>
      </c>
      <c r="C2136" t="s">
        <v>37</v>
      </c>
      <c r="D2136" t="s">
        <v>38</v>
      </c>
      <c r="E2136" t="s">
        <v>39</v>
      </c>
      <c r="F2136">
        <v>125</v>
      </c>
      <c r="G2136">
        <v>320</v>
      </c>
      <c r="H2136">
        <v>185</v>
      </c>
      <c r="I2136">
        <v>76</v>
      </c>
      <c r="J2136" s="8">
        <v>0.60799999999999998</v>
      </c>
      <c r="K2136">
        <v>34</v>
      </c>
      <c r="L2136">
        <v>47</v>
      </c>
      <c r="M2136">
        <v>161</v>
      </c>
      <c r="N2136" s="10">
        <v>679.68</v>
      </c>
      <c r="O2136" s="7">
        <v>2.9</v>
      </c>
      <c r="P2136" s="7">
        <v>29.7</v>
      </c>
      <c r="Q2136">
        <v>3</v>
      </c>
      <c r="R2136" t="s">
        <v>65</v>
      </c>
      <c r="S2136">
        <v>12</v>
      </c>
      <c r="T2136">
        <v>347</v>
      </c>
      <c r="U2136" s="11">
        <v>0.43388373911755823</v>
      </c>
      <c r="V2136" s="11">
        <v>-0.90096886790241903</v>
      </c>
      <c r="W2136" s="11">
        <v>-0.32512760299990928</v>
      </c>
      <c r="X2136" s="11">
        <v>0.9456701548465688</v>
      </c>
      <c r="Y2136">
        <v>0</v>
      </c>
      <c r="Z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6">
        <v>45638</v>
      </c>
      <c r="B2137" t="s">
        <v>41</v>
      </c>
      <c r="C2137" t="s">
        <v>42</v>
      </c>
      <c r="D2137" t="s">
        <v>43</v>
      </c>
      <c r="E2137" t="s">
        <v>44</v>
      </c>
      <c r="F2137">
        <v>85</v>
      </c>
      <c r="G2137">
        <v>210</v>
      </c>
      <c r="H2137">
        <v>128</v>
      </c>
      <c r="I2137">
        <v>57</v>
      </c>
      <c r="J2137" s="8">
        <v>0.6705882352941176</v>
      </c>
      <c r="K2137">
        <v>19</v>
      </c>
      <c r="L2137">
        <v>20</v>
      </c>
      <c r="M2137">
        <v>120</v>
      </c>
      <c r="N2137" s="10">
        <v>507.32</v>
      </c>
      <c r="O2137" s="7">
        <v>2.9</v>
      </c>
      <c r="P2137" s="7">
        <v>29.7</v>
      </c>
      <c r="Q2137">
        <v>3</v>
      </c>
      <c r="R2137" t="s">
        <v>65</v>
      </c>
      <c r="S2137">
        <v>12</v>
      </c>
      <c r="T2137">
        <v>347</v>
      </c>
      <c r="U2137" s="11">
        <v>0.43388373911755823</v>
      </c>
      <c r="V2137" s="11">
        <v>-0.90096886790241903</v>
      </c>
      <c r="W2137" s="11">
        <v>-0.32512760299990928</v>
      </c>
      <c r="X2137" s="11">
        <v>0.9456701548465688</v>
      </c>
      <c r="Y2137">
        <v>0</v>
      </c>
      <c r="Z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6">
        <v>45639</v>
      </c>
      <c r="B2138" t="s">
        <v>31</v>
      </c>
      <c r="C2138" t="s">
        <v>32</v>
      </c>
      <c r="D2138" t="s">
        <v>33</v>
      </c>
      <c r="E2138" t="s">
        <v>34</v>
      </c>
      <c r="F2138">
        <v>140</v>
      </c>
      <c r="G2138">
        <v>360</v>
      </c>
      <c r="H2138">
        <v>184</v>
      </c>
      <c r="I2138">
        <v>76</v>
      </c>
      <c r="J2138" s="8">
        <v>0.54285714285714282</v>
      </c>
      <c r="K2138">
        <v>39</v>
      </c>
      <c r="L2138">
        <v>32</v>
      </c>
      <c r="M2138">
        <v>149</v>
      </c>
      <c r="N2138" s="10">
        <v>392.72</v>
      </c>
      <c r="O2138" s="7">
        <v>0</v>
      </c>
      <c r="P2138" s="7">
        <v>27.7</v>
      </c>
      <c r="Q2138">
        <v>4</v>
      </c>
      <c r="R2138" t="s">
        <v>66</v>
      </c>
      <c r="S2138">
        <v>12</v>
      </c>
      <c r="T2138">
        <v>348</v>
      </c>
      <c r="U2138" s="11">
        <v>-0.43388373911755801</v>
      </c>
      <c r="V2138" s="11">
        <v>-0.90096886790241915</v>
      </c>
      <c r="W2138" s="11">
        <v>-0.30881248126625377</v>
      </c>
      <c r="X2138" s="11">
        <v>0.95112294232353567</v>
      </c>
      <c r="Y2138">
        <v>0</v>
      </c>
      <c r="Z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6">
        <v>45639</v>
      </c>
      <c r="B2139" t="s">
        <v>36</v>
      </c>
      <c r="C2139" t="s">
        <v>37</v>
      </c>
      <c r="D2139" t="s">
        <v>38</v>
      </c>
      <c r="E2139" t="s">
        <v>39</v>
      </c>
      <c r="F2139">
        <v>125</v>
      </c>
      <c r="G2139">
        <v>320</v>
      </c>
      <c r="H2139">
        <v>162</v>
      </c>
      <c r="I2139">
        <v>70</v>
      </c>
      <c r="J2139" s="8">
        <v>0.56000000000000005</v>
      </c>
      <c r="K2139">
        <v>36</v>
      </c>
      <c r="L2139">
        <v>28</v>
      </c>
      <c r="M2139">
        <v>140</v>
      </c>
      <c r="N2139" s="10">
        <v>639.21</v>
      </c>
      <c r="O2139" s="7">
        <v>0</v>
      </c>
      <c r="P2139" s="7">
        <v>27.7</v>
      </c>
      <c r="Q2139">
        <v>4</v>
      </c>
      <c r="R2139" t="s">
        <v>66</v>
      </c>
      <c r="S2139">
        <v>12</v>
      </c>
      <c r="T2139">
        <v>348</v>
      </c>
      <c r="U2139" s="11">
        <v>-0.43388373911755801</v>
      </c>
      <c r="V2139" s="11">
        <v>-0.90096886790241915</v>
      </c>
      <c r="W2139" s="11">
        <v>-0.30881248126625377</v>
      </c>
      <c r="X2139" s="11">
        <v>0.95112294232353567</v>
      </c>
      <c r="Y2139">
        <v>0</v>
      </c>
      <c r="Z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6">
        <v>45639</v>
      </c>
      <c r="B2140" t="s">
        <v>41</v>
      </c>
      <c r="C2140" t="s">
        <v>42</v>
      </c>
      <c r="D2140" t="s">
        <v>43</v>
      </c>
      <c r="E2140" t="s">
        <v>44</v>
      </c>
      <c r="F2140">
        <v>85</v>
      </c>
      <c r="G2140">
        <v>210</v>
      </c>
      <c r="H2140">
        <v>121</v>
      </c>
      <c r="I2140">
        <v>54</v>
      </c>
      <c r="J2140" s="8">
        <v>0.63529411764705879</v>
      </c>
      <c r="K2140">
        <v>20</v>
      </c>
      <c r="L2140">
        <v>28</v>
      </c>
      <c r="M2140">
        <v>100</v>
      </c>
      <c r="N2140" s="10">
        <v>554.79999999999995</v>
      </c>
      <c r="O2140" s="7">
        <v>0</v>
      </c>
      <c r="P2140" s="7">
        <v>27.7</v>
      </c>
      <c r="Q2140">
        <v>4</v>
      </c>
      <c r="R2140" t="s">
        <v>66</v>
      </c>
      <c r="S2140">
        <v>12</v>
      </c>
      <c r="T2140">
        <v>348</v>
      </c>
      <c r="U2140" s="11">
        <v>-0.43388373911755801</v>
      </c>
      <c r="V2140" s="11">
        <v>-0.90096886790241915</v>
      </c>
      <c r="W2140" s="11">
        <v>-0.30881248126625377</v>
      </c>
      <c r="X2140" s="11">
        <v>0.95112294232353567</v>
      </c>
      <c r="Y2140">
        <v>0</v>
      </c>
      <c r="Z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6">
        <v>45640</v>
      </c>
      <c r="B2141" t="s">
        <v>31</v>
      </c>
      <c r="C2141" t="s">
        <v>32</v>
      </c>
      <c r="D2141" t="s">
        <v>33</v>
      </c>
      <c r="E2141" t="s">
        <v>34</v>
      </c>
      <c r="F2141">
        <v>140</v>
      </c>
      <c r="G2141">
        <v>360</v>
      </c>
      <c r="H2141">
        <v>230</v>
      </c>
      <c r="I2141">
        <v>101</v>
      </c>
      <c r="J2141" s="8">
        <v>0.72142857142857142</v>
      </c>
      <c r="K2141">
        <v>40</v>
      </c>
      <c r="L2141">
        <v>55</v>
      </c>
      <c r="M2141">
        <v>202</v>
      </c>
      <c r="N2141" s="10">
        <v>463.7</v>
      </c>
      <c r="O2141" s="7">
        <v>1.8</v>
      </c>
      <c r="P2141" s="7">
        <v>28.2</v>
      </c>
      <c r="Q2141">
        <v>5</v>
      </c>
      <c r="R2141" t="s">
        <v>67</v>
      </c>
      <c r="S2141">
        <v>12</v>
      </c>
      <c r="T2141">
        <v>349</v>
      </c>
      <c r="U2141" s="11">
        <v>-0.97492791218182362</v>
      </c>
      <c r="V2141" s="11">
        <v>-0.22252093395631459</v>
      </c>
      <c r="W2141" s="11">
        <v>-0.29240597695107734</v>
      </c>
      <c r="X2141" s="11">
        <v>0.95629427721977189</v>
      </c>
      <c r="Y2141">
        <v>1</v>
      </c>
      <c r="Z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6">
        <v>45640</v>
      </c>
      <c r="B2142" t="s">
        <v>36</v>
      </c>
      <c r="C2142" t="s">
        <v>37</v>
      </c>
      <c r="D2142" t="s">
        <v>38</v>
      </c>
      <c r="E2142" t="s">
        <v>39</v>
      </c>
      <c r="F2142">
        <v>125</v>
      </c>
      <c r="G2142">
        <v>320</v>
      </c>
      <c r="H2142">
        <v>195</v>
      </c>
      <c r="I2142">
        <v>82</v>
      </c>
      <c r="J2142" s="8">
        <v>0.65600000000000003</v>
      </c>
      <c r="K2142">
        <v>26</v>
      </c>
      <c r="L2142">
        <v>47</v>
      </c>
      <c r="M2142">
        <v>172</v>
      </c>
      <c r="N2142" s="10">
        <v>650.33000000000004</v>
      </c>
      <c r="O2142" s="7">
        <v>1.8</v>
      </c>
      <c r="P2142" s="7">
        <v>28.2</v>
      </c>
      <c r="Q2142">
        <v>5</v>
      </c>
      <c r="R2142" t="s">
        <v>67</v>
      </c>
      <c r="S2142">
        <v>12</v>
      </c>
      <c r="T2142">
        <v>349</v>
      </c>
      <c r="U2142" s="11">
        <v>-0.97492791218182362</v>
      </c>
      <c r="V2142" s="11">
        <v>-0.22252093395631459</v>
      </c>
      <c r="W2142" s="11">
        <v>-0.29240597695107734</v>
      </c>
      <c r="X2142" s="11">
        <v>0.95629427721977189</v>
      </c>
      <c r="Y2142">
        <v>1</v>
      </c>
      <c r="Z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6">
        <v>45640</v>
      </c>
      <c r="B2143" t="s">
        <v>41</v>
      </c>
      <c r="C2143" t="s">
        <v>42</v>
      </c>
      <c r="D2143" t="s">
        <v>43</v>
      </c>
      <c r="E2143" t="s">
        <v>44</v>
      </c>
      <c r="F2143">
        <v>85</v>
      </c>
      <c r="G2143">
        <v>210</v>
      </c>
      <c r="H2143">
        <v>152</v>
      </c>
      <c r="I2143">
        <v>67</v>
      </c>
      <c r="J2143" s="8">
        <v>0.78823529411764703</v>
      </c>
      <c r="K2143">
        <v>38</v>
      </c>
      <c r="L2143">
        <v>29</v>
      </c>
      <c r="M2143">
        <v>140</v>
      </c>
      <c r="N2143" s="10">
        <v>540.91</v>
      </c>
      <c r="O2143" s="7">
        <v>1.8</v>
      </c>
      <c r="P2143" s="7">
        <v>28.2</v>
      </c>
      <c r="Q2143">
        <v>5</v>
      </c>
      <c r="R2143" t="s">
        <v>67</v>
      </c>
      <c r="S2143">
        <v>12</v>
      </c>
      <c r="T2143">
        <v>349</v>
      </c>
      <c r="U2143" s="11">
        <v>-0.97492791218182362</v>
      </c>
      <c r="V2143" s="11">
        <v>-0.22252093395631459</v>
      </c>
      <c r="W2143" s="11">
        <v>-0.29240597695107734</v>
      </c>
      <c r="X2143" s="11">
        <v>0.95629427721977189</v>
      </c>
      <c r="Y2143">
        <v>1</v>
      </c>
      <c r="Z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6">
        <v>45641</v>
      </c>
      <c r="B2144" t="s">
        <v>31</v>
      </c>
      <c r="C2144" t="s">
        <v>32</v>
      </c>
      <c r="D2144" t="s">
        <v>33</v>
      </c>
      <c r="E2144" t="s">
        <v>34</v>
      </c>
      <c r="F2144">
        <v>140</v>
      </c>
      <c r="G2144">
        <v>360</v>
      </c>
      <c r="H2144">
        <v>243</v>
      </c>
      <c r="I2144">
        <v>105</v>
      </c>
      <c r="J2144" s="8">
        <v>0.75</v>
      </c>
      <c r="K2144">
        <v>57</v>
      </c>
      <c r="L2144">
        <v>24</v>
      </c>
      <c r="M2144">
        <v>207</v>
      </c>
      <c r="N2144" s="10">
        <v>535.32000000000005</v>
      </c>
      <c r="O2144" s="7">
        <v>0</v>
      </c>
      <c r="P2144" s="7">
        <v>28.6</v>
      </c>
      <c r="Q2144">
        <v>6</v>
      </c>
      <c r="R2144" t="s">
        <v>60</v>
      </c>
      <c r="S2144">
        <v>12</v>
      </c>
      <c r="T2144">
        <v>350</v>
      </c>
      <c r="U2144" s="11">
        <v>-0.78183148246802991</v>
      </c>
      <c r="V2144" s="11">
        <v>0.62348980185873337</v>
      </c>
      <c r="W2144" s="11">
        <v>-0.27591294500296043</v>
      </c>
      <c r="X2144" s="11">
        <v>0.96118262925408371</v>
      </c>
      <c r="Y2144">
        <v>1</v>
      </c>
      <c r="Z2144">
        <v>0</v>
      </c>
      <c r="AB2144">
        <v>1</v>
      </c>
      <c r="AC2144">
        <v>0</v>
      </c>
      <c r="AD2144">
        <v>0</v>
      </c>
      <c r="AE2144">
        <v>0</v>
      </c>
    </row>
    <row r="2145" spans="1:31">
      <c r="A2145" s="6">
        <v>45641</v>
      </c>
      <c r="B2145" t="s">
        <v>36</v>
      </c>
      <c r="C2145" t="s">
        <v>37</v>
      </c>
      <c r="D2145" t="s">
        <v>38</v>
      </c>
      <c r="E2145" t="s">
        <v>39</v>
      </c>
      <c r="F2145">
        <v>125</v>
      </c>
      <c r="G2145">
        <v>320</v>
      </c>
      <c r="H2145">
        <v>244</v>
      </c>
      <c r="I2145">
        <v>102</v>
      </c>
      <c r="J2145" s="8">
        <v>0.81599999999999995</v>
      </c>
      <c r="K2145">
        <v>38</v>
      </c>
      <c r="L2145">
        <v>44</v>
      </c>
      <c r="M2145">
        <v>223</v>
      </c>
      <c r="N2145" s="10">
        <v>709.48</v>
      </c>
      <c r="O2145" s="7">
        <v>0</v>
      </c>
      <c r="P2145" s="7">
        <v>28.6</v>
      </c>
      <c r="Q2145">
        <v>6</v>
      </c>
      <c r="R2145" t="s">
        <v>60</v>
      </c>
      <c r="S2145">
        <v>12</v>
      </c>
      <c r="T2145">
        <v>350</v>
      </c>
      <c r="U2145" s="11">
        <v>-0.78183148246802991</v>
      </c>
      <c r="V2145" s="11">
        <v>0.62348980185873337</v>
      </c>
      <c r="W2145" s="11">
        <v>-0.27591294500296043</v>
      </c>
      <c r="X2145" s="11">
        <v>0.96118262925408371</v>
      </c>
      <c r="Y2145">
        <v>1</v>
      </c>
      <c r="Z2145">
        <v>0</v>
      </c>
      <c r="AB2145">
        <v>1</v>
      </c>
      <c r="AC2145">
        <v>0</v>
      </c>
      <c r="AD2145">
        <v>0</v>
      </c>
      <c r="AE2145">
        <v>0</v>
      </c>
    </row>
    <row r="2146" spans="1:31">
      <c r="A2146" s="6">
        <v>45641</v>
      </c>
      <c r="B2146" t="s">
        <v>41</v>
      </c>
      <c r="C2146" t="s">
        <v>42</v>
      </c>
      <c r="D2146" t="s">
        <v>43</v>
      </c>
      <c r="E2146" t="s">
        <v>44</v>
      </c>
      <c r="F2146">
        <v>85</v>
      </c>
      <c r="G2146">
        <v>210</v>
      </c>
      <c r="H2146">
        <v>187</v>
      </c>
      <c r="I2146">
        <v>82</v>
      </c>
      <c r="J2146" s="8">
        <v>0.96470588235294119</v>
      </c>
      <c r="K2146">
        <v>31</v>
      </c>
      <c r="L2146">
        <v>50</v>
      </c>
      <c r="M2146">
        <v>159</v>
      </c>
      <c r="N2146" s="10">
        <v>700.12</v>
      </c>
      <c r="O2146" s="7">
        <v>0</v>
      </c>
      <c r="P2146" s="7">
        <v>28.6</v>
      </c>
      <c r="Q2146">
        <v>6</v>
      </c>
      <c r="R2146" t="s">
        <v>60</v>
      </c>
      <c r="S2146">
        <v>12</v>
      </c>
      <c r="T2146">
        <v>350</v>
      </c>
      <c r="U2146" s="11">
        <v>-0.78183148246802991</v>
      </c>
      <c r="V2146" s="11">
        <v>0.62348980185873337</v>
      </c>
      <c r="W2146" s="11">
        <v>-0.27591294500296043</v>
      </c>
      <c r="X2146" s="11">
        <v>0.96118262925408371</v>
      </c>
      <c r="Y2146">
        <v>1</v>
      </c>
      <c r="Z2146">
        <v>0</v>
      </c>
      <c r="AB2146">
        <v>1</v>
      </c>
      <c r="AC2146">
        <v>0</v>
      </c>
      <c r="AD2146">
        <v>0</v>
      </c>
      <c r="AE2146">
        <v>0</v>
      </c>
    </row>
    <row r="2147" spans="1:31">
      <c r="A2147" s="6">
        <v>45642</v>
      </c>
      <c r="B2147" t="s">
        <v>31</v>
      </c>
      <c r="C2147" t="s">
        <v>32</v>
      </c>
      <c r="D2147" t="s">
        <v>33</v>
      </c>
      <c r="E2147" t="s">
        <v>34</v>
      </c>
      <c r="F2147">
        <v>140</v>
      </c>
      <c r="G2147">
        <v>360</v>
      </c>
      <c r="H2147">
        <v>228</v>
      </c>
      <c r="I2147">
        <v>96</v>
      </c>
      <c r="J2147" s="8">
        <v>0.68571428571428572</v>
      </c>
      <c r="K2147">
        <v>41</v>
      </c>
      <c r="L2147">
        <v>43</v>
      </c>
      <c r="M2147">
        <v>187</v>
      </c>
      <c r="N2147" s="10">
        <v>481.35</v>
      </c>
      <c r="O2147" s="7">
        <v>0</v>
      </c>
      <c r="P2147" s="7">
        <v>29.5</v>
      </c>
      <c r="Q2147">
        <v>0</v>
      </c>
      <c r="R2147" t="s">
        <v>62</v>
      </c>
      <c r="S2147">
        <v>12</v>
      </c>
      <c r="T2147">
        <v>351</v>
      </c>
      <c r="U2147" s="11">
        <v>0</v>
      </c>
      <c r="V2147" s="11">
        <v>1</v>
      </c>
      <c r="W2147" s="11">
        <v>-0.2593382659754056</v>
      </c>
      <c r="X2147" s="11">
        <v>0.96578655188445739</v>
      </c>
      <c r="Y2147">
        <v>0</v>
      </c>
      <c r="Z2147">
        <v>0</v>
      </c>
      <c r="AB2147">
        <v>1</v>
      </c>
      <c r="AC2147">
        <v>0</v>
      </c>
      <c r="AD2147">
        <v>0</v>
      </c>
      <c r="AE2147">
        <v>0</v>
      </c>
    </row>
    <row r="2148" spans="1:31">
      <c r="A2148" s="6">
        <v>45642</v>
      </c>
      <c r="B2148" t="s">
        <v>36</v>
      </c>
      <c r="C2148" t="s">
        <v>37</v>
      </c>
      <c r="D2148" t="s">
        <v>38</v>
      </c>
      <c r="E2148" t="s">
        <v>39</v>
      </c>
      <c r="F2148">
        <v>125</v>
      </c>
      <c r="G2148">
        <v>320</v>
      </c>
      <c r="H2148">
        <v>221</v>
      </c>
      <c r="I2148">
        <v>94</v>
      </c>
      <c r="J2148" s="8">
        <v>0.752</v>
      </c>
      <c r="K2148">
        <v>40</v>
      </c>
      <c r="L2148">
        <v>40</v>
      </c>
      <c r="M2148">
        <v>206</v>
      </c>
      <c r="N2148" s="10">
        <v>624.64</v>
      </c>
      <c r="O2148" s="7">
        <v>0</v>
      </c>
      <c r="P2148" s="7">
        <v>29.5</v>
      </c>
      <c r="Q2148">
        <v>0</v>
      </c>
      <c r="R2148" t="s">
        <v>62</v>
      </c>
      <c r="S2148">
        <v>12</v>
      </c>
      <c r="T2148">
        <v>351</v>
      </c>
      <c r="U2148" s="11">
        <v>0</v>
      </c>
      <c r="V2148" s="11">
        <v>1</v>
      </c>
      <c r="W2148" s="11">
        <v>-0.2593382659754056</v>
      </c>
      <c r="X2148" s="11">
        <v>0.96578655188445739</v>
      </c>
      <c r="Y2148">
        <v>0</v>
      </c>
      <c r="Z2148">
        <v>0</v>
      </c>
      <c r="AB2148">
        <v>1</v>
      </c>
      <c r="AC2148">
        <v>0</v>
      </c>
      <c r="AD2148">
        <v>0</v>
      </c>
      <c r="AE2148">
        <v>0</v>
      </c>
    </row>
    <row r="2149" spans="1:31">
      <c r="A2149" s="6">
        <v>45642</v>
      </c>
      <c r="B2149" t="s">
        <v>41</v>
      </c>
      <c r="C2149" t="s">
        <v>42</v>
      </c>
      <c r="D2149" t="s">
        <v>43</v>
      </c>
      <c r="E2149" t="s">
        <v>44</v>
      </c>
      <c r="F2149">
        <v>85</v>
      </c>
      <c r="G2149">
        <v>210</v>
      </c>
      <c r="H2149">
        <v>160</v>
      </c>
      <c r="I2149">
        <v>72</v>
      </c>
      <c r="J2149" s="8">
        <v>0.84705882352941175</v>
      </c>
      <c r="K2149">
        <v>26</v>
      </c>
      <c r="L2149">
        <v>19</v>
      </c>
      <c r="M2149">
        <v>129</v>
      </c>
      <c r="N2149" s="10">
        <v>584.65</v>
      </c>
      <c r="O2149" s="7">
        <v>0</v>
      </c>
      <c r="P2149" s="7">
        <v>29.5</v>
      </c>
      <c r="Q2149">
        <v>0</v>
      </c>
      <c r="R2149" t="s">
        <v>62</v>
      </c>
      <c r="S2149">
        <v>12</v>
      </c>
      <c r="T2149">
        <v>351</v>
      </c>
      <c r="U2149" s="11">
        <v>0</v>
      </c>
      <c r="V2149" s="11">
        <v>1</v>
      </c>
      <c r="W2149" s="11">
        <v>-0.2593382659754056</v>
      </c>
      <c r="X2149" s="11">
        <v>0.96578655188445739</v>
      </c>
      <c r="Y2149">
        <v>0</v>
      </c>
      <c r="Z2149">
        <v>0</v>
      </c>
      <c r="AB2149">
        <v>1</v>
      </c>
      <c r="AC2149">
        <v>0</v>
      </c>
      <c r="AD2149">
        <v>0</v>
      </c>
      <c r="AE2149">
        <v>0</v>
      </c>
    </row>
    <row r="2150" spans="1:31">
      <c r="A2150" s="6">
        <v>45643</v>
      </c>
      <c r="B2150" t="s">
        <v>31</v>
      </c>
      <c r="C2150" t="s">
        <v>32</v>
      </c>
      <c r="D2150" t="s">
        <v>33</v>
      </c>
      <c r="E2150" t="s">
        <v>34</v>
      </c>
      <c r="F2150">
        <v>140</v>
      </c>
      <c r="G2150">
        <v>360</v>
      </c>
      <c r="H2150">
        <v>219</v>
      </c>
      <c r="I2150">
        <v>95</v>
      </c>
      <c r="J2150" s="8">
        <v>0.6785714285714286</v>
      </c>
      <c r="K2150">
        <v>25</v>
      </c>
      <c r="L2150">
        <v>48</v>
      </c>
      <c r="M2150">
        <v>185</v>
      </c>
      <c r="N2150" s="10">
        <v>472.87</v>
      </c>
      <c r="O2150" s="7">
        <v>0.7</v>
      </c>
      <c r="P2150" s="7">
        <v>28.8</v>
      </c>
      <c r="Q2150">
        <v>1</v>
      </c>
      <c r="R2150" t="s">
        <v>63</v>
      </c>
      <c r="S2150">
        <v>12</v>
      </c>
      <c r="T2150">
        <v>352</v>
      </c>
      <c r="U2150" s="11">
        <v>0.7818314824680298</v>
      </c>
      <c r="V2150" s="11">
        <v>0.62348980185873359</v>
      </c>
      <c r="W2150" s="11">
        <v>-0.2426868445825954</v>
      </c>
      <c r="X2150" s="11">
        <v>0.9701046827361175</v>
      </c>
      <c r="Y2150">
        <v>0</v>
      </c>
      <c r="Z2150">
        <v>0</v>
      </c>
      <c r="AB2150">
        <v>1</v>
      </c>
      <c r="AC2150">
        <v>0</v>
      </c>
      <c r="AD2150">
        <v>0</v>
      </c>
      <c r="AE2150">
        <v>0</v>
      </c>
    </row>
    <row r="2151" spans="1:31">
      <c r="A2151" s="6">
        <v>45643</v>
      </c>
      <c r="B2151" t="s">
        <v>36</v>
      </c>
      <c r="C2151" t="s">
        <v>37</v>
      </c>
      <c r="D2151" t="s">
        <v>38</v>
      </c>
      <c r="E2151" t="s">
        <v>39</v>
      </c>
      <c r="F2151">
        <v>125</v>
      </c>
      <c r="G2151">
        <v>320</v>
      </c>
      <c r="H2151">
        <v>239</v>
      </c>
      <c r="I2151">
        <v>101</v>
      </c>
      <c r="J2151" s="8">
        <v>0.80800000000000005</v>
      </c>
      <c r="K2151">
        <v>64</v>
      </c>
      <c r="L2151">
        <v>24</v>
      </c>
      <c r="M2151">
        <v>197</v>
      </c>
      <c r="N2151" s="10">
        <v>735.2</v>
      </c>
      <c r="O2151" s="7">
        <v>0.7</v>
      </c>
      <c r="P2151" s="7">
        <v>28.8</v>
      </c>
      <c r="Q2151">
        <v>1</v>
      </c>
      <c r="R2151" t="s">
        <v>63</v>
      </c>
      <c r="S2151">
        <v>12</v>
      </c>
      <c r="T2151">
        <v>352</v>
      </c>
      <c r="U2151" s="11">
        <v>0.7818314824680298</v>
      </c>
      <c r="V2151" s="11">
        <v>0.62348980185873359</v>
      </c>
      <c r="W2151" s="11">
        <v>-0.2426868445825954</v>
      </c>
      <c r="X2151" s="11">
        <v>0.9701046827361175</v>
      </c>
      <c r="Y2151">
        <v>0</v>
      </c>
      <c r="Z2151">
        <v>0</v>
      </c>
      <c r="AB2151">
        <v>1</v>
      </c>
      <c r="AC2151">
        <v>0</v>
      </c>
      <c r="AD2151">
        <v>0</v>
      </c>
      <c r="AE2151">
        <v>0</v>
      </c>
    </row>
    <row r="2152" spans="1:31">
      <c r="A2152" s="6">
        <v>45643</v>
      </c>
      <c r="B2152" t="s">
        <v>41</v>
      </c>
      <c r="C2152" t="s">
        <v>42</v>
      </c>
      <c r="D2152" t="s">
        <v>43</v>
      </c>
      <c r="E2152" t="s">
        <v>44</v>
      </c>
      <c r="F2152">
        <v>85</v>
      </c>
      <c r="G2152">
        <v>210</v>
      </c>
      <c r="H2152">
        <v>163</v>
      </c>
      <c r="I2152">
        <v>73</v>
      </c>
      <c r="J2152" s="8">
        <v>0.85882352941176465</v>
      </c>
      <c r="K2152">
        <v>26</v>
      </c>
      <c r="L2152">
        <v>32</v>
      </c>
      <c r="M2152">
        <v>138</v>
      </c>
      <c r="N2152" s="10">
        <v>533</v>
      </c>
      <c r="O2152" s="7">
        <v>0.7</v>
      </c>
      <c r="P2152" s="7">
        <v>28.8</v>
      </c>
      <c r="Q2152">
        <v>1</v>
      </c>
      <c r="R2152" t="s">
        <v>63</v>
      </c>
      <c r="S2152">
        <v>12</v>
      </c>
      <c r="T2152">
        <v>352</v>
      </c>
      <c r="U2152" s="11">
        <v>0.7818314824680298</v>
      </c>
      <c r="V2152" s="11">
        <v>0.62348980185873359</v>
      </c>
      <c r="W2152" s="11">
        <v>-0.2426868445825954</v>
      </c>
      <c r="X2152" s="11">
        <v>0.9701046827361175</v>
      </c>
      <c r="Y2152">
        <v>0</v>
      </c>
      <c r="Z2152">
        <v>0</v>
      </c>
      <c r="AB2152">
        <v>1</v>
      </c>
      <c r="AC2152">
        <v>0</v>
      </c>
      <c r="AD2152">
        <v>0</v>
      </c>
      <c r="AE2152">
        <v>0</v>
      </c>
    </row>
    <row r="2153" spans="1:31">
      <c r="A2153" s="6">
        <v>45644</v>
      </c>
      <c r="B2153" t="s">
        <v>31</v>
      </c>
      <c r="C2153" t="s">
        <v>32</v>
      </c>
      <c r="D2153" t="s">
        <v>33</v>
      </c>
      <c r="E2153" t="s">
        <v>34</v>
      </c>
      <c r="F2153">
        <v>140</v>
      </c>
      <c r="G2153">
        <v>360</v>
      </c>
      <c r="H2153">
        <v>228</v>
      </c>
      <c r="I2153">
        <v>98</v>
      </c>
      <c r="J2153" s="8">
        <v>0.7</v>
      </c>
      <c r="K2153">
        <v>45</v>
      </c>
      <c r="L2153">
        <v>60</v>
      </c>
      <c r="M2153">
        <v>213</v>
      </c>
      <c r="N2153" s="10">
        <v>484.56</v>
      </c>
      <c r="O2153" s="7">
        <v>0</v>
      </c>
      <c r="P2153" s="7">
        <v>28.3</v>
      </c>
      <c r="Q2153">
        <v>2</v>
      </c>
      <c r="R2153" t="s">
        <v>64</v>
      </c>
      <c r="S2153">
        <v>12</v>
      </c>
      <c r="T2153">
        <v>353</v>
      </c>
      <c r="U2153" s="11">
        <v>0.97492791218182362</v>
      </c>
      <c r="V2153" s="11">
        <v>-0.22252093395631434</v>
      </c>
      <c r="W2153" s="11">
        <v>-0.22596360824801906</v>
      </c>
      <c r="X2153" s="11">
        <v>0.97413574400467196</v>
      </c>
      <c r="Y2153">
        <v>0</v>
      </c>
      <c r="Z2153">
        <v>0</v>
      </c>
      <c r="AB2153">
        <v>1</v>
      </c>
      <c r="AC2153">
        <v>0</v>
      </c>
      <c r="AD2153">
        <v>0</v>
      </c>
      <c r="AE2153">
        <v>0</v>
      </c>
    </row>
    <row r="2154" spans="1:31">
      <c r="A2154" s="6">
        <v>45644</v>
      </c>
      <c r="B2154" t="s">
        <v>36</v>
      </c>
      <c r="C2154" t="s">
        <v>37</v>
      </c>
      <c r="D2154" t="s">
        <v>38</v>
      </c>
      <c r="E2154" t="s">
        <v>39</v>
      </c>
      <c r="F2154">
        <v>125</v>
      </c>
      <c r="G2154">
        <v>320</v>
      </c>
      <c r="H2154">
        <v>244</v>
      </c>
      <c r="I2154">
        <v>100</v>
      </c>
      <c r="J2154" s="8">
        <v>0.8</v>
      </c>
      <c r="K2154">
        <v>34</v>
      </c>
      <c r="L2154">
        <v>45</v>
      </c>
      <c r="M2154">
        <v>203</v>
      </c>
      <c r="N2154" s="10">
        <v>650.86</v>
      </c>
      <c r="O2154" s="7">
        <v>0</v>
      </c>
      <c r="P2154" s="7">
        <v>28.3</v>
      </c>
      <c r="Q2154">
        <v>2</v>
      </c>
      <c r="R2154" t="s">
        <v>64</v>
      </c>
      <c r="S2154">
        <v>12</v>
      </c>
      <c r="T2154">
        <v>353</v>
      </c>
      <c r="U2154" s="11">
        <v>0.97492791218182362</v>
      </c>
      <c r="V2154" s="11">
        <v>-0.22252093395631434</v>
      </c>
      <c r="W2154" s="11">
        <v>-0.22596360824801906</v>
      </c>
      <c r="X2154" s="11">
        <v>0.97413574400467196</v>
      </c>
      <c r="Y2154">
        <v>0</v>
      </c>
      <c r="Z2154">
        <v>0</v>
      </c>
      <c r="AB2154">
        <v>1</v>
      </c>
      <c r="AC2154">
        <v>0</v>
      </c>
      <c r="AD2154">
        <v>0</v>
      </c>
      <c r="AE2154">
        <v>0</v>
      </c>
    </row>
    <row r="2155" spans="1:31">
      <c r="A2155" s="6">
        <v>45644</v>
      </c>
      <c r="B2155" t="s">
        <v>41</v>
      </c>
      <c r="C2155" t="s">
        <v>42</v>
      </c>
      <c r="D2155" t="s">
        <v>43</v>
      </c>
      <c r="E2155" t="s">
        <v>44</v>
      </c>
      <c r="F2155">
        <v>85</v>
      </c>
      <c r="G2155">
        <v>210</v>
      </c>
      <c r="H2155">
        <v>154</v>
      </c>
      <c r="I2155">
        <v>70</v>
      </c>
      <c r="J2155" s="8">
        <v>0.82352941176470584</v>
      </c>
      <c r="K2155">
        <v>32</v>
      </c>
      <c r="L2155">
        <v>19</v>
      </c>
      <c r="M2155">
        <v>144</v>
      </c>
      <c r="N2155" s="10">
        <v>528.46</v>
      </c>
      <c r="O2155" s="7">
        <v>0</v>
      </c>
      <c r="P2155" s="7">
        <v>28.3</v>
      </c>
      <c r="Q2155">
        <v>2</v>
      </c>
      <c r="R2155" t="s">
        <v>64</v>
      </c>
      <c r="S2155">
        <v>12</v>
      </c>
      <c r="T2155">
        <v>353</v>
      </c>
      <c r="U2155" s="11">
        <v>0.97492791218182362</v>
      </c>
      <c r="V2155" s="11">
        <v>-0.22252093395631434</v>
      </c>
      <c r="W2155" s="11">
        <v>-0.22596360824801906</v>
      </c>
      <c r="X2155" s="11">
        <v>0.97413574400467196</v>
      </c>
      <c r="Y2155">
        <v>0</v>
      </c>
      <c r="Z2155">
        <v>0</v>
      </c>
      <c r="AB2155">
        <v>1</v>
      </c>
      <c r="AC2155">
        <v>0</v>
      </c>
      <c r="AD2155">
        <v>0</v>
      </c>
      <c r="AE2155">
        <v>0</v>
      </c>
    </row>
    <row r="2156" spans="1:31">
      <c r="A2156" s="6">
        <v>45645</v>
      </c>
      <c r="B2156" t="s">
        <v>31</v>
      </c>
      <c r="C2156" t="s">
        <v>32</v>
      </c>
      <c r="D2156" t="s">
        <v>33</v>
      </c>
      <c r="E2156" t="s">
        <v>34</v>
      </c>
      <c r="F2156">
        <v>140</v>
      </c>
      <c r="G2156">
        <v>360</v>
      </c>
      <c r="H2156">
        <v>228</v>
      </c>
      <c r="I2156">
        <v>98</v>
      </c>
      <c r="J2156" s="8">
        <v>0.7</v>
      </c>
      <c r="K2156">
        <v>37</v>
      </c>
      <c r="L2156">
        <v>47</v>
      </c>
      <c r="M2156">
        <v>195</v>
      </c>
      <c r="N2156" s="10">
        <v>453.96</v>
      </c>
      <c r="O2156" s="7">
        <v>1.2</v>
      </c>
      <c r="P2156" s="7">
        <v>29.1</v>
      </c>
      <c r="Q2156">
        <v>3</v>
      </c>
      <c r="R2156" t="s">
        <v>65</v>
      </c>
      <c r="S2156">
        <v>12</v>
      </c>
      <c r="T2156">
        <v>354</v>
      </c>
      <c r="U2156" s="11">
        <v>0.43388373911755823</v>
      </c>
      <c r="V2156" s="11">
        <v>-0.90096886790241903</v>
      </c>
      <c r="W2156" s="11">
        <v>-0.20917350564635637</v>
      </c>
      <c r="X2156" s="11">
        <v>0.97787854283423858</v>
      </c>
      <c r="Y2156">
        <v>0</v>
      </c>
      <c r="Z2156">
        <v>0</v>
      </c>
      <c r="AB2156">
        <v>1</v>
      </c>
      <c r="AC2156">
        <v>0</v>
      </c>
      <c r="AD2156">
        <v>0</v>
      </c>
      <c r="AE2156">
        <v>0</v>
      </c>
    </row>
    <row r="2157" spans="1:31">
      <c r="A2157" s="6">
        <v>45645</v>
      </c>
      <c r="B2157" t="s">
        <v>36</v>
      </c>
      <c r="C2157" t="s">
        <v>37</v>
      </c>
      <c r="D2157" t="s">
        <v>38</v>
      </c>
      <c r="E2157" t="s">
        <v>39</v>
      </c>
      <c r="F2157">
        <v>125</v>
      </c>
      <c r="G2157">
        <v>320</v>
      </c>
      <c r="H2157">
        <v>228</v>
      </c>
      <c r="I2157">
        <v>94</v>
      </c>
      <c r="J2157" s="8">
        <v>0.752</v>
      </c>
      <c r="K2157">
        <v>32</v>
      </c>
      <c r="L2157">
        <v>47</v>
      </c>
      <c r="M2157">
        <v>209</v>
      </c>
      <c r="N2157" s="10">
        <v>685.04</v>
      </c>
      <c r="O2157" s="7">
        <v>1.2</v>
      </c>
      <c r="P2157" s="7">
        <v>29.1</v>
      </c>
      <c r="Q2157">
        <v>3</v>
      </c>
      <c r="R2157" t="s">
        <v>65</v>
      </c>
      <c r="S2157">
        <v>12</v>
      </c>
      <c r="T2157">
        <v>354</v>
      </c>
      <c r="U2157" s="11">
        <v>0.43388373911755823</v>
      </c>
      <c r="V2157" s="11">
        <v>-0.90096886790241903</v>
      </c>
      <c r="W2157" s="11">
        <v>-0.20917350564635637</v>
      </c>
      <c r="X2157" s="11">
        <v>0.97787854283423858</v>
      </c>
      <c r="Y2157">
        <v>0</v>
      </c>
      <c r="Z2157">
        <v>0</v>
      </c>
      <c r="AB2157">
        <v>1</v>
      </c>
      <c r="AC2157">
        <v>0</v>
      </c>
      <c r="AD2157">
        <v>0</v>
      </c>
      <c r="AE2157">
        <v>0</v>
      </c>
    </row>
    <row r="2158" spans="1:31">
      <c r="A2158" s="6">
        <v>45645</v>
      </c>
      <c r="B2158" t="s">
        <v>41</v>
      </c>
      <c r="C2158" t="s">
        <v>42</v>
      </c>
      <c r="D2158" t="s">
        <v>43</v>
      </c>
      <c r="E2158" t="s">
        <v>44</v>
      </c>
      <c r="F2158">
        <v>85</v>
      </c>
      <c r="G2158">
        <v>210</v>
      </c>
      <c r="H2158">
        <v>164</v>
      </c>
      <c r="I2158">
        <v>74</v>
      </c>
      <c r="J2158" s="8">
        <v>0.87058823529411766</v>
      </c>
      <c r="K2158">
        <v>34</v>
      </c>
      <c r="L2158">
        <v>32</v>
      </c>
      <c r="M2158">
        <v>145</v>
      </c>
      <c r="N2158" s="10">
        <v>522.19000000000005</v>
      </c>
      <c r="O2158" s="7">
        <v>1.2</v>
      </c>
      <c r="P2158" s="7">
        <v>29.1</v>
      </c>
      <c r="Q2158">
        <v>3</v>
      </c>
      <c r="R2158" t="s">
        <v>65</v>
      </c>
      <c r="S2158">
        <v>12</v>
      </c>
      <c r="T2158">
        <v>354</v>
      </c>
      <c r="U2158" s="11">
        <v>0.43388373911755823</v>
      </c>
      <c r="V2158" s="11">
        <v>-0.90096886790241903</v>
      </c>
      <c r="W2158" s="11">
        <v>-0.20917350564635637</v>
      </c>
      <c r="X2158" s="11">
        <v>0.97787854283423858</v>
      </c>
      <c r="Y2158">
        <v>0</v>
      </c>
      <c r="Z2158">
        <v>0</v>
      </c>
      <c r="AB2158">
        <v>1</v>
      </c>
      <c r="AC2158">
        <v>0</v>
      </c>
      <c r="AD2158">
        <v>0</v>
      </c>
      <c r="AE2158">
        <v>0</v>
      </c>
    </row>
    <row r="2159" spans="1:31">
      <c r="A2159" s="6">
        <v>45646</v>
      </c>
      <c r="B2159" t="s">
        <v>31</v>
      </c>
      <c r="C2159" t="s">
        <v>32</v>
      </c>
      <c r="D2159" t="s">
        <v>33</v>
      </c>
      <c r="E2159" t="s">
        <v>34</v>
      </c>
      <c r="F2159">
        <v>140</v>
      </c>
      <c r="G2159">
        <v>360</v>
      </c>
      <c r="H2159">
        <v>233</v>
      </c>
      <c r="I2159">
        <v>103</v>
      </c>
      <c r="J2159" s="8">
        <v>0.73571428571428577</v>
      </c>
      <c r="K2159">
        <v>45</v>
      </c>
      <c r="L2159">
        <v>36</v>
      </c>
      <c r="M2159">
        <v>212</v>
      </c>
      <c r="N2159" s="10">
        <v>500.06</v>
      </c>
      <c r="O2159" s="7">
        <v>3.7</v>
      </c>
      <c r="P2159" s="7">
        <v>29.2</v>
      </c>
      <c r="Q2159">
        <v>4</v>
      </c>
      <c r="R2159" t="s">
        <v>66</v>
      </c>
      <c r="S2159">
        <v>12</v>
      </c>
      <c r="T2159">
        <v>355</v>
      </c>
      <c r="U2159" s="11">
        <v>-0.43388373911755801</v>
      </c>
      <c r="V2159" s="11">
        <v>-0.90096886790241915</v>
      </c>
      <c r="W2159" s="11">
        <v>-0.19232150523909483</v>
      </c>
      <c r="X2159" s="11">
        <v>0.98133197167042752</v>
      </c>
      <c r="Y2159">
        <v>0</v>
      </c>
      <c r="Z2159">
        <v>0</v>
      </c>
      <c r="AB2159">
        <v>1</v>
      </c>
      <c r="AC2159">
        <v>0</v>
      </c>
      <c r="AD2159">
        <v>0</v>
      </c>
      <c r="AE2159">
        <v>0</v>
      </c>
    </row>
    <row r="2160" spans="1:31">
      <c r="A2160" s="6">
        <v>45646</v>
      </c>
      <c r="B2160" t="s">
        <v>36</v>
      </c>
      <c r="C2160" t="s">
        <v>37</v>
      </c>
      <c r="D2160" t="s">
        <v>38</v>
      </c>
      <c r="E2160" t="s">
        <v>39</v>
      </c>
      <c r="F2160">
        <v>125</v>
      </c>
      <c r="G2160">
        <v>320</v>
      </c>
      <c r="H2160">
        <v>218</v>
      </c>
      <c r="I2160">
        <v>92</v>
      </c>
      <c r="J2160" s="8">
        <v>0.73599999999999999</v>
      </c>
      <c r="K2160">
        <v>30</v>
      </c>
      <c r="L2160">
        <v>39</v>
      </c>
      <c r="M2160">
        <v>181</v>
      </c>
      <c r="N2160" s="10">
        <v>619.77</v>
      </c>
      <c r="O2160" s="7">
        <v>3.7</v>
      </c>
      <c r="P2160" s="7">
        <v>29.2</v>
      </c>
      <c r="Q2160">
        <v>4</v>
      </c>
      <c r="R2160" t="s">
        <v>66</v>
      </c>
      <c r="S2160">
        <v>12</v>
      </c>
      <c r="T2160">
        <v>355</v>
      </c>
      <c r="U2160" s="11">
        <v>-0.43388373911755801</v>
      </c>
      <c r="V2160" s="11">
        <v>-0.90096886790241915</v>
      </c>
      <c r="W2160" s="11">
        <v>-0.19232150523909483</v>
      </c>
      <c r="X2160" s="11">
        <v>0.98133197167042752</v>
      </c>
      <c r="Y2160">
        <v>0</v>
      </c>
      <c r="Z2160">
        <v>0</v>
      </c>
      <c r="AB2160">
        <v>1</v>
      </c>
      <c r="AC2160">
        <v>0</v>
      </c>
      <c r="AD2160">
        <v>0</v>
      </c>
      <c r="AE2160">
        <v>0</v>
      </c>
    </row>
    <row r="2161" spans="1:31">
      <c r="A2161" s="6">
        <v>45646</v>
      </c>
      <c r="B2161" t="s">
        <v>41</v>
      </c>
      <c r="C2161" t="s">
        <v>42</v>
      </c>
      <c r="D2161" t="s">
        <v>43</v>
      </c>
      <c r="E2161" t="s">
        <v>44</v>
      </c>
      <c r="F2161">
        <v>85</v>
      </c>
      <c r="G2161">
        <v>210</v>
      </c>
      <c r="H2161">
        <v>150</v>
      </c>
      <c r="I2161">
        <v>68</v>
      </c>
      <c r="J2161" s="8">
        <v>0.8</v>
      </c>
      <c r="K2161">
        <v>30</v>
      </c>
      <c r="L2161">
        <v>25</v>
      </c>
      <c r="M2161">
        <v>120</v>
      </c>
      <c r="N2161" s="10">
        <v>625.86</v>
      </c>
      <c r="O2161" s="7">
        <v>3.7</v>
      </c>
      <c r="P2161" s="7">
        <v>29.2</v>
      </c>
      <c r="Q2161">
        <v>4</v>
      </c>
      <c r="R2161" t="s">
        <v>66</v>
      </c>
      <c r="S2161">
        <v>12</v>
      </c>
      <c r="T2161">
        <v>355</v>
      </c>
      <c r="U2161" s="11">
        <v>-0.43388373911755801</v>
      </c>
      <c r="V2161" s="11">
        <v>-0.90096886790241915</v>
      </c>
      <c r="W2161" s="11">
        <v>-0.19232150523909483</v>
      </c>
      <c r="X2161" s="11">
        <v>0.98133197167042752</v>
      </c>
      <c r="Y2161">
        <v>0</v>
      </c>
      <c r="Z2161">
        <v>0</v>
      </c>
      <c r="AB2161">
        <v>1</v>
      </c>
      <c r="AC2161">
        <v>0</v>
      </c>
      <c r="AD2161">
        <v>0</v>
      </c>
      <c r="AE2161">
        <v>0</v>
      </c>
    </row>
    <row r="2162" spans="1:31">
      <c r="A2162" s="6">
        <v>45647</v>
      </c>
      <c r="B2162" t="s">
        <v>31</v>
      </c>
      <c r="C2162" t="s">
        <v>32</v>
      </c>
      <c r="D2162" t="s">
        <v>33</v>
      </c>
      <c r="E2162" t="s">
        <v>34</v>
      </c>
      <c r="F2162">
        <v>140</v>
      </c>
      <c r="G2162">
        <v>360</v>
      </c>
      <c r="H2162">
        <v>245</v>
      </c>
      <c r="I2162">
        <v>103</v>
      </c>
      <c r="J2162" s="8">
        <v>0.73571428571428577</v>
      </c>
      <c r="K2162">
        <v>33</v>
      </c>
      <c r="L2162">
        <v>54</v>
      </c>
      <c r="M2162">
        <v>212</v>
      </c>
      <c r="N2162" s="10">
        <v>504</v>
      </c>
      <c r="O2162" s="7">
        <v>0</v>
      </c>
      <c r="P2162" s="7">
        <v>28.7</v>
      </c>
      <c r="Q2162">
        <v>5</v>
      </c>
      <c r="R2162" t="s">
        <v>67</v>
      </c>
      <c r="S2162">
        <v>12</v>
      </c>
      <c r="T2162">
        <v>356</v>
      </c>
      <c r="U2162" s="11">
        <v>-0.97492791218182362</v>
      </c>
      <c r="V2162" s="11">
        <v>-0.22252093395631459</v>
      </c>
      <c r="W2162" s="11">
        <v>-0.17541259380427843</v>
      </c>
      <c r="X2162" s="11">
        <v>0.98449500858808581</v>
      </c>
      <c r="Y2162">
        <v>1</v>
      </c>
      <c r="Z2162">
        <v>0</v>
      </c>
      <c r="AB2162">
        <v>1</v>
      </c>
      <c r="AC2162">
        <v>0</v>
      </c>
      <c r="AD2162">
        <v>0</v>
      </c>
      <c r="AE2162">
        <v>0</v>
      </c>
    </row>
    <row r="2163" spans="1:31">
      <c r="A2163" s="6">
        <v>45647</v>
      </c>
      <c r="B2163" t="s">
        <v>36</v>
      </c>
      <c r="C2163" t="s">
        <v>37</v>
      </c>
      <c r="D2163" t="s">
        <v>38</v>
      </c>
      <c r="E2163" t="s">
        <v>39</v>
      </c>
      <c r="F2163">
        <v>125</v>
      </c>
      <c r="G2163">
        <v>320</v>
      </c>
      <c r="H2163">
        <v>256</v>
      </c>
      <c r="I2163">
        <v>105</v>
      </c>
      <c r="J2163" s="8">
        <v>0.84</v>
      </c>
      <c r="K2163">
        <v>57</v>
      </c>
      <c r="L2163">
        <v>28</v>
      </c>
      <c r="M2163">
        <v>231</v>
      </c>
      <c r="N2163" s="10">
        <v>742.46</v>
      </c>
      <c r="O2163" s="7">
        <v>0</v>
      </c>
      <c r="P2163" s="7">
        <v>28.7</v>
      </c>
      <c r="Q2163">
        <v>5</v>
      </c>
      <c r="R2163" t="s">
        <v>67</v>
      </c>
      <c r="S2163">
        <v>12</v>
      </c>
      <c r="T2163">
        <v>356</v>
      </c>
      <c r="U2163" s="11">
        <v>-0.97492791218182362</v>
      </c>
      <c r="V2163" s="11">
        <v>-0.22252093395631459</v>
      </c>
      <c r="W2163" s="11">
        <v>-0.17541259380427843</v>
      </c>
      <c r="X2163" s="11">
        <v>0.98449500858808581</v>
      </c>
      <c r="Y2163">
        <v>1</v>
      </c>
      <c r="Z2163">
        <v>0</v>
      </c>
      <c r="AB2163">
        <v>1</v>
      </c>
      <c r="AC2163">
        <v>0</v>
      </c>
      <c r="AD2163">
        <v>0</v>
      </c>
      <c r="AE2163">
        <v>0</v>
      </c>
    </row>
    <row r="2164" spans="1:31">
      <c r="A2164" s="6">
        <v>45647</v>
      </c>
      <c r="B2164" t="s">
        <v>41</v>
      </c>
      <c r="C2164" t="s">
        <v>42</v>
      </c>
      <c r="D2164" t="s">
        <v>43</v>
      </c>
      <c r="E2164" t="s">
        <v>44</v>
      </c>
      <c r="F2164">
        <v>85</v>
      </c>
      <c r="G2164">
        <v>210</v>
      </c>
      <c r="H2164">
        <v>167</v>
      </c>
      <c r="I2164">
        <v>78</v>
      </c>
      <c r="J2164" s="8">
        <v>0.91764705882352937</v>
      </c>
      <c r="K2164">
        <v>41</v>
      </c>
      <c r="L2164">
        <v>48</v>
      </c>
      <c r="M2164">
        <v>149</v>
      </c>
      <c r="N2164" s="10">
        <v>693.16</v>
      </c>
      <c r="O2164" s="7">
        <v>0</v>
      </c>
      <c r="P2164" s="7">
        <v>28.7</v>
      </c>
      <c r="Q2164">
        <v>5</v>
      </c>
      <c r="R2164" t="s">
        <v>67</v>
      </c>
      <c r="S2164">
        <v>12</v>
      </c>
      <c r="T2164">
        <v>356</v>
      </c>
      <c r="U2164" s="11">
        <v>-0.97492791218182362</v>
      </c>
      <c r="V2164" s="11">
        <v>-0.22252093395631459</v>
      </c>
      <c r="W2164" s="11">
        <v>-0.17541259380427843</v>
      </c>
      <c r="X2164" s="11">
        <v>0.98449500858808581</v>
      </c>
      <c r="Y2164">
        <v>1</v>
      </c>
      <c r="Z2164">
        <v>0</v>
      </c>
      <c r="AB2164">
        <v>1</v>
      </c>
      <c r="AC2164">
        <v>0</v>
      </c>
      <c r="AD2164">
        <v>0</v>
      </c>
      <c r="AE2164">
        <v>0</v>
      </c>
    </row>
    <row r="2165" spans="1:31">
      <c r="A2165" s="6">
        <v>45648</v>
      </c>
      <c r="B2165" t="s">
        <v>31</v>
      </c>
      <c r="C2165" t="s">
        <v>32</v>
      </c>
      <c r="D2165" t="s">
        <v>33</v>
      </c>
      <c r="E2165" t="s">
        <v>34</v>
      </c>
      <c r="F2165">
        <v>140</v>
      </c>
      <c r="G2165">
        <v>360</v>
      </c>
      <c r="H2165">
        <v>235</v>
      </c>
      <c r="I2165">
        <v>101</v>
      </c>
      <c r="J2165" s="8">
        <v>0.72142857142857142</v>
      </c>
      <c r="K2165">
        <v>46</v>
      </c>
      <c r="L2165">
        <v>54</v>
      </c>
      <c r="M2165">
        <v>217</v>
      </c>
      <c r="N2165" s="10">
        <v>534.16</v>
      </c>
      <c r="O2165" s="7">
        <v>0.4</v>
      </c>
      <c r="P2165" s="7">
        <v>29</v>
      </c>
      <c r="Q2165">
        <v>6</v>
      </c>
      <c r="R2165" t="s">
        <v>60</v>
      </c>
      <c r="S2165">
        <v>12</v>
      </c>
      <c r="T2165">
        <v>357</v>
      </c>
      <c r="U2165" s="11">
        <v>-0.78183148246802991</v>
      </c>
      <c r="V2165" s="11">
        <v>0.62348980185873337</v>
      </c>
      <c r="W2165" s="11">
        <v>-0.15845177496083632</v>
      </c>
      <c r="X2165" s="11">
        <v>0.98736671759370165</v>
      </c>
      <c r="Y2165">
        <v>1</v>
      </c>
      <c r="Z2165">
        <v>0</v>
      </c>
      <c r="AB2165">
        <v>1</v>
      </c>
      <c r="AC2165">
        <v>0</v>
      </c>
      <c r="AD2165">
        <v>0</v>
      </c>
      <c r="AE2165">
        <v>0</v>
      </c>
    </row>
    <row r="2166" spans="1:31">
      <c r="A2166" s="6">
        <v>45648</v>
      </c>
      <c r="B2166" t="s">
        <v>36</v>
      </c>
      <c r="C2166" t="s">
        <v>37</v>
      </c>
      <c r="D2166" t="s">
        <v>38</v>
      </c>
      <c r="E2166" t="s">
        <v>39</v>
      </c>
      <c r="F2166">
        <v>125</v>
      </c>
      <c r="G2166">
        <v>320</v>
      </c>
      <c r="H2166">
        <v>264</v>
      </c>
      <c r="I2166">
        <v>109</v>
      </c>
      <c r="J2166" s="8">
        <v>0.872</v>
      </c>
      <c r="K2166">
        <v>62</v>
      </c>
      <c r="L2166">
        <v>62</v>
      </c>
      <c r="M2166">
        <v>226</v>
      </c>
      <c r="N2166" s="10">
        <v>757.39</v>
      </c>
      <c r="O2166" s="7">
        <v>0.4</v>
      </c>
      <c r="P2166" s="7">
        <v>29</v>
      </c>
      <c r="Q2166">
        <v>6</v>
      </c>
      <c r="R2166" t="s">
        <v>60</v>
      </c>
      <c r="S2166">
        <v>12</v>
      </c>
      <c r="T2166">
        <v>357</v>
      </c>
      <c r="U2166" s="11">
        <v>-0.78183148246802991</v>
      </c>
      <c r="V2166" s="11">
        <v>0.62348980185873337</v>
      </c>
      <c r="W2166" s="11">
        <v>-0.15845177496083632</v>
      </c>
      <c r="X2166" s="11">
        <v>0.98736671759370165</v>
      </c>
      <c r="Y2166">
        <v>1</v>
      </c>
      <c r="Z2166">
        <v>0</v>
      </c>
      <c r="AB2166">
        <v>1</v>
      </c>
      <c r="AC2166">
        <v>0</v>
      </c>
      <c r="AD2166">
        <v>0</v>
      </c>
      <c r="AE2166">
        <v>0</v>
      </c>
    </row>
    <row r="2167" spans="1:31">
      <c r="A2167" s="6">
        <v>45648</v>
      </c>
      <c r="B2167" t="s">
        <v>41</v>
      </c>
      <c r="C2167" t="s">
        <v>42</v>
      </c>
      <c r="D2167" t="s">
        <v>43</v>
      </c>
      <c r="E2167" t="s">
        <v>44</v>
      </c>
      <c r="F2167">
        <v>85</v>
      </c>
      <c r="G2167">
        <v>210</v>
      </c>
      <c r="H2167">
        <v>183</v>
      </c>
      <c r="I2167">
        <v>81</v>
      </c>
      <c r="J2167" s="8">
        <v>0.95294117647058818</v>
      </c>
      <c r="K2167">
        <v>39</v>
      </c>
      <c r="L2167">
        <v>45</v>
      </c>
      <c r="M2167">
        <v>163</v>
      </c>
      <c r="N2167" s="10">
        <v>603.67999999999995</v>
      </c>
      <c r="O2167" s="7">
        <v>0.4</v>
      </c>
      <c r="P2167" s="7">
        <v>29</v>
      </c>
      <c r="Q2167">
        <v>6</v>
      </c>
      <c r="R2167" t="s">
        <v>60</v>
      </c>
      <c r="S2167">
        <v>12</v>
      </c>
      <c r="T2167">
        <v>357</v>
      </c>
      <c r="U2167" s="11">
        <v>-0.78183148246802991</v>
      </c>
      <c r="V2167" s="11">
        <v>0.62348980185873337</v>
      </c>
      <c r="W2167" s="11">
        <v>-0.15845177496083632</v>
      </c>
      <c r="X2167" s="11">
        <v>0.98736671759370165</v>
      </c>
      <c r="Y2167">
        <v>1</v>
      </c>
      <c r="Z2167">
        <v>0</v>
      </c>
      <c r="AB2167">
        <v>1</v>
      </c>
      <c r="AC2167">
        <v>0</v>
      </c>
      <c r="AD2167">
        <v>0</v>
      </c>
      <c r="AE2167">
        <v>0</v>
      </c>
    </row>
    <row r="2168" spans="1:31">
      <c r="A2168" s="6">
        <v>45649</v>
      </c>
      <c r="B2168" t="s">
        <v>31</v>
      </c>
      <c r="C2168" t="s">
        <v>32</v>
      </c>
      <c r="D2168" t="s">
        <v>33</v>
      </c>
      <c r="E2168" t="s">
        <v>34</v>
      </c>
      <c r="F2168">
        <v>140</v>
      </c>
      <c r="G2168">
        <v>360</v>
      </c>
      <c r="H2168">
        <v>224</v>
      </c>
      <c r="I2168">
        <v>95</v>
      </c>
      <c r="J2168" s="8">
        <v>0.6785714285714286</v>
      </c>
      <c r="K2168">
        <v>51</v>
      </c>
      <c r="L2168">
        <v>35</v>
      </c>
      <c r="M2168">
        <v>192</v>
      </c>
      <c r="N2168" s="10">
        <v>437.55</v>
      </c>
      <c r="O2168" s="7">
        <v>1.9</v>
      </c>
      <c r="P2168" s="7">
        <v>28.5</v>
      </c>
      <c r="Q2168">
        <v>0</v>
      </c>
      <c r="R2168" t="s">
        <v>62</v>
      </c>
      <c r="S2168">
        <v>12</v>
      </c>
      <c r="T2168">
        <v>358</v>
      </c>
      <c r="U2168" s="11">
        <v>0</v>
      </c>
      <c r="V2168" s="11">
        <v>1</v>
      </c>
      <c r="W2168" s="11">
        <v>-0.14144406768794202</v>
      </c>
      <c r="X2168" s="11">
        <v>0.98994624890237792</v>
      </c>
      <c r="Y2168">
        <v>0</v>
      </c>
      <c r="Z2168">
        <v>0</v>
      </c>
      <c r="AB2168">
        <v>1</v>
      </c>
      <c r="AC2168">
        <v>0</v>
      </c>
      <c r="AD2168">
        <v>0</v>
      </c>
      <c r="AE2168">
        <v>0</v>
      </c>
    </row>
    <row r="2169" spans="1:31">
      <c r="A2169" s="6">
        <v>45649</v>
      </c>
      <c r="B2169" t="s">
        <v>36</v>
      </c>
      <c r="C2169" t="s">
        <v>37</v>
      </c>
      <c r="D2169" t="s">
        <v>38</v>
      </c>
      <c r="E2169" t="s">
        <v>39</v>
      </c>
      <c r="F2169">
        <v>125</v>
      </c>
      <c r="G2169">
        <v>320</v>
      </c>
      <c r="H2169">
        <v>220</v>
      </c>
      <c r="I2169">
        <v>93</v>
      </c>
      <c r="J2169" s="8">
        <v>0.74399999999999999</v>
      </c>
      <c r="K2169">
        <v>48</v>
      </c>
      <c r="L2169">
        <v>43</v>
      </c>
      <c r="M2169">
        <v>193</v>
      </c>
      <c r="N2169" s="10">
        <v>716.49</v>
      </c>
      <c r="O2169" s="7">
        <v>1.9</v>
      </c>
      <c r="P2169" s="7">
        <v>28.5</v>
      </c>
      <c r="Q2169">
        <v>0</v>
      </c>
      <c r="R2169" t="s">
        <v>62</v>
      </c>
      <c r="S2169">
        <v>12</v>
      </c>
      <c r="T2169">
        <v>358</v>
      </c>
      <c r="U2169" s="11">
        <v>0</v>
      </c>
      <c r="V2169" s="11">
        <v>1</v>
      </c>
      <c r="W2169" s="11">
        <v>-0.14144406768794202</v>
      </c>
      <c r="X2169" s="11">
        <v>0.98994624890237792</v>
      </c>
      <c r="Y2169">
        <v>0</v>
      </c>
      <c r="Z2169">
        <v>0</v>
      </c>
      <c r="AB2169">
        <v>1</v>
      </c>
      <c r="AC2169">
        <v>0</v>
      </c>
      <c r="AD2169">
        <v>0</v>
      </c>
      <c r="AE2169">
        <v>0</v>
      </c>
    </row>
    <row r="2170" spans="1:31">
      <c r="A2170" s="6">
        <v>45649</v>
      </c>
      <c r="B2170" t="s">
        <v>41</v>
      </c>
      <c r="C2170" t="s">
        <v>42</v>
      </c>
      <c r="D2170" t="s">
        <v>43</v>
      </c>
      <c r="E2170" t="s">
        <v>44</v>
      </c>
      <c r="F2170">
        <v>85</v>
      </c>
      <c r="G2170">
        <v>210</v>
      </c>
      <c r="H2170">
        <v>162</v>
      </c>
      <c r="I2170">
        <v>71</v>
      </c>
      <c r="J2170" s="8">
        <v>0.83529411764705885</v>
      </c>
      <c r="K2170">
        <v>38</v>
      </c>
      <c r="L2170">
        <v>19</v>
      </c>
      <c r="M2170">
        <v>133</v>
      </c>
      <c r="N2170" s="10">
        <v>552</v>
      </c>
      <c r="O2170" s="7">
        <v>1.9</v>
      </c>
      <c r="P2170" s="7">
        <v>28.5</v>
      </c>
      <c r="Q2170">
        <v>0</v>
      </c>
      <c r="R2170" t="s">
        <v>62</v>
      </c>
      <c r="S2170">
        <v>12</v>
      </c>
      <c r="T2170">
        <v>358</v>
      </c>
      <c r="U2170" s="11">
        <v>0</v>
      </c>
      <c r="V2170" s="11">
        <v>1</v>
      </c>
      <c r="W2170" s="11">
        <v>-0.14144406768794202</v>
      </c>
      <c r="X2170" s="11">
        <v>0.98994624890237792</v>
      </c>
      <c r="Y2170">
        <v>0</v>
      </c>
      <c r="Z2170">
        <v>0</v>
      </c>
      <c r="AB2170">
        <v>1</v>
      </c>
      <c r="AC2170">
        <v>0</v>
      </c>
      <c r="AD2170">
        <v>0</v>
      </c>
      <c r="AE2170">
        <v>0</v>
      </c>
    </row>
    <row r="2171" spans="1:31">
      <c r="A2171" s="6">
        <v>45650</v>
      </c>
      <c r="B2171" t="s">
        <v>31</v>
      </c>
      <c r="C2171" t="s">
        <v>32</v>
      </c>
      <c r="D2171" t="s">
        <v>33</v>
      </c>
      <c r="E2171" t="s">
        <v>34</v>
      </c>
      <c r="F2171">
        <v>140</v>
      </c>
      <c r="G2171">
        <v>360</v>
      </c>
      <c r="H2171">
        <v>223</v>
      </c>
      <c r="I2171">
        <v>92</v>
      </c>
      <c r="J2171" s="8">
        <v>0.65714285714285714</v>
      </c>
      <c r="K2171">
        <v>50</v>
      </c>
      <c r="L2171">
        <v>38</v>
      </c>
      <c r="M2171">
        <v>191</v>
      </c>
      <c r="N2171" s="10">
        <v>464.01</v>
      </c>
      <c r="O2171" s="7">
        <v>0.4</v>
      </c>
      <c r="P2171" s="7">
        <v>30.4</v>
      </c>
      <c r="Q2171">
        <v>1</v>
      </c>
      <c r="R2171" t="s">
        <v>63</v>
      </c>
      <c r="S2171">
        <v>12</v>
      </c>
      <c r="T2171">
        <v>359</v>
      </c>
      <c r="U2171" s="11">
        <v>0.7818314824680298</v>
      </c>
      <c r="V2171" s="11">
        <v>0.62348980185873359</v>
      </c>
      <c r="W2171" s="11">
        <v>-0.12439450483979998</v>
      </c>
      <c r="X2171" s="11">
        <v>0.99223283918930083</v>
      </c>
      <c r="Y2171">
        <v>0</v>
      </c>
      <c r="Z2171">
        <v>0</v>
      </c>
      <c r="AB2171">
        <v>1</v>
      </c>
      <c r="AC2171">
        <v>0</v>
      </c>
      <c r="AD2171">
        <v>0</v>
      </c>
      <c r="AE2171">
        <v>0</v>
      </c>
    </row>
    <row r="2172" spans="1:31">
      <c r="A2172" s="6">
        <v>45650</v>
      </c>
      <c r="B2172" t="s">
        <v>36</v>
      </c>
      <c r="C2172" t="s">
        <v>37</v>
      </c>
      <c r="D2172" t="s">
        <v>38</v>
      </c>
      <c r="E2172" t="s">
        <v>39</v>
      </c>
      <c r="F2172">
        <v>125</v>
      </c>
      <c r="G2172">
        <v>320</v>
      </c>
      <c r="H2172">
        <v>227</v>
      </c>
      <c r="I2172">
        <v>95</v>
      </c>
      <c r="J2172" s="8">
        <v>0.76</v>
      </c>
      <c r="K2172">
        <v>42</v>
      </c>
      <c r="L2172">
        <v>35</v>
      </c>
      <c r="M2172">
        <v>195</v>
      </c>
      <c r="N2172" s="10">
        <v>714.43</v>
      </c>
      <c r="O2172" s="7">
        <v>0.4</v>
      </c>
      <c r="P2172" s="7">
        <v>30.4</v>
      </c>
      <c r="Q2172">
        <v>1</v>
      </c>
      <c r="R2172" t="s">
        <v>63</v>
      </c>
      <c r="S2172">
        <v>12</v>
      </c>
      <c r="T2172">
        <v>359</v>
      </c>
      <c r="U2172" s="11">
        <v>0.7818314824680298</v>
      </c>
      <c r="V2172" s="11">
        <v>0.62348980185873359</v>
      </c>
      <c r="W2172" s="11">
        <v>-0.12439450483979998</v>
      </c>
      <c r="X2172" s="11">
        <v>0.99223283918930083</v>
      </c>
      <c r="Y2172">
        <v>0</v>
      </c>
      <c r="Z2172">
        <v>0</v>
      </c>
      <c r="AB2172">
        <v>1</v>
      </c>
      <c r="AC2172">
        <v>0</v>
      </c>
      <c r="AD2172">
        <v>0</v>
      </c>
      <c r="AE2172">
        <v>0</v>
      </c>
    </row>
    <row r="2173" spans="1:31">
      <c r="A2173" s="6">
        <v>45650</v>
      </c>
      <c r="B2173" t="s">
        <v>41</v>
      </c>
      <c r="C2173" t="s">
        <v>42</v>
      </c>
      <c r="D2173" t="s">
        <v>43</v>
      </c>
      <c r="E2173" t="s">
        <v>44</v>
      </c>
      <c r="F2173">
        <v>85</v>
      </c>
      <c r="G2173">
        <v>210</v>
      </c>
      <c r="H2173">
        <v>158</v>
      </c>
      <c r="I2173">
        <v>71</v>
      </c>
      <c r="J2173" s="8">
        <v>0.83529411764705885</v>
      </c>
      <c r="K2173">
        <v>25</v>
      </c>
      <c r="L2173">
        <v>39</v>
      </c>
      <c r="M2173">
        <v>147</v>
      </c>
      <c r="N2173" s="10">
        <v>534.15</v>
      </c>
      <c r="O2173" s="7">
        <v>0.4</v>
      </c>
      <c r="P2173" s="7">
        <v>30.4</v>
      </c>
      <c r="Q2173">
        <v>1</v>
      </c>
      <c r="R2173" t="s">
        <v>63</v>
      </c>
      <c r="S2173">
        <v>12</v>
      </c>
      <c r="T2173">
        <v>359</v>
      </c>
      <c r="U2173" s="11">
        <v>0.7818314824680298</v>
      </c>
      <c r="V2173" s="11">
        <v>0.62348980185873359</v>
      </c>
      <c r="W2173" s="11">
        <v>-0.12439450483979998</v>
      </c>
      <c r="X2173" s="11">
        <v>0.99223283918930083</v>
      </c>
      <c r="Y2173">
        <v>0</v>
      </c>
      <c r="Z2173">
        <v>0</v>
      </c>
      <c r="AB2173">
        <v>1</v>
      </c>
      <c r="AC2173">
        <v>0</v>
      </c>
      <c r="AD2173">
        <v>0</v>
      </c>
      <c r="AE2173">
        <v>0</v>
      </c>
    </row>
    <row r="2174" spans="1:31">
      <c r="A2174" s="6">
        <v>45651</v>
      </c>
      <c r="B2174" t="s">
        <v>31</v>
      </c>
      <c r="C2174" t="s">
        <v>32</v>
      </c>
      <c r="D2174" t="s">
        <v>33</v>
      </c>
      <c r="E2174" t="s">
        <v>34</v>
      </c>
      <c r="F2174">
        <v>140</v>
      </c>
      <c r="G2174">
        <v>360</v>
      </c>
      <c r="H2174">
        <v>275</v>
      </c>
      <c r="I2174">
        <v>118</v>
      </c>
      <c r="J2174" s="8">
        <v>0.84285714285714286</v>
      </c>
      <c r="K2174">
        <v>78</v>
      </c>
      <c r="L2174">
        <v>40</v>
      </c>
      <c r="M2174">
        <v>234</v>
      </c>
      <c r="N2174" s="10">
        <v>429.91</v>
      </c>
      <c r="O2174" s="7">
        <v>1.9</v>
      </c>
      <c r="P2174" s="7">
        <v>29.3</v>
      </c>
      <c r="Q2174">
        <v>2</v>
      </c>
      <c r="R2174" t="s">
        <v>64</v>
      </c>
      <c r="S2174">
        <v>12</v>
      </c>
      <c r="T2174">
        <v>360</v>
      </c>
      <c r="U2174" s="11">
        <v>0.97492791218182362</v>
      </c>
      <c r="V2174" s="11">
        <v>-0.22252093395631434</v>
      </c>
      <c r="W2174" s="11">
        <v>-0.10730813165636247</v>
      </c>
      <c r="X2174" s="11">
        <v>0.99422581181561609</v>
      </c>
      <c r="Y2174">
        <v>0</v>
      </c>
      <c r="Z2174">
        <v>1</v>
      </c>
      <c r="AA2174" t="s">
        <v>76</v>
      </c>
      <c r="AB2174">
        <v>1</v>
      </c>
      <c r="AC2174">
        <v>0</v>
      </c>
      <c r="AD2174">
        <v>0</v>
      </c>
      <c r="AE2174">
        <v>0</v>
      </c>
    </row>
    <row r="2175" spans="1:31">
      <c r="A2175" s="6">
        <v>45651</v>
      </c>
      <c r="B2175" t="s">
        <v>36</v>
      </c>
      <c r="C2175" t="s">
        <v>37</v>
      </c>
      <c r="D2175" t="s">
        <v>38</v>
      </c>
      <c r="E2175" t="s">
        <v>39</v>
      </c>
      <c r="F2175">
        <v>125</v>
      </c>
      <c r="G2175">
        <v>320</v>
      </c>
      <c r="H2175">
        <v>249</v>
      </c>
      <c r="I2175">
        <v>102</v>
      </c>
      <c r="J2175" s="8">
        <v>0.81599999999999995</v>
      </c>
      <c r="K2175">
        <v>71</v>
      </c>
      <c r="L2175">
        <v>64</v>
      </c>
      <c r="M2175">
        <v>230</v>
      </c>
      <c r="N2175" s="10">
        <v>676.8</v>
      </c>
      <c r="O2175" s="7">
        <v>1.9</v>
      </c>
      <c r="P2175" s="7">
        <v>29.3</v>
      </c>
      <c r="Q2175">
        <v>2</v>
      </c>
      <c r="R2175" t="s">
        <v>64</v>
      </c>
      <c r="S2175">
        <v>12</v>
      </c>
      <c r="T2175">
        <v>360</v>
      </c>
      <c r="U2175" s="11">
        <v>0.97492791218182362</v>
      </c>
      <c r="V2175" s="11">
        <v>-0.22252093395631434</v>
      </c>
      <c r="W2175" s="11">
        <v>-0.10730813165636247</v>
      </c>
      <c r="X2175" s="11">
        <v>0.99422581181561609</v>
      </c>
      <c r="Y2175">
        <v>0</v>
      </c>
      <c r="Z2175">
        <v>1</v>
      </c>
      <c r="AA2175" t="s">
        <v>76</v>
      </c>
      <c r="AB2175">
        <v>1</v>
      </c>
      <c r="AC2175">
        <v>0</v>
      </c>
      <c r="AD2175">
        <v>0</v>
      </c>
      <c r="AE2175">
        <v>0</v>
      </c>
    </row>
    <row r="2176" spans="1:31">
      <c r="A2176" s="6">
        <v>45651</v>
      </c>
      <c r="B2176" t="s">
        <v>41</v>
      </c>
      <c r="C2176" t="s">
        <v>42</v>
      </c>
      <c r="D2176" t="s">
        <v>43</v>
      </c>
      <c r="E2176" t="s">
        <v>44</v>
      </c>
      <c r="F2176">
        <v>85</v>
      </c>
      <c r="G2176">
        <v>210</v>
      </c>
      <c r="H2176">
        <v>181</v>
      </c>
      <c r="I2176">
        <v>77</v>
      </c>
      <c r="J2176" s="8">
        <v>0.90588235294117647</v>
      </c>
      <c r="K2176">
        <v>30</v>
      </c>
      <c r="L2176">
        <v>25</v>
      </c>
      <c r="M2176">
        <v>148</v>
      </c>
      <c r="N2176" s="10">
        <v>534.67999999999995</v>
      </c>
      <c r="O2176" s="7">
        <v>1.9</v>
      </c>
      <c r="P2176" s="7">
        <v>29.3</v>
      </c>
      <c r="Q2176">
        <v>2</v>
      </c>
      <c r="R2176" t="s">
        <v>64</v>
      </c>
      <c r="S2176">
        <v>12</v>
      </c>
      <c r="T2176">
        <v>360</v>
      </c>
      <c r="U2176" s="11">
        <v>0.97492791218182362</v>
      </c>
      <c r="V2176" s="11">
        <v>-0.22252093395631434</v>
      </c>
      <c r="W2176" s="11">
        <v>-0.10730813165636247</v>
      </c>
      <c r="X2176" s="11">
        <v>0.99422581181561609</v>
      </c>
      <c r="Y2176">
        <v>0</v>
      </c>
      <c r="Z2176">
        <v>1</v>
      </c>
      <c r="AA2176" t="s">
        <v>76</v>
      </c>
      <c r="AB2176">
        <v>1</v>
      </c>
      <c r="AC2176">
        <v>0</v>
      </c>
      <c r="AD2176">
        <v>0</v>
      </c>
      <c r="AE2176">
        <v>0</v>
      </c>
    </row>
    <row r="2177" spans="1:31">
      <c r="A2177" s="6">
        <v>45652</v>
      </c>
      <c r="B2177" t="s">
        <v>31</v>
      </c>
      <c r="C2177" t="s">
        <v>32</v>
      </c>
      <c r="D2177" t="s">
        <v>33</v>
      </c>
      <c r="E2177" t="s">
        <v>34</v>
      </c>
      <c r="F2177">
        <v>140</v>
      </c>
      <c r="G2177">
        <v>360</v>
      </c>
      <c r="H2177">
        <v>235</v>
      </c>
      <c r="I2177">
        <v>99</v>
      </c>
      <c r="J2177" s="8">
        <v>0.70714285714285718</v>
      </c>
      <c r="K2177">
        <v>64</v>
      </c>
      <c r="L2177">
        <v>44</v>
      </c>
      <c r="M2177">
        <v>215</v>
      </c>
      <c r="N2177" s="10">
        <v>472.7</v>
      </c>
      <c r="O2177" s="7">
        <v>3</v>
      </c>
      <c r="P2177" s="7">
        <v>28.6</v>
      </c>
      <c r="Q2177">
        <v>3</v>
      </c>
      <c r="R2177" t="s">
        <v>65</v>
      </c>
      <c r="S2177">
        <v>12</v>
      </c>
      <c r="T2177">
        <v>361</v>
      </c>
      <c r="U2177" s="11">
        <v>0.43388373911755823</v>
      </c>
      <c r="V2177" s="11">
        <v>-0.90096886790241903</v>
      </c>
      <c r="W2177" s="11">
        <v>-9.0190004270345125E-2</v>
      </c>
      <c r="X2177" s="11">
        <v>0.99592457702865989</v>
      </c>
      <c r="Y2177">
        <v>0</v>
      </c>
      <c r="Z2177">
        <v>0</v>
      </c>
      <c r="AB2177">
        <v>1</v>
      </c>
      <c r="AC2177">
        <v>0</v>
      </c>
      <c r="AD2177">
        <v>0</v>
      </c>
      <c r="AE2177">
        <v>0</v>
      </c>
    </row>
    <row r="2178" spans="1:31">
      <c r="A2178" s="6">
        <v>45652</v>
      </c>
      <c r="B2178" t="s">
        <v>36</v>
      </c>
      <c r="C2178" t="s">
        <v>37</v>
      </c>
      <c r="D2178" t="s">
        <v>38</v>
      </c>
      <c r="E2178" t="s">
        <v>39</v>
      </c>
      <c r="F2178">
        <v>125</v>
      </c>
      <c r="G2178">
        <v>320</v>
      </c>
      <c r="H2178">
        <v>258</v>
      </c>
      <c r="I2178">
        <v>105</v>
      </c>
      <c r="J2178" s="8">
        <v>0.84</v>
      </c>
      <c r="K2178">
        <v>51</v>
      </c>
      <c r="L2178">
        <v>62</v>
      </c>
      <c r="M2178">
        <v>219</v>
      </c>
      <c r="N2178" s="10">
        <v>665.74</v>
      </c>
      <c r="O2178" s="7">
        <v>3</v>
      </c>
      <c r="P2178" s="7">
        <v>28.6</v>
      </c>
      <c r="Q2178">
        <v>3</v>
      </c>
      <c r="R2178" t="s">
        <v>65</v>
      </c>
      <c r="S2178">
        <v>12</v>
      </c>
      <c r="T2178">
        <v>361</v>
      </c>
      <c r="U2178" s="11">
        <v>0.43388373911755823</v>
      </c>
      <c r="V2178" s="11">
        <v>-0.90096886790241903</v>
      </c>
      <c r="W2178" s="11">
        <v>-9.0190004270345125E-2</v>
      </c>
      <c r="X2178" s="11">
        <v>0.99592457702865989</v>
      </c>
      <c r="Y2178">
        <v>0</v>
      </c>
      <c r="Z2178">
        <v>0</v>
      </c>
      <c r="AB2178">
        <v>1</v>
      </c>
      <c r="AC2178">
        <v>0</v>
      </c>
      <c r="AD2178">
        <v>0</v>
      </c>
      <c r="AE2178">
        <v>0</v>
      </c>
    </row>
    <row r="2179" spans="1:31">
      <c r="A2179" s="6">
        <v>45652</v>
      </c>
      <c r="B2179" t="s">
        <v>41</v>
      </c>
      <c r="C2179" t="s">
        <v>42</v>
      </c>
      <c r="D2179" t="s">
        <v>43</v>
      </c>
      <c r="E2179" t="s">
        <v>44</v>
      </c>
      <c r="F2179">
        <v>85</v>
      </c>
      <c r="G2179">
        <v>210</v>
      </c>
      <c r="H2179">
        <v>156</v>
      </c>
      <c r="I2179">
        <v>69</v>
      </c>
      <c r="J2179" s="8">
        <v>0.81176470588235294</v>
      </c>
      <c r="K2179">
        <v>40</v>
      </c>
      <c r="L2179">
        <v>15</v>
      </c>
      <c r="M2179">
        <v>132</v>
      </c>
      <c r="N2179" s="10">
        <v>542.89</v>
      </c>
      <c r="O2179" s="7">
        <v>3</v>
      </c>
      <c r="P2179" s="7">
        <v>28.6</v>
      </c>
      <c r="Q2179">
        <v>3</v>
      </c>
      <c r="R2179" t="s">
        <v>65</v>
      </c>
      <c r="S2179">
        <v>12</v>
      </c>
      <c r="T2179">
        <v>361</v>
      </c>
      <c r="U2179" s="11">
        <v>0.43388373911755823</v>
      </c>
      <c r="V2179" s="11">
        <v>-0.90096886790241903</v>
      </c>
      <c r="W2179" s="11">
        <v>-9.0190004270345125E-2</v>
      </c>
      <c r="X2179" s="11">
        <v>0.99592457702865989</v>
      </c>
      <c r="Y2179">
        <v>0</v>
      </c>
      <c r="Z2179">
        <v>0</v>
      </c>
      <c r="AB2179">
        <v>1</v>
      </c>
      <c r="AC2179">
        <v>0</v>
      </c>
      <c r="AD2179">
        <v>0</v>
      </c>
      <c r="AE2179">
        <v>0</v>
      </c>
    </row>
    <row r="2180" spans="1:31">
      <c r="A2180" s="6">
        <v>45653</v>
      </c>
      <c r="B2180" t="s">
        <v>31</v>
      </c>
      <c r="C2180" t="s">
        <v>32</v>
      </c>
      <c r="D2180" t="s">
        <v>33</v>
      </c>
      <c r="E2180" t="s">
        <v>34</v>
      </c>
      <c r="F2180">
        <v>140</v>
      </c>
      <c r="G2180">
        <v>360</v>
      </c>
      <c r="H2180">
        <v>247</v>
      </c>
      <c r="I2180">
        <v>107</v>
      </c>
      <c r="J2180" s="8">
        <v>0.76428571428571423</v>
      </c>
      <c r="K2180">
        <v>43</v>
      </c>
      <c r="L2180">
        <v>36</v>
      </c>
      <c r="M2180">
        <v>212</v>
      </c>
      <c r="N2180" s="10">
        <v>504.69</v>
      </c>
      <c r="O2180" s="7">
        <v>2.2999999999999998</v>
      </c>
      <c r="P2180" s="7">
        <v>29.5</v>
      </c>
      <c r="Q2180">
        <v>4</v>
      </c>
      <c r="R2180" t="s">
        <v>66</v>
      </c>
      <c r="S2180">
        <v>12</v>
      </c>
      <c r="T2180">
        <v>362</v>
      </c>
      <c r="U2180" s="11">
        <v>-0.43388373911755801</v>
      </c>
      <c r="V2180" s="11">
        <v>-0.90096886790241915</v>
      </c>
      <c r="W2180" s="11">
        <v>-7.3045188211047427E-2</v>
      </c>
      <c r="X2180" s="11">
        <v>0.99732863213647516</v>
      </c>
      <c r="Y2180">
        <v>0</v>
      </c>
      <c r="Z2180">
        <v>0</v>
      </c>
      <c r="AB2180">
        <v>1</v>
      </c>
      <c r="AC2180">
        <v>0</v>
      </c>
      <c r="AD2180">
        <v>0</v>
      </c>
      <c r="AE2180">
        <v>0</v>
      </c>
    </row>
    <row r="2181" spans="1:31">
      <c r="A2181" s="6">
        <v>45653</v>
      </c>
      <c r="B2181" t="s">
        <v>36</v>
      </c>
      <c r="C2181" t="s">
        <v>37</v>
      </c>
      <c r="D2181" t="s">
        <v>38</v>
      </c>
      <c r="E2181" t="s">
        <v>39</v>
      </c>
      <c r="F2181">
        <v>125</v>
      </c>
      <c r="G2181">
        <v>320</v>
      </c>
      <c r="H2181">
        <v>215</v>
      </c>
      <c r="I2181">
        <v>89</v>
      </c>
      <c r="J2181" s="8">
        <v>0.71199999999999997</v>
      </c>
      <c r="K2181">
        <v>52</v>
      </c>
      <c r="L2181">
        <v>36</v>
      </c>
      <c r="M2181">
        <v>179</v>
      </c>
      <c r="N2181" s="10">
        <v>622.52</v>
      </c>
      <c r="O2181" s="7">
        <v>2.2999999999999998</v>
      </c>
      <c r="P2181" s="7">
        <v>29.5</v>
      </c>
      <c r="Q2181">
        <v>4</v>
      </c>
      <c r="R2181" t="s">
        <v>66</v>
      </c>
      <c r="S2181">
        <v>12</v>
      </c>
      <c r="T2181">
        <v>362</v>
      </c>
      <c r="U2181" s="11">
        <v>-0.43388373911755801</v>
      </c>
      <c r="V2181" s="11">
        <v>-0.90096886790241915</v>
      </c>
      <c r="W2181" s="11">
        <v>-7.3045188211047427E-2</v>
      </c>
      <c r="X2181" s="11">
        <v>0.99732863213647516</v>
      </c>
      <c r="Y2181">
        <v>0</v>
      </c>
      <c r="Z2181">
        <v>0</v>
      </c>
      <c r="AB2181">
        <v>1</v>
      </c>
      <c r="AC2181">
        <v>0</v>
      </c>
      <c r="AD2181">
        <v>0</v>
      </c>
      <c r="AE2181">
        <v>0</v>
      </c>
    </row>
    <row r="2182" spans="1:31">
      <c r="A2182" s="6">
        <v>45653</v>
      </c>
      <c r="B2182" t="s">
        <v>41</v>
      </c>
      <c r="C2182" t="s">
        <v>42</v>
      </c>
      <c r="D2182" t="s">
        <v>43</v>
      </c>
      <c r="E2182" t="s">
        <v>44</v>
      </c>
      <c r="F2182">
        <v>85</v>
      </c>
      <c r="G2182">
        <v>210</v>
      </c>
      <c r="H2182">
        <v>155</v>
      </c>
      <c r="I2182">
        <v>66</v>
      </c>
      <c r="J2182" s="8">
        <v>0.77647058823529413</v>
      </c>
      <c r="K2182">
        <v>33</v>
      </c>
      <c r="L2182">
        <v>17</v>
      </c>
      <c r="M2182">
        <v>146</v>
      </c>
      <c r="N2182" s="10">
        <v>534.79999999999995</v>
      </c>
      <c r="O2182" s="7">
        <v>2.2999999999999998</v>
      </c>
      <c r="P2182" s="7">
        <v>29.5</v>
      </c>
      <c r="Q2182">
        <v>4</v>
      </c>
      <c r="R2182" t="s">
        <v>66</v>
      </c>
      <c r="S2182">
        <v>12</v>
      </c>
      <c r="T2182">
        <v>362</v>
      </c>
      <c r="U2182" s="11">
        <v>-0.43388373911755801</v>
      </c>
      <c r="V2182" s="11">
        <v>-0.90096886790241915</v>
      </c>
      <c r="W2182" s="11">
        <v>-7.3045188211047427E-2</v>
      </c>
      <c r="X2182" s="11">
        <v>0.99732863213647516</v>
      </c>
      <c r="Y2182">
        <v>0</v>
      </c>
      <c r="Z2182">
        <v>0</v>
      </c>
      <c r="AB2182">
        <v>1</v>
      </c>
      <c r="AC2182">
        <v>0</v>
      </c>
      <c r="AD2182">
        <v>0</v>
      </c>
      <c r="AE2182">
        <v>0</v>
      </c>
    </row>
    <row r="2183" spans="1:31">
      <c r="A2183" s="6">
        <v>45654</v>
      </c>
      <c r="B2183" t="s">
        <v>31</v>
      </c>
      <c r="C2183" t="s">
        <v>32</v>
      </c>
      <c r="D2183" t="s">
        <v>33</v>
      </c>
      <c r="E2183" t="s">
        <v>34</v>
      </c>
      <c r="F2183">
        <v>140</v>
      </c>
      <c r="G2183">
        <v>360</v>
      </c>
      <c r="H2183">
        <v>301</v>
      </c>
      <c r="I2183">
        <v>128</v>
      </c>
      <c r="J2183" s="8">
        <v>0.91428571428571426</v>
      </c>
      <c r="K2183">
        <v>84</v>
      </c>
      <c r="L2183">
        <v>67</v>
      </c>
      <c r="M2183">
        <v>271</v>
      </c>
      <c r="N2183" s="10">
        <v>551.66</v>
      </c>
      <c r="O2183" s="7">
        <v>0</v>
      </c>
      <c r="P2183" s="7">
        <v>28.3</v>
      </c>
      <c r="Q2183">
        <v>5</v>
      </c>
      <c r="R2183" t="s">
        <v>67</v>
      </c>
      <c r="S2183">
        <v>12</v>
      </c>
      <c r="T2183">
        <v>363</v>
      </c>
      <c r="U2183" s="11">
        <v>-0.97492791218182362</v>
      </c>
      <c r="V2183" s="11">
        <v>-0.22252093395631459</v>
      </c>
      <c r="W2183" s="11">
        <v>-5.5878756905373132E-2</v>
      </c>
      <c r="X2183" s="11">
        <v>0.99843756165656661</v>
      </c>
      <c r="Y2183">
        <v>1</v>
      </c>
      <c r="Z2183">
        <v>0</v>
      </c>
      <c r="AB2183">
        <v>1</v>
      </c>
      <c r="AC2183">
        <v>0</v>
      </c>
      <c r="AD2183">
        <v>1</v>
      </c>
      <c r="AE2183">
        <v>0</v>
      </c>
    </row>
    <row r="2184" spans="1:31">
      <c r="A2184" s="6">
        <v>45654</v>
      </c>
      <c r="B2184" t="s">
        <v>36</v>
      </c>
      <c r="C2184" t="s">
        <v>37</v>
      </c>
      <c r="D2184" t="s">
        <v>38</v>
      </c>
      <c r="E2184" t="s">
        <v>39</v>
      </c>
      <c r="F2184">
        <v>125</v>
      </c>
      <c r="G2184">
        <v>320</v>
      </c>
      <c r="H2184">
        <v>294</v>
      </c>
      <c r="I2184">
        <v>121</v>
      </c>
      <c r="J2184" s="8">
        <v>0.96799999999999997</v>
      </c>
      <c r="K2184">
        <v>70</v>
      </c>
      <c r="L2184">
        <v>28</v>
      </c>
      <c r="M2184">
        <v>274</v>
      </c>
      <c r="N2184" s="10">
        <v>706.16</v>
      </c>
      <c r="O2184" s="7">
        <v>0</v>
      </c>
      <c r="P2184" s="7">
        <v>28.3</v>
      </c>
      <c r="Q2184">
        <v>5</v>
      </c>
      <c r="R2184" t="s">
        <v>67</v>
      </c>
      <c r="S2184">
        <v>12</v>
      </c>
      <c r="T2184">
        <v>363</v>
      </c>
      <c r="U2184" s="11">
        <v>-0.97492791218182362</v>
      </c>
      <c r="V2184" s="11">
        <v>-0.22252093395631459</v>
      </c>
      <c r="W2184" s="11">
        <v>-5.5878756905373132E-2</v>
      </c>
      <c r="X2184" s="11">
        <v>0.99843756165656661</v>
      </c>
      <c r="Y2184">
        <v>1</v>
      </c>
      <c r="Z2184">
        <v>0</v>
      </c>
      <c r="AB2184">
        <v>1</v>
      </c>
      <c r="AC2184">
        <v>0</v>
      </c>
      <c r="AD2184">
        <v>1</v>
      </c>
      <c r="AE2184">
        <v>0</v>
      </c>
    </row>
    <row r="2185" spans="1:31">
      <c r="A2185" s="6">
        <v>45654</v>
      </c>
      <c r="B2185" t="s">
        <v>41</v>
      </c>
      <c r="C2185" t="s">
        <v>42</v>
      </c>
      <c r="D2185" t="s">
        <v>43</v>
      </c>
      <c r="E2185" t="s">
        <v>44</v>
      </c>
      <c r="F2185">
        <v>85</v>
      </c>
      <c r="G2185">
        <v>210</v>
      </c>
      <c r="H2185">
        <v>182</v>
      </c>
      <c r="I2185">
        <v>82</v>
      </c>
      <c r="J2185" s="8">
        <v>0.96470588235294119</v>
      </c>
      <c r="K2185">
        <v>37</v>
      </c>
      <c r="L2185">
        <v>30</v>
      </c>
      <c r="M2185">
        <v>169</v>
      </c>
      <c r="N2185" s="10">
        <v>661.43</v>
      </c>
      <c r="O2185" s="7">
        <v>0</v>
      </c>
      <c r="P2185" s="7">
        <v>28.3</v>
      </c>
      <c r="Q2185">
        <v>5</v>
      </c>
      <c r="R2185" t="s">
        <v>67</v>
      </c>
      <c r="S2185">
        <v>12</v>
      </c>
      <c r="T2185">
        <v>363</v>
      </c>
      <c r="U2185" s="11">
        <v>-0.97492791218182362</v>
      </c>
      <c r="V2185" s="11">
        <v>-0.22252093395631459</v>
      </c>
      <c r="W2185" s="11">
        <v>-5.5878756905373132E-2</v>
      </c>
      <c r="X2185" s="11">
        <v>0.99843756165656661</v>
      </c>
      <c r="Y2185">
        <v>1</v>
      </c>
      <c r="Z2185">
        <v>0</v>
      </c>
      <c r="AB2185">
        <v>1</v>
      </c>
      <c r="AC2185">
        <v>0</v>
      </c>
      <c r="AD2185">
        <v>1</v>
      </c>
      <c r="AE2185">
        <v>0</v>
      </c>
    </row>
    <row r="2186" spans="1:31">
      <c r="A2186" s="6">
        <v>45655</v>
      </c>
      <c r="B2186" t="s">
        <v>31</v>
      </c>
      <c r="C2186" t="s">
        <v>32</v>
      </c>
      <c r="D2186" t="s">
        <v>33</v>
      </c>
      <c r="E2186" t="s">
        <v>34</v>
      </c>
      <c r="F2186">
        <v>140</v>
      </c>
      <c r="G2186">
        <v>360</v>
      </c>
      <c r="H2186">
        <v>286</v>
      </c>
      <c r="I2186">
        <v>122</v>
      </c>
      <c r="J2186" s="8">
        <v>0.87142857142857144</v>
      </c>
      <c r="K2186">
        <v>75</v>
      </c>
      <c r="L2186">
        <v>61</v>
      </c>
      <c r="M2186">
        <v>229</v>
      </c>
      <c r="N2186" s="10">
        <v>494.62</v>
      </c>
      <c r="O2186" s="7">
        <v>1.3</v>
      </c>
      <c r="P2186" s="7">
        <v>27.7</v>
      </c>
      <c r="Q2186">
        <v>6</v>
      </c>
      <c r="R2186" t="s">
        <v>60</v>
      </c>
      <c r="S2186">
        <v>12</v>
      </c>
      <c r="T2186">
        <v>364</v>
      </c>
      <c r="U2186" s="11">
        <v>-0.78183148246802991</v>
      </c>
      <c r="V2186" s="11">
        <v>0.62348980185873337</v>
      </c>
      <c r="W2186" s="11">
        <v>-3.8695790176526891E-2</v>
      </c>
      <c r="X2186" s="11">
        <v>0.99925103743884813</v>
      </c>
      <c r="Y2186">
        <v>1</v>
      </c>
      <c r="Z2186">
        <v>0</v>
      </c>
      <c r="AB2186">
        <v>1</v>
      </c>
      <c r="AC2186">
        <v>0</v>
      </c>
      <c r="AD2186">
        <v>1</v>
      </c>
      <c r="AE2186">
        <v>0</v>
      </c>
    </row>
    <row r="2187" spans="1:31">
      <c r="A2187" s="6">
        <v>45655</v>
      </c>
      <c r="B2187" t="s">
        <v>36</v>
      </c>
      <c r="C2187" t="s">
        <v>37</v>
      </c>
      <c r="D2187" t="s">
        <v>38</v>
      </c>
      <c r="E2187" t="s">
        <v>39</v>
      </c>
      <c r="F2187">
        <v>125</v>
      </c>
      <c r="G2187">
        <v>320</v>
      </c>
      <c r="H2187">
        <v>292</v>
      </c>
      <c r="I2187">
        <v>120</v>
      </c>
      <c r="J2187" s="8">
        <v>0.96</v>
      </c>
      <c r="K2187">
        <v>40</v>
      </c>
      <c r="L2187">
        <v>61</v>
      </c>
      <c r="M2187">
        <v>248</v>
      </c>
      <c r="N2187" s="10">
        <v>815.77</v>
      </c>
      <c r="O2187" s="7">
        <v>1.3</v>
      </c>
      <c r="P2187" s="7">
        <v>27.7</v>
      </c>
      <c r="Q2187">
        <v>6</v>
      </c>
      <c r="R2187" t="s">
        <v>60</v>
      </c>
      <c r="S2187">
        <v>12</v>
      </c>
      <c r="T2187">
        <v>364</v>
      </c>
      <c r="U2187" s="11">
        <v>-0.78183148246802991</v>
      </c>
      <c r="V2187" s="11">
        <v>0.62348980185873337</v>
      </c>
      <c r="W2187" s="11">
        <v>-3.8695790176526891E-2</v>
      </c>
      <c r="X2187" s="11">
        <v>0.99925103743884813</v>
      </c>
      <c r="Y2187">
        <v>1</v>
      </c>
      <c r="Z2187">
        <v>0</v>
      </c>
      <c r="AB2187">
        <v>1</v>
      </c>
      <c r="AC2187">
        <v>0</v>
      </c>
      <c r="AD2187">
        <v>1</v>
      </c>
      <c r="AE2187">
        <v>0</v>
      </c>
    </row>
    <row r="2188" spans="1:31">
      <c r="A2188" s="6">
        <v>45655</v>
      </c>
      <c r="B2188" t="s">
        <v>41</v>
      </c>
      <c r="C2188" t="s">
        <v>42</v>
      </c>
      <c r="D2188" t="s">
        <v>43</v>
      </c>
      <c r="E2188" t="s">
        <v>44</v>
      </c>
      <c r="F2188">
        <v>85</v>
      </c>
      <c r="G2188">
        <v>210</v>
      </c>
      <c r="H2188">
        <v>189</v>
      </c>
      <c r="I2188">
        <v>82</v>
      </c>
      <c r="J2188" s="8">
        <v>0.96470588235294119</v>
      </c>
      <c r="K2188">
        <v>40</v>
      </c>
      <c r="L2188">
        <v>39</v>
      </c>
      <c r="M2188">
        <v>157</v>
      </c>
      <c r="N2188" s="10">
        <v>642.66</v>
      </c>
      <c r="O2188" s="7">
        <v>1.3</v>
      </c>
      <c r="P2188" s="7">
        <v>27.7</v>
      </c>
      <c r="Q2188">
        <v>6</v>
      </c>
      <c r="R2188" t="s">
        <v>60</v>
      </c>
      <c r="S2188">
        <v>12</v>
      </c>
      <c r="T2188">
        <v>364</v>
      </c>
      <c r="U2188" s="11">
        <v>-0.78183148246802991</v>
      </c>
      <c r="V2188" s="11">
        <v>0.62348980185873337</v>
      </c>
      <c r="W2188" s="11">
        <v>-3.8695790176526891E-2</v>
      </c>
      <c r="X2188" s="11">
        <v>0.99925103743884813</v>
      </c>
      <c r="Y2188">
        <v>1</v>
      </c>
      <c r="Z2188">
        <v>0</v>
      </c>
      <c r="AB2188">
        <v>1</v>
      </c>
      <c r="AC2188">
        <v>0</v>
      </c>
      <c r="AD2188">
        <v>1</v>
      </c>
      <c r="AE2188">
        <v>0</v>
      </c>
    </row>
    <row r="2189" spans="1:31">
      <c r="A2189" s="6">
        <v>45656</v>
      </c>
      <c r="B2189" t="s">
        <v>31</v>
      </c>
      <c r="C2189" t="s">
        <v>32</v>
      </c>
      <c r="D2189" t="s">
        <v>33</v>
      </c>
      <c r="E2189" t="s">
        <v>34</v>
      </c>
      <c r="F2189">
        <v>140</v>
      </c>
      <c r="G2189">
        <v>360</v>
      </c>
      <c r="H2189">
        <v>254</v>
      </c>
      <c r="I2189">
        <v>112</v>
      </c>
      <c r="J2189" s="8">
        <v>0.8</v>
      </c>
      <c r="K2189">
        <v>57</v>
      </c>
      <c r="L2189">
        <v>46</v>
      </c>
      <c r="M2189">
        <v>207</v>
      </c>
      <c r="N2189" s="10">
        <v>438.89</v>
      </c>
      <c r="O2189" s="7">
        <v>0</v>
      </c>
      <c r="P2189" s="7">
        <v>30</v>
      </c>
      <c r="Q2189">
        <v>0</v>
      </c>
      <c r="R2189" t="s">
        <v>62</v>
      </c>
      <c r="S2189">
        <v>12</v>
      </c>
      <c r="T2189">
        <v>365</v>
      </c>
      <c r="U2189" s="11">
        <v>0</v>
      </c>
      <c r="V2189" s="11">
        <v>1</v>
      </c>
      <c r="W2189" s="11">
        <v>-2.1501372740813793E-2</v>
      </c>
      <c r="X2189" s="11">
        <v>0.99976881876274803</v>
      </c>
      <c r="Y2189">
        <v>0</v>
      </c>
      <c r="Z2189">
        <v>0</v>
      </c>
      <c r="AB2189">
        <v>1</v>
      </c>
      <c r="AC2189">
        <v>0</v>
      </c>
      <c r="AD2189">
        <v>1</v>
      </c>
      <c r="AE2189">
        <v>0</v>
      </c>
    </row>
    <row r="2190" spans="1:31">
      <c r="A2190" s="6">
        <v>45656</v>
      </c>
      <c r="B2190" t="s">
        <v>36</v>
      </c>
      <c r="C2190" t="s">
        <v>37</v>
      </c>
      <c r="D2190" t="s">
        <v>38</v>
      </c>
      <c r="E2190" t="s">
        <v>39</v>
      </c>
      <c r="F2190">
        <v>125</v>
      </c>
      <c r="G2190">
        <v>320</v>
      </c>
      <c r="H2190">
        <v>268</v>
      </c>
      <c r="I2190">
        <v>112</v>
      </c>
      <c r="J2190" s="8">
        <v>0.89600000000000002</v>
      </c>
      <c r="K2190">
        <v>70</v>
      </c>
      <c r="L2190">
        <v>53</v>
      </c>
      <c r="M2190">
        <v>239</v>
      </c>
      <c r="N2190" s="10">
        <v>690.89</v>
      </c>
      <c r="O2190" s="7">
        <v>0</v>
      </c>
      <c r="P2190" s="7">
        <v>30</v>
      </c>
      <c r="Q2190">
        <v>0</v>
      </c>
      <c r="R2190" t="s">
        <v>62</v>
      </c>
      <c r="S2190">
        <v>12</v>
      </c>
      <c r="T2190">
        <v>365</v>
      </c>
      <c r="U2190" s="11">
        <v>0</v>
      </c>
      <c r="V2190" s="11">
        <v>1</v>
      </c>
      <c r="W2190" s="11">
        <v>-2.1501372740813793E-2</v>
      </c>
      <c r="X2190" s="11">
        <v>0.99976881876274803</v>
      </c>
      <c r="Y2190">
        <v>0</v>
      </c>
      <c r="Z2190">
        <v>0</v>
      </c>
      <c r="AB2190">
        <v>1</v>
      </c>
      <c r="AC2190">
        <v>0</v>
      </c>
      <c r="AD2190">
        <v>1</v>
      </c>
      <c r="AE2190">
        <v>0</v>
      </c>
    </row>
    <row r="2191" spans="1:31">
      <c r="A2191" s="6">
        <v>45656</v>
      </c>
      <c r="B2191" t="s">
        <v>41</v>
      </c>
      <c r="C2191" t="s">
        <v>42</v>
      </c>
      <c r="D2191" t="s">
        <v>43</v>
      </c>
      <c r="E2191" t="s">
        <v>44</v>
      </c>
      <c r="F2191">
        <v>85</v>
      </c>
      <c r="G2191">
        <v>210</v>
      </c>
      <c r="H2191">
        <v>179</v>
      </c>
      <c r="I2191">
        <v>80</v>
      </c>
      <c r="J2191" s="8">
        <v>0.94117647058823528</v>
      </c>
      <c r="K2191">
        <v>31</v>
      </c>
      <c r="L2191">
        <v>36</v>
      </c>
      <c r="M2191">
        <v>167</v>
      </c>
      <c r="N2191" s="10">
        <v>579.41</v>
      </c>
      <c r="O2191" s="7">
        <v>0</v>
      </c>
      <c r="P2191" s="7">
        <v>30</v>
      </c>
      <c r="Q2191">
        <v>0</v>
      </c>
      <c r="R2191" t="s">
        <v>62</v>
      </c>
      <c r="S2191">
        <v>12</v>
      </c>
      <c r="T2191">
        <v>365</v>
      </c>
      <c r="U2191" s="11">
        <v>0</v>
      </c>
      <c r="V2191" s="11">
        <v>1</v>
      </c>
      <c r="W2191" s="11">
        <v>-2.1501372740813793E-2</v>
      </c>
      <c r="X2191" s="11">
        <v>0.99976881876274803</v>
      </c>
      <c r="Y2191">
        <v>0</v>
      </c>
      <c r="Z2191">
        <v>0</v>
      </c>
      <c r="AB2191">
        <v>1</v>
      </c>
      <c r="AC2191">
        <v>0</v>
      </c>
      <c r="AD2191">
        <v>1</v>
      </c>
      <c r="AE2191">
        <v>0</v>
      </c>
    </row>
    <row r="2192" spans="1:31">
      <c r="A2192" s="6">
        <v>45657</v>
      </c>
      <c r="B2192" t="s">
        <v>31</v>
      </c>
      <c r="C2192" t="s">
        <v>32</v>
      </c>
      <c r="D2192" t="s">
        <v>33</v>
      </c>
      <c r="E2192" t="s">
        <v>34</v>
      </c>
      <c r="F2192">
        <v>140</v>
      </c>
      <c r="G2192">
        <v>360</v>
      </c>
      <c r="H2192">
        <v>252</v>
      </c>
      <c r="I2192">
        <v>105</v>
      </c>
      <c r="J2192" s="8">
        <v>0.75</v>
      </c>
      <c r="K2192">
        <v>39</v>
      </c>
      <c r="L2192">
        <v>40</v>
      </c>
      <c r="M2192">
        <v>221</v>
      </c>
      <c r="N2192" s="10">
        <v>501.94</v>
      </c>
      <c r="O2192" s="7">
        <v>1.6</v>
      </c>
      <c r="P2192" s="7">
        <v>29.4</v>
      </c>
      <c r="Q2192">
        <v>1</v>
      </c>
      <c r="R2192" t="s">
        <v>63</v>
      </c>
      <c r="S2192">
        <v>12</v>
      </c>
      <c r="T2192">
        <v>366</v>
      </c>
      <c r="U2192" s="11">
        <v>0.7818314824680298</v>
      </c>
      <c r="V2192" s="11">
        <v>0.62348980185873359</v>
      </c>
      <c r="W2192" s="11">
        <v>-4.3005927029819736E-3</v>
      </c>
      <c r="X2192" s="11">
        <v>0.9999907524084426</v>
      </c>
      <c r="Y2192">
        <v>0</v>
      </c>
      <c r="Z2192">
        <v>0</v>
      </c>
      <c r="AB2192">
        <v>1</v>
      </c>
      <c r="AC2192">
        <v>0</v>
      </c>
      <c r="AD2192">
        <v>1</v>
      </c>
      <c r="AE2192">
        <v>0</v>
      </c>
    </row>
    <row r="2193" spans="1:31">
      <c r="A2193" s="6">
        <v>45657</v>
      </c>
      <c r="B2193" t="s">
        <v>36</v>
      </c>
      <c r="C2193" t="s">
        <v>37</v>
      </c>
      <c r="D2193" t="s">
        <v>38</v>
      </c>
      <c r="E2193" t="s">
        <v>39</v>
      </c>
      <c r="F2193">
        <v>125</v>
      </c>
      <c r="G2193">
        <v>320</v>
      </c>
      <c r="H2193">
        <v>266</v>
      </c>
      <c r="I2193">
        <v>110</v>
      </c>
      <c r="J2193" s="8">
        <v>0.88</v>
      </c>
      <c r="K2193">
        <v>51</v>
      </c>
      <c r="L2193">
        <v>50</v>
      </c>
      <c r="M2193">
        <v>232</v>
      </c>
      <c r="N2193" s="10">
        <v>714.92</v>
      </c>
      <c r="O2193" s="7">
        <v>1.6</v>
      </c>
      <c r="P2193" s="7">
        <v>29.4</v>
      </c>
      <c r="Q2193">
        <v>1</v>
      </c>
      <c r="R2193" t="s">
        <v>63</v>
      </c>
      <c r="S2193">
        <v>12</v>
      </c>
      <c r="T2193">
        <v>366</v>
      </c>
      <c r="U2193" s="11">
        <v>0.7818314824680298</v>
      </c>
      <c r="V2193" s="11">
        <v>0.62348980185873359</v>
      </c>
      <c r="W2193" s="11">
        <v>-4.3005927029819736E-3</v>
      </c>
      <c r="X2193" s="11">
        <v>0.9999907524084426</v>
      </c>
      <c r="Y2193">
        <v>0</v>
      </c>
      <c r="Z2193">
        <v>0</v>
      </c>
      <c r="AB2193">
        <v>1</v>
      </c>
      <c r="AC2193">
        <v>0</v>
      </c>
      <c r="AD2193">
        <v>1</v>
      </c>
      <c r="AE2193">
        <v>0</v>
      </c>
    </row>
    <row r="2194" spans="1:31">
      <c r="A2194" s="6">
        <v>45657</v>
      </c>
      <c r="B2194" t="s">
        <v>41</v>
      </c>
      <c r="C2194" t="s">
        <v>42</v>
      </c>
      <c r="D2194" t="s">
        <v>43</v>
      </c>
      <c r="E2194" t="s">
        <v>44</v>
      </c>
      <c r="F2194">
        <v>85</v>
      </c>
      <c r="G2194">
        <v>210</v>
      </c>
      <c r="H2194">
        <v>185</v>
      </c>
      <c r="I2194">
        <v>81</v>
      </c>
      <c r="J2194" s="8">
        <v>0.95294117647058818</v>
      </c>
      <c r="K2194">
        <v>35</v>
      </c>
      <c r="L2194">
        <v>48</v>
      </c>
      <c r="M2194">
        <v>158</v>
      </c>
      <c r="N2194" s="10">
        <v>525.12</v>
      </c>
      <c r="O2194" s="7">
        <v>1.6</v>
      </c>
      <c r="P2194" s="7">
        <v>29.4</v>
      </c>
      <c r="Q2194">
        <v>1</v>
      </c>
      <c r="R2194" t="s">
        <v>63</v>
      </c>
      <c r="S2194">
        <v>12</v>
      </c>
      <c r="T2194">
        <v>366</v>
      </c>
      <c r="U2194" s="11">
        <v>0.7818314824680298</v>
      </c>
      <c r="V2194" s="11">
        <v>0.62348980185873359</v>
      </c>
      <c r="W2194" s="11">
        <v>-4.3005927029819736E-3</v>
      </c>
      <c r="X2194" s="11">
        <v>0.9999907524084426</v>
      </c>
      <c r="Y2194">
        <v>0</v>
      </c>
      <c r="Z2194">
        <v>0</v>
      </c>
      <c r="AB2194">
        <v>1</v>
      </c>
      <c r="AC2194">
        <v>0</v>
      </c>
      <c r="AD2194">
        <v>1</v>
      </c>
      <c r="AE2194">
        <v>0</v>
      </c>
    </row>
    <row r="2195" spans="1:31">
      <c r="A2195" s="6">
        <v>45658</v>
      </c>
      <c r="B2195" t="s">
        <v>31</v>
      </c>
      <c r="C2195" t="s">
        <v>32</v>
      </c>
      <c r="D2195" t="s">
        <v>33</v>
      </c>
      <c r="E2195" t="s">
        <v>34</v>
      </c>
      <c r="F2195">
        <v>140</v>
      </c>
      <c r="G2195">
        <v>360</v>
      </c>
      <c r="H2195">
        <v>283</v>
      </c>
      <c r="I2195">
        <v>121</v>
      </c>
      <c r="J2195" s="8">
        <v>0.86428571428571432</v>
      </c>
      <c r="K2195">
        <v>38</v>
      </c>
      <c r="L2195">
        <v>40</v>
      </c>
      <c r="M2195">
        <v>261</v>
      </c>
      <c r="N2195" s="10">
        <v>440.24</v>
      </c>
      <c r="O2195" s="7">
        <v>5.9</v>
      </c>
      <c r="P2195" s="7">
        <v>29.6</v>
      </c>
      <c r="Q2195">
        <v>2</v>
      </c>
      <c r="R2195" t="s">
        <v>64</v>
      </c>
      <c r="S2195">
        <v>1</v>
      </c>
      <c r="T2195">
        <v>1</v>
      </c>
      <c r="U2195" s="11">
        <v>0.97492791218182362</v>
      </c>
      <c r="V2195" s="11">
        <v>-0.22252093395631434</v>
      </c>
      <c r="W2195" s="11">
        <v>0</v>
      </c>
      <c r="X2195" s="11">
        <v>1</v>
      </c>
      <c r="Y2195">
        <v>0</v>
      </c>
      <c r="Z2195">
        <v>1</v>
      </c>
      <c r="AA2195" t="s">
        <v>61</v>
      </c>
      <c r="AB2195">
        <v>1</v>
      </c>
      <c r="AC2195">
        <v>0</v>
      </c>
      <c r="AD2195">
        <v>1</v>
      </c>
      <c r="AE2195">
        <v>0</v>
      </c>
    </row>
    <row r="2196" spans="1:31">
      <c r="A2196" s="6">
        <v>45658</v>
      </c>
      <c r="B2196" t="s">
        <v>36</v>
      </c>
      <c r="C2196" t="s">
        <v>37</v>
      </c>
      <c r="D2196" t="s">
        <v>38</v>
      </c>
      <c r="E2196" t="s">
        <v>39</v>
      </c>
      <c r="F2196">
        <v>125</v>
      </c>
      <c r="G2196">
        <v>320</v>
      </c>
      <c r="H2196">
        <v>289</v>
      </c>
      <c r="I2196">
        <v>121</v>
      </c>
      <c r="J2196" s="8">
        <v>0.96799999999999997</v>
      </c>
      <c r="K2196">
        <v>46</v>
      </c>
      <c r="L2196">
        <v>25</v>
      </c>
      <c r="M2196">
        <v>271</v>
      </c>
      <c r="N2196" s="10">
        <v>690.94</v>
      </c>
      <c r="O2196" s="7">
        <v>5.9</v>
      </c>
      <c r="P2196" s="7">
        <v>29.6</v>
      </c>
      <c r="Q2196">
        <v>2</v>
      </c>
      <c r="R2196" t="s">
        <v>64</v>
      </c>
      <c r="S2196">
        <v>1</v>
      </c>
      <c r="T2196">
        <v>1</v>
      </c>
      <c r="U2196" s="11">
        <v>0.97492791218182362</v>
      </c>
      <c r="V2196" s="11">
        <v>-0.22252093395631434</v>
      </c>
      <c r="W2196" s="11">
        <v>0</v>
      </c>
      <c r="X2196" s="11">
        <v>1</v>
      </c>
      <c r="Y2196">
        <v>0</v>
      </c>
      <c r="Z2196">
        <v>1</v>
      </c>
      <c r="AA2196" t="s">
        <v>61</v>
      </c>
      <c r="AB2196">
        <v>1</v>
      </c>
      <c r="AC2196">
        <v>0</v>
      </c>
      <c r="AD2196">
        <v>1</v>
      </c>
      <c r="AE2196">
        <v>0</v>
      </c>
    </row>
    <row r="2197" spans="1:31">
      <c r="A2197" s="6">
        <v>45658</v>
      </c>
      <c r="B2197" t="s">
        <v>41</v>
      </c>
      <c r="C2197" t="s">
        <v>42</v>
      </c>
      <c r="D2197" t="s">
        <v>43</v>
      </c>
      <c r="E2197" t="s">
        <v>44</v>
      </c>
      <c r="F2197">
        <v>85</v>
      </c>
      <c r="G2197">
        <v>210</v>
      </c>
      <c r="H2197">
        <v>189</v>
      </c>
      <c r="I2197">
        <v>82</v>
      </c>
      <c r="J2197" s="8">
        <v>0.96470588235294119</v>
      </c>
      <c r="K2197">
        <v>28</v>
      </c>
      <c r="L2197">
        <v>39</v>
      </c>
      <c r="M2197">
        <v>172</v>
      </c>
      <c r="N2197" s="10">
        <v>563.86</v>
      </c>
      <c r="O2197" s="7">
        <v>5.9</v>
      </c>
      <c r="P2197" s="7">
        <v>29.6</v>
      </c>
      <c r="Q2197">
        <v>2</v>
      </c>
      <c r="R2197" t="s">
        <v>64</v>
      </c>
      <c r="S2197">
        <v>1</v>
      </c>
      <c r="T2197">
        <v>1</v>
      </c>
      <c r="U2197" s="11">
        <v>0.97492791218182362</v>
      </c>
      <c r="V2197" s="11">
        <v>-0.22252093395631434</v>
      </c>
      <c r="W2197" s="11">
        <v>0</v>
      </c>
      <c r="X2197" s="11">
        <v>1</v>
      </c>
      <c r="Y2197">
        <v>0</v>
      </c>
      <c r="Z2197">
        <v>1</v>
      </c>
      <c r="AA2197" t="s">
        <v>61</v>
      </c>
      <c r="AB2197">
        <v>1</v>
      </c>
      <c r="AC2197">
        <v>0</v>
      </c>
      <c r="AD2197">
        <v>1</v>
      </c>
      <c r="AE2197">
        <v>0</v>
      </c>
    </row>
    <row r="2198" spans="1:31">
      <c r="A2198" s="6">
        <v>45659</v>
      </c>
      <c r="B2198" t="s">
        <v>31</v>
      </c>
      <c r="C2198" t="s">
        <v>32</v>
      </c>
      <c r="D2198" t="s">
        <v>33</v>
      </c>
      <c r="E2198" t="s">
        <v>34</v>
      </c>
      <c r="F2198">
        <v>140</v>
      </c>
      <c r="G2198">
        <v>360</v>
      </c>
      <c r="H2198">
        <v>239</v>
      </c>
      <c r="I2198">
        <v>106</v>
      </c>
      <c r="J2198" s="8">
        <v>0.75714285714285712</v>
      </c>
      <c r="K2198">
        <v>33</v>
      </c>
      <c r="L2198">
        <v>53</v>
      </c>
      <c r="M2198">
        <v>203</v>
      </c>
      <c r="N2198" s="10">
        <v>424.9</v>
      </c>
      <c r="O2198" s="7">
        <v>16.100000000000001</v>
      </c>
      <c r="P2198" s="7">
        <v>29.5</v>
      </c>
      <c r="Q2198">
        <v>3</v>
      </c>
      <c r="R2198" t="s">
        <v>65</v>
      </c>
      <c r="S2198">
        <v>1</v>
      </c>
      <c r="T2198">
        <v>2</v>
      </c>
      <c r="U2198" s="11">
        <v>0.43388373911755823</v>
      </c>
      <c r="V2198" s="11">
        <v>-0.90096886790241903</v>
      </c>
      <c r="W2198" s="11">
        <v>1.7201575418260506E-2</v>
      </c>
      <c r="X2198" s="11">
        <v>0.99985204195577349</v>
      </c>
      <c r="Y2198">
        <v>0</v>
      </c>
      <c r="Z2198">
        <v>0</v>
      </c>
      <c r="AB2198">
        <v>1</v>
      </c>
      <c r="AC2198">
        <v>0</v>
      </c>
      <c r="AD2198">
        <v>1</v>
      </c>
      <c r="AE2198">
        <v>0</v>
      </c>
    </row>
    <row r="2199" spans="1:31">
      <c r="A2199" s="6">
        <v>45659</v>
      </c>
      <c r="B2199" t="s">
        <v>36</v>
      </c>
      <c r="C2199" t="s">
        <v>37</v>
      </c>
      <c r="D2199" t="s">
        <v>38</v>
      </c>
      <c r="E2199" t="s">
        <v>39</v>
      </c>
      <c r="F2199">
        <v>125</v>
      </c>
      <c r="G2199">
        <v>320</v>
      </c>
      <c r="H2199">
        <v>275</v>
      </c>
      <c r="I2199">
        <v>114</v>
      </c>
      <c r="J2199" s="8">
        <v>0.91200000000000003</v>
      </c>
      <c r="K2199">
        <v>56</v>
      </c>
      <c r="L2199">
        <v>51</v>
      </c>
      <c r="M2199">
        <v>237</v>
      </c>
      <c r="N2199" s="10">
        <v>661.97</v>
      </c>
      <c r="O2199" s="7">
        <v>16.100000000000001</v>
      </c>
      <c r="P2199" s="7">
        <v>29.5</v>
      </c>
      <c r="Q2199">
        <v>3</v>
      </c>
      <c r="R2199" t="s">
        <v>65</v>
      </c>
      <c r="S2199">
        <v>1</v>
      </c>
      <c r="T2199">
        <v>2</v>
      </c>
      <c r="U2199" s="11">
        <v>0.43388373911755823</v>
      </c>
      <c r="V2199" s="11">
        <v>-0.90096886790241903</v>
      </c>
      <c r="W2199" s="11">
        <v>1.7201575418260506E-2</v>
      </c>
      <c r="X2199" s="11">
        <v>0.99985204195577349</v>
      </c>
      <c r="Y2199">
        <v>0</v>
      </c>
      <c r="Z2199">
        <v>0</v>
      </c>
      <c r="AB2199">
        <v>1</v>
      </c>
      <c r="AC2199">
        <v>0</v>
      </c>
      <c r="AD2199">
        <v>1</v>
      </c>
      <c r="AE2199">
        <v>0</v>
      </c>
    </row>
    <row r="2200" spans="1:31">
      <c r="A2200" s="6">
        <v>45659</v>
      </c>
      <c r="B2200" t="s">
        <v>41</v>
      </c>
      <c r="C2200" t="s">
        <v>42</v>
      </c>
      <c r="D2200" t="s">
        <v>43</v>
      </c>
      <c r="E2200" t="s">
        <v>44</v>
      </c>
      <c r="F2200">
        <v>85</v>
      </c>
      <c r="G2200">
        <v>210</v>
      </c>
      <c r="H2200">
        <v>187</v>
      </c>
      <c r="I2200">
        <v>80</v>
      </c>
      <c r="J2200" s="8">
        <v>0.94117647058823528</v>
      </c>
      <c r="K2200">
        <v>40</v>
      </c>
      <c r="L2200">
        <v>47</v>
      </c>
      <c r="M2200">
        <v>167</v>
      </c>
      <c r="N2200" s="10">
        <v>578.02</v>
      </c>
      <c r="O2200" s="7">
        <v>16.100000000000001</v>
      </c>
      <c r="P2200" s="7">
        <v>29.5</v>
      </c>
      <c r="Q2200">
        <v>3</v>
      </c>
      <c r="R2200" t="s">
        <v>65</v>
      </c>
      <c r="S2200">
        <v>1</v>
      </c>
      <c r="T2200">
        <v>2</v>
      </c>
      <c r="U2200" s="11">
        <v>0.43388373911755823</v>
      </c>
      <c r="V2200" s="11">
        <v>-0.90096886790241903</v>
      </c>
      <c r="W2200" s="11">
        <v>1.7201575418260506E-2</v>
      </c>
      <c r="X2200" s="11">
        <v>0.99985204195577349</v>
      </c>
      <c r="Y2200">
        <v>0</v>
      </c>
      <c r="Z2200">
        <v>0</v>
      </c>
      <c r="AB2200">
        <v>1</v>
      </c>
      <c r="AC2200">
        <v>0</v>
      </c>
      <c r="AD2200">
        <v>1</v>
      </c>
      <c r="AE2200">
        <v>0</v>
      </c>
    </row>
    <row r="2201" spans="1:31">
      <c r="A2201" s="6">
        <v>45660</v>
      </c>
      <c r="B2201" t="s">
        <v>31</v>
      </c>
      <c r="C2201" t="s">
        <v>32</v>
      </c>
      <c r="D2201" t="s">
        <v>33</v>
      </c>
      <c r="E2201" t="s">
        <v>34</v>
      </c>
      <c r="F2201">
        <v>140</v>
      </c>
      <c r="G2201">
        <v>360</v>
      </c>
      <c r="H2201">
        <v>218</v>
      </c>
      <c r="I2201">
        <v>92</v>
      </c>
      <c r="J2201" s="8">
        <v>0.65714285714285714</v>
      </c>
      <c r="K2201">
        <v>33</v>
      </c>
      <c r="L2201">
        <v>30</v>
      </c>
      <c r="M2201">
        <v>183</v>
      </c>
      <c r="N2201" s="10">
        <v>424.44</v>
      </c>
      <c r="O2201" s="7">
        <v>6.6</v>
      </c>
      <c r="P2201" s="7">
        <v>28.2</v>
      </c>
      <c r="Q2201">
        <v>4</v>
      </c>
      <c r="R2201" t="s">
        <v>66</v>
      </c>
      <c r="S2201">
        <v>1</v>
      </c>
      <c r="T2201">
        <v>3</v>
      </c>
      <c r="U2201" s="11">
        <v>-0.43388373911755801</v>
      </c>
      <c r="V2201" s="11">
        <v>-0.90096886790241915</v>
      </c>
      <c r="W2201" s="11">
        <v>3.4398060613608013E-2</v>
      </c>
      <c r="X2201" s="11">
        <v>0.99940821160625981</v>
      </c>
      <c r="Y2201">
        <v>0</v>
      </c>
      <c r="Z2201">
        <v>0</v>
      </c>
      <c r="AB2201">
        <v>1</v>
      </c>
      <c r="AC2201">
        <v>0</v>
      </c>
      <c r="AD2201">
        <v>0</v>
      </c>
      <c r="AE2201">
        <v>0</v>
      </c>
    </row>
    <row r="2202" spans="1:31">
      <c r="A2202" s="6">
        <v>45660</v>
      </c>
      <c r="B2202" t="s">
        <v>36</v>
      </c>
      <c r="C2202" t="s">
        <v>37</v>
      </c>
      <c r="D2202" t="s">
        <v>38</v>
      </c>
      <c r="E2202" t="s">
        <v>39</v>
      </c>
      <c r="F2202">
        <v>125</v>
      </c>
      <c r="G2202">
        <v>320</v>
      </c>
      <c r="H2202">
        <v>236</v>
      </c>
      <c r="I2202">
        <v>97</v>
      </c>
      <c r="J2202" s="8">
        <v>0.77600000000000002</v>
      </c>
      <c r="K2202">
        <v>33</v>
      </c>
      <c r="L2202">
        <v>62</v>
      </c>
      <c r="M2202">
        <v>201</v>
      </c>
      <c r="N2202" s="10">
        <v>688.05</v>
      </c>
      <c r="O2202" s="7">
        <v>6.6</v>
      </c>
      <c r="P2202" s="7">
        <v>28.2</v>
      </c>
      <c r="Q2202">
        <v>4</v>
      </c>
      <c r="R2202" t="s">
        <v>66</v>
      </c>
      <c r="S2202">
        <v>1</v>
      </c>
      <c r="T2202">
        <v>3</v>
      </c>
      <c r="U2202" s="11">
        <v>-0.43388373911755801</v>
      </c>
      <c r="V2202" s="11">
        <v>-0.90096886790241915</v>
      </c>
      <c r="W2202" s="11">
        <v>3.4398060613608013E-2</v>
      </c>
      <c r="X2202" s="11">
        <v>0.99940821160625981</v>
      </c>
      <c r="Y2202">
        <v>0</v>
      </c>
      <c r="Z2202">
        <v>0</v>
      </c>
      <c r="AB2202">
        <v>1</v>
      </c>
      <c r="AC2202">
        <v>0</v>
      </c>
      <c r="AD2202">
        <v>0</v>
      </c>
      <c r="AE2202">
        <v>0</v>
      </c>
    </row>
    <row r="2203" spans="1:31">
      <c r="A2203" s="6">
        <v>45660</v>
      </c>
      <c r="B2203" t="s">
        <v>41</v>
      </c>
      <c r="C2203" t="s">
        <v>42</v>
      </c>
      <c r="D2203" t="s">
        <v>43</v>
      </c>
      <c r="E2203" t="s">
        <v>44</v>
      </c>
      <c r="F2203">
        <v>85</v>
      </c>
      <c r="G2203">
        <v>210</v>
      </c>
      <c r="H2203">
        <v>154</v>
      </c>
      <c r="I2203">
        <v>71</v>
      </c>
      <c r="J2203" s="8">
        <v>0.83529411764705885</v>
      </c>
      <c r="K2203">
        <v>22</v>
      </c>
      <c r="L2203">
        <v>17</v>
      </c>
      <c r="M2203">
        <v>134</v>
      </c>
      <c r="N2203" s="10">
        <v>617.87</v>
      </c>
      <c r="O2203" s="7">
        <v>6.6</v>
      </c>
      <c r="P2203" s="7">
        <v>28.2</v>
      </c>
      <c r="Q2203">
        <v>4</v>
      </c>
      <c r="R2203" t="s">
        <v>66</v>
      </c>
      <c r="S2203">
        <v>1</v>
      </c>
      <c r="T2203">
        <v>3</v>
      </c>
      <c r="U2203" s="11">
        <v>-0.43388373911755801</v>
      </c>
      <c r="V2203" s="11">
        <v>-0.90096886790241915</v>
      </c>
      <c r="W2203" s="11">
        <v>3.4398060613608013E-2</v>
      </c>
      <c r="X2203" s="11">
        <v>0.99940821160625981</v>
      </c>
      <c r="Y2203">
        <v>0</v>
      </c>
      <c r="Z2203">
        <v>0</v>
      </c>
      <c r="AB2203">
        <v>1</v>
      </c>
      <c r="AC2203">
        <v>0</v>
      </c>
      <c r="AD2203">
        <v>0</v>
      </c>
      <c r="AE2203">
        <v>0</v>
      </c>
    </row>
    <row r="2204" spans="1:31">
      <c r="A2204" s="6">
        <v>45661</v>
      </c>
      <c r="B2204" t="s">
        <v>31</v>
      </c>
      <c r="C2204" t="s">
        <v>32</v>
      </c>
      <c r="D2204" t="s">
        <v>33</v>
      </c>
      <c r="E2204" t="s">
        <v>34</v>
      </c>
      <c r="F2204">
        <v>140</v>
      </c>
      <c r="G2204">
        <v>360</v>
      </c>
      <c r="H2204">
        <v>231</v>
      </c>
      <c r="I2204">
        <v>97</v>
      </c>
      <c r="J2204" s="8">
        <v>0.69285714285714284</v>
      </c>
      <c r="K2204">
        <v>54</v>
      </c>
      <c r="L2204">
        <v>46</v>
      </c>
      <c r="M2204">
        <v>207</v>
      </c>
      <c r="N2204" s="10">
        <v>512.28</v>
      </c>
      <c r="O2204" s="7">
        <v>5.0999999999999996</v>
      </c>
      <c r="P2204" s="7">
        <v>28.2</v>
      </c>
      <c r="Q2204">
        <v>5</v>
      </c>
      <c r="R2204" t="s">
        <v>67</v>
      </c>
      <c r="S2204">
        <v>1</v>
      </c>
      <c r="T2204">
        <v>4</v>
      </c>
      <c r="U2204" s="11">
        <v>-0.97492791218182362</v>
      </c>
      <c r="V2204" s="11">
        <v>-0.22252093395631459</v>
      </c>
      <c r="W2204" s="11">
        <v>5.1584366869408364E-2</v>
      </c>
      <c r="X2204" s="11">
        <v>0.99866864028799973</v>
      </c>
      <c r="Y2204">
        <v>1</v>
      </c>
      <c r="Z2204">
        <v>0</v>
      </c>
      <c r="AB2204">
        <v>1</v>
      </c>
      <c r="AC2204">
        <v>0</v>
      </c>
      <c r="AD2204">
        <v>0</v>
      </c>
      <c r="AE2204">
        <v>0</v>
      </c>
    </row>
    <row r="2205" spans="1:31">
      <c r="A2205" s="6">
        <v>45661</v>
      </c>
      <c r="B2205" t="s">
        <v>36</v>
      </c>
      <c r="C2205" t="s">
        <v>37</v>
      </c>
      <c r="D2205" t="s">
        <v>38</v>
      </c>
      <c r="E2205" t="s">
        <v>39</v>
      </c>
      <c r="F2205">
        <v>125</v>
      </c>
      <c r="G2205">
        <v>320</v>
      </c>
      <c r="H2205">
        <v>241</v>
      </c>
      <c r="I2205">
        <v>103</v>
      </c>
      <c r="J2205" s="8">
        <v>0.82399999999999995</v>
      </c>
      <c r="K2205">
        <v>58</v>
      </c>
      <c r="L2205">
        <v>29</v>
      </c>
      <c r="M2205">
        <v>195</v>
      </c>
      <c r="N2205" s="10">
        <v>793.86</v>
      </c>
      <c r="O2205" s="7">
        <v>5.0999999999999996</v>
      </c>
      <c r="P2205" s="7">
        <v>28.2</v>
      </c>
      <c r="Q2205">
        <v>5</v>
      </c>
      <c r="R2205" t="s">
        <v>67</v>
      </c>
      <c r="S2205">
        <v>1</v>
      </c>
      <c r="T2205">
        <v>4</v>
      </c>
      <c r="U2205" s="11">
        <v>-0.97492791218182362</v>
      </c>
      <c r="V2205" s="11">
        <v>-0.22252093395631459</v>
      </c>
      <c r="W2205" s="11">
        <v>5.1584366869408364E-2</v>
      </c>
      <c r="X2205" s="11">
        <v>0.99866864028799973</v>
      </c>
      <c r="Y2205">
        <v>1</v>
      </c>
      <c r="Z2205">
        <v>0</v>
      </c>
      <c r="AB2205">
        <v>1</v>
      </c>
      <c r="AC2205">
        <v>0</v>
      </c>
      <c r="AD2205">
        <v>0</v>
      </c>
      <c r="AE2205">
        <v>0</v>
      </c>
    </row>
    <row r="2206" spans="1:31">
      <c r="A2206" s="6">
        <v>45661</v>
      </c>
      <c r="B2206" t="s">
        <v>41</v>
      </c>
      <c r="C2206" t="s">
        <v>42</v>
      </c>
      <c r="D2206" t="s">
        <v>43</v>
      </c>
      <c r="E2206" t="s">
        <v>44</v>
      </c>
      <c r="F2206">
        <v>85</v>
      </c>
      <c r="G2206">
        <v>210</v>
      </c>
      <c r="H2206">
        <v>172</v>
      </c>
      <c r="I2206">
        <v>77</v>
      </c>
      <c r="J2206" s="8">
        <v>0.90588235294117647</v>
      </c>
      <c r="K2206">
        <v>20</v>
      </c>
      <c r="L2206">
        <v>34</v>
      </c>
      <c r="M2206">
        <v>138</v>
      </c>
      <c r="N2206" s="10">
        <v>630.4</v>
      </c>
      <c r="O2206" s="7">
        <v>5.0999999999999996</v>
      </c>
      <c r="P2206" s="7">
        <v>28.2</v>
      </c>
      <c r="Q2206">
        <v>5</v>
      </c>
      <c r="R2206" t="s">
        <v>67</v>
      </c>
      <c r="S2206">
        <v>1</v>
      </c>
      <c r="T2206">
        <v>4</v>
      </c>
      <c r="U2206" s="11">
        <v>-0.97492791218182362</v>
      </c>
      <c r="V2206" s="11">
        <v>-0.22252093395631459</v>
      </c>
      <c r="W2206" s="11">
        <v>5.1584366869408364E-2</v>
      </c>
      <c r="X2206" s="11">
        <v>0.99866864028799973</v>
      </c>
      <c r="Y2206">
        <v>1</v>
      </c>
      <c r="Z2206">
        <v>0</v>
      </c>
      <c r="AB2206">
        <v>1</v>
      </c>
      <c r="AC2206">
        <v>0</v>
      </c>
      <c r="AD2206">
        <v>0</v>
      </c>
      <c r="AE2206">
        <v>0</v>
      </c>
    </row>
    <row r="2207" spans="1:31">
      <c r="A2207" s="6">
        <v>45662</v>
      </c>
      <c r="B2207" t="s">
        <v>31</v>
      </c>
      <c r="C2207" t="s">
        <v>32</v>
      </c>
      <c r="D2207" t="s">
        <v>33</v>
      </c>
      <c r="E2207" t="s">
        <v>34</v>
      </c>
      <c r="F2207">
        <v>140</v>
      </c>
      <c r="G2207">
        <v>360</v>
      </c>
      <c r="H2207">
        <v>267</v>
      </c>
      <c r="I2207">
        <v>112</v>
      </c>
      <c r="J2207" s="8">
        <v>0.8</v>
      </c>
      <c r="K2207">
        <v>68</v>
      </c>
      <c r="L2207">
        <v>33</v>
      </c>
      <c r="M2207">
        <v>234</v>
      </c>
      <c r="N2207" s="10">
        <v>568.9</v>
      </c>
      <c r="O2207" s="7">
        <v>0</v>
      </c>
      <c r="P2207" s="7">
        <v>27.8</v>
      </c>
      <c r="Q2207">
        <v>6</v>
      </c>
      <c r="R2207" t="s">
        <v>60</v>
      </c>
      <c r="S2207">
        <v>1</v>
      </c>
      <c r="T2207">
        <v>5</v>
      </c>
      <c r="U2207" s="11">
        <v>-0.78183148246802991</v>
      </c>
      <c r="V2207" s="11">
        <v>0.62348980185873337</v>
      </c>
      <c r="W2207" s="11">
        <v>6.875540848113941E-2</v>
      </c>
      <c r="X2207" s="11">
        <v>0.99763354685204508</v>
      </c>
      <c r="Y2207">
        <v>1</v>
      </c>
      <c r="Z2207">
        <v>0</v>
      </c>
      <c r="AB2207">
        <v>1</v>
      </c>
      <c r="AC2207">
        <v>0</v>
      </c>
      <c r="AD2207">
        <v>0</v>
      </c>
      <c r="AE2207">
        <v>0</v>
      </c>
    </row>
    <row r="2208" spans="1:31">
      <c r="A2208" s="6">
        <v>45662</v>
      </c>
      <c r="B2208" t="s">
        <v>36</v>
      </c>
      <c r="C2208" t="s">
        <v>37</v>
      </c>
      <c r="D2208" t="s">
        <v>38</v>
      </c>
      <c r="E2208" t="s">
        <v>39</v>
      </c>
      <c r="F2208">
        <v>125</v>
      </c>
      <c r="G2208">
        <v>320</v>
      </c>
      <c r="H2208">
        <v>238</v>
      </c>
      <c r="I2208">
        <v>99</v>
      </c>
      <c r="J2208" s="8">
        <v>0.79200000000000004</v>
      </c>
      <c r="K2208">
        <v>57</v>
      </c>
      <c r="L2208">
        <v>39</v>
      </c>
      <c r="M2208">
        <v>204</v>
      </c>
      <c r="N2208" s="10">
        <v>816.62</v>
      </c>
      <c r="O2208" s="7">
        <v>0</v>
      </c>
      <c r="P2208" s="7">
        <v>27.8</v>
      </c>
      <c r="Q2208">
        <v>6</v>
      </c>
      <c r="R2208" t="s">
        <v>60</v>
      </c>
      <c r="S2208">
        <v>1</v>
      </c>
      <c r="T2208">
        <v>5</v>
      </c>
      <c r="U2208" s="11">
        <v>-0.78183148246802991</v>
      </c>
      <c r="V2208" s="11">
        <v>0.62348980185873337</v>
      </c>
      <c r="W2208" s="11">
        <v>6.875540848113941E-2</v>
      </c>
      <c r="X2208" s="11">
        <v>0.99763354685204508</v>
      </c>
      <c r="Y2208">
        <v>1</v>
      </c>
      <c r="Z2208">
        <v>0</v>
      </c>
      <c r="AB2208">
        <v>1</v>
      </c>
      <c r="AC2208">
        <v>0</v>
      </c>
      <c r="AD2208">
        <v>0</v>
      </c>
      <c r="AE2208">
        <v>0</v>
      </c>
    </row>
    <row r="2209" spans="1:31">
      <c r="A2209" s="6">
        <v>45662</v>
      </c>
      <c r="B2209" t="s">
        <v>41</v>
      </c>
      <c r="C2209" t="s">
        <v>42</v>
      </c>
      <c r="D2209" t="s">
        <v>43</v>
      </c>
      <c r="E2209" t="s">
        <v>44</v>
      </c>
      <c r="F2209">
        <v>85</v>
      </c>
      <c r="G2209">
        <v>210</v>
      </c>
      <c r="H2209">
        <v>175</v>
      </c>
      <c r="I2209">
        <v>78</v>
      </c>
      <c r="J2209" s="8">
        <v>0.91764705882352937</v>
      </c>
      <c r="K2209">
        <v>43</v>
      </c>
      <c r="L2209">
        <v>34</v>
      </c>
      <c r="M2209">
        <v>148</v>
      </c>
      <c r="N2209" s="10">
        <v>663.24</v>
      </c>
      <c r="O2209" s="7">
        <v>0</v>
      </c>
      <c r="P2209" s="7">
        <v>27.8</v>
      </c>
      <c r="Q2209">
        <v>6</v>
      </c>
      <c r="R2209" t="s">
        <v>60</v>
      </c>
      <c r="S2209">
        <v>1</v>
      </c>
      <c r="T2209">
        <v>5</v>
      </c>
      <c r="U2209" s="11">
        <v>-0.78183148246802991</v>
      </c>
      <c r="V2209" s="11">
        <v>0.62348980185873337</v>
      </c>
      <c r="W2209" s="11">
        <v>6.875540848113941E-2</v>
      </c>
      <c r="X2209" s="11">
        <v>0.99763354685204508</v>
      </c>
      <c r="Y2209">
        <v>1</v>
      </c>
      <c r="Z2209">
        <v>0</v>
      </c>
      <c r="AB2209">
        <v>1</v>
      </c>
      <c r="AC2209">
        <v>0</v>
      </c>
      <c r="AD2209">
        <v>0</v>
      </c>
      <c r="AE2209">
        <v>0</v>
      </c>
    </row>
    <row r="2210" spans="1:31">
      <c r="A2210" s="6">
        <v>45663</v>
      </c>
      <c r="B2210" t="s">
        <v>31</v>
      </c>
      <c r="C2210" t="s">
        <v>32</v>
      </c>
      <c r="D2210" t="s">
        <v>33</v>
      </c>
      <c r="E2210" t="s">
        <v>34</v>
      </c>
      <c r="F2210">
        <v>140</v>
      </c>
      <c r="G2210">
        <v>360</v>
      </c>
      <c r="H2210">
        <v>217</v>
      </c>
      <c r="I2210">
        <v>93</v>
      </c>
      <c r="J2210" s="8">
        <v>0.66428571428571426</v>
      </c>
      <c r="K2210">
        <v>46</v>
      </c>
      <c r="L2210">
        <v>29</v>
      </c>
      <c r="M2210">
        <v>196</v>
      </c>
      <c r="N2210" s="10">
        <v>471.97</v>
      </c>
      <c r="O2210" s="7">
        <v>0.6</v>
      </c>
      <c r="P2210" s="7">
        <v>28.7</v>
      </c>
      <c r="Q2210">
        <v>0</v>
      </c>
      <c r="R2210" t="s">
        <v>62</v>
      </c>
      <c r="S2210">
        <v>1</v>
      </c>
      <c r="T2210">
        <v>6</v>
      </c>
      <c r="U2210" s="11">
        <v>0</v>
      </c>
      <c r="V2210" s="11">
        <v>1</v>
      </c>
      <c r="W2210" s="11">
        <v>8.5906104261332716E-2</v>
      </c>
      <c r="X2210" s="11">
        <v>0.99630323759919648</v>
      </c>
      <c r="Y2210">
        <v>0</v>
      </c>
      <c r="Z2210">
        <v>0</v>
      </c>
      <c r="AB2210">
        <v>1</v>
      </c>
      <c r="AC2210">
        <v>0</v>
      </c>
      <c r="AD2210">
        <v>0</v>
      </c>
      <c r="AE2210">
        <v>0</v>
      </c>
    </row>
    <row r="2211" spans="1:31">
      <c r="A2211" s="6">
        <v>45663</v>
      </c>
      <c r="B2211" t="s">
        <v>36</v>
      </c>
      <c r="C2211" t="s">
        <v>37</v>
      </c>
      <c r="D2211" t="s">
        <v>38</v>
      </c>
      <c r="E2211" t="s">
        <v>39</v>
      </c>
      <c r="F2211">
        <v>125</v>
      </c>
      <c r="G2211">
        <v>320</v>
      </c>
      <c r="H2211">
        <v>242</v>
      </c>
      <c r="I2211">
        <v>98</v>
      </c>
      <c r="J2211" s="8">
        <v>0.78400000000000003</v>
      </c>
      <c r="K2211">
        <v>46</v>
      </c>
      <c r="L2211">
        <v>29</v>
      </c>
      <c r="M2211">
        <v>215</v>
      </c>
      <c r="N2211" s="10">
        <v>729.62</v>
      </c>
      <c r="O2211" s="7">
        <v>0.6</v>
      </c>
      <c r="P2211" s="7">
        <v>28.7</v>
      </c>
      <c r="Q2211">
        <v>0</v>
      </c>
      <c r="R2211" t="s">
        <v>62</v>
      </c>
      <c r="S2211">
        <v>1</v>
      </c>
      <c r="T2211">
        <v>6</v>
      </c>
      <c r="U2211" s="11">
        <v>0</v>
      </c>
      <c r="V2211" s="11">
        <v>1</v>
      </c>
      <c r="W2211" s="11">
        <v>8.5906104261332716E-2</v>
      </c>
      <c r="X2211" s="11">
        <v>0.99630323759919648</v>
      </c>
      <c r="Y2211">
        <v>0</v>
      </c>
      <c r="Z2211">
        <v>0</v>
      </c>
      <c r="AB2211">
        <v>1</v>
      </c>
      <c r="AC2211">
        <v>0</v>
      </c>
      <c r="AD2211">
        <v>0</v>
      </c>
      <c r="AE2211">
        <v>0</v>
      </c>
    </row>
    <row r="2212" spans="1:31">
      <c r="A2212" s="6">
        <v>45663</v>
      </c>
      <c r="B2212" t="s">
        <v>41</v>
      </c>
      <c r="C2212" t="s">
        <v>42</v>
      </c>
      <c r="D2212" t="s">
        <v>43</v>
      </c>
      <c r="E2212" t="s">
        <v>44</v>
      </c>
      <c r="F2212">
        <v>85</v>
      </c>
      <c r="G2212">
        <v>210</v>
      </c>
      <c r="H2212">
        <v>153</v>
      </c>
      <c r="I2212">
        <v>68</v>
      </c>
      <c r="J2212" s="8">
        <v>0.8</v>
      </c>
      <c r="K2212">
        <v>38</v>
      </c>
      <c r="L2212">
        <v>27</v>
      </c>
      <c r="M2212">
        <v>124</v>
      </c>
      <c r="N2212" s="10">
        <v>617.58000000000004</v>
      </c>
      <c r="O2212" s="7">
        <v>0.6</v>
      </c>
      <c r="P2212" s="7">
        <v>28.7</v>
      </c>
      <c r="Q2212">
        <v>0</v>
      </c>
      <c r="R2212" t="s">
        <v>62</v>
      </c>
      <c r="S2212">
        <v>1</v>
      </c>
      <c r="T2212">
        <v>6</v>
      </c>
      <c r="U2212" s="11">
        <v>0</v>
      </c>
      <c r="V2212" s="11">
        <v>1</v>
      </c>
      <c r="W2212" s="11">
        <v>8.5906104261332716E-2</v>
      </c>
      <c r="X2212" s="11">
        <v>0.99630323759919648</v>
      </c>
      <c r="Y2212">
        <v>0</v>
      </c>
      <c r="Z2212">
        <v>0</v>
      </c>
      <c r="AB2212">
        <v>1</v>
      </c>
      <c r="AC2212">
        <v>0</v>
      </c>
      <c r="AD2212">
        <v>0</v>
      </c>
      <c r="AE2212">
        <v>0</v>
      </c>
    </row>
    <row r="2213" spans="1:31">
      <c r="A2213" s="6">
        <v>45664</v>
      </c>
      <c r="B2213" t="s">
        <v>31</v>
      </c>
      <c r="C2213" t="s">
        <v>32</v>
      </c>
      <c r="D2213" t="s">
        <v>33</v>
      </c>
      <c r="E2213" t="s">
        <v>34</v>
      </c>
      <c r="F2213">
        <v>140</v>
      </c>
      <c r="G2213">
        <v>360</v>
      </c>
      <c r="H2213">
        <v>229</v>
      </c>
      <c r="I2213">
        <v>97</v>
      </c>
      <c r="J2213" s="8">
        <v>0.69285714285714284</v>
      </c>
      <c r="K2213">
        <v>38</v>
      </c>
      <c r="L2213">
        <v>51</v>
      </c>
      <c r="M2213">
        <v>209</v>
      </c>
      <c r="N2213" s="10">
        <v>503.83</v>
      </c>
      <c r="O2213" s="7">
        <v>6.2</v>
      </c>
      <c r="P2213" s="7">
        <v>28.2</v>
      </c>
      <c r="Q2213">
        <v>1</v>
      </c>
      <c r="R2213" t="s">
        <v>63</v>
      </c>
      <c r="S2213">
        <v>1</v>
      </c>
      <c r="T2213">
        <v>7</v>
      </c>
      <c r="U2213" s="11">
        <v>0.7818314824680298</v>
      </c>
      <c r="V2213" s="11">
        <v>0.62348980185873359</v>
      </c>
      <c r="W2213" s="11">
        <v>0.10303137904317879</v>
      </c>
      <c r="X2213" s="11">
        <v>0.99467810618936459</v>
      </c>
      <c r="Y2213">
        <v>0</v>
      </c>
      <c r="Z2213">
        <v>0</v>
      </c>
      <c r="AB2213">
        <v>1</v>
      </c>
      <c r="AC2213">
        <v>0</v>
      </c>
      <c r="AD2213">
        <v>0</v>
      </c>
      <c r="AE2213">
        <v>0</v>
      </c>
    </row>
    <row r="2214" spans="1:31">
      <c r="A2214" s="6">
        <v>45664</v>
      </c>
      <c r="B2214" t="s">
        <v>36</v>
      </c>
      <c r="C2214" t="s">
        <v>37</v>
      </c>
      <c r="D2214" t="s">
        <v>38</v>
      </c>
      <c r="E2214" t="s">
        <v>39</v>
      </c>
      <c r="F2214">
        <v>125</v>
      </c>
      <c r="G2214">
        <v>320</v>
      </c>
      <c r="H2214">
        <v>215</v>
      </c>
      <c r="I2214">
        <v>90</v>
      </c>
      <c r="J2214" s="8">
        <v>0.72</v>
      </c>
      <c r="K2214">
        <v>41</v>
      </c>
      <c r="L2214">
        <v>60</v>
      </c>
      <c r="M2214">
        <v>184</v>
      </c>
      <c r="N2214" s="10">
        <v>719.18</v>
      </c>
      <c r="O2214" s="7">
        <v>6.2</v>
      </c>
      <c r="P2214" s="7">
        <v>28.2</v>
      </c>
      <c r="Q2214">
        <v>1</v>
      </c>
      <c r="R2214" t="s">
        <v>63</v>
      </c>
      <c r="S2214">
        <v>1</v>
      </c>
      <c r="T2214">
        <v>7</v>
      </c>
      <c r="U2214" s="11">
        <v>0.7818314824680298</v>
      </c>
      <c r="V2214" s="11">
        <v>0.62348980185873359</v>
      </c>
      <c r="W2214" s="11">
        <v>0.10303137904317879</v>
      </c>
      <c r="X2214" s="11">
        <v>0.99467810618936459</v>
      </c>
      <c r="Y2214">
        <v>0</v>
      </c>
      <c r="Z2214">
        <v>0</v>
      </c>
      <c r="AB2214">
        <v>1</v>
      </c>
      <c r="AC2214">
        <v>0</v>
      </c>
      <c r="AD2214">
        <v>0</v>
      </c>
      <c r="AE2214">
        <v>0</v>
      </c>
    </row>
    <row r="2215" spans="1:31">
      <c r="A2215" s="6">
        <v>45664</v>
      </c>
      <c r="B2215" t="s">
        <v>41</v>
      </c>
      <c r="C2215" t="s">
        <v>42</v>
      </c>
      <c r="D2215" t="s">
        <v>43</v>
      </c>
      <c r="E2215" t="s">
        <v>44</v>
      </c>
      <c r="F2215">
        <v>85</v>
      </c>
      <c r="G2215">
        <v>210</v>
      </c>
      <c r="H2215">
        <v>156</v>
      </c>
      <c r="I2215">
        <v>72</v>
      </c>
      <c r="J2215" s="8">
        <v>0.84705882352941175</v>
      </c>
      <c r="K2215">
        <v>35</v>
      </c>
      <c r="L2215">
        <v>21</v>
      </c>
      <c r="M2215">
        <v>138</v>
      </c>
      <c r="N2215" s="10">
        <v>612.39</v>
      </c>
      <c r="O2215" s="7">
        <v>6.2</v>
      </c>
      <c r="P2215" s="7">
        <v>28.2</v>
      </c>
      <c r="Q2215">
        <v>1</v>
      </c>
      <c r="R2215" t="s">
        <v>63</v>
      </c>
      <c r="S2215">
        <v>1</v>
      </c>
      <c r="T2215">
        <v>7</v>
      </c>
      <c r="U2215" s="11">
        <v>0.7818314824680298</v>
      </c>
      <c r="V2215" s="11">
        <v>0.62348980185873359</v>
      </c>
      <c r="W2215" s="11">
        <v>0.10303137904317879</v>
      </c>
      <c r="X2215" s="11">
        <v>0.99467810618936459</v>
      </c>
      <c r="Y2215">
        <v>0</v>
      </c>
      <c r="Z2215">
        <v>0</v>
      </c>
      <c r="AB2215">
        <v>1</v>
      </c>
      <c r="AC2215">
        <v>0</v>
      </c>
      <c r="AD2215">
        <v>0</v>
      </c>
      <c r="AE2215">
        <v>0</v>
      </c>
    </row>
    <row r="2216" spans="1:31">
      <c r="A2216" s="6">
        <v>45665</v>
      </c>
      <c r="B2216" t="s">
        <v>31</v>
      </c>
      <c r="C2216" t="s">
        <v>32</v>
      </c>
      <c r="D2216" t="s">
        <v>33</v>
      </c>
      <c r="E2216" t="s">
        <v>34</v>
      </c>
      <c r="F2216">
        <v>140</v>
      </c>
      <c r="G2216">
        <v>360</v>
      </c>
      <c r="H2216">
        <v>219</v>
      </c>
      <c r="I2216">
        <v>91</v>
      </c>
      <c r="J2216" s="8">
        <v>0.65</v>
      </c>
      <c r="K2216">
        <v>57</v>
      </c>
      <c r="L2216">
        <v>39</v>
      </c>
      <c r="M2216">
        <v>177</v>
      </c>
      <c r="N2216" s="10">
        <v>503.57</v>
      </c>
      <c r="O2216" s="7">
        <v>20.5</v>
      </c>
      <c r="P2216" s="7">
        <v>28.6</v>
      </c>
      <c r="Q2216">
        <v>2</v>
      </c>
      <c r="R2216" t="s">
        <v>64</v>
      </c>
      <c r="S2216">
        <v>1</v>
      </c>
      <c r="T2216">
        <v>8</v>
      </c>
      <c r="U2216" s="11">
        <v>0.97492791218182362</v>
      </c>
      <c r="V2216" s="11">
        <v>-0.22252093395631434</v>
      </c>
      <c r="W2216" s="11">
        <v>0.1201261651823505</v>
      </c>
      <c r="X2216" s="11">
        <v>0.99275863352507931</v>
      </c>
      <c r="Y2216">
        <v>0</v>
      </c>
      <c r="Z2216">
        <v>0</v>
      </c>
      <c r="AB2216">
        <v>1</v>
      </c>
      <c r="AC2216">
        <v>0</v>
      </c>
      <c r="AD2216">
        <v>0</v>
      </c>
      <c r="AE2216">
        <v>0</v>
      </c>
    </row>
    <row r="2217" spans="1:31">
      <c r="A2217" s="6">
        <v>45665</v>
      </c>
      <c r="B2217" t="s">
        <v>36</v>
      </c>
      <c r="C2217" t="s">
        <v>37</v>
      </c>
      <c r="D2217" t="s">
        <v>38</v>
      </c>
      <c r="E2217" t="s">
        <v>39</v>
      </c>
      <c r="F2217">
        <v>125</v>
      </c>
      <c r="G2217">
        <v>320</v>
      </c>
      <c r="H2217">
        <v>226</v>
      </c>
      <c r="I2217">
        <v>93</v>
      </c>
      <c r="J2217" s="8">
        <v>0.74399999999999999</v>
      </c>
      <c r="K2217">
        <v>35</v>
      </c>
      <c r="L2217">
        <v>49</v>
      </c>
      <c r="M2217">
        <v>192</v>
      </c>
      <c r="N2217" s="10">
        <v>664.73</v>
      </c>
      <c r="O2217" s="7">
        <v>20.5</v>
      </c>
      <c r="P2217" s="7">
        <v>28.6</v>
      </c>
      <c r="Q2217">
        <v>2</v>
      </c>
      <c r="R2217" t="s">
        <v>64</v>
      </c>
      <c r="S2217">
        <v>1</v>
      </c>
      <c r="T2217">
        <v>8</v>
      </c>
      <c r="U2217" s="11">
        <v>0.97492791218182362</v>
      </c>
      <c r="V2217" s="11">
        <v>-0.22252093395631434</v>
      </c>
      <c r="W2217" s="11">
        <v>0.1201261651823505</v>
      </c>
      <c r="X2217" s="11">
        <v>0.99275863352507931</v>
      </c>
      <c r="Y2217">
        <v>0</v>
      </c>
      <c r="Z2217">
        <v>0</v>
      </c>
      <c r="AB2217">
        <v>1</v>
      </c>
      <c r="AC2217">
        <v>0</v>
      </c>
      <c r="AD2217">
        <v>0</v>
      </c>
      <c r="AE2217">
        <v>0</v>
      </c>
    </row>
    <row r="2218" spans="1:31">
      <c r="A2218" s="6">
        <v>45665</v>
      </c>
      <c r="B2218" t="s">
        <v>41</v>
      </c>
      <c r="C2218" t="s">
        <v>42</v>
      </c>
      <c r="D2218" t="s">
        <v>43</v>
      </c>
      <c r="E2218" t="s">
        <v>44</v>
      </c>
      <c r="F2218">
        <v>85</v>
      </c>
      <c r="G2218">
        <v>210</v>
      </c>
      <c r="H2218">
        <v>154</v>
      </c>
      <c r="I2218">
        <v>67</v>
      </c>
      <c r="J2218" s="8">
        <v>0.78823529411764703</v>
      </c>
      <c r="K2218">
        <v>26</v>
      </c>
      <c r="L2218">
        <v>33</v>
      </c>
      <c r="M2218">
        <v>124</v>
      </c>
      <c r="N2218" s="10">
        <v>575.65</v>
      </c>
      <c r="O2218" s="7">
        <v>20.5</v>
      </c>
      <c r="P2218" s="7">
        <v>28.6</v>
      </c>
      <c r="Q2218">
        <v>2</v>
      </c>
      <c r="R2218" t="s">
        <v>64</v>
      </c>
      <c r="S2218">
        <v>1</v>
      </c>
      <c r="T2218">
        <v>8</v>
      </c>
      <c r="U2218" s="11">
        <v>0.97492791218182362</v>
      </c>
      <c r="V2218" s="11">
        <v>-0.22252093395631434</v>
      </c>
      <c r="W2218" s="11">
        <v>0.1201261651823505</v>
      </c>
      <c r="X2218" s="11">
        <v>0.99275863352507931</v>
      </c>
      <c r="Y2218">
        <v>0</v>
      </c>
      <c r="Z2218">
        <v>0</v>
      </c>
      <c r="AB2218">
        <v>1</v>
      </c>
      <c r="AC2218">
        <v>0</v>
      </c>
      <c r="AD2218">
        <v>0</v>
      </c>
      <c r="AE2218">
        <v>0</v>
      </c>
    </row>
    <row r="2219" spans="1:31">
      <c r="A2219" s="6">
        <v>45666</v>
      </c>
      <c r="B2219" t="s">
        <v>31</v>
      </c>
      <c r="C2219" t="s">
        <v>32</v>
      </c>
      <c r="D2219" t="s">
        <v>33</v>
      </c>
      <c r="E2219" t="s">
        <v>34</v>
      </c>
      <c r="F2219">
        <v>140</v>
      </c>
      <c r="G2219">
        <v>360</v>
      </c>
      <c r="H2219">
        <v>222</v>
      </c>
      <c r="I2219">
        <v>94</v>
      </c>
      <c r="J2219" s="8">
        <v>0.67142857142857137</v>
      </c>
      <c r="K2219">
        <v>35</v>
      </c>
      <c r="L2219">
        <v>43</v>
      </c>
      <c r="M2219">
        <v>180</v>
      </c>
      <c r="N2219" s="10">
        <v>432.34</v>
      </c>
      <c r="O2219" s="7">
        <v>0</v>
      </c>
      <c r="P2219" s="7">
        <v>28.3</v>
      </c>
      <c r="Q2219">
        <v>3</v>
      </c>
      <c r="R2219" t="s">
        <v>65</v>
      </c>
      <c r="S2219">
        <v>1</v>
      </c>
      <c r="T2219">
        <v>9</v>
      </c>
      <c r="U2219" s="11">
        <v>0.43388373911755823</v>
      </c>
      <c r="V2219" s="11">
        <v>-0.90096886790241903</v>
      </c>
      <c r="W2219" s="11">
        <v>0.13718540405660057</v>
      </c>
      <c r="X2219" s="11">
        <v>0.99054538760918331</v>
      </c>
      <c r="Y2219">
        <v>0</v>
      </c>
      <c r="Z2219">
        <v>0</v>
      </c>
      <c r="AB2219">
        <v>1</v>
      </c>
      <c r="AC2219">
        <v>0</v>
      </c>
      <c r="AD2219">
        <v>0</v>
      </c>
      <c r="AE2219">
        <v>0</v>
      </c>
    </row>
    <row r="2220" spans="1:31">
      <c r="A2220" s="6">
        <v>45666</v>
      </c>
      <c r="B2220" t="s">
        <v>36</v>
      </c>
      <c r="C2220" t="s">
        <v>37</v>
      </c>
      <c r="D2220" t="s">
        <v>38</v>
      </c>
      <c r="E2220" t="s">
        <v>39</v>
      </c>
      <c r="F2220">
        <v>125</v>
      </c>
      <c r="G2220">
        <v>320</v>
      </c>
      <c r="H2220">
        <v>223</v>
      </c>
      <c r="I2220">
        <v>93</v>
      </c>
      <c r="J2220" s="8">
        <v>0.74399999999999999</v>
      </c>
      <c r="K2220">
        <v>46</v>
      </c>
      <c r="L2220">
        <v>29</v>
      </c>
      <c r="M2220">
        <v>193</v>
      </c>
      <c r="N2220" s="10">
        <v>613.82000000000005</v>
      </c>
      <c r="O2220" s="7">
        <v>0</v>
      </c>
      <c r="P2220" s="7">
        <v>28.3</v>
      </c>
      <c r="Q2220">
        <v>3</v>
      </c>
      <c r="R2220" t="s">
        <v>65</v>
      </c>
      <c r="S2220">
        <v>1</v>
      </c>
      <c r="T2220">
        <v>9</v>
      </c>
      <c r="U2220" s="11">
        <v>0.43388373911755823</v>
      </c>
      <c r="V2220" s="11">
        <v>-0.90096886790241903</v>
      </c>
      <c r="W2220" s="11">
        <v>0.13718540405660057</v>
      </c>
      <c r="X2220" s="11">
        <v>0.99054538760918331</v>
      </c>
      <c r="Y2220">
        <v>0</v>
      </c>
      <c r="Z2220">
        <v>0</v>
      </c>
      <c r="AB2220">
        <v>1</v>
      </c>
      <c r="AC2220">
        <v>0</v>
      </c>
      <c r="AD2220">
        <v>0</v>
      </c>
      <c r="AE2220">
        <v>0</v>
      </c>
    </row>
    <row r="2221" spans="1:31">
      <c r="A2221" s="6">
        <v>45666</v>
      </c>
      <c r="B2221" t="s">
        <v>41</v>
      </c>
      <c r="C2221" t="s">
        <v>42</v>
      </c>
      <c r="D2221" t="s">
        <v>43</v>
      </c>
      <c r="E2221" t="s">
        <v>44</v>
      </c>
      <c r="F2221">
        <v>85</v>
      </c>
      <c r="G2221">
        <v>210</v>
      </c>
      <c r="H2221">
        <v>156</v>
      </c>
      <c r="I2221">
        <v>69</v>
      </c>
      <c r="J2221" s="8">
        <v>0.81176470588235294</v>
      </c>
      <c r="K2221">
        <v>29</v>
      </c>
      <c r="L2221">
        <v>32</v>
      </c>
      <c r="M2221">
        <v>146</v>
      </c>
      <c r="N2221" s="10">
        <v>628.65</v>
      </c>
      <c r="O2221" s="7">
        <v>0</v>
      </c>
      <c r="P2221" s="7">
        <v>28.3</v>
      </c>
      <c r="Q2221">
        <v>3</v>
      </c>
      <c r="R2221" t="s">
        <v>65</v>
      </c>
      <c r="S2221">
        <v>1</v>
      </c>
      <c r="T2221">
        <v>9</v>
      </c>
      <c r="U2221" s="11">
        <v>0.43388373911755823</v>
      </c>
      <c r="V2221" s="11">
        <v>-0.90096886790241903</v>
      </c>
      <c r="W2221" s="11">
        <v>0.13718540405660057</v>
      </c>
      <c r="X2221" s="11">
        <v>0.99054538760918331</v>
      </c>
      <c r="Y2221">
        <v>0</v>
      </c>
      <c r="Z2221">
        <v>0</v>
      </c>
      <c r="AB2221">
        <v>1</v>
      </c>
      <c r="AC2221">
        <v>0</v>
      </c>
      <c r="AD2221">
        <v>0</v>
      </c>
      <c r="AE2221">
        <v>0</v>
      </c>
    </row>
    <row r="2222" spans="1:31">
      <c r="A2222" s="6">
        <v>45667</v>
      </c>
      <c r="B2222" t="s">
        <v>31</v>
      </c>
      <c r="C2222" t="s">
        <v>32</v>
      </c>
      <c r="D2222" t="s">
        <v>33</v>
      </c>
      <c r="E2222" t="s">
        <v>34</v>
      </c>
      <c r="F2222">
        <v>140</v>
      </c>
      <c r="G2222">
        <v>360</v>
      </c>
      <c r="H2222">
        <v>225</v>
      </c>
      <c r="I2222">
        <v>94</v>
      </c>
      <c r="J2222" s="8">
        <v>0.67142857142857137</v>
      </c>
      <c r="K2222">
        <v>30</v>
      </c>
      <c r="L2222">
        <v>38</v>
      </c>
      <c r="M2222">
        <v>202</v>
      </c>
      <c r="N2222" s="10">
        <v>419.01</v>
      </c>
      <c r="O2222" s="7">
        <v>3.3</v>
      </c>
      <c r="P2222" s="7">
        <v>27.4</v>
      </c>
      <c r="Q2222">
        <v>4</v>
      </c>
      <c r="R2222" t="s">
        <v>66</v>
      </c>
      <c r="S2222">
        <v>1</v>
      </c>
      <c r="T2222">
        <v>10</v>
      </c>
      <c r="U2222" s="11">
        <v>-0.43388373911755801</v>
      </c>
      <c r="V2222" s="11">
        <v>-0.90096886790241915</v>
      </c>
      <c r="W2222" s="11">
        <v>0.15420404756268941</v>
      </c>
      <c r="X2222" s="11">
        <v>0.98803902337675098</v>
      </c>
      <c r="Y2222">
        <v>0</v>
      </c>
      <c r="Z2222">
        <v>0</v>
      </c>
      <c r="AB2222">
        <v>1</v>
      </c>
      <c r="AC2222">
        <v>0</v>
      </c>
      <c r="AD2222">
        <v>0</v>
      </c>
      <c r="AE2222">
        <v>0</v>
      </c>
    </row>
    <row r="2223" spans="1:31">
      <c r="A2223" s="6">
        <v>45667</v>
      </c>
      <c r="B2223" t="s">
        <v>36</v>
      </c>
      <c r="C2223" t="s">
        <v>37</v>
      </c>
      <c r="D2223" t="s">
        <v>38</v>
      </c>
      <c r="E2223" t="s">
        <v>39</v>
      </c>
      <c r="F2223">
        <v>125</v>
      </c>
      <c r="G2223">
        <v>320</v>
      </c>
      <c r="H2223">
        <v>227</v>
      </c>
      <c r="I2223">
        <v>95</v>
      </c>
      <c r="J2223" s="8">
        <v>0.76</v>
      </c>
      <c r="K2223">
        <v>40</v>
      </c>
      <c r="L2223">
        <v>28</v>
      </c>
      <c r="M2223">
        <v>209</v>
      </c>
      <c r="N2223" s="10">
        <v>607.07000000000005</v>
      </c>
      <c r="O2223" s="7">
        <v>3.3</v>
      </c>
      <c r="P2223" s="7">
        <v>27.4</v>
      </c>
      <c r="Q2223">
        <v>4</v>
      </c>
      <c r="R2223" t="s">
        <v>66</v>
      </c>
      <c r="S2223">
        <v>1</v>
      </c>
      <c r="T2223">
        <v>10</v>
      </c>
      <c r="U2223" s="11">
        <v>-0.43388373911755801</v>
      </c>
      <c r="V2223" s="11">
        <v>-0.90096886790241915</v>
      </c>
      <c r="W2223" s="11">
        <v>0.15420404756268941</v>
      </c>
      <c r="X2223" s="11">
        <v>0.98803902337675098</v>
      </c>
      <c r="Y2223">
        <v>0</v>
      </c>
      <c r="Z2223">
        <v>0</v>
      </c>
      <c r="AB2223">
        <v>1</v>
      </c>
      <c r="AC2223">
        <v>0</v>
      </c>
      <c r="AD2223">
        <v>0</v>
      </c>
      <c r="AE2223">
        <v>0</v>
      </c>
    </row>
    <row r="2224" spans="1:31">
      <c r="A2224" s="6">
        <v>45667</v>
      </c>
      <c r="B2224" t="s">
        <v>41</v>
      </c>
      <c r="C2224" t="s">
        <v>42</v>
      </c>
      <c r="D2224" t="s">
        <v>43</v>
      </c>
      <c r="E2224" t="s">
        <v>44</v>
      </c>
      <c r="F2224">
        <v>85</v>
      </c>
      <c r="G2224">
        <v>210</v>
      </c>
      <c r="H2224">
        <v>166</v>
      </c>
      <c r="I2224">
        <v>73</v>
      </c>
      <c r="J2224" s="8">
        <v>0.85882352941176465</v>
      </c>
      <c r="K2224">
        <v>35</v>
      </c>
      <c r="L2224">
        <v>32</v>
      </c>
      <c r="M2224">
        <v>143</v>
      </c>
      <c r="N2224" s="10">
        <v>584.94000000000005</v>
      </c>
      <c r="O2224" s="7">
        <v>3.3</v>
      </c>
      <c r="P2224" s="7">
        <v>27.4</v>
      </c>
      <c r="Q2224">
        <v>4</v>
      </c>
      <c r="R2224" t="s">
        <v>66</v>
      </c>
      <c r="S2224">
        <v>1</v>
      </c>
      <c r="T2224">
        <v>10</v>
      </c>
      <c r="U2224" s="11">
        <v>-0.43388373911755801</v>
      </c>
      <c r="V2224" s="11">
        <v>-0.90096886790241915</v>
      </c>
      <c r="W2224" s="11">
        <v>0.15420404756268941</v>
      </c>
      <c r="X2224" s="11">
        <v>0.98803902337675098</v>
      </c>
      <c r="Y2224">
        <v>0</v>
      </c>
      <c r="Z2224">
        <v>0</v>
      </c>
      <c r="AB2224">
        <v>1</v>
      </c>
      <c r="AC2224">
        <v>0</v>
      </c>
      <c r="AD2224">
        <v>0</v>
      </c>
      <c r="AE2224">
        <v>0</v>
      </c>
    </row>
    <row r="2225" spans="1:31">
      <c r="A2225" s="6">
        <v>45668</v>
      </c>
      <c r="B2225" t="s">
        <v>31</v>
      </c>
      <c r="C2225" t="s">
        <v>32</v>
      </c>
      <c r="D2225" t="s">
        <v>33</v>
      </c>
      <c r="E2225" t="s">
        <v>34</v>
      </c>
      <c r="F2225">
        <v>140</v>
      </c>
      <c r="G2225">
        <v>360</v>
      </c>
      <c r="H2225">
        <v>241</v>
      </c>
      <c r="I2225">
        <v>103</v>
      </c>
      <c r="J2225" s="8">
        <v>0.73571428571428577</v>
      </c>
      <c r="K2225">
        <v>48</v>
      </c>
      <c r="L2225">
        <v>56</v>
      </c>
      <c r="M2225">
        <v>204</v>
      </c>
      <c r="N2225" s="10">
        <v>509.01</v>
      </c>
      <c r="O2225" s="7">
        <v>8.4</v>
      </c>
      <c r="P2225" s="7">
        <v>29.5</v>
      </c>
      <c r="Q2225">
        <v>5</v>
      </c>
      <c r="R2225" t="s">
        <v>67</v>
      </c>
      <c r="S2225">
        <v>1</v>
      </c>
      <c r="T2225">
        <v>11</v>
      </c>
      <c r="U2225" s="11">
        <v>-0.97492791218182362</v>
      </c>
      <c r="V2225" s="11">
        <v>-0.22252093395631459</v>
      </c>
      <c r="W2225" s="11">
        <v>0.17117705961019986</v>
      </c>
      <c r="X2225" s="11">
        <v>0.98524028250128204</v>
      </c>
      <c r="Y2225">
        <v>1</v>
      </c>
      <c r="Z2225">
        <v>0</v>
      </c>
      <c r="AB2225">
        <v>1</v>
      </c>
      <c r="AC2225">
        <v>0</v>
      </c>
      <c r="AD2225">
        <v>0</v>
      </c>
      <c r="AE2225">
        <v>0</v>
      </c>
    </row>
    <row r="2226" spans="1:31">
      <c r="A2226" s="6">
        <v>45668</v>
      </c>
      <c r="B2226" t="s">
        <v>36</v>
      </c>
      <c r="C2226" t="s">
        <v>37</v>
      </c>
      <c r="D2226" t="s">
        <v>38</v>
      </c>
      <c r="E2226" t="s">
        <v>39</v>
      </c>
      <c r="F2226">
        <v>125</v>
      </c>
      <c r="G2226">
        <v>320</v>
      </c>
      <c r="H2226">
        <v>269</v>
      </c>
      <c r="I2226">
        <v>110</v>
      </c>
      <c r="J2226" s="8">
        <v>0.88</v>
      </c>
      <c r="K2226">
        <v>69</v>
      </c>
      <c r="L2226">
        <v>48</v>
      </c>
      <c r="M2226">
        <v>242</v>
      </c>
      <c r="N2226" s="10">
        <v>761.15</v>
      </c>
      <c r="O2226" s="7">
        <v>8.4</v>
      </c>
      <c r="P2226" s="7">
        <v>29.5</v>
      </c>
      <c r="Q2226">
        <v>5</v>
      </c>
      <c r="R2226" t="s">
        <v>67</v>
      </c>
      <c r="S2226">
        <v>1</v>
      </c>
      <c r="T2226">
        <v>11</v>
      </c>
      <c r="U2226" s="11">
        <v>-0.97492791218182362</v>
      </c>
      <c r="V2226" s="11">
        <v>-0.22252093395631459</v>
      </c>
      <c r="W2226" s="11">
        <v>0.17117705961019986</v>
      </c>
      <c r="X2226" s="11">
        <v>0.98524028250128204</v>
      </c>
      <c r="Y2226">
        <v>1</v>
      </c>
      <c r="Z2226">
        <v>0</v>
      </c>
      <c r="AB2226">
        <v>1</v>
      </c>
      <c r="AC2226">
        <v>0</v>
      </c>
      <c r="AD2226">
        <v>0</v>
      </c>
      <c r="AE2226">
        <v>0</v>
      </c>
    </row>
    <row r="2227" spans="1:31">
      <c r="A2227" s="6">
        <v>45668</v>
      </c>
      <c r="B2227" t="s">
        <v>41</v>
      </c>
      <c r="C2227" t="s">
        <v>42</v>
      </c>
      <c r="D2227" t="s">
        <v>43</v>
      </c>
      <c r="E2227" t="s">
        <v>44</v>
      </c>
      <c r="F2227">
        <v>85</v>
      </c>
      <c r="G2227">
        <v>210</v>
      </c>
      <c r="H2227">
        <v>188</v>
      </c>
      <c r="I2227">
        <v>81</v>
      </c>
      <c r="J2227" s="8">
        <v>0.95294117647058818</v>
      </c>
      <c r="K2227">
        <v>38</v>
      </c>
      <c r="L2227">
        <v>53</v>
      </c>
      <c r="M2227">
        <v>174</v>
      </c>
      <c r="N2227" s="10">
        <v>626.04999999999995</v>
      </c>
      <c r="O2227" s="7">
        <v>8.4</v>
      </c>
      <c r="P2227" s="7">
        <v>29.5</v>
      </c>
      <c r="Q2227">
        <v>5</v>
      </c>
      <c r="R2227" t="s">
        <v>67</v>
      </c>
      <c r="S2227">
        <v>1</v>
      </c>
      <c r="T2227">
        <v>11</v>
      </c>
      <c r="U2227" s="11">
        <v>-0.97492791218182362</v>
      </c>
      <c r="V2227" s="11">
        <v>-0.22252093395631459</v>
      </c>
      <c r="W2227" s="11">
        <v>0.17117705961019986</v>
      </c>
      <c r="X2227" s="11">
        <v>0.98524028250128204</v>
      </c>
      <c r="Y2227">
        <v>1</v>
      </c>
      <c r="Z2227">
        <v>0</v>
      </c>
      <c r="AB2227">
        <v>1</v>
      </c>
      <c r="AC2227">
        <v>0</v>
      </c>
      <c r="AD2227">
        <v>0</v>
      </c>
      <c r="AE2227">
        <v>0</v>
      </c>
    </row>
    <row r="2228" spans="1:31">
      <c r="A2228" s="6">
        <v>45669</v>
      </c>
      <c r="B2228" t="s">
        <v>31</v>
      </c>
      <c r="C2228" t="s">
        <v>32</v>
      </c>
      <c r="D2228" t="s">
        <v>33</v>
      </c>
      <c r="E2228" t="s">
        <v>34</v>
      </c>
      <c r="F2228">
        <v>140</v>
      </c>
      <c r="G2228">
        <v>360</v>
      </c>
      <c r="H2228">
        <v>231</v>
      </c>
      <c r="I2228">
        <v>99</v>
      </c>
      <c r="J2228" s="8">
        <v>0.70714285714285718</v>
      </c>
      <c r="K2228">
        <v>31</v>
      </c>
      <c r="L2228">
        <v>58</v>
      </c>
      <c r="M2228">
        <v>212</v>
      </c>
      <c r="N2228" s="10">
        <v>523.16999999999996</v>
      </c>
      <c r="O2228" s="7">
        <v>8.6999999999999993</v>
      </c>
      <c r="P2228" s="7">
        <v>29</v>
      </c>
      <c r="Q2228">
        <v>6</v>
      </c>
      <c r="R2228" t="s">
        <v>60</v>
      </c>
      <c r="S2228">
        <v>1</v>
      </c>
      <c r="T2228">
        <v>12</v>
      </c>
      <c r="U2228" s="11">
        <v>-0.78183148246802991</v>
      </c>
      <c r="V2228" s="11">
        <v>0.62348980185873337</v>
      </c>
      <c r="W2228" s="11">
        <v>0.18809941761179758</v>
      </c>
      <c r="X2228" s="11">
        <v>0.98214999317522911</v>
      </c>
      <c r="Y2228">
        <v>1</v>
      </c>
      <c r="Z2228">
        <v>0</v>
      </c>
      <c r="AB2228">
        <v>1</v>
      </c>
      <c r="AC2228">
        <v>0</v>
      </c>
      <c r="AD2228">
        <v>0</v>
      </c>
      <c r="AE2228">
        <v>0</v>
      </c>
    </row>
    <row r="2229" spans="1:31">
      <c r="A2229" s="6">
        <v>45669</v>
      </c>
      <c r="B2229" t="s">
        <v>36</v>
      </c>
      <c r="C2229" t="s">
        <v>37</v>
      </c>
      <c r="D2229" t="s">
        <v>38</v>
      </c>
      <c r="E2229" t="s">
        <v>39</v>
      </c>
      <c r="F2229">
        <v>125</v>
      </c>
      <c r="G2229">
        <v>320</v>
      </c>
      <c r="H2229">
        <v>251</v>
      </c>
      <c r="I2229">
        <v>104</v>
      </c>
      <c r="J2229" s="8">
        <v>0.83199999999999996</v>
      </c>
      <c r="K2229">
        <v>61</v>
      </c>
      <c r="L2229">
        <v>65</v>
      </c>
      <c r="M2229">
        <v>229</v>
      </c>
      <c r="N2229" s="10">
        <v>724.02</v>
      </c>
      <c r="O2229" s="7">
        <v>8.6999999999999993</v>
      </c>
      <c r="P2229" s="7">
        <v>29</v>
      </c>
      <c r="Q2229">
        <v>6</v>
      </c>
      <c r="R2229" t="s">
        <v>60</v>
      </c>
      <c r="S2229">
        <v>1</v>
      </c>
      <c r="T2229">
        <v>12</v>
      </c>
      <c r="U2229" s="11">
        <v>-0.78183148246802991</v>
      </c>
      <c r="V2229" s="11">
        <v>0.62348980185873337</v>
      </c>
      <c r="W2229" s="11">
        <v>0.18809941761179758</v>
      </c>
      <c r="X2229" s="11">
        <v>0.98214999317522911</v>
      </c>
      <c r="Y2229">
        <v>1</v>
      </c>
      <c r="Z2229">
        <v>0</v>
      </c>
      <c r="AB2229">
        <v>1</v>
      </c>
      <c r="AC2229">
        <v>0</v>
      </c>
      <c r="AD2229">
        <v>0</v>
      </c>
      <c r="AE2229">
        <v>0</v>
      </c>
    </row>
    <row r="2230" spans="1:31">
      <c r="A2230" s="6">
        <v>45669</v>
      </c>
      <c r="B2230" t="s">
        <v>41</v>
      </c>
      <c r="C2230" t="s">
        <v>42</v>
      </c>
      <c r="D2230" t="s">
        <v>43</v>
      </c>
      <c r="E2230" t="s">
        <v>44</v>
      </c>
      <c r="F2230">
        <v>85</v>
      </c>
      <c r="G2230">
        <v>210</v>
      </c>
      <c r="H2230">
        <v>178</v>
      </c>
      <c r="I2230">
        <v>82</v>
      </c>
      <c r="J2230" s="8">
        <v>0.96470588235294119</v>
      </c>
      <c r="K2230">
        <v>33</v>
      </c>
      <c r="L2230">
        <v>45</v>
      </c>
      <c r="M2230">
        <v>154</v>
      </c>
      <c r="N2230" s="10">
        <v>687.63</v>
      </c>
      <c r="O2230" s="7">
        <v>8.6999999999999993</v>
      </c>
      <c r="P2230" s="7">
        <v>29</v>
      </c>
      <c r="Q2230">
        <v>6</v>
      </c>
      <c r="R2230" t="s">
        <v>60</v>
      </c>
      <c r="S2230">
        <v>1</v>
      </c>
      <c r="T2230">
        <v>12</v>
      </c>
      <c r="U2230" s="11">
        <v>-0.78183148246802991</v>
      </c>
      <c r="V2230" s="11">
        <v>0.62348980185873337</v>
      </c>
      <c r="W2230" s="11">
        <v>0.18809941761179758</v>
      </c>
      <c r="X2230" s="11">
        <v>0.98214999317522911</v>
      </c>
      <c r="Y2230">
        <v>1</v>
      </c>
      <c r="Z2230">
        <v>0</v>
      </c>
      <c r="AB2230">
        <v>1</v>
      </c>
      <c r="AC2230">
        <v>0</v>
      </c>
      <c r="AD2230">
        <v>0</v>
      </c>
      <c r="AE2230">
        <v>0</v>
      </c>
    </row>
    <row r="2231" spans="1:31">
      <c r="A2231" s="6">
        <v>45670</v>
      </c>
      <c r="B2231" t="s">
        <v>31</v>
      </c>
      <c r="C2231" t="s">
        <v>32</v>
      </c>
      <c r="D2231" t="s">
        <v>33</v>
      </c>
      <c r="E2231" t="s">
        <v>34</v>
      </c>
      <c r="F2231">
        <v>140</v>
      </c>
      <c r="G2231">
        <v>360</v>
      </c>
      <c r="H2231">
        <v>244</v>
      </c>
      <c r="I2231">
        <v>103</v>
      </c>
      <c r="J2231" s="8">
        <v>0.73571428571428577</v>
      </c>
      <c r="K2231">
        <v>37</v>
      </c>
      <c r="L2231">
        <v>58</v>
      </c>
      <c r="M2231">
        <v>199</v>
      </c>
      <c r="N2231" s="10">
        <v>457.71</v>
      </c>
      <c r="O2231" s="7">
        <v>9.1</v>
      </c>
      <c r="P2231" s="7">
        <v>28.2</v>
      </c>
      <c r="Q2231">
        <v>0</v>
      </c>
      <c r="R2231" t="s">
        <v>62</v>
      </c>
      <c r="S2231">
        <v>1</v>
      </c>
      <c r="T2231">
        <v>13</v>
      </c>
      <c r="U2231" s="11">
        <v>0</v>
      </c>
      <c r="V2231" s="11">
        <v>1</v>
      </c>
      <c r="W2231" s="11">
        <v>0.20496611396949532</v>
      </c>
      <c r="X2231" s="11">
        <v>0.97876906986492163</v>
      </c>
      <c r="Y2231">
        <v>0</v>
      </c>
      <c r="Z2231">
        <v>0</v>
      </c>
      <c r="AB2231">
        <v>1</v>
      </c>
      <c r="AC2231">
        <v>0</v>
      </c>
      <c r="AD2231">
        <v>0</v>
      </c>
      <c r="AE2231">
        <v>0</v>
      </c>
    </row>
    <row r="2232" spans="1:31">
      <c r="A2232" s="6">
        <v>45670</v>
      </c>
      <c r="B2232" t="s">
        <v>36</v>
      </c>
      <c r="C2232" t="s">
        <v>37</v>
      </c>
      <c r="D2232" t="s">
        <v>38</v>
      </c>
      <c r="E2232" t="s">
        <v>39</v>
      </c>
      <c r="F2232">
        <v>125</v>
      </c>
      <c r="G2232">
        <v>320</v>
      </c>
      <c r="H2232">
        <v>218</v>
      </c>
      <c r="I2232">
        <v>90</v>
      </c>
      <c r="J2232" s="8">
        <v>0.72</v>
      </c>
      <c r="K2232">
        <v>56</v>
      </c>
      <c r="L2232">
        <v>45</v>
      </c>
      <c r="M2232">
        <v>197</v>
      </c>
      <c r="N2232" s="10">
        <v>717.64</v>
      </c>
      <c r="O2232" s="7">
        <v>9.1</v>
      </c>
      <c r="P2232" s="7">
        <v>28.2</v>
      </c>
      <c r="Q2232">
        <v>0</v>
      </c>
      <c r="R2232" t="s">
        <v>62</v>
      </c>
      <c r="S2232">
        <v>1</v>
      </c>
      <c r="T2232">
        <v>13</v>
      </c>
      <c r="U2232" s="11">
        <v>0</v>
      </c>
      <c r="V2232" s="11">
        <v>1</v>
      </c>
      <c r="W2232" s="11">
        <v>0.20496611396949532</v>
      </c>
      <c r="X2232" s="11">
        <v>0.97876906986492163</v>
      </c>
      <c r="Y2232">
        <v>0</v>
      </c>
      <c r="Z2232">
        <v>0</v>
      </c>
      <c r="AB2232">
        <v>1</v>
      </c>
      <c r="AC2232">
        <v>0</v>
      </c>
      <c r="AD2232">
        <v>0</v>
      </c>
      <c r="AE2232">
        <v>0</v>
      </c>
    </row>
    <row r="2233" spans="1:31">
      <c r="A2233" s="6">
        <v>45670</v>
      </c>
      <c r="B2233" t="s">
        <v>41</v>
      </c>
      <c r="C2233" t="s">
        <v>42</v>
      </c>
      <c r="D2233" t="s">
        <v>43</v>
      </c>
      <c r="E2233" t="s">
        <v>44</v>
      </c>
      <c r="F2233">
        <v>85</v>
      </c>
      <c r="G2233">
        <v>210</v>
      </c>
      <c r="H2233">
        <v>159</v>
      </c>
      <c r="I2233">
        <v>70</v>
      </c>
      <c r="J2233" s="8">
        <v>0.82352941176470584</v>
      </c>
      <c r="K2233">
        <v>36</v>
      </c>
      <c r="L2233">
        <v>32</v>
      </c>
      <c r="M2233">
        <v>130</v>
      </c>
      <c r="N2233" s="10">
        <v>544.12</v>
      </c>
      <c r="O2233" s="7">
        <v>9.1</v>
      </c>
      <c r="P2233" s="7">
        <v>28.2</v>
      </c>
      <c r="Q2233">
        <v>0</v>
      </c>
      <c r="R2233" t="s">
        <v>62</v>
      </c>
      <c r="S2233">
        <v>1</v>
      </c>
      <c r="T2233">
        <v>13</v>
      </c>
      <c r="U2233" s="11">
        <v>0</v>
      </c>
      <c r="V2233" s="11">
        <v>1</v>
      </c>
      <c r="W2233" s="11">
        <v>0.20496611396949532</v>
      </c>
      <c r="X2233" s="11">
        <v>0.97876906986492163</v>
      </c>
      <c r="Y2233">
        <v>0</v>
      </c>
      <c r="Z2233">
        <v>0</v>
      </c>
      <c r="AB2233">
        <v>1</v>
      </c>
      <c r="AC2233">
        <v>0</v>
      </c>
      <c r="AD2233">
        <v>0</v>
      </c>
      <c r="AE2233">
        <v>0</v>
      </c>
    </row>
    <row r="2234" spans="1:31">
      <c r="A2234" s="6">
        <v>45671</v>
      </c>
      <c r="B2234" t="s">
        <v>31</v>
      </c>
      <c r="C2234" t="s">
        <v>32</v>
      </c>
      <c r="D2234" t="s">
        <v>33</v>
      </c>
      <c r="E2234" t="s">
        <v>34</v>
      </c>
      <c r="F2234">
        <v>140</v>
      </c>
      <c r="G2234">
        <v>360</v>
      </c>
      <c r="H2234">
        <v>232</v>
      </c>
      <c r="I2234">
        <v>100</v>
      </c>
      <c r="J2234" s="8">
        <v>0.7142857142857143</v>
      </c>
      <c r="K2234">
        <v>22</v>
      </c>
      <c r="L2234">
        <v>23</v>
      </c>
      <c r="M2234">
        <v>190</v>
      </c>
      <c r="N2234" s="10">
        <v>421.15</v>
      </c>
      <c r="O2234" s="7">
        <v>0</v>
      </c>
      <c r="P2234" s="7">
        <v>28.6</v>
      </c>
      <c r="Q2234">
        <v>1</v>
      </c>
      <c r="R2234" t="s">
        <v>63</v>
      </c>
      <c r="S2234">
        <v>1</v>
      </c>
      <c r="T2234">
        <v>14</v>
      </c>
      <c r="U2234" s="11">
        <v>0.7818314824680298</v>
      </c>
      <c r="V2234" s="11">
        <v>0.62348980185873359</v>
      </c>
      <c r="W2234" s="11">
        <v>0.22177215755648186</v>
      </c>
      <c r="X2234" s="11">
        <v>0.97509851303996098</v>
      </c>
      <c r="Y2234">
        <v>0</v>
      </c>
      <c r="Z2234">
        <v>0</v>
      </c>
      <c r="AB2234">
        <v>1</v>
      </c>
      <c r="AC2234">
        <v>0</v>
      </c>
      <c r="AD2234">
        <v>0</v>
      </c>
      <c r="AE2234">
        <v>0</v>
      </c>
    </row>
    <row r="2235" spans="1:31">
      <c r="A2235" s="6">
        <v>45671</v>
      </c>
      <c r="B2235" t="s">
        <v>36</v>
      </c>
      <c r="C2235" t="s">
        <v>37</v>
      </c>
      <c r="D2235" t="s">
        <v>38</v>
      </c>
      <c r="E2235" t="s">
        <v>39</v>
      </c>
      <c r="F2235">
        <v>125</v>
      </c>
      <c r="G2235">
        <v>320</v>
      </c>
      <c r="H2235">
        <v>233</v>
      </c>
      <c r="I2235">
        <v>98</v>
      </c>
      <c r="J2235" s="8">
        <v>0.78400000000000003</v>
      </c>
      <c r="K2235">
        <v>60</v>
      </c>
      <c r="L2235">
        <v>58</v>
      </c>
      <c r="M2235">
        <v>198</v>
      </c>
      <c r="N2235" s="10">
        <v>656.23</v>
      </c>
      <c r="O2235" s="7">
        <v>0</v>
      </c>
      <c r="P2235" s="7">
        <v>28.6</v>
      </c>
      <c r="Q2235">
        <v>1</v>
      </c>
      <c r="R2235" t="s">
        <v>63</v>
      </c>
      <c r="S2235">
        <v>1</v>
      </c>
      <c r="T2235">
        <v>14</v>
      </c>
      <c r="U2235" s="11">
        <v>0.7818314824680298</v>
      </c>
      <c r="V2235" s="11">
        <v>0.62348980185873359</v>
      </c>
      <c r="W2235" s="11">
        <v>0.22177215755648186</v>
      </c>
      <c r="X2235" s="11">
        <v>0.97509851303996098</v>
      </c>
      <c r="Y2235">
        <v>0</v>
      </c>
      <c r="Z2235">
        <v>0</v>
      </c>
      <c r="AB2235">
        <v>1</v>
      </c>
      <c r="AC2235">
        <v>0</v>
      </c>
      <c r="AD2235">
        <v>0</v>
      </c>
      <c r="AE2235">
        <v>0</v>
      </c>
    </row>
    <row r="2236" spans="1:31">
      <c r="A2236" s="6">
        <v>45671</v>
      </c>
      <c r="B2236" t="s">
        <v>41</v>
      </c>
      <c r="C2236" t="s">
        <v>42</v>
      </c>
      <c r="D2236" t="s">
        <v>43</v>
      </c>
      <c r="E2236" t="s">
        <v>44</v>
      </c>
      <c r="F2236">
        <v>85</v>
      </c>
      <c r="G2236">
        <v>210</v>
      </c>
      <c r="H2236">
        <v>160</v>
      </c>
      <c r="I2236">
        <v>70</v>
      </c>
      <c r="J2236" s="8">
        <v>0.82352941176470584</v>
      </c>
      <c r="K2236">
        <v>21</v>
      </c>
      <c r="L2236">
        <v>36</v>
      </c>
      <c r="M2236">
        <v>137</v>
      </c>
      <c r="N2236" s="10">
        <v>552.95000000000005</v>
      </c>
      <c r="O2236" s="7">
        <v>0</v>
      </c>
      <c r="P2236" s="7">
        <v>28.6</v>
      </c>
      <c r="Q2236">
        <v>1</v>
      </c>
      <c r="R2236" t="s">
        <v>63</v>
      </c>
      <c r="S2236">
        <v>1</v>
      </c>
      <c r="T2236">
        <v>14</v>
      </c>
      <c r="U2236" s="11">
        <v>0.7818314824680298</v>
      </c>
      <c r="V2236" s="11">
        <v>0.62348980185873359</v>
      </c>
      <c r="W2236" s="11">
        <v>0.22177215755648186</v>
      </c>
      <c r="X2236" s="11">
        <v>0.97509851303996098</v>
      </c>
      <c r="Y2236">
        <v>0</v>
      </c>
      <c r="Z2236">
        <v>0</v>
      </c>
      <c r="AB2236">
        <v>1</v>
      </c>
      <c r="AC2236">
        <v>0</v>
      </c>
      <c r="AD2236">
        <v>0</v>
      </c>
      <c r="AE2236">
        <v>0</v>
      </c>
    </row>
    <row r="2237" spans="1:31">
      <c r="A2237" s="6">
        <v>45672</v>
      </c>
      <c r="B2237" t="s">
        <v>31</v>
      </c>
      <c r="C2237" t="s">
        <v>32</v>
      </c>
      <c r="D2237" t="s">
        <v>33</v>
      </c>
      <c r="E2237" t="s">
        <v>34</v>
      </c>
      <c r="F2237">
        <v>140</v>
      </c>
      <c r="G2237">
        <v>360</v>
      </c>
      <c r="H2237">
        <v>228</v>
      </c>
      <c r="I2237">
        <v>97</v>
      </c>
      <c r="J2237" s="8">
        <v>0.69285714285714284</v>
      </c>
      <c r="K2237">
        <v>28</v>
      </c>
      <c r="L2237">
        <v>36</v>
      </c>
      <c r="M2237">
        <v>184</v>
      </c>
      <c r="N2237" s="10">
        <v>502.2</v>
      </c>
      <c r="O2237" s="7">
        <v>2.5</v>
      </c>
      <c r="P2237" s="7">
        <v>28.1</v>
      </c>
      <c r="Q2237">
        <v>2</v>
      </c>
      <c r="R2237" t="s">
        <v>64</v>
      </c>
      <c r="S2237">
        <v>1</v>
      </c>
      <c r="T2237">
        <v>15</v>
      </c>
      <c r="U2237" s="11">
        <v>0.97492791218182362</v>
      </c>
      <c r="V2237" s="11">
        <v>-0.22252093395631434</v>
      </c>
      <c r="W2237" s="11">
        <v>0.23851257519407648</v>
      </c>
      <c r="X2237" s="11">
        <v>0.97113940887716532</v>
      </c>
      <c r="Y2237">
        <v>0</v>
      </c>
      <c r="Z2237">
        <v>0</v>
      </c>
      <c r="AB2237">
        <v>1</v>
      </c>
      <c r="AC2237">
        <v>0</v>
      </c>
      <c r="AD2237">
        <v>0</v>
      </c>
      <c r="AE2237">
        <v>0</v>
      </c>
    </row>
    <row r="2238" spans="1:31">
      <c r="A2238" s="6">
        <v>45672</v>
      </c>
      <c r="B2238" t="s">
        <v>36</v>
      </c>
      <c r="C2238" t="s">
        <v>37</v>
      </c>
      <c r="D2238" t="s">
        <v>38</v>
      </c>
      <c r="E2238" t="s">
        <v>39</v>
      </c>
      <c r="F2238">
        <v>125</v>
      </c>
      <c r="G2238">
        <v>320</v>
      </c>
      <c r="H2238">
        <v>229</v>
      </c>
      <c r="I2238">
        <v>95</v>
      </c>
      <c r="J2238" s="8">
        <v>0.76</v>
      </c>
      <c r="K2238">
        <v>61</v>
      </c>
      <c r="L2238">
        <v>31</v>
      </c>
      <c r="M2238">
        <v>215</v>
      </c>
      <c r="N2238" s="10">
        <v>691.35</v>
      </c>
      <c r="O2238" s="7">
        <v>2.5</v>
      </c>
      <c r="P2238" s="7">
        <v>28.1</v>
      </c>
      <c r="Q2238">
        <v>2</v>
      </c>
      <c r="R2238" t="s">
        <v>64</v>
      </c>
      <c r="S2238">
        <v>1</v>
      </c>
      <c r="T2238">
        <v>15</v>
      </c>
      <c r="U2238" s="11">
        <v>0.97492791218182362</v>
      </c>
      <c r="V2238" s="11">
        <v>-0.22252093395631434</v>
      </c>
      <c r="W2238" s="11">
        <v>0.23851257519407648</v>
      </c>
      <c r="X2238" s="11">
        <v>0.97113940887716532</v>
      </c>
      <c r="Y2238">
        <v>0</v>
      </c>
      <c r="Z2238">
        <v>0</v>
      </c>
      <c r="AB2238">
        <v>1</v>
      </c>
      <c r="AC2238">
        <v>0</v>
      </c>
      <c r="AD2238">
        <v>0</v>
      </c>
      <c r="AE2238">
        <v>0</v>
      </c>
    </row>
    <row r="2239" spans="1:31">
      <c r="A2239" s="6">
        <v>45672</v>
      </c>
      <c r="B2239" t="s">
        <v>41</v>
      </c>
      <c r="C2239" t="s">
        <v>42</v>
      </c>
      <c r="D2239" t="s">
        <v>43</v>
      </c>
      <c r="E2239" t="s">
        <v>44</v>
      </c>
      <c r="F2239">
        <v>85</v>
      </c>
      <c r="G2239">
        <v>210</v>
      </c>
      <c r="H2239">
        <v>164</v>
      </c>
      <c r="I2239">
        <v>72</v>
      </c>
      <c r="J2239" s="8">
        <v>0.84705882352941175</v>
      </c>
      <c r="K2239">
        <v>37</v>
      </c>
      <c r="L2239">
        <v>28</v>
      </c>
      <c r="M2239">
        <v>136</v>
      </c>
      <c r="N2239" s="10">
        <v>562.34</v>
      </c>
      <c r="O2239" s="7">
        <v>2.5</v>
      </c>
      <c r="P2239" s="7">
        <v>28.1</v>
      </c>
      <c r="Q2239">
        <v>2</v>
      </c>
      <c r="R2239" t="s">
        <v>64</v>
      </c>
      <c r="S2239">
        <v>1</v>
      </c>
      <c r="T2239">
        <v>15</v>
      </c>
      <c r="U2239" s="11">
        <v>0.97492791218182362</v>
      </c>
      <c r="V2239" s="11">
        <v>-0.22252093395631434</v>
      </c>
      <c r="W2239" s="11">
        <v>0.23851257519407648</v>
      </c>
      <c r="X2239" s="11">
        <v>0.97113940887716532</v>
      </c>
      <c r="Y2239">
        <v>0</v>
      </c>
      <c r="Z2239">
        <v>0</v>
      </c>
      <c r="AB2239">
        <v>1</v>
      </c>
      <c r="AC2239">
        <v>0</v>
      </c>
      <c r="AD2239">
        <v>0</v>
      </c>
      <c r="AE2239">
        <v>0</v>
      </c>
    </row>
    <row r="2240" spans="1:31">
      <c r="A2240" s="6">
        <v>45673</v>
      </c>
      <c r="B2240" t="s">
        <v>31</v>
      </c>
      <c r="C2240" t="s">
        <v>32</v>
      </c>
      <c r="D2240" t="s">
        <v>33</v>
      </c>
      <c r="E2240" t="s">
        <v>34</v>
      </c>
      <c r="F2240">
        <v>140</v>
      </c>
      <c r="G2240">
        <v>360</v>
      </c>
      <c r="H2240">
        <v>221</v>
      </c>
      <c r="I2240">
        <v>95</v>
      </c>
      <c r="J2240" s="8">
        <v>0.6785714285714286</v>
      </c>
      <c r="K2240">
        <v>47</v>
      </c>
      <c r="L2240">
        <v>52</v>
      </c>
      <c r="M2240">
        <v>178</v>
      </c>
      <c r="N2240" s="10">
        <v>456.57</v>
      </c>
      <c r="O2240" s="7">
        <v>0</v>
      </c>
      <c r="P2240" s="7">
        <v>29.3</v>
      </c>
      <c r="Q2240">
        <v>3</v>
      </c>
      <c r="R2240" t="s">
        <v>65</v>
      </c>
      <c r="S2240">
        <v>1</v>
      </c>
      <c r="T2240">
        <v>16</v>
      </c>
      <c r="U2240" s="11">
        <v>0.43388373911755823</v>
      </c>
      <c r="V2240" s="11">
        <v>-0.90096886790241903</v>
      </c>
      <c r="W2240" s="11">
        <v>0.25518241312337281</v>
      </c>
      <c r="X2240" s="11">
        <v>0.96689292893915213</v>
      </c>
      <c r="Y2240">
        <v>0</v>
      </c>
      <c r="Z2240">
        <v>0</v>
      </c>
      <c r="AB2240">
        <v>1</v>
      </c>
      <c r="AC2240">
        <v>0</v>
      </c>
      <c r="AD2240">
        <v>0</v>
      </c>
      <c r="AE2240">
        <v>0</v>
      </c>
    </row>
    <row r="2241" spans="1:31">
      <c r="A2241" s="6">
        <v>45673</v>
      </c>
      <c r="B2241" t="s">
        <v>36</v>
      </c>
      <c r="C2241" t="s">
        <v>37</v>
      </c>
      <c r="D2241" t="s">
        <v>38</v>
      </c>
      <c r="E2241" t="s">
        <v>39</v>
      </c>
      <c r="F2241">
        <v>125</v>
      </c>
      <c r="G2241">
        <v>320</v>
      </c>
      <c r="H2241">
        <v>246</v>
      </c>
      <c r="I2241">
        <v>103</v>
      </c>
      <c r="J2241" s="8">
        <v>0.82399999999999995</v>
      </c>
      <c r="K2241">
        <v>41</v>
      </c>
      <c r="L2241">
        <v>28</v>
      </c>
      <c r="M2241">
        <v>226</v>
      </c>
      <c r="N2241" s="10">
        <v>727.36</v>
      </c>
      <c r="O2241" s="7">
        <v>0</v>
      </c>
      <c r="P2241" s="7">
        <v>29.3</v>
      </c>
      <c r="Q2241">
        <v>3</v>
      </c>
      <c r="R2241" t="s">
        <v>65</v>
      </c>
      <c r="S2241">
        <v>1</v>
      </c>
      <c r="T2241">
        <v>16</v>
      </c>
      <c r="U2241" s="11">
        <v>0.43388373911755823</v>
      </c>
      <c r="V2241" s="11">
        <v>-0.90096886790241903</v>
      </c>
      <c r="W2241" s="11">
        <v>0.25518241312337281</v>
      </c>
      <c r="X2241" s="11">
        <v>0.96689292893915213</v>
      </c>
      <c r="Y2241">
        <v>0</v>
      </c>
      <c r="Z2241">
        <v>0</v>
      </c>
      <c r="AB2241">
        <v>1</v>
      </c>
      <c r="AC2241">
        <v>0</v>
      </c>
      <c r="AD2241">
        <v>0</v>
      </c>
      <c r="AE2241">
        <v>0</v>
      </c>
    </row>
    <row r="2242" spans="1:31">
      <c r="A2242" s="6">
        <v>45673</v>
      </c>
      <c r="B2242" t="s">
        <v>41</v>
      </c>
      <c r="C2242" t="s">
        <v>42</v>
      </c>
      <c r="D2242" t="s">
        <v>43</v>
      </c>
      <c r="E2242" t="s">
        <v>44</v>
      </c>
      <c r="F2242">
        <v>85</v>
      </c>
      <c r="G2242">
        <v>210</v>
      </c>
      <c r="H2242">
        <v>147</v>
      </c>
      <c r="I2242">
        <v>67</v>
      </c>
      <c r="J2242" s="8">
        <v>0.78823529411764703</v>
      </c>
      <c r="K2242">
        <v>20</v>
      </c>
      <c r="L2242">
        <v>29</v>
      </c>
      <c r="M2242">
        <v>123</v>
      </c>
      <c r="N2242" s="10">
        <v>550.70000000000005</v>
      </c>
      <c r="O2242" s="7">
        <v>0</v>
      </c>
      <c r="P2242" s="7">
        <v>29.3</v>
      </c>
      <c r="Q2242">
        <v>3</v>
      </c>
      <c r="R2242" t="s">
        <v>65</v>
      </c>
      <c r="S2242">
        <v>1</v>
      </c>
      <c r="T2242">
        <v>16</v>
      </c>
      <c r="U2242" s="11">
        <v>0.43388373911755823</v>
      </c>
      <c r="V2242" s="11">
        <v>-0.90096886790241903</v>
      </c>
      <c r="W2242" s="11">
        <v>0.25518241312337281</v>
      </c>
      <c r="X2242" s="11">
        <v>0.96689292893915213</v>
      </c>
      <c r="Y2242">
        <v>0</v>
      </c>
      <c r="Z2242">
        <v>0</v>
      </c>
      <c r="AB2242">
        <v>1</v>
      </c>
      <c r="AC2242">
        <v>0</v>
      </c>
      <c r="AD2242">
        <v>0</v>
      </c>
      <c r="AE2242">
        <v>0</v>
      </c>
    </row>
    <row r="2243" spans="1:31">
      <c r="A2243" s="6">
        <v>45674</v>
      </c>
      <c r="B2243" t="s">
        <v>31</v>
      </c>
      <c r="C2243" t="s">
        <v>32</v>
      </c>
      <c r="D2243" t="s">
        <v>33</v>
      </c>
      <c r="E2243" t="s">
        <v>34</v>
      </c>
      <c r="F2243">
        <v>140</v>
      </c>
      <c r="G2243">
        <v>360</v>
      </c>
      <c r="H2243">
        <v>215</v>
      </c>
      <c r="I2243">
        <v>91</v>
      </c>
      <c r="J2243" s="8">
        <v>0.65</v>
      </c>
      <c r="K2243">
        <v>30</v>
      </c>
      <c r="L2243">
        <v>28</v>
      </c>
      <c r="M2243">
        <v>199</v>
      </c>
      <c r="N2243" s="10">
        <v>431.85</v>
      </c>
      <c r="O2243" s="7">
        <v>5.2</v>
      </c>
      <c r="P2243" s="7">
        <v>27.8</v>
      </c>
      <c r="Q2243">
        <v>4</v>
      </c>
      <c r="R2243" t="s">
        <v>66</v>
      </c>
      <c r="S2243">
        <v>1</v>
      </c>
      <c r="T2243">
        <v>17</v>
      </c>
      <c r="U2243" s="11">
        <v>-0.43388373911755801</v>
      </c>
      <c r="V2243" s="11">
        <v>-0.90096886790241915</v>
      </c>
      <c r="W2243" s="11">
        <v>0.2717767384711357</v>
      </c>
      <c r="X2243" s="11">
        <v>0.96236032982765451</v>
      </c>
      <c r="Y2243">
        <v>0</v>
      </c>
      <c r="Z2243">
        <v>0</v>
      </c>
      <c r="AB2243">
        <v>1</v>
      </c>
      <c r="AC2243">
        <v>0</v>
      </c>
      <c r="AD2243">
        <v>0</v>
      </c>
      <c r="AE2243">
        <v>0</v>
      </c>
    </row>
    <row r="2244" spans="1:31">
      <c r="A2244" s="6">
        <v>45674</v>
      </c>
      <c r="B2244" t="s">
        <v>36</v>
      </c>
      <c r="C2244" t="s">
        <v>37</v>
      </c>
      <c r="D2244" t="s">
        <v>38</v>
      </c>
      <c r="E2244" t="s">
        <v>39</v>
      </c>
      <c r="F2244">
        <v>125</v>
      </c>
      <c r="G2244">
        <v>320</v>
      </c>
      <c r="H2244">
        <v>222</v>
      </c>
      <c r="I2244">
        <v>93</v>
      </c>
      <c r="J2244" s="8">
        <v>0.74399999999999999</v>
      </c>
      <c r="K2244">
        <v>58</v>
      </c>
      <c r="L2244">
        <v>34</v>
      </c>
      <c r="M2244">
        <v>178</v>
      </c>
      <c r="N2244" s="10">
        <v>695.31</v>
      </c>
      <c r="O2244" s="7">
        <v>5.2</v>
      </c>
      <c r="P2244" s="7">
        <v>27.8</v>
      </c>
      <c r="Q2244">
        <v>4</v>
      </c>
      <c r="R2244" t="s">
        <v>66</v>
      </c>
      <c r="S2244">
        <v>1</v>
      </c>
      <c r="T2244">
        <v>17</v>
      </c>
      <c r="U2244" s="11">
        <v>-0.43388373911755801</v>
      </c>
      <c r="V2244" s="11">
        <v>-0.90096886790241915</v>
      </c>
      <c r="W2244" s="11">
        <v>0.2717767384711357</v>
      </c>
      <c r="X2244" s="11">
        <v>0.96236032982765451</v>
      </c>
      <c r="Y2244">
        <v>0</v>
      </c>
      <c r="Z2244">
        <v>0</v>
      </c>
      <c r="AB2244">
        <v>1</v>
      </c>
      <c r="AC2244">
        <v>0</v>
      </c>
      <c r="AD2244">
        <v>0</v>
      </c>
      <c r="AE2244">
        <v>0</v>
      </c>
    </row>
    <row r="2245" spans="1:31">
      <c r="A2245" s="6">
        <v>45674</v>
      </c>
      <c r="B2245" t="s">
        <v>41</v>
      </c>
      <c r="C2245" t="s">
        <v>42</v>
      </c>
      <c r="D2245" t="s">
        <v>43</v>
      </c>
      <c r="E2245" t="s">
        <v>44</v>
      </c>
      <c r="F2245">
        <v>85</v>
      </c>
      <c r="G2245">
        <v>210</v>
      </c>
      <c r="H2245">
        <v>166</v>
      </c>
      <c r="I2245">
        <v>71</v>
      </c>
      <c r="J2245" s="8">
        <v>0.83529411764705885</v>
      </c>
      <c r="K2245">
        <v>41</v>
      </c>
      <c r="L2245">
        <v>36</v>
      </c>
      <c r="M2245">
        <v>137</v>
      </c>
      <c r="N2245" s="10">
        <v>531.09</v>
      </c>
      <c r="O2245" s="7">
        <v>5.2</v>
      </c>
      <c r="P2245" s="7">
        <v>27.8</v>
      </c>
      <c r="Q2245">
        <v>4</v>
      </c>
      <c r="R2245" t="s">
        <v>66</v>
      </c>
      <c r="S2245">
        <v>1</v>
      </c>
      <c r="T2245">
        <v>17</v>
      </c>
      <c r="U2245" s="11">
        <v>-0.43388373911755801</v>
      </c>
      <c r="V2245" s="11">
        <v>-0.90096886790241915</v>
      </c>
      <c r="W2245" s="11">
        <v>0.2717767384711357</v>
      </c>
      <c r="X2245" s="11">
        <v>0.96236032982765451</v>
      </c>
      <c r="Y2245">
        <v>0</v>
      </c>
      <c r="Z2245">
        <v>0</v>
      </c>
      <c r="AB2245">
        <v>1</v>
      </c>
      <c r="AC2245">
        <v>0</v>
      </c>
      <c r="AD2245">
        <v>0</v>
      </c>
      <c r="AE2245">
        <v>0</v>
      </c>
    </row>
    <row r="2246" spans="1:31">
      <c r="A2246" s="6">
        <v>45675</v>
      </c>
      <c r="B2246" t="s">
        <v>31</v>
      </c>
      <c r="C2246" t="s">
        <v>32</v>
      </c>
      <c r="D2246" t="s">
        <v>33</v>
      </c>
      <c r="E2246" t="s">
        <v>34</v>
      </c>
      <c r="F2246">
        <v>140</v>
      </c>
      <c r="G2246">
        <v>360</v>
      </c>
      <c r="H2246">
        <v>263</v>
      </c>
      <c r="I2246">
        <v>112</v>
      </c>
      <c r="J2246" s="8">
        <v>0.8</v>
      </c>
      <c r="K2246">
        <v>53</v>
      </c>
      <c r="L2246">
        <v>62</v>
      </c>
      <c r="M2246">
        <v>213</v>
      </c>
      <c r="N2246" s="10">
        <v>537.96</v>
      </c>
      <c r="O2246" s="7">
        <v>0</v>
      </c>
      <c r="P2246" s="7">
        <v>29</v>
      </c>
      <c r="Q2246">
        <v>5</v>
      </c>
      <c r="R2246" t="s">
        <v>67</v>
      </c>
      <c r="S2246">
        <v>1</v>
      </c>
      <c r="T2246">
        <v>18</v>
      </c>
      <c r="U2246" s="11">
        <v>-0.97492791218182362</v>
      </c>
      <c r="V2246" s="11">
        <v>-0.22252093395631459</v>
      </c>
      <c r="W2246" s="11">
        <v>0.28829064070951771</v>
      </c>
      <c r="X2246" s="11">
        <v>0.9575429528116719</v>
      </c>
      <c r="Y2246">
        <v>1</v>
      </c>
      <c r="Z2246">
        <v>0</v>
      </c>
      <c r="AB2246">
        <v>1</v>
      </c>
      <c r="AC2246">
        <v>0</v>
      </c>
      <c r="AD2246">
        <v>0</v>
      </c>
      <c r="AE2246">
        <v>0</v>
      </c>
    </row>
    <row r="2247" spans="1:31">
      <c r="A2247" s="6">
        <v>45675</v>
      </c>
      <c r="B2247" t="s">
        <v>36</v>
      </c>
      <c r="C2247" t="s">
        <v>37</v>
      </c>
      <c r="D2247" t="s">
        <v>38</v>
      </c>
      <c r="E2247" t="s">
        <v>39</v>
      </c>
      <c r="F2247">
        <v>125</v>
      </c>
      <c r="G2247">
        <v>320</v>
      </c>
      <c r="H2247">
        <v>259</v>
      </c>
      <c r="I2247">
        <v>105</v>
      </c>
      <c r="J2247" s="8">
        <v>0.84</v>
      </c>
      <c r="K2247">
        <v>46</v>
      </c>
      <c r="L2247">
        <v>55</v>
      </c>
      <c r="M2247">
        <v>207</v>
      </c>
      <c r="N2247" s="10">
        <v>727.78</v>
      </c>
      <c r="O2247" s="7">
        <v>0</v>
      </c>
      <c r="P2247" s="7">
        <v>29</v>
      </c>
      <c r="Q2247">
        <v>5</v>
      </c>
      <c r="R2247" t="s">
        <v>67</v>
      </c>
      <c r="S2247">
        <v>1</v>
      </c>
      <c r="T2247">
        <v>18</v>
      </c>
      <c r="U2247" s="11">
        <v>-0.97492791218182362</v>
      </c>
      <c r="V2247" s="11">
        <v>-0.22252093395631459</v>
      </c>
      <c r="W2247" s="11">
        <v>0.28829064070951771</v>
      </c>
      <c r="X2247" s="11">
        <v>0.9575429528116719</v>
      </c>
      <c r="Y2247">
        <v>1</v>
      </c>
      <c r="Z2247">
        <v>0</v>
      </c>
      <c r="AB2247">
        <v>1</v>
      </c>
      <c r="AC2247">
        <v>0</v>
      </c>
      <c r="AD2247">
        <v>0</v>
      </c>
      <c r="AE2247">
        <v>0</v>
      </c>
    </row>
    <row r="2248" spans="1:31">
      <c r="A2248" s="6">
        <v>45675</v>
      </c>
      <c r="B2248" t="s">
        <v>41</v>
      </c>
      <c r="C2248" t="s">
        <v>42</v>
      </c>
      <c r="D2248" t="s">
        <v>43</v>
      </c>
      <c r="E2248" t="s">
        <v>44</v>
      </c>
      <c r="F2248">
        <v>85</v>
      </c>
      <c r="G2248">
        <v>210</v>
      </c>
      <c r="H2248">
        <v>178</v>
      </c>
      <c r="I2248">
        <v>78</v>
      </c>
      <c r="J2248" s="8">
        <v>0.91764705882352937</v>
      </c>
      <c r="K2248">
        <v>33</v>
      </c>
      <c r="L2248">
        <v>18</v>
      </c>
      <c r="M2248">
        <v>166</v>
      </c>
      <c r="N2248" s="10">
        <v>636.78</v>
      </c>
      <c r="O2248" s="7">
        <v>0</v>
      </c>
      <c r="P2248" s="7">
        <v>29</v>
      </c>
      <c r="Q2248">
        <v>5</v>
      </c>
      <c r="R2248" t="s">
        <v>67</v>
      </c>
      <c r="S2248">
        <v>1</v>
      </c>
      <c r="T2248">
        <v>18</v>
      </c>
      <c r="U2248" s="11">
        <v>-0.97492791218182362</v>
      </c>
      <c r="V2248" s="11">
        <v>-0.22252093395631459</v>
      </c>
      <c r="W2248" s="11">
        <v>0.28829064070951771</v>
      </c>
      <c r="X2248" s="11">
        <v>0.9575429528116719</v>
      </c>
      <c r="Y2248">
        <v>1</v>
      </c>
      <c r="Z2248">
        <v>0</v>
      </c>
      <c r="AB2248">
        <v>1</v>
      </c>
      <c r="AC2248">
        <v>0</v>
      </c>
      <c r="AD2248">
        <v>0</v>
      </c>
      <c r="AE2248">
        <v>0</v>
      </c>
    </row>
    <row r="2249" spans="1:31">
      <c r="A2249" s="6">
        <v>45676</v>
      </c>
      <c r="B2249" t="s">
        <v>31</v>
      </c>
      <c r="C2249" t="s">
        <v>32</v>
      </c>
      <c r="D2249" t="s">
        <v>33</v>
      </c>
      <c r="E2249" t="s">
        <v>34</v>
      </c>
      <c r="F2249">
        <v>140</v>
      </c>
      <c r="G2249">
        <v>360</v>
      </c>
      <c r="H2249">
        <v>263</v>
      </c>
      <c r="I2249">
        <v>111</v>
      </c>
      <c r="J2249" s="8">
        <v>0.79285714285714282</v>
      </c>
      <c r="K2249">
        <v>55</v>
      </c>
      <c r="L2249">
        <v>68</v>
      </c>
      <c r="M2249">
        <v>229</v>
      </c>
      <c r="N2249" s="10">
        <v>561.23</v>
      </c>
      <c r="O2249" s="7">
        <v>0</v>
      </c>
      <c r="P2249" s="7">
        <v>29.4</v>
      </c>
      <c r="Q2249">
        <v>6</v>
      </c>
      <c r="R2249" t="s">
        <v>60</v>
      </c>
      <c r="S2249">
        <v>1</v>
      </c>
      <c r="T2249">
        <v>19</v>
      </c>
      <c r="U2249" s="11">
        <v>-0.78183148246802991</v>
      </c>
      <c r="V2249" s="11">
        <v>0.62348980185873337</v>
      </c>
      <c r="W2249" s="11">
        <v>0.30471923310916338</v>
      </c>
      <c r="X2249" s="11">
        <v>0.95244222343056761</v>
      </c>
      <c r="Y2249">
        <v>1</v>
      </c>
      <c r="Z2249">
        <v>0</v>
      </c>
      <c r="AB2249">
        <v>1</v>
      </c>
      <c r="AC2249">
        <v>0</v>
      </c>
      <c r="AD2249">
        <v>0</v>
      </c>
      <c r="AE2249">
        <v>0</v>
      </c>
    </row>
    <row r="2250" spans="1:31">
      <c r="A2250" s="6">
        <v>45676</v>
      </c>
      <c r="B2250" t="s">
        <v>36</v>
      </c>
      <c r="C2250" t="s">
        <v>37</v>
      </c>
      <c r="D2250" t="s">
        <v>38</v>
      </c>
      <c r="E2250" t="s">
        <v>39</v>
      </c>
      <c r="F2250">
        <v>125</v>
      </c>
      <c r="G2250">
        <v>320</v>
      </c>
      <c r="H2250">
        <v>257</v>
      </c>
      <c r="I2250">
        <v>108</v>
      </c>
      <c r="J2250" s="8">
        <v>0.86399999999999999</v>
      </c>
      <c r="K2250">
        <v>50</v>
      </c>
      <c r="L2250">
        <v>46</v>
      </c>
      <c r="M2250">
        <v>241</v>
      </c>
      <c r="N2250" s="10">
        <v>819.99</v>
      </c>
      <c r="O2250" s="7">
        <v>0</v>
      </c>
      <c r="P2250" s="7">
        <v>29.4</v>
      </c>
      <c r="Q2250">
        <v>6</v>
      </c>
      <c r="R2250" t="s">
        <v>60</v>
      </c>
      <c r="S2250">
        <v>1</v>
      </c>
      <c r="T2250">
        <v>19</v>
      </c>
      <c r="U2250" s="11">
        <v>-0.78183148246802991</v>
      </c>
      <c r="V2250" s="11">
        <v>0.62348980185873337</v>
      </c>
      <c r="W2250" s="11">
        <v>0.30471923310916338</v>
      </c>
      <c r="X2250" s="11">
        <v>0.95244222343056761</v>
      </c>
      <c r="Y2250">
        <v>1</v>
      </c>
      <c r="Z2250">
        <v>0</v>
      </c>
      <c r="AB2250">
        <v>1</v>
      </c>
      <c r="AC2250">
        <v>0</v>
      </c>
      <c r="AD2250">
        <v>0</v>
      </c>
      <c r="AE2250">
        <v>0</v>
      </c>
    </row>
    <row r="2251" spans="1:31">
      <c r="A2251" s="6">
        <v>45676</v>
      </c>
      <c r="B2251" t="s">
        <v>41</v>
      </c>
      <c r="C2251" t="s">
        <v>42</v>
      </c>
      <c r="D2251" t="s">
        <v>43</v>
      </c>
      <c r="E2251" t="s">
        <v>44</v>
      </c>
      <c r="F2251">
        <v>85</v>
      </c>
      <c r="G2251">
        <v>210</v>
      </c>
      <c r="H2251">
        <v>193</v>
      </c>
      <c r="I2251">
        <v>82</v>
      </c>
      <c r="J2251" s="8">
        <v>0.96470588235294119</v>
      </c>
      <c r="K2251">
        <v>45</v>
      </c>
      <c r="L2251">
        <v>28</v>
      </c>
      <c r="M2251">
        <v>175</v>
      </c>
      <c r="N2251" s="10">
        <v>585.96</v>
      </c>
      <c r="O2251" s="7">
        <v>0</v>
      </c>
      <c r="P2251" s="7">
        <v>29.4</v>
      </c>
      <c r="Q2251">
        <v>6</v>
      </c>
      <c r="R2251" t="s">
        <v>60</v>
      </c>
      <c r="S2251">
        <v>1</v>
      </c>
      <c r="T2251">
        <v>19</v>
      </c>
      <c r="U2251" s="11">
        <v>-0.78183148246802991</v>
      </c>
      <c r="V2251" s="11">
        <v>0.62348980185873337</v>
      </c>
      <c r="W2251" s="11">
        <v>0.30471923310916338</v>
      </c>
      <c r="X2251" s="11">
        <v>0.95244222343056761</v>
      </c>
      <c r="Y2251">
        <v>1</v>
      </c>
      <c r="Z2251">
        <v>0</v>
      </c>
      <c r="AB2251">
        <v>1</v>
      </c>
      <c r="AC2251">
        <v>0</v>
      </c>
      <c r="AD2251">
        <v>0</v>
      </c>
      <c r="AE2251">
        <v>0</v>
      </c>
    </row>
    <row r="2252" spans="1:31">
      <c r="A2252" s="6">
        <v>45677</v>
      </c>
      <c r="B2252" t="s">
        <v>31</v>
      </c>
      <c r="C2252" t="s">
        <v>32</v>
      </c>
      <c r="D2252" t="s">
        <v>33</v>
      </c>
      <c r="E2252" t="s">
        <v>34</v>
      </c>
      <c r="F2252">
        <v>140</v>
      </c>
      <c r="G2252">
        <v>360</v>
      </c>
      <c r="H2252">
        <v>201</v>
      </c>
      <c r="I2252">
        <v>88</v>
      </c>
      <c r="J2252" s="8">
        <v>0.62857142857142856</v>
      </c>
      <c r="K2252">
        <v>45</v>
      </c>
      <c r="L2252">
        <v>19</v>
      </c>
      <c r="M2252">
        <v>180</v>
      </c>
      <c r="N2252" s="10">
        <v>476.32</v>
      </c>
      <c r="O2252" s="7">
        <v>0</v>
      </c>
      <c r="P2252" s="7">
        <v>28.9</v>
      </c>
      <c r="Q2252">
        <v>0</v>
      </c>
      <c r="R2252" t="s">
        <v>62</v>
      </c>
      <c r="S2252">
        <v>1</v>
      </c>
      <c r="T2252">
        <v>20</v>
      </c>
      <c r="U2252" s="11">
        <v>0</v>
      </c>
      <c r="V2252" s="11">
        <v>1</v>
      </c>
      <c r="W2252" s="11">
        <v>0.32105765418527099</v>
      </c>
      <c r="X2252" s="11">
        <v>0.94705965107222834</v>
      </c>
      <c r="Y2252">
        <v>0</v>
      </c>
      <c r="Z2252">
        <v>0</v>
      </c>
      <c r="AB2252">
        <v>1</v>
      </c>
      <c r="AC2252">
        <v>0</v>
      </c>
      <c r="AD2252">
        <v>0</v>
      </c>
      <c r="AE2252">
        <v>0</v>
      </c>
    </row>
    <row r="2253" spans="1:31">
      <c r="A2253" s="6">
        <v>45677</v>
      </c>
      <c r="B2253" t="s">
        <v>36</v>
      </c>
      <c r="C2253" t="s">
        <v>37</v>
      </c>
      <c r="D2253" t="s">
        <v>38</v>
      </c>
      <c r="E2253" t="s">
        <v>39</v>
      </c>
      <c r="F2253">
        <v>125</v>
      </c>
      <c r="G2253">
        <v>320</v>
      </c>
      <c r="H2253">
        <v>222</v>
      </c>
      <c r="I2253">
        <v>93</v>
      </c>
      <c r="J2253" s="8">
        <v>0.74399999999999999</v>
      </c>
      <c r="K2253">
        <v>39</v>
      </c>
      <c r="L2253">
        <v>58</v>
      </c>
      <c r="M2253">
        <v>188</v>
      </c>
      <c r="N2253" s="10">
        <v>666.88</v>
      </c>
      <c r="O2253" s="7">
        <v>0</v>
      </c>
      <c r="P2253" s="7">
        <v>28.9</v>
      </c>
      <c r="Q2253">
        <v>0</v>
      </c>
      <c r="R2253" t="s">
        <v>62</v>
      </c>
      <c r="S2253">
        <v>1</v>
      </c>
      <c r="T2253">
        <v>20</v>
      </c>
      <c r="U2253" s="11">
        <v>0</v>
      </c>
      <c r="V2253" s="11">
        <v>1</v>
      </c>
      <c r="W2253" s="11">
        <v>0.32105765418527099</v>
      </c>
      <c r="X2253" s="11">
        <v>0.94705965107222834</v>
      </c>
      <c r="Y2253">
        <v>0</v>
      </c>
      <c r="Z2253">
        <v>0</v>
      </c>
      <c r="AB2253">
        <v>1</v>
      </c>
      <c r="AC2253">
        <v>0</v>
      </c>
      <c r="AD2253">
        <v>0</v>
      </c>
      <c r="AE2253">
        <v>0</v>
      </c>
    </row>
    <row r="2254" spans="1:31">
      <c r="A2254" s="6">
        <v>45677</v>
      </c>
      <c r="B2254" t="s">
        <v>41</v>
      </c>
      <c r="C2254" t="s">
        <v>42</v>
      </c>
      <c r="D2254" t="s">
        <v>43</v>
      </c>
      <c r="E2254" t="s">
        <v>44</v>
      </c>
      <c r="F2254">
        <v>85</v>
      </c>
      <c r="G2254">
        <v>210</v>
      </c>
      <c r="H2254">
        <v>158</v>
      </c>
      <c r="I2254">
        <v>70</v>
      </c>
      <c r="J2254" s="8">
        <v>0.82352941176470584</v>
      </c>
      <c r="K2254">
        <v>37</v>
      </c>
      <c r="L2254">
        <v>39</v>
      </c>
      <c r="M2254">
        <v>143</v>
      </c>
      <c r="N2254" s="10">
        <v>570.99</v>
      </c>
      <c r="O2254" s="7">
        <v>0</v>
      </c>
      <c r="P2254" s="7">
        <v>28.9</v>
      </c>
      <c r="Q2254">
        <v>0</v>
      </c>
      <c r="R2254" t="s">
        <v>62</v>
      </c>
      <c r="S2254">
        <v>1</v>
      </c>
      <c r="T2254">
        <v>20</v>
      </c>
      <c r="U2254" s="11">
        <v>0</v>
      </c>
      <c r="V2254" s="11">
        <v>1</v>
      </c>
      <c r="W2254" s="11">
        <v>0.32105765418527099</v>
      </c>
      <c r="X2254" s="11">
        <v>0.94705965107222834</v>
      </c>
      <c r="Y2254">
        <v>0</v>
      </c>
      <c r="Z2254">
        <v>0</v>
      </c>
      <c r="AB2254">
        <v>1</v>
      </c>
      <c r="AC2254">
        <v>0</v>
      </c>
      <c r="AD2254">
        <v>0</v>
      </c>
      <c r="AE2254">
        <v>0</v>
      </c>
    </row>
    <row r="2255" spans="1:31">
      <c r="A2255" s="6">
        <v>45678</v>
      </c>
      <c r="B2255" t="s">
        <v>31</v>
      </c>
      <c r="C2255" t="s">
        <v>32</v>
      </c>
      <c r="D2255" t="s">
        <v>33</v>
      </c>
      <c r="E2255" t="s">
        <v>34</v>
      </c>
      <c r="F2255">
        <v>140</v>
      </c>
      <c r="G2255">
        <v>360</v>
      </c>
      <c r="H2255">
        <v>224</v>
      </c>
      <c r="I2255">
        <v>96</v>
      </c>
      <c r="J2255" s="8">
        <v>0.68571428571428572</v>
      </c>
      <c r="K2255">
        <v>35</v>
      </c>
      <c r="L2255">
        <v>37</v>
      </c>
      <c r="M2255">
        <v>196</v>
      </c>
      <c r="N2255" s="10">
        <v>469.15</v>
      </c>
      <c r="O2255" s="7">
        <v>0</v>
      </c>
      <c r="P2255" s="7">
        <v>28.4</v>
      </c>
      <c r="Q2255">
        <v>1</v>
      </c>
      <c r="R2255" t="s">
        <v>63</v>
      </c>
      <c r="S2255">
        <v>1</v>
      </c>
      <c r="T2255">
        <v>21</v>
      </c>
      <c r="U2255" s="11">
        <v>0.7818314824680298</v>
      </c>
      <c r="V2255" s="11">
        <v>0.62348980185873359</v>
      </c>
      <c r="W2255" s="11">
        <v>0.33730106913618418</v>
      </c>
      <c r="X2255" s="11">
        <v>0.94139682852641215</v>
      </c>
      <c r="Y2255">
        <v>0</v>
      </c>
      <c r="Z2255">
        <v>0</v>
      </c>
      <c r="AB2255">
        <v>1</v>
      </c>
      <c r="AC2255">
        <v>0</v>
      </c>
      <c r="AD2255">
        <v>0</v>
      </c>
      <c r="AE2255">
        <v>0</v>
      </c>
    </row>
    <row r="2256" spans="1:31">
      <c r="A2256" s="6">
        <v>45678</v>
      </c>
      <c r="B2256" t="s">
        <v>36</v>
      </c>
      <c r="C2256" t="s">
        <v>37</v>
      </c>
      <c r="D2256" t="s">
        <v>38</v>
      </c>
      <c r="E2256" t="s">
        <v>39</v>
      </c>
      <c r="F2256">
        <v>125</v>
      </c>
      <c r="G2256">
        <v>320</v>
      </c>
      <c r="H2256">
        <v>241</v>
      </c>
      <c r="I2256">
        <v>101</v>
      </c>
      <c r="J2256" s="8">
        <v>0.80800000000000005</v>
      </c>
      <c r="K2256">
        <v>61</v>
      </c>
      <c r="L2256">
        <v>43</v>
      </c>
      <c r="M2256">
        <v>200</v>
      </c>
      <c r="N2256" s="10">
        <v>713.62</v>
      </c>
      <c r="O2256" s="7">
        <v>0</v>
      </c>
      <c r="P2256" s="7">
        <v>28.4</v>
      </c>
      <c r="Q2256">
        <v>1</v>
      </c>
      <c r="R2256" t="s">
        <v>63</v>
      </c>
      <c r="S2256">
        <v>1</v>
      </c>
      <c r="T2256">
        <v>21</v>
      </c>
      <c r="U2256" s="11">
        <v>0.7818314824680298</v>
      </c>
      <c r="V2256" s="11">
        <v>0.62348980185873359</v>
      </c>
      <c r="W2256" s="11">
        <v>0.33730106913618418</v>
      </c>
      <c r="X2256" s="11">
        <v>0.94139682852641215</v>
      </c>
      <c r="Y2256">
        <v>0</v>
      </c>
      <c r="Z2256">
        <v>0</v>
      </c>
      <c r="AB2256">
        <v>1</v>
      </c>
      <c r="AC2256">
        <v>0</v>
      </c>
      <c r="AD2256">
        <v>0</v>
      </c>
      <c r="AE2256">
        <v>0</v>
      </c>
    </row>
    <row r="2257" spans="1:31">
      <c r="A2257" s="6">
        <v>45678</v>
      </c>
      <c r="B2257" t="s">
        <v>41</v>
      </c>
      <c r="C2257" t="s">
        <v>42</v>
      </c>
      <c r="D2257" t="s">
        <v>43</v>
      </c>
      <c r="E2257" t="s">
        <v>44</v>
      </c>
      <c r="F2257">
        <v>85</v>
      </c>
      <c r="G2257">
        <v>210</v>
      </c>
      <c r="H2257">
        <v>163</v>
      </c>
      <c r="I2257">
        <v>72</v>
      </c>
      <c r="J2257" s="8">
        <v>0.84705882352941175</v>
      </c>
      <c r="K2257">
        <v>29</v>
      </c>
      <c r="L2257">
        <v>28</v>
      </c>
      <c r="M2257">
        <v>142</v>
      </c>
      <c r="N2257" s="10">
        <v>574.64</v>
      </c>
      <c r="O2257" s="7">
        <v>0</v>
      </c>
      <c r="P2257" s="7">
        <v>28.4</v>
      </c>
      <c r="Q2257">
        <v>1</v>
      </c>
      <c r="R2257" t="s">
        <v>63</v>
      </c>
      <c r="S2257">
        <v>1</v>
      </c>
      <c r="T2257">
        <v>21</v>
      </c>
      <c r="U2257" s="11">
        <v>0.7818314824680298</v>
      </c>
      <c r="V2257" s="11">
        <v>0.62348980185873359</v>
      </c>
      <c r="W2257" s="11">
        <v>0.33730106913618418</v>
      </c>
      <c r="X2257" s="11">
        <v>0.94139682852641215</v>
      </c>
      <c r="Y2257">
        <v>0</v>
      </c>
      <c r="Z2257">
        <v>0</v>
      </c>
      <c r="AB2257">
        <v>1</v>
      </c>
      <c r="AC2257">
        <v>0</v>
      </c>
      <c r="AD2257">
        <v>0</v>
      </c>
      <c r="AE2257">
        <v>0</v>
      </c>
    </row>
    <row r="2258" spans="1:31">
      <c r="A2258" s="6">
        <v>45679</v>
      </c>
      <c r="B2258" t="s">
        <v>31</v>
      </c>
      <c r="C2258" t="s">
        <v>32</v>
      </c>
      <c r="D2258" t="s">
        <v>33</v>
      </c>
      <c r="E2258" t="s">
        <v>34</v>
      </c>
      <c r="F2258">
        <v>140</v>
      </c>
      <c r="G2258">
        <v>360</v>
      </c>
      <c r="H2258">
        <v>217</v>
      </c>
      <c r="I2258">
        <v>90</v>
      </c>
      <c r="J2258" s="8">
        <v>0.6428571428571429</v>
      </c>
      <c r="K2258">
        <v>37</v>
      </c>
      <c r="L2258">
        <v>21</v>
      </c>
      <c r="M2258">
        <v>177</v>
      </c>
      <c r="N2258" s="10">
        <v>450.41</v>
      </c>
      <c r="O2258" s="7">
        <v>0</v>
      </c>
      <c r="P2258" s="7">
        <v>27.4</v>
      </c>
      <c r="Q2258">
        <v>2</v>
      </c>
      <c r="R2258" t="s">
        <v>64</v>
      </c>
      <c r="S2258">
        <v>1</v>
      </c>
      <c r="T2258">
        <v>22</v>
      </c>
      <c r="U2258" s="11">
        <v>0.97492791218182362</v>
      </c>
      <c r="V2258" s="11">
        <v>-0.22252093395631434</v>
      </c>
      <c r="W2258" s="11">
        <v>0.35344467127408769</v>
      </c>
      <c r="X2258" s="11">
        <v>0.93545543151341637</v>
      </c>
      <c r="Y2258">
        <v>0</v>
      </c>
      <c r="Z2258">
        <v>0</v>
      </c>
      <c r="AB2258">
        <v>1</v>
      </c>
      <c r="AC2258">
        <v>0</v>
      </c>
      <c r="AD2258">
        <v>0</v>
      </c>
      <c r="AE2258">
        <v>0</v>
      </c>
    </row>
    <row r="2259" spans="1:31">
      <c r="A2259" s="6">
        <v>45679</v>
      </c>
      <c r="B2259" t="s">
        <v>36</v>
      </c>
      <c r="C2259" t="s">
        <v>37</v>
      </c>
      <c r="D2259" t="s">
        <v>38</v>
      </c>
      <c r="E2259" t="s">
        <v>39</v>
      </c>
      <c r="F2259">
        <v>125</v>
      </c>
      <c r="G2259">
        <v>320</v>
      </c>
      <c r="H2259">
        <v>216</v>
      </c>
      <c r="I2259">
        <v>92</v>
      </c>
      <c r="J2259" s="8">
        <v>0.73599999999999999</v>
      </c>
      <c r="K2259">
        <v>39</v>
      </c>
      <c r="L2259">
        <v>38</v>
      </c>
      <c r="M2259">
        <v>193</v>
      </c>
      <c r="N2259" s="10">
        <v>626.29999999999995</v>
      </c>
      <c r="O2259" s="7">
        <v>0</v>
      </c>
      <c r="P2259" s="7">
        <v>27.4</v>
      </c>
      <c r="Q2259">
        <v>2</v>
      </c>
      <c r="R2259" t="s">
        <v>64</v>
      </c>
      <c r="S2259">
        <v>1</v>
      </c>
      <c r="T2259">
        <v>22</v>
      </c>
      <c r="U2259" s="11">
        <v>0.97492791218182362</v>
      </c>
      <c r="V2259" s="11">
        <v>-0.22252093395631434</v>
      </c>
      <c r="W2259" s="11">
        <v>0.35344467127408769</v>
      </c>
      <c r="X2259" s="11">
        <v>0.93545543151341637</v>
      </c>
      <c r="Y2259">
        <v>0</v>
      </c>
      <c r="Z2259">
        <v>0</v>
      </c>
      <c r="AB2259">
        <v>1</v>
      </c>
      <c r="AC2259">
        <v>0</v>
      </c>
      <c r="AD2259">
        <v>0</v>
      </c>
      <c r="AE2259">
        <v>0</v>
      </c>
    </row>
    <row r="2260" spans="1:31">
      <c r="A2260" s="6">
        <v>45679</v>
      </c>
      <c r="B2260" t="s">
        <v>41</v>
      </c>
      <c r="C2260" t="s">
        <v>42</v>
      </c>
      <c r="D2260" t="s">
        <v>43</v>
      </c>
      <c r="E2260" t="s">
        <v>44</v>
      </c>
      <c r="F2260">
        <v>85</v>
      </c>
      <c r="G2260">
        <v>210</v>
      </c>
      <c r="H2260">
        <v>164</v>
      </c>
      <c r="I2260">
        <v>72</v>
      </c>
      <c r="J2260" s="8">
        <v>0.84705882352941175</v>
      </c>
      <c r="K2260">
        <v>37</v>
      </c>
      <c r="L2260">
        <v>19</v>
      </c>
      <c r="M2260">
        <v>141</v>
      </c>
      <c r="N2260" s="10">
        <v>526.53</v>
      </c>
      <c r="O2260" s="7">
        <v>0</v>
      </c>
      <c r="P2260" s="7">
        <v>27.4</v>
      </c>
      <c r="Q2260">
        <v>2</v>
      </c>
      <c r="R2260" t="s">
        <v>64</v>
      </c>
      <c r="S2260">
        <v>1</v>
      </c>
      <c r="T2260">
        <v>22</v>
      </c>
      <c r="U2260" s="11">
        <v>0.97492791218182362</v>
      </c>
      <c r="V2260" s="11">
        <v>-0.22252093395631434</v>
      </c>
      <c r="W2260" s="11">
        <v>0.35344467127408769</v>
      </c>
      <c r="X2260" s="11">
        <v>0.93545543151341637</v>
      </c>
      <c r="Y2260">
        <v>0</v>
      </c>
      <c r="Z2260">
        <v>0</v>
      </c>
      <c r="AB2260">
        <v>1</v>
      </c>
      <c r="AC2260">
        <v>0</v>
      </c>
      <c r="AD2260">
        <v>0</v>
      </c>
      <c r="AE2260">
        <v>0</v>
      </c>
    </row>
    <row r="2261" spans="1:31">
      <c r="A2261" s="6">
        <v>45680</v>
      </c>
      <c r="B2261" t="s">
        <v>31</v>
      </c>
      <c r="C2261" t="s">
        <v>32</v>
      </c>
      <c r="D2261" t="s">
        <v>33</v>
      </c>
      <c r="E2261" t="s">
        <v>34</v>
      </c>
      <c r="F2261">
        <v>140</v>
      </c>
      <c r="G2261">
        <v>360</v>
      </c>
      <c r="H2261">
        <v>227</v>
      </c>
      <c r="I2261">
        <v>95</v>
      </c>
      <c r="J2261" s="8">
        <v>0.6785714285714286</v>
      </c>
      <c r="K2261">
        <v>35</v>
      </c>
      <c r="L2261">
        <v>41</v>
      </c>
      <c r="M2261">
        <v>199</v>
      </c>
      <c r="N2261" s="10">
        <v>468.45</v>
      </c>
      <c r="O2261" s="7">
        <v>2.8</v>
      </c>
      <c r="P2261" s="7">
        <v>28.6</v>
      </c>
      <c r="Q2261">
        <v>3</v>
      </c>
      <c r="R2261" t="s">
        <v>65</v>
      </c>
      <c r="S2261">
        <v>1</v>
      </c>
      <c r="T2261">
        <v>23</v>
      </c>
      <c r="U2261" s="11">
        <v>0.43388373911755823</v>
      </c>
      <c r="V2261" s="11">
        <v>-0.90096886790241903</v>
      </c>
      <c r="W2261" s="11">
        <v>0.36948368344738308</v>
      </c>
      <c r="X2261" s="11">
        <v>0.92923721818820515</v>
      </c>
      <c r="Y2261">
        <v>0</v>
      </c>
      <c r="Z2261">
        <v>0</v>
      </c>
      <c r="AB2261">
        <v>1</v>
      </c>
      <c r="AC2261">
        <v>0</v>
      </c>
      <c r="AD2261">
        <v>0</v>
      </c>
      <c r="AE2261">
        <v>0</v>
      </c>
    </row>
    <row r="2262" spans="1:31">
      <c r="A2262" s="6">
        <v>45680</v>
      </c>
      <c r="B2262" t="s">
        <v>36</v>
      </c>
      <c r="C2262" t="s">
        <v>37</v>
      </c>
      <c r="D2262" t="s">
        <v>38</v>
      </c>
      <c r="E2262" t="s">
        <v>39</v>
      </c>
      <c r="F2262">
        <v>125</v>
      </c>
      <c r="G2262">
        <v>320</v>
      </c>
      <c r="H2262">
        <v>239</v>
      </c>
      <c r="I2262">
        <v>99</v>
      </c>
      <c r="J2262" s="8">
        <v>0.79200000000000004</v>
      </c>
      <c r="K2262">
        <v>66</v>
      </c>
      <c r="L2262">
        <v>66</v>
      </c>
      <c r="M2262">
        <v>199</v>
      </c>
      <c r="N2262" s="10">
        <v>639.70000000000005</v>
      </c>
      <c r="O2262" s="7">
        <v>2.8</v>
      </c>
      <c r="P2262" s="7">
        <v>28.6</v>
      </c>
      <c r="Q2262">
        <v>3</v>
      </c>
      <c r="R2262" t="s">
        <v>65</v>
      </c>
      <c r="S2262">
        <v>1</v>
      </c>
      <c r="T2262">
        <v>23</v>
      </c>
      <c r="U2262" s="11">
        <v>0.43388373911755823</v>
      </c>
      <c r="V2262" s="11">
        <v>-0.90096886790241903</v>
      </c>
      <c r="W2262" s="11">
        <v>0.36948368344738308</v>
      </c>
      <c r="X2262" s="11">
        <v>0.92923721818820515</v>
      </c>
      <c r="Y2262">
        <v>0</v>
      </c>
      <c r="Z2262">
        <v>0</v>
      </c>
      <c r="AB2262">
        <v>1</v>
      </c>
      <c r="AC2262">
        <v>0</v>
      </c>
      <c r="AD2262">
        <v>0</v>
      </c>
      <c r="AE2262">
        <v>0</v>
      </c>
    </row>
    <row r="2263" spans="1:31">
      <c r="A2263" s="6">
        <v>45680</v>
      </c>
      <c r="B2263" t="s">
        <v>41</v>
      </c>
      <c r="C2263" t="s">
        <v>42</v>
      </c>
      <c r="D2263" t="s">
        <v>43</v>
      </c>
      <c r="E2263" t="s">
        <v>44</v>
      </c>
      <c r="F2263">
        <v>85</v>
      </c>
      <c r="G2263">
        <v>210</v>
      </c>
      <c r="H2263">
        <v>149</v>
      </c>
      <c r="I2263">
        <v>68</v>
      </c>
      <c r="J2263" s="8">
        <v>0.8</v>
      </c>
      <c r="K2263">
        <v>30</v>
      </c>
      <c r="L2263">
        <v>24</v>
      </c>
      <c r="M2263">
        <v>136</v>
      </c>
      <c r="N2263" s="10">
        <v>517.80999999999995</v>
      </c>
      <c r="O2263" s="7">
        <v>2.8</v>
      </c>
      <c r="P2263" s="7">
        <v>28.6</v>
      </c>
      <c r="Q2263">
        <v>3</v>
      </c>
      <c r="R2263" t="s">
        <v>65</v>
      </c>
      <c r="S2263">
        <v>1</v>
      </c>
      <c r="T2263">
        <v>23</v>
      </c>
      <c r="U2263" s="11">
        <v>0.43388373911755823</v>
      </c>
      <c r="V2263" s="11">
        <v>-0.90096886790241903</v>
      </c>
      <c r="W2263" s="11">
        <v>0.36948368344738308</v>
      </c>
      <c r="X2263" s="11">
        <v>0.92923721818820515</v>
      </c>
      <c r="Y2263">
        <v>0</v>
      </c>
      <c r="Z2263">
        <v>0</v>
      </c>
      <c r="AB2263">
        <v>1</v>
      </c>
      <c r="AC2263">
        <v>0</v>
      </c>
      <c r="AD2263">
        <v>0</v>
      </c>
      <c r="AE2263">
        <v>0</v>
      </c>
    </row>
    <row r="2264" spans="1:31">
      <c r="A2264" s="6">
        <v>45681</v>
      </c>
      <c r="B2264" t="s">
        <v>31</v>
      </c>
      <c r="C2264" t="s">
        <v>32</v>
      </c>
      <c r="D2264" t="s">
        <v>33</v>
      </c>
      <c r="E2264" t="s">
        <v>34</v>
      </c>
      <c r="F2264">
        <v>140</v>
      </c>
      <c r="G2264">
        <v>360</v>
      </c>
      <c r="H2264">
        <v>239</v>
      </c>
      <c r="I2264">
        <v>98</v>
      </c>
      <c r="J2264" s="8">
        <v>0.7</v>
      </c>
      <c r="K2264">
        <v>66</v>
      </c>
      <c r="L2264">
        <v>35</v>
      </c>
      <c r="M2264">
        <v>221</v>
      </c>
      <c r="N2264" s="10">
        <v>480.4</v>
      </c>
      <c r="O2264" s="7">
        <v>0</v>
      </c>
      <c r="P2264" s="7">
        <v>29.3</v>
      </c>
      <c r="Q2264">
        <v>4</v>
      </c>
      <c r="R2264" t="s">
        <v>66</v>
      </c>
      <c r="S2264">
        <v>1</v>
      </c>
      <c r="T2264">
        <v>24</v>
      </c>
      <c r="U2264" s="11">
        <v>-0.43388373911755801</v>
      </c>
      <c r="V2264" s="11">
        <v>-0.90096886790241915</v>
      </c>
      <c r="W2264" s="11">
        <v>0.38541335945432564</v>
      </c>
      <c r="X2264" s="11">
        <v>0.92274402862014271</v>
      </c>
      <c r="Y2264">
        <v>0</v>
      </c>
      <c r="Z2264">
        <v>0</v>
      </c>
      <c r="AB2264">
        <v>1</v>
      </c>
      <c r="AC2264">
        <v>0</v>
      </c>
      <c r="AD2264">
        <v>0</v>
      </c>
      <c r="AE2264">
        <v>0</v>
      </c>
    </row>
    <row r="2265" spans="1:31">
      <c r="A2265" s="6">
        <v>45681</v>
      </c>
      <c r="B2265" t="s">
        <v>36</v>
      </c>
      <c r="C2265" t="s">
        <v>37</v>
      </c>
      <c r="D2265" t="s">
        <v>38</v>
      </c>
      <c r="E2265" t="s">
        <v>39</v>
      </c>
      <c r="F2265">
        <v>125</v>
      </c>
      <c r="G2265">
        <v>320</v>
      </c>
      <c r="H2265">
        <v>241</v>
      </c>
      <c r="I2265">
        <v>99</v>
      </c>
      <c r="J2265" s="8">
        <v>0.79200000000000004</v>
      </c>
      <c r="K2265">
        <v>28</v>
      </c>
      <c r="L2265">
        <v>58</v>
      </c>
      <c r="M2265">
        <v>205</v>
      </c>
      <c r="N2265" s="10">
        <v>681.84</v>
      </c>
      <c r="O2265" s="7">
        <v>0</v>
      </c>
      <c r="P2265" s="7">
        <v>29.3</v>
      </c>
      <c r="Q2265">
        <v>4</v>
      </c>
      <c r="R2265" t="s">
        <v>66</v>
      </c>
      <c r="S2265">
        <v>1</v>
      </c>
      <c r="T2265">
        <v>24</v>
      </c>
      <c r="U2265" s="11">
        <v>-0.43388373911755801</v>
      </c>
      <c r="V2265" s="11">
        <v>-0.90096886790241915</v>
      </c>
      <c r="W2265" s="11">
        <v>0.38541335945432564</v>
      </c>
      <c r="X2265" s="11">
        <v>0.92274402862014271</v>
      </c>
      <c r="Y2265">
        <v>0</v>
      </c>
      <c r="Z2265">
        <v>0</v>
      </c>
      <c r="AB2265">
        <v>1</v>
      </c>
      <c r="AC2265">
        <v>0</v>
      </c>
      <c r="AD2265">
        <v>0</v>
      </c>
      <c r="AE2265">
        <v>0</v>
      </c>
    </row>
    <row r="2266" spans="1:31">
      <c r="A2266" s="6">
        <v>45681</v>
      </c>
      <c r="B2266" t="s">
        <v>41</v>
      </c>
      <c r="C2266" t="s">
        <v>42</v>
      </c>
      <c r="D2266" t="s">
        <v>43</v>
      </c>
      <c r="E2266" t="s">
        <v>44</v>
      </c>
      <c r="F2266">
        <v>85</v>
      </c>
      <c r="G2266">
        <v>210</v>
      </c>
      <c r="H2266">
        <v>157</v>
      </c>
      <c r="I2266">
        <v>71</v>
      </c>
      <c r="J2266" s="8">
        <v>0.83529411764705885</v>
      </c>
      <c r="K2266">
        <v>23</v>
      </c>
      <c r="L2266">
        <v>29</v>
      </c>
      <c r="M2266">
        <v>138</v>
      </c>
      <c r="N2266" s="10">
        <v>597.34</v>
      </c>
      <c r="O2266" s="7">
        <v>0</v>
      </c>
      <c r="P2266" s="7">
        <v>29.3</v>
      </c>
      <c r="Q2266">
        <v>4</v>
      </c>
      <c r="R2266" t="s">
        <v>66</v>
      </c>
      <c r="S2266">
        <v>1</v>
      </c>
      <c r="T2266">
        <v>24</v>
      </c>
      <c r="U2266" s="11">
        <v>-0.43388373911755801</v>
      </c>
      <c r="V2266" s="11">
        <v>-0.90096886790241915</v>
      </c>
      <c r="W2266" s="11">
        <v>0.38541335945432564</v>
      </c>
      <c r="X2266" s="11">
        <v>0.92274402862014271</v>
      </c>
      <c r="Y2266">
        <v>0</v>
      </c>
      <c r="Z2266">
        <v>0</v>
      </c>
      <c r="AB2266">
        <v>1</v>
      </c>
      <c r="AC2266">
        <v>0</v>
      </c>
      <c r="AD2266">
        <v>0</v>
      </c>
      <c r="AE2266">
        <v>0</v>
      </c>
    </row>
    <row r="2267" spans="1:31">
      <c r="A2267" s="6">
        <v>45682</v>
      </c>
      <c r="B2267" t="s">
        <v>31</v>
      </c>
      <c r="C2267" t="s">
        <v>32</v>
      </c>
      <c r="D2267" t="s">
        <v>33</v>
      </c>
      <c r="E2267" t="s">
        <v>34</v>
      </c>
      <c r="F2267">
        <v>140</v>
      </c>
      <c r="G2267">
        <v>360</v>
      </c>
      <c r="H2267">
        <v>230</v>
      </c>
      <c r="I2267">
        <v>98</v>
      </c>
      <c r="J2267" s="8">
        <v>0.7</v>
      </c>
      <c r="K2267">
        <v>54</v>
      </c>
      <c r="L2267">
        <v>50</v>
      </c>
      <c r="M2267">
        <v>205</v>
      </c>
      <c r="N2267" s="10">
        <v>467.82</v>
      </c>
      <c r="O2267" s="7">
        <v>10.3</v>
      </c>
      <c r="P2267" s="7">
        <v>28</v>
      </c>
      <c r="Q2267">
        <v>5</v>
      </c>
      <c r="R2267" t="s">
        <v>67</v>
      </c>
      <c r="S2267">
        <v>1</v>
      </c>
      <c r="T2267">
        <v>25</v>
      </c>
      <c r="U2267" s="11">
        <v>-0.97492791218182362</v>
      </c>
      <c r="V2267" s="11">
        <v>-0.22252093395631459</v>
      </c>
      <c r="W2267" s="11">
        <v>0.40122898544750091</v>
      </c>
      <c r="X2267" s="11">
        <v>0.91597778424848775</v>
      </c>
      <c r="Y2267">
        <v>1</v>
      </c>
      <c r="Z2267">
        <v>0</v>
      </c>
      <c r="AB2267">
        <v>1</v>
      </c>
      <c r="AC2267">
        <v>0</v>
      </c>
      <c r="AD2267">
        <v>0</v>
      </c>
      <c r="AE2267">
        <v>0</v>
      </c>
    </row>
    <row r="2268" spans="1:31">
      <c r="A2268" s="6">
        <v>45682</v>
      </c>
      <c r="B2268" t="s">
        <v>36</v>
      </c>
      <c r="C2268" t="s">
        <v>37</v>
      </c>
      <c r="D2268" t="s">
        <v>38</v>
      </c>
      <c r="E2268" t="s">
        <v>39</v>
      </c>
      <c r="F2268">
        <v>125</v>
      </c>
      <c r="G2268">
        <v>320</v>
      </c>
      <c r="H2268">
        <v>274</v>
      </c>
      <c r="I2268">
        <v>115</v>
      </c>
      <c r="J2268" s="8">
        <v>0.92</v>
      </c>
      <c r="K2268">
        <v>40</v>
      </c>
      <c r="L2268">
        <v>33</v>
      </c>
      <c r="M2268">
        <v>237</v>
      </c>
      <c r="N2268" s="10">
        <v>726.23</v>
      </c>
      <c r="O2268" s="7">
        <v>10.3</v>
      </c>
      <c r="P2268" s="7">
        <v>28</v>
      </c>
      <c r="Q2268">
        <v>5</v>
      </c>
      <c r="R2268" t="s">
        <v>67</v>
      </c>
      <c r="S2268">
        <v>1</v>
      </c>
      <c r="T2268">
        <v>25</v>
      </c>
      <c r="U2268" s="11">
        <v>-0.97492791218182362</v>
      </c>
      <c r="V2268" s="11">
        <v>-0.22252093395631459</v>
      </c>
      <c r="W2268" s="11">
        <v>0.40122898544750091</v>
      </c>
      <c r="X2268" s="11">
        <v>0.91597778424848775</v>
      </c>
      <c r="Y2268">
        <v>1</v>
      </c>
      <c r="Z2268">
        <v>0</v>
      </c>
      <c r="AB2268">
        <v>1</v>
      </c>
      <c r="AC2268">
        <v>0</v>
      </c>
      <c r="AD2268">
        <v>0</v>
      </c>
      <c r="AE2268">
        <v>0</v>
      </c>
    </row>
    <row r="2269" spans="1:31">
      <c r="A2269" s="6">
        <v>45682</v>
      </c>
      <c r="B2269" t="s">
        <v>41</v>
      </c>
      <c r="C2269" t="s">
        <v>42</v>
      </c>
      <c r="D2269" t="s">
        <v>43</v>
      </c>
      <c r="E2269" t="s">
        <v>44</v>
      </c>
      <c r="F2269">
        <v>85</v>
      </c>
      <c r="G2269">
        <v>210</v>
      </c>
      <c r="H2269">
        <v>166</v>
      </c>
      <c r="I2269">
        <v>74</v>
      </c>
      <c r="J2269" s="8">
        <v>0.87058823529411766</v>
      </c>
      <c r="K2269">
        <v>20</v>
      </c>
      <c r="L2269">
        <v>44</v>
      </c>
      <c r="M2269">
        <v>133</v>
      </c>
      <c r="N2269" s="10">
        <v>630.92999999999995</v>
      </c>
      <c r="O2269" s="7">
        <v>10.3</v>
      </c>
      <c r="P2269" s="7">
        <v>28</v>
      </c>
      <c r="Q2269">
        <v>5</v>
      </c>
      <c r="R2269" t="s">
        <v>67</v>
      </c>
      <c r="S2269">
        <v>1</v>
      </c>
      <c r="T2269">
        <v>25</v>
      </c>
      <c r="U2269" s="11">
        <v>-0.97492791218182362</v>
      </c>
      <c r="V2269" s="11">
        <v>-0.22252093395631459</v>
      </c>
      <c r="W2269" s="11">
        <v>0.40122898544750091</v>
      </c>
      <c r="X2269" s="11">
        <v>0.91597778424848775</v>
      </c>
      <c r="Y2269">
        <v>1</v>
      </c>
      <c r="Z2269">
        <v>0</v>
      </c>
      <c r="AB2269">
        <v>1</v>
      </c>
      <c r="AC2269">
        <v>0</v>
      </c>
      <c r="AD2269">
        <v>0</v>
      </c>
      <c r="AE2269">
        <v>0</v>
      </c>
    </row>
    <row r="2270" spans="1:31">
      <c r="A2270" s="6">
        <v>45683</v>
      </c>
      <c r="B2270" t="s">
        <v>31</v>
      </c>
      <c r="C2270" t="s">
        <v>32</v>
      </c>
      <c r="D2270" t="s">
        <v>33</v>
      </c>
      <c r="E2270" t="s">
        <v>34</v>
      </c>
      <c r="F2270">
        <v>140</v>
      </c>
      <c r="G2270">
        <v>360</v>
      </c>
      <c r="H2270">
        <v>254</v>
      </c>
      <c r="I2270">
        <v>105</v>
      </c>
      <c r="J2270" s="8">
        <v>0.75</v>
      </c>
      <c r="K2270">
        <v>46</v>
      </c>
      <c r="L2270">
        <v>72</v>
      </c>
      <c r="M2270">
        <v>226</v>
      </c>
      <c r="N2270" s="10">
        <v>509.12</v>
      </c>
      <c r="O2270" s="7">
        <v>0</v>
      </c>
      <c r="P2270" s="7">
        <v>29</v>
      </c>
      <c r="Q2270">
        <v>6</v>
      </c>
      <c r="R2270" t="s">
        <v>60</v>
      </c>
      <c r="S2270">
        <v>1</v>
      </c>
      <c r="T2270">
        <v>26</v>
      </c>
      <c r="U2270" s="11">
        <v>-0.78183148246802991</v>
      </c>
      <c r="V2270" s="11">
        <v>0.62348980185873337</v>
      </c>
      <c r="W2270" s="11">
        <v>0.41692588132872871</v>
      </c>
      <c r="X2270" s="11">
        <v>0.90894048731380805</v>
      </c>
      <c r="Y2270">
        <v>1</v>
      </c>
      <c r="Z2270">
        <v>0</v>
      </c>
      <c r="AB2270">
        <v>1</v>
      </c>
      <c r="AC2270">
        <v>0</v>
      </c>
      <c r="AD2270">
        <v>0</v>
      </c>
      <c r="AE2270">
        <v>0</v>
      </c>
    </row>
    <row r="2271" spans="1:31">
      <c r="A2271" s="6">
        <v>45683</v>
      </c>
      <c r="B2271" t="s">
        <v>36</v>
      </c>
      <c r="C2271" t="s">
        <v>37</v>
      </c>
      <c r="D2271" t="s">
        <v>38</v>
      </c>
      <c r="E2271" t="s">
        <v>39</v>
      </c>
      <c r="F2271">
        <v>125</v>
      </c>
      <c r="G2271">
        <v>320</v>
      </c>
      <c r="H2271">
        <v>255</v>
      </c>
      <c r="I2271">
        <v>105</v>
      </c>
      <c r="J2271" s="8">
        <v>0.84</v>
      </c>
      <c r="K2271">
        <v>61</v>
      </c>
      <c r="L2271">
        <v>46</v>
      </c>
      <c r="M2271">
        <v>212</v>
      </c>
      <c r="N2271" s="10">
        <v>821.91</v>
      </c>
      <c r="O2271" s="7">
        <v>0</v>
      </c>
      <c r="P2271" s="7">
        <v>29</v>
      </c>
      <c r="Q2271">
        <v>6</v>
      </c>
      <c r="R2271" t="s">
        <v>60</v>
      </c>
      <c r="S2271">
        <v>1</v>
      </c>
      <c r="T2271">
        <v>26</v>
      </c>
      <c r="U2271" s="11">
        <v>-0.78183148246802991</v>
      </c>
      <c r="V2271" s="11">
        <v>0.62348980185873337</v>
      </c>
      <c r="W2271" s="11">
        <v>0.41692588132872871</v>
      </c>
      <c r="X2271" s="11">
        <v>0.90894048731380805</v>
      </c>
      <c r="Y2271">
        <v>1</v>
      </c>
      <c r="Z2271">
        <v>0</v>
      </c>
      <c r="AB2271">
        <v>1</v>
      </c>
      <c r="AC2271">
        <v>0</v>
      </c>
      <c r="AD2271">
        <v>0</v>
      </c>
      <c r="AE2271">
        <v>0</v>
      </c>
    </row>
    <row r="2272" spans="1:31">
      <c r="A2272" s="6">
        <v>45683</v>
      </c>
      <c r="B2272" t="s">
        <v>41</v>
      </c>
      <c r="C2272" t="s">
        <v>42</v>
      </c>
      <c r="D2272" t="s">
        <v>43</v>
      </c>
      <c r="E2272" t="s">
        <v>44</v>
      </c>
      <c r="F2272">
        <v>85</v>
      </c>
      <c r="G2272">
        <v>210</v>
      </c>
      <c r="H2272">
        <v>183</v>
      </c>
      <c r="I2272">
        <v>80</v>
      </c>
      <c r="J2272" s="8">
        <v>0.94117647058823528</v>
      </c>
      <c r="K2272">
        <v>48</v>
      </c>
      <c r="L2272">
        <v>45</v>
      </c>
      <c r="M2272">
        <v>168</v>
      </c>
      <c r="N2272" s="10">
        <v>645.91999999999996</v>
      </c>
      <c r="O2272" s="7">
        <v>0</v>
      </c>
      <c r="P2272" s="7">
        <v>29</v>
      </c>
      <c r="Q2272">
        <v>6</v>
      </c>
      <c r="R2272" t="s">
        <v>60</v>
      </c>
      <c r="S2272">
        <v>1</v>
      </c>
      <c r="T2272">
        <v>26</v>
      </c>
      <c r="U2272" s="11">
        <v>-0.78183148246802991</v>
      </c>
      <c r="V2272" s="11">
        <v>0.62348980185873337</v>
      </c>
      <c r="W2272" s="11">
        <v>0.41692588132872871</v>
      </c>
      <c r="X2272" s="11">
        <v>0.90894048731380805</v>
      </c>
      <c r="Y2272">
        <v>1</v>
      </c>
      <c r="Z2272">
        <v>0</v>
      </c>
      <c r="AB2272">
        <v>1</v>
      </c>
      <c r="AC2272">
        <v>0</v>
      </c>
      <c r="AD2272">
        <v>0</v>
      </c>
      <c r="AE2272">
        <v>0</v>
      </c>
    </row>
    <row r="2273" spans="1:31">
      <c r="A2273" s="6">
        <v>45684</v>
      </c>
      <c r="B2273" t="s">
        <v>31</v>
      </c>
      <c r="C2273" t="s">
        <v>32</v>
      </c>
      <c r="D2273" t="s">
        <v>33</v>
      </c>
      <c r="E2273" t="s">
        <v>34</v>
      </c>
      <c r="F2273">
        <v>140</v>
      </c>
      <c r="G2273">
        <v>360</v>
      </c>
      <c r="H2273">
        <v>208</v>
      </c>
      <c r="I2273">
        <v>91</v>
      </c>
      <c r="J2273" s="8">
        <v>0.65</v>
      </c>
      <c r="K2273">
        <v>42</v>
      </c>
      <c r="L2273">
        <v>45</v>
      </c>
      <c r="M2273">
        <v>172</v>
      </c>
      <c r="N2273" s="10">
        <v>439.44</v>
      </c>
      <c r="O2273" s="7">
        <v>11</v>
      </c>
      <c r="P2273" s="7">
        <v>27.7</v>
      </c>
      <c r="Q2273">
        <v>0</v>
      </c>
      <c r="R2273" t="s">
        <v>62</v>
      </c>
      <c r="S2273">
        <v>1</v>
      </c>
      <c r="T2273">
        <v>27</v>
      </c>
      <c r="U2273" s="11">
        <v>0</v>
      </c>
      <c r="V2273" s="11">
        <v>1</v>
      </c>
      <c r="W2273" s="11">
        <v>0.43249940213397881</v>
      </c>
      <c r="X2273" s="11">
        <v>0.90163422026548601</v>
      </c>
      <c r="Y2273">
        <v>0</v>
      </c>
      <c r="Z2273">
        <v>0</v>
      </c>
      <c r="AB2273">
        <v>1</v>
      </c>
      <c r="AC2273">
        <v>0</v>
      </c>
      <c r="AD2273">
        <v>0</v>
      </c>
      <c r="AE2273">
        <v>0</v>
      </c>
    </row>
    <row r="2274" spans="1:31">
      <c r="A2274" s="6">
        <v>45684</v>
      </c>
      <c r="B2274" t="s">
        <v>36</v>
      </c>
      <c r="C2274" t="s">
        <v>37</v>
      </c>
      <c r="D2274" t="s">
        <v>38</v>
      </c>
      <c r="E2274" t="s">
        <v>39</v>
      </c>
      <c r="F2274">
        <v>125</v>
      </c>
      <c r="G2274">
        <v>320</v>
      </c>
      <c r="H2274">
        <v>231</v>
      </c>
      <c r="I2274">
        <v>95</v>
      </c>
      <c r="J2274" s="8">
        <v>0.76</v>
      </c>
      <c r="K2274">
        <v>44</v>
      </c>
      <c r="L2274">
        <v>58</v>
      </c>
      <c r="M2274">
        <v>211</v>
      </c>
      <c r="N2274" s="10">
        <v>671.83</v>
      </c>
      <c r="O2274" s="7">
        <v>11</v>
      </c>
      <c r="P2274" s="7">
        <v>27.7</v>
      </c>
      <c r="Q2274">
        <v>0</v>
      </c>
      <c r="R2274" t="s">
        <v>62</v>
      </c>
      <c r="S2274">
        <v>1</v>
      </c>
      <c r="T2274">
        <v>27</v>
      </c>
      <c r="U2274" s="11">
        <v>0</v>
      </c>
      <c r="V2274" s="11">
        <v>1</v>
      </c>
      <c r="W2274" s="11">
        <v>0.43249940213397881</v>
      </c>
      <c r="X2274" s="11">
        <v>0.90163422026548601</v>
      </c>
      <c r="Y2274">
        <v>0</v>
      </c>
      <c r="Z2274">
        <v>0</v>
      </c>
      <c r="AB2274">
        <v>1</v>
      </c>
      <c r="AC2274">
        <v>0</v>
      </c>
      <c r="AD2274">
        <v>0</v>
      </c>
      <c r="AE2274">
        <v>0</v>
      </c>
    </row>
    <row r="2275" spans="1:31">
      <c r="A2275" s="6">
        <v>45684</v>
      </c>
      <c r="B2275" t="s">
        <v>41</v>
      </c>
      <c r="C2275" t="s">
        <v>42</v>
      </c>
      <c r="D2275" t="s">
        <v>43</v>
      </c>
      <c r="E2275" t="s">
        <v>44</v>
      </c>
      <c r="F2275">
        <v>85</v>
      </c>
      <c r="G2275">
        <v>210</v>
      </c>
      <c r="H2275">
        <v>154</v>
      </c>
      <c r="I2275">
        <v>70</v>
      </c>
      <c r="J2275" s="8">
        <v>0.82352941176470584</v>
      </c>
      <c r="K2275">
        <v>34</v>
      </c>
      <c r="L2275">
        <v>31</v>
      </c>
      <c r="M2275">
        <v>144</v>
      </c>
      <c r="N2275" s="10">
        <v>622.05999999999995</v>
      </c>
      <c r="O2275" s="7">
        <v>11</v>
      </c>
      <c r="P2275" s="7">
        <v>27.7</v>
      </c>
      <c r="Q2275">
        <v>0</v>
      </c>
      <c r="R2275" t="s">
        <v>62</v>
      </c>
      <c r="S2275">
        <v>1</v>
      </c>
      <c r="T2275">
        <v>27</v>
      </c>
      <c r="U2275" s="11">
        <v>0</v>
      </c>
      <c r="V2275" s="11">
        <v>1</v>
      </c>
      <c r="W2275" s="11">
        <v>0.43249940213397881</v>
      </c>
      <c r="X2275" s="11">
        <v>0.90163422026548601</v>
      </c>
      <c r="Y2275">
        <v>0</v>
      </c>
      <c r="Z2275">
        <v>0</v>
      </c>
      <c r="AB2275">
        <v>1</v>
      </c>
      <c r="AC2275">
        <v>0</v>
      </c>
      <c r="AD2275">
        <v>0</v>
      </c>
      <c r="AE2275">
        <v>0</v>
      </c>
    </row>
    <row r="2276" spans="1:31">
      <c r="A2276" s="6">
        <v>45685</v>
      </c>
      <c r="B2276" t="s">
        <v>31</v>
      </c>
      <c r="C2276" t="s">
        <v>32</v>
      </c>
      <c r="D2276" t="s">
        <v>33</v>
      </c>
      <c r="E2276" t="s">
        <v>34</v>
      </c>
      <c r="F2276">
        <v>140</v>
      </c>
      <c r="G2276">
        <v>360</v>
      </c>
      <c r="H2276">
        <v>222</v>
      </c>
      <c r="I2276">
        <v>96</v>
      </c>
      <c r="J2276" s="8">
        <v>0.68571428571428572</v>
      </c>
      <c r="K2276">
        <v>39</v>
      </c>
      <c r="L2276">
        <v>43</v>
      </c>
      <c r="M2276">
        <v>188</v>
      </c>
      <c r="N2276" s="10">
        <v>448.51</v>
      </c>
      <c r="O2276" s="7">
        <v>0</v>
      </c>
      <c r="P2276" s="7">
        <v>27.7</v>
      </c>
      <c r="Q2276">
        <v>1</v>
      </c>
      <c r="R2276" t="s">
        <v>63</v>
      </c>
      <c r="S2276">
        <v>1</v>
      </c>
      <c r="T2276">
        <v>28</v>
      </c>
      <c r="U2276" s="11">
        <v>0.7818314824680298</v>
      </c>
      <c r="V2276" s="11">
        <v>0.62348980185873359</v>
      </c>
      <c r="W2276" s="11">
        <v>0.44794493940789115</v>
      </c>
      <c r="X2276" s="11">
        <v>0.89406114514548762</v>
      </c>
      <c r="Y2276">
        <v>0</v>
      </c>
      <c r="Z2276">
        <v>0</v>
      </c>
      <c r="AB2276">
        <v>1</v>
      </c>
      <c r="AC2276">
        <v>0</v>
      </c>
      <c r="AD2276">
        <v>0</v>
      </c>
      <c r="AE2276">
        <v>0</v>
      </c>
    </row>
    <row r="2277" spans="1:31">
      <c r="A2277" s="6">
        <v>45685</v>
      </c>
      <c r="B2277" t="s">
        <v>36</v>
      </c>
      <c r="C2277" t="s">
        <v>37</v>
      </c>
      <c r="D2277" t="s">
        <v>38</v>
      </c>
      <c r="E2277" t="s">
        <v>39</v>
      </c>
      <c r="F2277">
        <v>125</v>
      </c>
      <c r="G2277">
        <v>320</v>
      </c>
      <c r="H2277">
        <v>217</v>
      </c>
      <c r="I2277">
        <v>88</v>
      </c>
      <c r="J2277" s="8">
        <v>0.70399999999999996</v>
      </c>
      <c r="K2277">
        <v>53</v>
      </c>
      <c r="L2277">
        <v>42</v>
      </c>
      <c r="M2277">
        <v>186</v>
      </c>
      <c r="N2277" s="10">
        <v>641.24</v>
      </c>
      <c r="O2277" s="7">
        <v>0</v>
      </c>
      <c r="P2277" s="7">
        <v>27.7</v>
      </c>
      <c r="Q2277">
        <v>1</v>
      </c>
      <c r="R2277" t="s">
        <v>63</v>
      </c>
      <c r="S2277">
        <v>1</v>
      </c>
      <c r="T2277">
        <v>28</v>
      </c>
      <c r="U2277" s="11">
        <v>0.7818314824680298</v>
      </c>
      <c r="V2277" s="11">
        <v>0.62348980185873359</v>
      </c>
      <c r="W2277" s="11">
        <v>0.44794493940789115</v>
      </c>
      <c r="X2277" s="11">
        <v>0.89406114514548762</v>
      </c>
      <c r="Y2277">
        <v>0</v>
      </c>
      <c r="Z2277">
        <v>0</v>
      </c>
      <c r="AB2277">
        <v>1</v>
      </c>
      <c r="AC2277">
        <v>0</v>
      </c>
      <c r="AD2277">
        <v>0</v>
      </c>
      <c r="AE2277">
        <v>0</v>
      </c>
    </row>
    <row r="2278" spans="1:31">
      <c r="A2278" s="6">
        <v>45685</v>
      </c>
      <c r="B2278" t="s">
        <v>41</v>
      </c>
      <c r="C2278" t="s">
        <v>42</v>
      </c>
      <c r="D2278" t="s">
        <v>43</v>
      </c>
      <c r="E2278" t="s">
        <v>44</v>
      </c>
      <c r="F2278">
        <v>85</v>
      </c>
      <c r="G2278">
        <v>210</v>
      </c>
      <c r="H2278">
        <v>150</v>
      </c>
      <c r="I2278">
        <v>67</v>
      </c>
      <c r="J2278" s="8">
        <v>0.78823529411764703</v>
      </c>
      <c r="K2278">
        <v>37</v>
      </c>
      <c r="L2278">
        <v>15</v>
      </c>
      <c r="M2278">
        <v>132</v>
      </c>
      <c r="N2278" s="10">
        <v>616.76</v>
      </c>
      <c r="O2278" s="7">
        <v>0</v>
      </c>
      <c r="P2278" s="7">
        <v>27.7</v>
      </c>
      <c r="Q2278">
        <v>1</v>
      </c>
      <c r="R2278" t="s">
        <v>63</v>
      </c>
      <c r="S2278">
        <v>1</v>
      </c>
      <c r="T2278">
        <v>28</v>
      </c>
      <c r="U2278" s="11">
        <v>0.7818314824680298</v>
      </c>
      <c r="V2278" s="11">
        <v>0.62348980185873359</v>
      </c>
      <c r="W2278" s="11">
        <v>0.44794493940789115</v>
      </c>
      <c r="X2278" s="11">
        <v>0.89406114514548762</v>
      </c>
      <c r="Y2278">
        <v>0</v>
      </c>
      <c r="Z2278">
        <v>0</v>
      </c>
      <c r="AB2278">
        <v>1</v>
      </c>
      <c r="AC2278">
        <v>0</v>
      </c>
      <c r="AD2278">
        <v>0</v>
      </c>
      <c r="AE2278">
        <v>0</v>
      </c>
    </row>
    <row r="2279" spans="1:31">
      <c r="A2279" s="6">
        <v>45686</v>
      </c>
      <c r="B2279" t="s">
        <v>31</v>
      </c>
      <c r="C2279" t="s">
        <v>32</v>
      </c>
      <c r="D2279" t="s">
        <v>33</v>
      </c>
      <c r="E2279" t="s">
        <v>34</v>
      </c>
      <c r="F2279">
        <v>140</v>
      </c>
      <c r="G2279">
        <v>360</v>
      </c>
      <c r="H2279">
        <v>223</v>
      </c>
      <c r="I2279">
        <v>95</v>
      </c>
      <c r="J2279" s="8">
        <v>0.6785714285714286</v>
      </c>
      <c r="K2279">
        <v>53</v>
      </c>
      <c r="L2279">
        <v>29</v>
      </c>
      <c r="M2279">
        <v>183</v>
      </c>
      <c r="N2279" s="10">
        <v>478.23</v>
      </c>
      <c r="O2279" s="7">
        <v>17</v>
      </c>
      <c r="P2279" s="7">
        <v>27.7</v>
      </c>
      <c r="Q2279">
        <v>2</v>
      </c>
      <c r="R2279" t="s">
        <v>64</v>
      </c>
      <c r="S2279">
        <v>1</v>
      </c>
      <c r="T2279">
        <v>29</v>
      </c>
      <c r="U2279" s="11">
        <v>0.97492791218182362</v>
      </c>
      <c r="V2279" s="11">
        <v>-0.22252093395631434</v>
      </c>
      <c r="W2279" s="11">
        <v>0.46325792256749171</v>
      </c>
      <c r="X2279" s="11">
        <v>0.88622350294857999</v>
      </c>
      <c r="Y2279">
        <v>0</v>
      </c>
      <c r="Z2279">
        <v>0</v>
      </c>
      <c r="AB2279">
        <v>1</v>
      </c>
      <c r="AC2279">
        <v>0</v>
      </c>
      <c r="AD2279">
        <v>0</v>
      </c>
      <c r="AE2279">
        <v>0</v>
      </c>
    </row>
    <row r="2280" spans="1:31">
      <c r="A2280" s="6">
        <v>45686</v>
      </c>
      <c r="B2280" t="s">
        <v>36</v>
      </c>
      <c r="C2280" t="s">
        <v>37</v>
      </c>
      <c r="D2280" t="s">
        <v>38</v>
      </c>
      <c r="E2280" t="s">
        <v>39</v>
      </c>
      <c r="F2280">
        <v>125</v>
      </c>
      <c r="G2280">
        <v>320</v>
      </c>
      <c r="H2280">
        <v>233</v>
      </c>
      <c r="I2280">
        <v>97</v>
      </c>
      <c r="J2280" s="8">
        <v>0.77600000000000002</v>
      </c>
      <c r="K2280">
        <v>43</v>
      </c>
      <c r="L2280">
        <v>61</v>
      </c>
      <c r="M2280">
        <v>207</v>
      </c>
      <c r="N2280" s="10">
        <v>625.36</v>
      </c>
      <c r="O2280" s="7">
        <v>17</v>
      </c>
      <c r="P2280" s="7">
        <v>27.7</v>
      </c>
      <c r="Q2280">
        <v>2</v>
      </c>
      <c r="R2280" t="s">
        <v>64</v>
      </c>
      <c r="S2280">
        <v>1</v>
      </c>
      <c r="T2280">
        <v>29</v>
      </c>
      <c r="U2280" s="11">
        <v>0.97492791218182362</v>
      </c>
      <c r="V2280" s="11">
        <v>-0.22252093395631434</v>
      </c>
      <c r="W2280" s="11">
        <v>0.46325792256749171</v>
      </c>
      <c r="X2280" s="11">
        <v>0.88622350294857999</v>
      </c>
      <c r="Y2280">
        <v>0</v>
      </c>
      <c r="Z2280">
        <v>0</v>
      </c>
      <c r="AB2280">
        <v>1</v>
      </c>
      <c r="AC2280">
        <v>0</v>
      </c>
      <c r="AD2280">
        <v>0</v>
      </c>
      <c r="AE2280">
        <v>0</v>
      </c>
    </row>
    <row r="2281" spans="1:31">
      <c r="A2281" s="6">
        <v>45686</v>
      </c>
      <c r="B2281" t="s">
        <v>41</v>
      </c>
      <c r="C2281" t="s">
        <v>42</v>
      </c>
      <c r="D2281" t="s">
        <v>43</v>
      </c>
      <c r="E2281" t="s">
        <v>44</v>
      </c>
      <c r="F2281">
        <v>85</v>
      </c>
      <c r="G2281">
        <v>210</v>
      </c>
      <c r="H2281">
        <v>163</v>
      </c>
      <c r="I2281">
        <v>73</v>
      </c>
      <c r="J2281" s="8">
        <v>0.85882352941176465</v>
      </c>
      <c r="K2281">
        <v>35</v>
      </c>
      <c r="L2281">
        <v>42</v>
      </c>
      <c r="M2281">
        <v>140</v>
      </c>
      <c r="N2281" s="10">
        <v>519.46</v>
      </c>
      <c r="O2281" s="7">
        <v>17</v>
      </c>
      <c r="P2281" s="7">
        <v>27.7</v>
      </c>
      <c r="Q2281">
        <v>2</v>
      </c>
      <c r="R2281" t="s">
        <v>64</v>
      </c>
      <c r="S2281">
        <v>1</v>
      </c>
      <c r="T2281">
        <v>29</v>
      </c>
      <c r="U2281" s="11">
        <v>0.97492791218182362</v>
      </c>
      <c r="V2281" s="11">
        <v>-0.22252093395631434</v>
      </c>
      <c r="W2281" s="11">
        <v>0.46325792256749171</v>
      </c>
      <c r="X2281" s="11">
        <v>0.88622350294857999</v>
      </c>
      <c r="Y2281">
        <v>0</v>
      </c>
      <c r="Z2281">
        <v>0</v>
      </c>
      <c r="AB2281">
        <v>1</v>
      </c>
      <c r="AC2281">
        <v>0</v>
      </c>
      <c r="AD2281">
        <v>0</v>
      </c>
      <c r="AE2281">
        <v>0</v>
      </c>
    </row>
    <row r="2282" spans="1:31">
      <c r="A2282" s="6">
        <v>45687</v>
      </c>
      <c r="B2282" t="s">
        <v>31</v>
      </c>
      <c r="C2282" t="s">
        <v>32</v>
      </c>
      <c r="D2282" t="s">
        <v>33</v>
      </c>
      <c r="E2282" t="s">
        <v>34</v>
      </c>
      <c r="F2282">
        <v>140</v>
      </c>
      <c r="G2282">
        <v>360</v>
      </c>
      <c r="H2282">
        <v>225</v>
      </c>
      <c r="I2282">
        <v>95</v>
      </c>
      <c r="J2282" s="8">
        <v>0.6785714285714286</v>
      </c>
      <c r="K2282">
        <v>42</v>
      </c>
      <c r="L2282">
        <v>37</v>
      </c>
      <c r="M2282">
        <v>183</v>
      </c>
      <c r="N2282" s="10">
        <v>499.64</v>
      </c>
      <c r="O2282" s="7">
        <v>19.399999999999999</v>
      </c>
      <c r="P2282" s="7">
        <v>27.4</v>
      </c>
      <c r="Q2282">
        <v>3</v>
      </c>
      <c r="R2282" t="s">
        <v>65</v>
      </c>
      <c r="S2282">
        <v>1</v>
      </c>
      <c r="T2282">
        <v>30</v>
      </c>
      <c r="U2282" s="11">
        <v>0.43388373911755823</v>
      </c>
      <c r="V2282" s="11">
        <v>-0.90096886790241903</v>
      </c>
      <c r="W2282" s="11">
        <v>0.47843382025470121</v>
      </c>
      <c r="X2282" s="11">
        <v>0.87812361295918484</v>
      </c>
      <c r="Y2282">
        <v>0</v>
      </c>
      <c r="Z2282">
        <v>0</v>
      </c>
      <c r="AB2282">
        <v>1</v>
      </c>
      <c r="AC2282">
        <v>0</v>
      </c>
      <c r="AD2282">
        <v>0</v>
      </c>
      <c r="AE2282">
        <v>0</v>
      </c>
    </row>
    <row r="2283" spans="1:31">
      <c r="A2283" s="6">
        <v>45687</v>
      </c>
      <c r="B2283" t="s">
        <v>36</v>
      </c>
      <c r="C2283" t="s">
        <v>37</v>
      </c>
      <c r="D2283" t="s">
        <v>38</v>
      </c>
      <c r="E2283" t="s">
        <v>39</v>
      </c>
      <c r="F2283">
        <v>125</v>
      </c>
      <c r="G2283">
        <v>320</v>
      </c>
      <c r="H2283">
        <v>224</v>
      </c>
      <c r="I2283">
        <v>91</v>
      </c>
      <c r="J2283" s="8">
        <v>0.72799999999999998</v>
      </c>
      <c r="K2283">
        <v>58</v>
      </c>
      <c r="L2283">
        <v>46</v>
      </c>
      <c r="M2283">
        <v>185</v>
      </c>
      <c r="N2283" s="10">
        <v>634.53</v>
      </c>
      <c r="O2283" s="7">
        <v>19.399999999999999</v>
      </c>
      <c r="P2283" s="7">
        <v>27.4</v>
      </c>
      <c r="Q2283">
        <v>3</v>
      </c>
      <c r="R2283" t="s">
        <v>65</v>
      </c>
      <c r="S2283">
        <v>1</v>
      </c>
      <c r="T2283">
        <v>30</v>
      </c>
      <c r="U2283" s="11">
        <v>0.43388373911755823</v>
      </c>
      <c r="V2283" s="11">
        <v>-0.90096886790241903</v>
      </c>
      <c r="W2283" s="11">
        <v>0.47843382025470121</v>
      </c>
      <c r="X2283" s="11">
        <v>0.87812361295918484</v>
      </c>
      <c r="Y2283">
        <v>0</v>
      </c>
      <c r="Z2283">
        <v>0</v>
      </c>
      <c r="AB2283">
        <v>1</v>
      </c>
      <c r="AC2283">
        <v>0</v>
      </c>
      <c r="AD2283">
        <v>0</v>
      </c>
      <c r="AE2283">
        <v>0</v>
      </c>
    </row>
    <row r="2284" spans="1:31">
      <c r="A2284" s="6">
        <v>45687</v>
      </c>
      <c r="B2284" t="s">
        <v>41</v>
      </c>
      <c r="C2284" t="s">
        <v>42</v>
      </c>
      <c r="D2284" t="s">
        <v>43</v>
      </c>
      <c r="E2284" t="s">
        <v>44</v>
      </c>
      <c r="F2284">
        <v>85</v>
      </c>
      <c r="G2284">
        <v>210</v>
      </c>
      <c r="H2284">
        <v>151</v>
      </c>
      <c r="I2284">
        <v>69</v>
      </c>
      <c r="J2284" s="8">
        <v>0.81176470588235294</v>
      </c>
      <c r="K2284">
        <v>28</v>
      </c>
      <c r="L2284">
        <v>30</v>
      </c>
      <c r="M2284">
        <v>125</v>
      </c>
      <c r="N2284" s="10">
        <v>526.41</v>
      </c>
      <c r="O2284" s="7">
        <v>19.399999999999999</v>
      </c>
      <c r="P2284" s="7">
        <v>27.4</v>
      </c>
      <c r="Q2284">
        <v>3</v>
      </c>
      <c r="R2284" t="s">
        <v>65</v>
      </c>
      <c r="S2284">
        <v>1</v>
      </c>
      <c r="T2284">
        <v>30</v>
      </c>
      <c r="U2284" s="11">
        <v>0.43388373911755823</v>
      </c>
      <c r="V2284" s="11">
        <v>-0.90096886790241903</v>
      </c>
      <c r="W2284" s="11">
        <v>0.47843382025470121</v>
      </c>
      <c r="X2284" s="11">
        <v>0.87812361295918484</v>
      </c>
      <c r="Y2284">
        <v>0</v>
      </c>
      <c r="Z2284">
        <v>0</v>
      </c>
      <c r="AB2284">
        <v>1</v>
      </c>
      <c r="AC2284">
        <v>0</v>
      </c>
      <c r="AD2284">
        <v>0</v>
      </c>
      <c r="AE2284">
        <v>0</v>
      </c>
    </row>
    <row r="2285" spans="1:31">
      <c r="A2285" s="6">
        <v>45688</v>
      </c>
      <c r="B2285" t="s">
        <v>31</v>
      </c>
      <c r="C2285" t="s">
        <v>32</v>
      </c>
      <c r="D2285" t="s">
        <v>33</v>
      </c>
      <c r="E2285" t="s">
        <v>34</v>
      </c>
      <c r="F2285">
        <v>140</v>
      </c>
      <c r="G2285">
        <v>360</v>
      </c>
      <c r="H2285">
        <v>233</v>
      </c>
      <c r="I2285">
        <v>99</v>
      </c>
      <c r="J2285" s="8">
        <v>0.70714285714285718</v>
      </c>
      <c r="K2285">
        <v>33</v>
      </c>
      <c r="L2285">
        <v>54</v>
      </c>
      <c r="M2285">
        <v>213</v>
      </c>
      <c r="N2285" s="10">
        <v>483.85</v>
      </c>
      <c r="O2285" s="7">
        <v>0</v>
      </c>
      <c r="P2285" s="7">
        <v>27.8</v>
      </c>
      <c r="Q2285">
        <v>4</v>
      </c>
      <c r="R2285" t="s">
        <v>66</v>
      </c>
      <c r="S2285">
        <v>1</v>
      </c>
      <c r="T2285">
        <v>31</v>
      </c>
      <c r="U2285" s="11">
        <v>-0.43388373911755801</v>
      </c>
      <c r="V2285" s="11">
        <v>-0.90096886790241915</v>
      </c>
      <c r="W2285" s="11">
        <v>0.49346814167723735</v>
      </c>
      <c r="X2285" s="11">
        <v>0.86976387206506456</v>
      </c>
      <c r="Y2285">
        <v>0</v>
      </c>
      <c r="Z2285">
        <v>0</v>
      </c>
      <c r="AB2285">
        <v>1</v>
      </c>
      <c r="AC2285">
        <v>0</v>
      </c>
      <c r="AD2285">
        <v>0</v>
      </c>
      <c r="AE2285">
        <v>0</v>
      </c>
    </row>
    <row r="2286" spans="1:31">
      <c r="A2286" s="6">
        <v>45688</v>
      </c>
      <c r="B2286" t="s">
        <v>36</v>
      </c>
      <c r="C2286" t="s">
        <v>37</v>
      </c>
      <c r="D2286" t="s">
        <v>38</v>
      </c>
      <c r="E2286" t="s">
        <v>39</v>
      </c>
      <c r="F2286">
        <v>125</v>
      </c>
      <c r="G2286">
        <v>320</v>
      </c>
      <c r="H2286">
        <v>224</v>
      </c>
      <c r="I2286">
        <v>93</v>
      </c>
      <c r="J2286" s="8">
        <v>0.74399999999999999</v>
      </c>
      <c r="K2286">
        <v>59</v>
      </c>
      <c r="L2286">
        <v>43</v>
      </c>
      <c r="M2286">
        <v>189</v>
      </c>
      <c r="N2286" s="10">
        <v>627.16999999999996</v>
      </c>
      <c r="O2286" s="7">
        <v>0</v>
      </c>
      <c r="P2286" s="7">
        <v>27.8</v>
      </c>
      <c r="Q2286">
        <v>4</v>
      </c>
      <c r="R2286" t="s">
        <v>66</v>
      </c>
      <c r="S2286">
        <v>1</v>
      </c>
      <c r="T2286">
        <v>31</v>
      </c>
      <c r="U2286" s="11">
        <v>-0.43388373911755801</v>
      </c>
      <c r="V2286" s="11">
        <v>-0.90096886790241915</v>
      </c>
      <c r="W2286" s="11">
        <v>0.49346814167723735</v>
      </c>
      <c r="X2286" s="11">
        <v>0.86976387206506456</v>
      </c>
      <c r="Y2286">
        <v>0</v>
      </c>
      <c r="Z2286">
        <v>0</v>
      </c>
      <c r="AB2286">
        <v>1</v>
      </c>
      <c r="AC2286">
        <v>0</v>
      </c>
      <c r="AD2286">
        <v>0</v>
      </c>
      <c r="AE2286">
        <v>0</v>
      </c>
    </row>
    <row r="2287" spans="1:31">
      <c r="A2287" s="6">
        <v>45688</v>
      </c>
      <c r="B2287" t="s">
        <v>41</v>
      </c>
      <c r="C2287" t="s">
        <v>42</v>
      </c>
      <c r="D2287" t="s">
        <v>43</v>
      </c>
      <c r="E2287" t="s">
        <v>44</v>
      </c>
      <c r="F2287">
        <v>85</v>
      </c>
      <c r="G2287">
        <v>210</v>
      </c>
      <c r="H2287">
        <v>170</v>
      </c>
      <c r="I2287">
        <v>75</v>
      </c>
      <c r="J2287" s="8">
        <v>0.88235294117647056</v>
      </c>
      <c r="K2287">
        <v>23</v>
      </c>
      <c r="L2287">
        <v>21</v>
      </c>
      <c r="M2287">
        <v>141</v>
      </c>
      <c r="N2287" s="10">
        <v>526.52</v>
      </c>
      <c r="O2287" s="7">
        <v>0</v>
      </c>
      <c r="P2287" s="7">
        <v>27.8</v>
      </c>
      <c r="Q2287">
        <v>4</v>
      </c>
      <c r="R2287" t="s">
        <v>66</v>
      </c>
      <c r="S2287">
        <v>1</v>
      </c>
      <c r="T2287">
        <v>31</v>
      </c>
      <c r="U2287" s="11">
        <v>-0.43388373911755801</v>
      </c>
      <c r="V2287" s="11">
        <v>-0.90096886790241915</v>
      </c>
      <c r="W2287" s="11">
        <v>0.49346814167723735</v>
      </c>
      <c r="X2287" s="11">
        <v>0.86976387206506456</v>
      </c>
      <c r="Y2287">
        <v>0</v>
      </c>
      <c r="Z2287">
        <v>0</v>
      </c>
      <c r="AB2287">
        <v>1</v>
      </c>
      <c r="AC2287">
        <v>0</v>
      </c>
      <c r="AD2287">
        <v>0</v>
      </c>
      <c r="AE2287">
        <v>0</v>
      </c>
    </row>
    <row r="2288" spans="1:31">
      <c r="A2288" s="6">
        <v>45689</v>
      </c>
      <c r="B2288" t="s">
        <v>31</v>
      </c>
      <c r="C2288" t="s">
        <v>32</v>
      </c>
      <c r="D2288" t="s">
        <v>33</v>
      </c>
      <c r="E2288" t="s">
        <v>34</v>
      </c>
      <c r="F2288">
        <v>140</v>
      </c>
      <c r="G2288">
        <v>360</v>
      </c>
      <c r="H2288">
        <v>232</v>
      </c>
      <c r="I2288">
        <v>100</v>
      </c>
      <c r="J2288" s="8">
        <v>0.7142857142857143</v>
      </c>
      <c r="K2288">
        <v>64</v>
      </c>
      <c r="L2288">
        <v>34</v>
      </c>
      <c r="M2288">
        <v>200</v>
      </c>
      <c r="N2288" s="10">
        <v>439.44</v>
      </c>
      <c r="O2288" s="7">
        <v>2.2999999999999998</v>
      </c>
      <c r="P2288" s="7">
        <v>27.7</v>
      </c>
      <c r="Q2288">
        <v>5</v>
      </c>
      <c r="R2288" t="s">
        <v>67</v>
      </c>
      <c r="S2288">
        <v>2</v>
      </c>
      <c r="T2288">
        <v>32</v>
      </c>
      <c r="U2288" s="11">
        <v>-0.97492791218182362</v>
      </c>
      <c r="V2288" s="11">
        <v>-0.22252093395631459</v>
      </c>
      <c r="W2288" s="11">
        <v>0.50835643793751217</v>
      </c>
      <c r="X2288" s="11">
        <v>0.86114675404804519</v>
      </c>
      <c r="Y2288">
        <v>1</v>
      </c>
      <c r="Z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6">
        <v>45689</v>
      </c>
      <c r="B2289" t="s">
        <v>36</v>
      </c>
      <c r="C2289" t="s">
        <v>37</v>
      </c>
      <c r="D2289" t="s">
        <v>38</v>
      </c>
      <c r="E2289" t="s">
        <v>39</v>
      </c>
      <c r="F2289">
        <v>125</v>
      </c>
      <c r="G2289">
        <v>320</v>
      </c>
      <c r="H2289">
        <v>223</v>
      </c>
      <c r="I2289">
        <v>94</v>
      </c>
      <c r="J2289" s="8">
        <v>0.752</v>
      </c>
      <c r="K2289">
        <v>27</v>
      </c>
      <c r="L2289">
        <v>45</v>
      </c>
      <c r="M2289">
        <v>188</v>
      </c>
      <c r="N2289" s="10">
        <v>640.32000000000005</v>
      </c>
      <c r="O2289" s="7">
        <v>2.2999999999999998</v>
      </c>
      <c r="P2289" s="7">
        <v>27.7</v>
      </c>
      <c r="Q2289">
        <v>5</v>
      </c>
      <c r="R2289" t="s">
        <v>67</v>
      </c>
      <c r="S2289">
        <v>2</v>
      </c>
      <c r="T2289">
        <v>32</v>
      </c>
      <c r="U2289" s="11">
        <v>-0.97492791218182362</v>
      </c>
      <c r="V2289" s="11">
        <v>-0.22252093395631459</v>
      </c>
      <c r="W2289" s="11">
        <v>0.50835643793751217</v>
      </c>
      <c r="X2289" s="11">
        <v>0.86114675404804519</v>
      </c>
      <c r="Y2289">
        <v>1</v>
      </c>
      <c r="Z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6">
        <v>45689</v>
      </c>
      <c r="B2290" t="s">
        <v>41</v>
      </c>
      <c r="C2290" t="s">
        <v>42</v>
      </c>
      <c r="D2290" t="s">
        <v>43</v>
      </c>
      <c r="E2290" t="s">
        <v>44</v>
      </c>
      <c r="F2290">
        <v>85</v>
      </c>
      <c r="G2290">
        <v>210</v>
      </c>
      <c r="H2290">
        <v>159</v>
      </c>
      <c r="I2290">
        <v>66</v>
      </c>
      <c r="J2290" s="8">
        <v>0.77647058823529413</v>
      </c>
      <c r="K2290">
        <v>41</v>
      </c>
      <c r="L2290">
        <v>20</v>
      </c>
      <c r="M2290">
        <v>145</v>
      </c>
      <c r="N2290" s="10">
        <v>590.88</v>
      </c>
      <c r="O2290" s="7">
        <v>2.2999999999999998</v>
      </c>
      <c r="P2290" s="7">
        <v>27.7</v>
      </c>
      <c r="Q2290">
        <v>5</v>
      </c>
      <c r="R2290" t="s">
        <v>67</v>
      </c>
      <c r="S2290">
        <v>2</v>
      </c>
      <c r="T2290">
        <v>32</v>
      </c>
      <c r="U2290" s="11">
        <v>-0.97492791218182362</v>
      </c>
      <c r="V2290" s="11">
        <v>-0.22252093395631459</v>
      </c>
      <c r="W2290" s="11">
        <v>0.50835643793751217</v>
      </c>
      <c r="X2290" s="11">
        <v>0.86114675404804519</v>
      </c>
      <c r="Y2290">
        <v>1</v>
      </c>
      <c r="Z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6">
        <v>45690</v>
      </c>
      <c r="B2291" t="s">
        <v>31</v>
      </c>
      <c r="C2291" t="s">
        <v>32</v>
      </c>
      <c r="D2291" t="s">
        <v>33</v>
      </c>
      <c r="E2291" t="s">
        <v>34</v>
      </c>
      <c r="F2291">
        <v>140</v>
      </c>
      <c r="G2291">
        <v>360</v>
      </c>
      <c r="H2291">
        <v>242</v>
      </c>
      <c r="I2291">
        <v>102</v>
      </c>
      <c r="J2291" s="8">
        <v>0.72857142857142854</v>
      </c>
      <c r="K2291">
        <v>72</v>
      </c>
      <c r="L2291">
        <v>35</v>
      </c>
      <c r="M2291">
        <v>199</v>
      </c>
      <c r="N2291" s="10">
        <v>516.05999999999995</v>
      </c>
      <c r="O2291" s="7">
        <v>1.2</v>
      </c>
      <c r="P2291" s="7">
        <v>27.6</v>
      </c>
      <c r="Q2291">
        <v>6</v>
      </c>
      <c r="R2291" t="s">
        <v>60</v>
      </c>
      <c r="S2291">
        <v>2</v>
      </c>
      <c r="T2291">
        <v>33</v>
      </c>
      <c r="U2291" s="11">
        <v>-0.78183148246802991</v>
      </c>
      <c r="V2291" s="11">
        <v>0.62348980185873337</v>
      </c>
      <c r="W2291" s="11">
        <v>0.52309430334913265</v>
      </c>
      <c r="X2291" s="11">
        <v>0.85227480885198381</v>
      </c>
      <c r="Y2291">
        <v>1</v>
      </c>
      <c r="Z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6">
        <v>45690</v>
      </c>
      <c r="B2292" t="s">
        <v>36</v>
      </c>
      <c r="C2292" t="s">
        <v>37</v>
      </c>
      <c r="D2292" t="s">
        <v>38</v>
      </c>
      <c r="E2292" t="s">
        <v>39</v>
      </c>
      <c r="F2292">
        <v>125</v>
      </c>
      <c r="G2292">
        <v>320</v>
      </c>
      <c r="H2292">
        <v>221</v>
      </c>
      <c r="I2292">
        <v>91</v>
      </c>
      <c r="J2292" s="8">
        <v>0.72799999999999998</v>
      </c>
      <c r="K2292">
        <v>41</v>
      </c>
      <c r="L2292">
        <v>44</v>
      </c>
      <c r="M2292">
        <v>180</v>
      </c>
      <c r="N2292" s="10">
        <v>645.36</v>
      </c>
      <c r="O2292" s="7">
        <v>1.2</v>
      </c>
      <c r="P2292" s="7">
        <v>27.6</v>
      </c>
      <c r="Q2292">
        <v>6</v>
      </c>
      <c r="R2292" t="s">
        <v>60</v>
      </c>
      <c r="S2292">
        <v>2</v>
      </c>
      <c r="T2292">
        <v>33</v>
      </c>
      <c r="U2292" s="11">
        <v>-0.78183148246802991</v>
      </c>
      <c r="V2292" s="11">
        <v>0.62348980185873337</v>
      </c>
      <c r="W2292" s="11">
        <v>0.52309430334913265</v>
      </c>
      <c r="X2292" s="11">
        <v>0.85227480885198381</v>
      </c>
      <c r="Y2292">
        <v>1</v>
      </c>
      <c r="Z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6">
        <v>45690</v>
      </c>
      <c r="B2293" t="s">
        <v>41</v>
      </c>
      <c r="C2293" t="s">
        <v>42</v>
      </c>
      <c r="D2293" t="s">
        <v>43</v>
      </c>
      <c r="E2293" t="s">
        <v>44</v>
      </c>
      <c r="F2293">
        <v>85</v>
      </c>
      <c r="G2293">
        <v>210</v>
      </c>
      <c r="H2293">
        <v>150</v>
      </c>
      <c r="I2293">
        <v>64</v>
      </c>
      <c r="J2293" s="8">
        <v>0.75294117647058822</v>
      </c>
      <c r="K2293">
        <v>33</v>
      </c>
      <c r="L2293">
        <v>33</v>
      </c>
      <c r="M2293">
        <v>126</v>
      </c>
      <c r="N2293" s="10">
        <v>574.71</v>
      </c>
      <c r="O2293" s="7">
        <v>1.2</v>
      </c>
      <c r="P2293" s="7">
        <v>27.6</v>
      </c>
      <c r="Q2293">
        <v>6</v>
      </c>
      <c r="R2293" t="s">
        <v>60</v>
      </c>
      <c r="S2293">
        <v>2</v>
      </c>
      <c r="T2293">
        <v>33</v>
      </c>
      <c r="U2293" s="11">
        <v>-0.78183148246802991</v>
      </c>
      <c r="V2293" s="11">
        <v>0.62348980185873337</v>
      </c>
      <c r="W2293" s="11">
        <v>0.52309430334913265</v>
      </c>
      <c r="X2293" s="11">
        <v>0.85227480885198381</v>
      </c>
      <c r="Y2293">
        <v>1</v>
      </c>
      <c r="Z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6">
        <v>45691</v>
      </c>
      <c r="B2294" t="s">
        <v>31</v>
      </c>
      <c r="C2294" t="s">
        <v>32</v>
      </c>
      <c r="D2294" t="s">
        <v>33</v>
      </c>
      <c r="E2294" t="s">
        <v>34</v>
      </c>
      <c r="F2294">
        <v>140</v>
      </c>
      <c r="G2294">
        <v>360</v>
      </c>
      <c r="H2294">
        <v>214</v>
      </c>
      <c r="I2294">
        <v>89</v>
      </c>
      <c r="J2294" s="8">
        <v>0.63571428571428568</v>
      </c>
      <c r="K2294">
        <v>48</v>
      </c>
      <c r="L2294">
        <v>50</v>
      </c>
      <c r="M2294">
        <v>184</v>
      </c>
      <c r="N2294" s="10">
        <v>410.57</v>
      </c>
      <c r="O2294" s="7">
        <v>0.9</v>
      </c>
      <c r="P2294" s="7">
        <v>27</v>
      </c>
      <c r="Q2294">
        <v>0</v>
      </c>
      <c r="R2294" t="s">
        <v>62</v>
      </c>
      <c r="S2294">
        <v>2</v>
      </c>
      <c r="T2294">
        <v>34</v>
      </c>
      <c r="U2294" s="11">
        <v>0</v>
      </c>
      <c r="V2294" s="11">
        <v>1</v>
      </c>
      <c r="W2294" s="11">
        <v>0.53767737674061411</v>
      </c>
      <c r="X2294" s="11">
        <v>0.84315066182819998</v>
      </c>
      <c r="Y2294">
        <v>0</v>
      </c>
      <c r="Z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6">
        <v>45691</v>
      </c>
      <c r="B2295" t="s">
        <v>36</v>
      </c>
      <c r="C2295" t="s">
        <v>37</v>
      </c>
      <c r="D2295" t="s">
        <v>38</v>
      </c>
      <c r="E2295" t="s">
        <v>39</v>
      </c>
      <c r="F2295">
        <v>125</v>
      </c>
      <c r="G2295">
        <v>320</v>
      </c>
      <c r="H2295">
        <v>191</v>
      </c>
      <c r="I2295">
        <v>81</v>
      </c>
      <c r="J2295" s="8">
        <v>0.64800000000000002</v>
      </c>
      <c r="K2295">
        <v>53</v>
      </c>
      <c r="L2295">
        <v>39</v>
      </c>
      <c r="M2295">
        <v>165</v>
      </c>
      <c r="N2295" s="10">
        <v>628.75</v>
      </c>
      <c r="O2295" s="7">
        <v>0.9</v>
      </c>
      <c r="P2295" s="7">
        <v>27</v>
      </c>
      <c r="Q2295">
        <v>0</v>
      </c>
      <c r="R2295" t="s">
        <v>62</v>
      </c>
      <c r="S2295">
        <v>2</v>
      </c>
      <c r="T2295">
        <v>34</v>
      </c>
      <c r="U2295" s="11">
        <v>0</v>
      </c>
      <c r="V2295" s="11">
        <v>1</v>
      </c>
      <c r="W2295" s="11">
        <v>0.53767737674061411</v>
      </c>
      <c r="X2295" s="11">
        <v>0.84315066182819998</v>
      </c>
      <c r="Y2295">
        <v>0</v>
      </c>
      <c r="Z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6">
        <v>45691</v>
      </c>
      <c r="B2296" t="s">
        <v>41</v>
      </c>
      <c r="C2296" t="s">
        <v>42</v>
      </c>
      <c r="D2296" t="s">
        <v>43</v>
      </c>
      <c r="E2296" t="s">
        <v>44</v>
      </c>
      <c r="F2296">
        <v>85</v>
      </c>
      <c r="G2296">
        <v>210</v>
      </c>
      <c r="H2296">
        <v>139</v>
      </c>
      <c r="I2296">
        <v>60</v>
      </c>
      <c r="J2296" s="8">
        <v>0.70588235294117652</v>
      </c>
      <c r="K2296">
        <v>28</v>
      </c>
      <c r="L2296">
        <v>27</v>
      </c>
      <c r="M2296">
        <v>115</v>
      </c>
      <c r="N2296" s="10">
        <v>559.39</v>
      </c>
      <c r="O2296" s="7">
        <v>0.9</v>
      </c>
      <c r="P2296" s="7">
        <v>27</v>
      </c>
      <c r="Q2296">
        <v>0</v>
      </c>
      <c r="R2296" t="s">
        <v>62</v>
      </c>
      <c r="S2296">
        <v>2</v>
      </c>
      <c r="T2296">
        <v>34</v>
      </c>
      <c r="U2296" s="11">
        <v>0</v>
      </c>
      <c r="V2296" s="11">
        <v>1</v>
      </c>
      <c r="W2296" s="11">
        <v>0.53767737674061411</v>
      </c>
      <c r="X2296" s="11">
        <v>0.84315066182819998</v>
      </c>
      <c r="Y2296">
        <v>0</v>
      </c>
      <c r="Z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6">
        <v>45692</v>
      </c>
      <c r="B2297" t="s">
        <v>31</v>
      </c>
      <c r="C2297" t="s">
        <v>32</v>
      </c>
      <c r="D2297" t="s">
        <v>33</v>
      </c>
      <c r="E2297" t="s">
        <v>34</v>
      </c>
      <c r="F2297">
        <v>140</v>
      </c>
      <c r="G2297">
        <v>360</v>
      </c>
      <c r="H2297">
        <v>222</v>
      </c>
      <c r="I2297">
        <v>96</v>
      </c>
      <c r="J2297" s="8">
        <v>0.68571428571428572</v>
      </c>
      <c r="K2297">
        <v>47</v>
      </c>
      <c r="L2297">
        <v>52</v>
      </c>
      <c r="M2297">
        <v>200</v>
      </c>
      <c r="N2297" s="10">
        <v>460.49</v>
      </c>
      <c r="O2297" s="7">
        <v>3.5</v>
      </c>
      <c r="P2297" s="7">
        <v>27.5</v>
      </c>
      <c r="Q2297">
        <v>1</v>
      </c>
      <c r="R2297" t="s">
        <v>63</v>
      </c>
      <c r="S2297">
        <v>2</v>
      </c>
      <c r="T2297">
        <v>35</v>
      </c>
      <c r="U2297" s="11">
        <v>0.7818314824680298</v>
      </c>
      <c r="V2297" s="11">
        <v>0.62348980185873359</v>
      </c>
      <c r="W2297" s="11">
        <v>0.55210134274592082</v>
      </c>
      <c r="X2297" s="11">
        <v>0.83377701295859152</v>
      </c>
      <c r="Y2297">
        <v>0</v>
      </c>
      <c r="Z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6">
        <v>45692</v>
      </c>
      <c r="B2298" t="s">
        <v>36</v>
      </c>
      <c r="C2298" t="s">
        <v>37</v>
      </c>
      <c r="D2298" t="s">
        <v>38</v>
      </c>
      <c r="E2298" t="s">
        <v>39</v>
      </c>
      <c r="F2298">
        <v>125</v>
      </c>
      <c r="G2298">
        <v>320</v>
      </c>
      <c r="H2298">
        <v>182</v>
      </c>
      <c r="I2298">
        <v>76</v>
      </c>
      <c r="J2298" s="8">
        <v>0.60799999999999998</v>
      </c>
      <c r="K2298">
        <v>50</v>
      </c>
      <c r="L2298">
        <v>32</v>
      </c>
      <c r="M2298">
        <v>156</v>
      </c>
      <c r="N2298" s="10">
        <v>682.13</v>
      </c>
      <c r="O2298" s="7">
        <v>3.5</v>
      </c>
      <c r="P2298" s="7">
        <v>27.5</v>
      </c>
      <c r="Q2298">
        <v>1</v>
      </c>
      <c r="R2298" t="s">
        <v>63</v>
      </c>
      <c r="S2298">
        <v>2</v>
      </c>
      <c r="T2298">
        <v>35</v>
      </c>
      <c r="U2298" s="11">
        <v>0.7818314824680298</v>
      </c>
      <c r="V2298" s="11">
        <v>0.62348980185873359</v>
      </c>
      <c r="W2298" s="11">
        <v>0.55210134274592082</v>
      </c>
      <c r="X2298" s="11">
        <v>0.83377701295859152</v>
      </c>
      <c r="Y2298">
        <v>0</v>
      </c>
      <c r="Z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6">
        <v>45692</v>
      </c>
      <c r="B2299" t="s">
        <v>41</v>
      </c>
      <c r="C2299" t="s">
        <v>42</v>
      </c>
      <c r="D2299" t="s">
        <v>43</v>
      </c>
      <c r="E2299" t="s">
        <v>44</v>
      </c>
      <c r="F2299">
        <v>85</v>
      </c>
      <c r="G2299">
        <v>210</v>
      </c>
      <c r="H2299">
        <v>133</v>
      </c>
      <c r="I2299">
        <v>59</v>
      </c>
      <c r="J2299" s="8">
        <v>0.69411764705882351</v>
      </c>
      <c r="K2299">
        <v>23</v>
      </c>
      <c r="L2299">
        <v>16</v>
      </c>
      <c r="M2299">
        <v>116</v>
      </c>
      <c r="N2299" s="10">
        <v>522.67999999999995</v>
      </c>
      <c r="O2299" s="7">
        <v>3.5</v>
      </c>
      <c r="P2299" s="7">
        <v>27.5</v>
      </c>
      <c r="Q2299">
        <v>1</v>
      </c>
      <c r="R2299" t="s">
        <v>63</v>
      </c>
      <c r="S2299">
        <v>2</v>
      </c>
      <c r="T2299">
        <v>35</v>
      </c>
      <c r="U2299" s="11">
        <v>0.7818314824680298</v>
      </c>
      <c r="V2299" s="11">
        <v>0.62348980185873359</v>
      </c>
      <c r="W2299" s="11">
        <v>0.55210134274592082</v>
      </c>
      <c r="X2299" s="11">
        <v>0.83377701295859152</v>
      </c>
      <c r="Y2299">
        <v>0</v>
      </c>
      <c r="Z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6">
        <v>45693</v>
      </c>
      <c r="B2300" t="s">
        <v>31</v>
      </c>
      <c r="C2300" t="s">
        <v>32</v>
      </c>
      <c r="D2300" t="s">
        <v>33</v>
      </c>
      <c r="E2300" t="s">
        <v>34</v>
      </c>
      <c r="F2300">
        <v>140</v>
      </c>
      <c r="G2300">
        <v>360</v>
      </c>
      <c r="H2300">
        <v>197</v>
      </c>
      <c r="I2300">
        <v>84</v>
      </c>
      <c r="J2300" s="8">
        <v>0.6</v>
      </c>
      <c r="K2300">
        <v>48</v>
      </c>
      <c r="L2300">
        <v>49</v>
      </c>
      <c r="M2300">
        <v>165</v>
      </c>
      <c r="N2300" s="10">
        <v>387</v>
      </c>
      <c r="O2300" s="7">
        <v>15.1</v>
      </c>
      <c r="P2300" s="7">
        <v>28</v>
      </c>
      <c r="Q2300">
        <v>2</v>
      </c>
      <c r="R2300" t="s">
        <v>64</v>
      </c>
      <c r="S2300">
        <v>2</v>
      </c>
      <c r="T2300">
        <v>36</v>
      </c>
      <c r="U2300" s="11">
        <v>0.97492791218182362</v>
      </c>
      <c r="V2300" s="11">
        <v>-0.22252093395631434</v>
      </c>
      <c r="W2300" s="11">
        <v>0.56636193308145244</v>
      </c>
      <c r="X2300" s="11">
        <v>0.82415663605666634</v>
      </c>
      <c r="Y2300">
        <v>0</v>
      </c>
      <c r="Z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6">
        <v>45693</v>
      </c>
      <c r="B2301" t="s">
        <v>36</v>
      </c>
      <c r="C2301" t="s">
        <v>37</v>
      </c>
      <c r="D2301" t="s">
        <v>38</v>
      </c>
      <c r="E2301" t="s">
        <v>39</v>
      </c>
      <c r="F2301">
        <v>125</v>
      </c>
      <c r="G2301">
        <v>320</v>
      </c>
      <c r="H2301">
        <v>192</v>
      </c>
      <c r="I2301">
        <v>80</v>
      </c>
      <c r="J2301" s="8">
        <v>0.64</v>
      </c>
      <c r="K2301">
        <v>49</v>
      </c>
      <c r="L2301">
        <v>35</v>
      </c>
      <c r="M2301">
        <v>154</v>
      </c>
      <c r="N2301" s="10">
        <v>651.20000000000005</v>
      </c>
      <c r="O2301" s="7">
        <v>15.1</v>
      </c>
      <c r="P2301" s="7">
        <v>28</v>
      </c>
      <c r="Q2301">
        <v>2</v>
      </c>
      <c r="R2301" t="s">
        <v>64</v>
      </c>
      <c r="S2301">
        <v>2</v>
      </c>
      <c r="T2301">
        <v>36</v>
      </c>
      <c r="U2301" s="11">
        <v>0.97492791218182362</v>
      </c>
      <c r="V2301" s="11">
        <v>-0.22252093395631434</v>
      </c>
      <c r="W2301" s="11">
        <v>0.56636193308145244</v>
      </c>
      <c r="X2301" s="11">
        <v>0.82415663605666634</v>
      </c>
      <c r="Y2301">
        <v>0</v>
      </c>
      <c r="Z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6">
        <v>45693</v>
      </c>
      <c r="B2302" t="s">
        <v>41</v>
      </c>
      <c r="C2302" t="s">
        <v>42</v>
      </c>
      <c r="D2302" t="s">
        <v>43</v>
      </c>
      <c r="E2302" t="s">
        <v>44</v>
      </c>
      <c r="F2302">
        <v>85</v>
      </c>
      <c r="G2302">
        <v>210</v>
      </c>
      <c r="H2302">
        <v>129</v>
      </c>
      <c r="I2302">
        <v>57</v>
      </c>
      <c r="J2302" s="8">
        <v>0.6705882352941176</v>
      </c>
      <c r="K2302">
        <v>17</v>
      </c>
      <c r="L2302">
        <v>24</v>
      </c>
      <c r="M2302">
        <v>121</v>
      </c>
      <c r="N2302" s="10">
        <v>556.35</v>
      </c>
      <c r="O2302" s="7">
        <v>15.1</v>
      </c>
      <c r="P2302" s="7">
        <v>28</v>
      </c>
      <c r="Q2302">
        <v>2</v>
      </c>
      <c r="R2302" t="s">
        <v>64</v>
      </c>
      <c r="S2302">
        <v>2</v>
      </c>
      <c r="T2302">
        <v>36</v>
      </c>
      <c r="U2302" s="11">
        <v>0.97492791218182362</v>
      </c>
      <c r="V2302" s="11">
        <v>-0.22252093395631434</v>
      </c>
      <c r="W2302" s="11">
        <v>0.56636193308145244</v>
      </c>
      <c r="X2302" s="11">
        <v>0.82415663605666634</v>
      </c>
      <c r="Y2302">
        <v>0</v>
      </c>
      <c r="Z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6">
        <v>45694</v>
      </c>
      <c r="B2303" t="s">
        <v>31</v>
      </c>
      <c r="C2303" t="s">
        <v>32</v>
      </c>
      <c r="D2303" t="s">
        <v>33</v>
      </c>
      <c r="E2303" t="s">
        <v>34</v>
      </c>
      <c r="F2303">
        <v>140</v>
      </c>
      <c r="G2303">
        <v>360</v>
      </c>
      <c r="H2303">
        <v>205</v>
      </c>
      <c r="I2303">
        <v>89</v>
      </c>
      <c r="J2303" s="8">
        <v>0.63571428571428568</v>
      </c>
      <c r="K2303">
        <v>30</v>
      </c>
      <c r="L2303">
        <v>40</v>
      </c>
      <c r="M2303">
        <v>183</v>
      </c>
      <c r="N2303" s="10">
        <v>462.71</v>
      </c>
      <c r="O2303" s="7">
        <v>0</v>
      </c>
      <c r="P2303" s="7">
        <v>27.5</v>
      </c>
      <c r="Q2303">
        <v>3</v>
      </c>
      <c r="R2303" t="s">
        <v>65</v>
      </c>
      <c r="S2303">
        <v>2</v>
      </c>
      <c r="T2303">
        <v>37</v>
      </c>
      <c r="U2303" s="11">
        <v>0.43388373911755823</v>
      </c>
      <c r="V2303" s="11">
        <v>-0.90096886790241903</v>
      </c>
      <c r="W2303" s="11">
        <v>0.58045492780909802</v>
      </c>
      <c r="X2303" s="11">
        <v>0.81429237794672671</v>
      </c>
      <c r="Y2303">
        <v>0</v>
      </c>
      <c r="Z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6">
        <v>45694</v>
      </c>
      <c r="B2304" t="s">
        <v>36</v>
      </c>
      <c r="C2304" t="s">
        <v>37</v>
      </c>
      <c r="D2304" t="s">
        <v>38</v>
      </c>
      <c r="E2304" t="s">
        <v>39</v>
      </c>
      <c r="F2304">
        <v>125</v>
      </c>
      <c r="G2304">
        <v>320</v>
      </c>
      <c r="H2304">
        <v>179</v>
      </c>
      <c r="I2304">
        <v>76</v>
      </c>
      <c r="J2304" s="8">
        <v>0.60799999999999998</v>
      </c>
      <c r="K2304">
        <v>41</v>
      </c>
      <c r="L2304">
        <v>29</v>
      </c>
      <c r="M2304">
        <v>153</v>
      </c>
      <c r="N2304" s="10">
        <v>604.74</v>
      </c>
      <c r="O2304" s="7">
        <v>0</v>
      </c>
      <c r="P2304" s="7">
        <v>27.5</v>
      </c>
      <c r="Q2304">
        <v>3</v>
      </c>
      <c r="R2304" t="s">
        <v>65</v>
      </c>
      <c r="S2304">
        <v>2</v>
      </c>
      <c r="T2304">
        <v>37</v>
      </c>
      <c r="U2304" s="11">
        <v>0.43388373911755823</v>
      </c>
      <c r="V2304" s="11">
        <v>-0.90096886790241903</v>
      </c>
      <c r="W2304" s="11">
        <v>0.58045492780909802</v>
      </c>
      <c r="X2304" s="11">
        <v>0.81429237794672671</v>
      </c>
      <c r="Y2304">
        <v>0</v>
      </c>
      <c r="Z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6">
        <v>45694</v>
      </c>
      <c r="B2305" t="s">
        <v>41</v>
      </c>
      <c r="C2305" t="s">
        <v>42</v>
      </c>
      <c r="D2305" t="s">
        <v>43</v>
      </c>
      <c r="E2305" t="s">
        <v>44</v>
      </c>
      <c r="F2305">
        <v>85</v>
      </c>
      <c r="G2305">
        <v>210</v>
      </c>
      <c r="H2305">
        <v>129</v>
      </c>
      <c r="I2305">
        <v>58</v>
      </c>
      <c r="J2305" s="8">
        <v>0.68235294117647061</v>
      </c>
      <c r="K2305">
        <v>20</v>
      </c>
      <c r="L2305">
        <v>23</v>
      </c>
      <c r="M2305">
        <v>105</v>
      </c>
      <c r="N2305" s="10">
        <v>497.82</v>
      </c>
      <c r="O2305" s="7">
        <v>0</v>
      </c>
      <c r="P2305" s="7">
        <v>27.5</v>
      </c>
      <c r="Q2305">
        <v>3</v>
      </c>
      <c r="R2305" t="s">
        <v>65</v>
      </c>
      <c r="S2305">
        <v>2</v>
      </c>
      <c r="T2305">
        <v>37</v>
      </c>
      <c r="U2305" s="11">
        <v>0.43388373911755823</v>
      </c>
      <c r="V2305" s="11">
        <v>-0.90096886790241903</v>
      </c>
      <c r="W2305" s="11">
        <v>0.58045492780909802</v>
      </c>
      <c r="X2305" s="11">
        <v>0.81429237794672671</v>
      </c>
      <c r="Y2305">
        <v>0</v>
      </c>
      <c r="Z2305">
        <v>0</v>
      </c>
      <c r="AB2305">
        <v>0</v>
      </c>
      <c r="AC2305">
        <v>0</v>
      </c>
      <c r="AD2305">
        <v>0</v>
      </c>
      <c r="AE2305">
        <v>0</v>
      </c>
    </row>
    <row r="2306" spans="1:31">
      <c r="A2306" s="6">
        <v>45695</v>
      </c>
      <c r="B2306" t="s">
        <v>31</v>
      </c>
      <c r="C2306" t="s">
        <v>32</v>
      </c>
      <c r="D2306" t="s">
        <v>33</v>
      </c>
      <c r="E2306" t="s">
        <v>34</v>
      </c>
      <c r="F2306">
        <v>140</v>
      </c>
      <c r="G2306">
        <v>360</v>
      </c>
      <c r="H2306">
        <v>236</v>
      </c>
      <c r="I2306">
        <v>99</v>
      </c>
      <c r="J2306" s="8">
        <v>0.70714285714285718</v>
      </c>
      <c r="K2306">
        <v>62</v>
      </c>
      <c r="L2306">
        <v>39</v>
      </c>
      <c r="M2306">
        <v>193</v>
      </c>
      <c r="N2306" s="10">
        <v>423.45</v>
      </c>
      <c r="O2306" s="7">
        <v>0</v>
      </c>
      <c r="P2306" s="7">
        <v>28.6</v>
      </c>
      <c r="Q2306">
        <v>4</v>
      </c>
      <c r="R2306" t="s">
        <v>66</v>
      </c>
      <c r="S2306">
        <v>2</v>
      </c>
      <c r="T2306">
        <v>38</v>
      </c>
      <c r="U2306" s="11">
        <v>-0.43388373911755801</v>
      </c>
      <c r="V2306" s="11">
        <v>-0.90096886790241915</v>
      </c>
      <c r="W2306" s="11">
        <v>0.59437615658498311</v>
      </c>
      <c r="X2306" s="11">
        <v>0.80418715762144799</v>
      </c>
      <c r="Y2306">
        <v>0</v>
      </c>
      <c r="Z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6">
        <v>45695</v>
      </c>
      <c r="B2307" t="s">
        <v>36</v>
      </c>
      <c r="C2307" t="s">
        <v>37</v>
      </c>
      <c r="D2307" t="s">
        <v>38</v>
      </c>
      <c r="E2307" t="s">
        <v>39</v>
      </c>
      <c r="F2307">
        <v>125</v>
      </c>
      <c r="G2307">
        <v>320</v>
      </c>
      <c r="H2307">
        <v>194</v>
      </c>
      <c r="I2307">
        <v>81</v>
      </c>
      <c r="J2307" s="8">
        <v>0.64800000000000002</v>
      </c>
      <c r="K2307">
        <v>28</v>
      </c>
      <c r="L2307">
        <v>53</v>
      </c>
      <c r="M2307">
        <v>161</v>
      </c>
      <c r="N2307" s="10">
        <v>657.22</v>
      </c>
      <c r="O2307" s="7">
        <v>0</v>
      </c>
      <c r="P2307" s="7">
        <v>28.6</v>
      </c>
      <c r="Q2307">
        <v>4</v>
      </c>
      <c r="R2307" t="s">
        <v>66</v>
      </c>
      <c r="S2307">
        <v>2</v>
      </c>
      <c r="T2307">
        <v>38</v>
      </c>
      <c r="U2307" s="11">
        <v>-0.43388373911755801</v>
      </c>
      <c r="V2307" s="11">
        <v>-0.90096886790241915</v>
      </c>
      <c r="W2307" s="11">
        <v>0.59437615658498311</v>
      </c>
      <c r="X2307" s="11">
        <v>0.80418715762144799</v>
      </c>
      <c r="Y2307">
        <v>0</v>
      </c>
      <c r="Z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6">
        <v>45695</v>
      </c>
      <c r="B2308" t="s">
        <v>41</v>
      </c>
      <c r="C2308" t="s">
        <v>42</v>
      </c>
      <c r="D2308" t="s">
        <v>43</v>
      </c>
      <c r="E2308" t="s">
        <v>44</v>
      </c>
      <c r="F2308">
        <v>85</v>
      </c>
      <c r="G2308">
        <v>210</v>
      </c>
      <c r="H2308">
        <v>132</v>
      </c>
      <c r="I2308">
        <v>57</v>
      </c>
      <c r="J2308" s="8">
        <v>0.6705882352941176</v>
      </c>
      <c r="K2308">
        <v>40</v>
      </c>
      <c r="L2308">
        <v>26</v>
      </c>
      <c r="M2308">
        <v>121</v>
      </c>
      <c r="N2308" s="10">
        <v>539.41999999999996</v>
      </c>
      <c r="O2308" s="7">
        <v>0</v>
      </c>
      <c r="P2308" s="7">
        <v>28.6</v>
      </c>
      <c r="Q2308">
        <v>4</v>
      </c>
      <c r="R2308" t="s">
        <v>66</v>
      </c>
      <c r="S2308">
        <v>2</v>
      </c>
      <c r="T2308">
        <v>38</v>
      </c>
      <c r="U2308" s="11">
        <v>-0.43388373911755801</v>
      </c>
      <c r="V2308" s="11">
        <v>-0.90096886790241915</v>
      </c>
      <c r="W2308" s="11">
        <v>0.59437615658498311</v>
      </c>
      <c r="X2308" s="11">
        <v>0.80418715762144799</v>
      </c>
      <c r="Y2308">
        <v>0</v>
      </c>
      <c r="Z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6">
        <v>45696</v>
      </c>
      <c r="B2309" t="s">
        <v>31</v>
      </c>
      <c r="C2309" t="s">
        <v>32</v>
      </c>
      <c r="D2309" t="s">
        <v>33</v>
      </c>
      <c r="E2309" t="s">
        <v>34</v>
      </c>
      <c r="F2309">
        <v>140</v>
      </c>
      <c r="G2309">
        <v>360</v>
      </c>
      <c r="H2309">
        <v>219</v>
      </c>
      <c r="I2309">
        <v>93</v>
      </c>
      <c r="J2309" s="8">
        <v>0.66428571428571426</v>
      </c>
      <c r="K2309">
        <v>52</v>
      </c>
      <c r="L2309">
        <v>33</v>
      </c>
      <c r="M2309">
        <v>196</v>
      </c>
      <c r="N2309" s="10">
        <v>499.24</v>
      </c>
      <c r="O2309" s="7">
        <v>0.8</v>
      </c>
      <c r="P2309" s="7">
        <v>27.6</v>
      </c>
      <c r="Q2309">
        <v>5</v>
      </c>
      <c r="R2309" t="s">
        <v>67</v>
      </c>
      <c r="S2309">
        <v>2</v>
      </c>
      <c r="T2309">
        <v>39</v>
      </c>
      <c r="U2309" s="11">
        <v>-0.97492791218182362</v>
      </c>
      <c r="V2309" s="11">
        <v>-0.22252093395631459</v>
      </c>
      <c r="W2309" s="11">
        <v>0.60812149989354181</v>
      </c>
      <c r="X2309" s="11">
        <v>0.79384396537810187</v>
      </c>
      <c r="Y2309">
        <v>1</v>
      </c>
      <c r="Z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6">
        <v>45696</v>
      </c>
      <c r="B2310" t="s">
        <v>36</v>
      </c>
      <c r="C2310" t="s">
        <v>37</v>
      </c>
      <c r="D2310" t="s">
        <v>38</v>
      </c>
      <c r="E2310" t="s">
        <v>39</v>
      </c>
      <c r="F2310">
        <v>125</v>
      </c>
      <c r="G2310">
        <v>320</v>
      </c>
      <c r="H2310">
        <v>194</v>
      </c>
      <c r="I2310">
        <v>83</v>
      </c>
      <c r="J2310" s="8">
        <v>0.66400000000000003</v>
      </c>
      <c r="K2310">
        <v>36</v>
      </c>
      <c r="L2310">
        <v>26</v>
      </c>
      <c r="M2310">
        <v>176</v>
      </c>
      <c r="N2310" s="10">
        <v>699.21</v>
      </c>
      <c r="O2310" s="7">
        <v>0.8</v>
      </c>
      <c r="P2310" s="7">
        <v>27.6</v>
      </c>
      <c r="Q2310">
        <v>5</v>
      </c>
      <c r="R2310" t="s">
        <v>67</v>
      </c>
      <c r="S2310">
        <v>2</v>
      </c>
      <c r="T2310">
        <v>39</v>
      </c>
      <c r="U2310" s="11">
        <v>-0.97492791218182362</v>
      </c>
      <c r="V2310" s="11">
        <v>-0.22252093395631459</v>
      </c>
      <c r="W2310" s="11">
        <v>0.60812149989354181</v>
      </c>
      <c r="X2310" s="11">
        <v>0.79384396537810187</v>
      </c>
      <c r="Y2310">
        <v>1</v>
      </c>
      <c r="Z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6">
        <v>45696</v>
      </c>
      <c r="B2311" t="s">
        <v>41</v>
      </c>
      <c r="C2311" t="s">
        <v>42</v>
      </c>
      <c r="D2311" t="s">
        <v>43</v>
      </c>
      <c r="E2311" t="s">
        <v>44</v>
      </c>
      <c r="F2311">
        <v>85</v>
      </c>
      <c r="G2311">
        <v>210</v>
      </c>
      <c r="H2311">
        <v>156</v>
      </c>
      <c r="I2311">
        <v>71</v>
      </c>
      <c r="J2311" s="8">
        <v>0.83529411764705885</v>
      </c>
      <c r="K2311">
        <v>32</v>
      </c>
      <c r="L2311">
        <v>41</v>
      </c>
      <c r="M2311">
        <v>125</v>
      </c>
      <c r="N2311" s="10">
        <v>637.54</v>
      </c>
      <c r="O2311" s="7">
        <v>0.8</v>
      </c>
      <c r="P2311" s="7">
        <v>27.6</v>
      </c>
      <c r="Q2311">
        <v>5</v>
      </c>
      <c r="R2311" t="s">
        <v>67</v>
      </c>
      <c r="S2311">
        <v>2</v>
      </c>
      <c r="T2311">
        <v>39</v>
      </c>
      <c r="U2311" s="11">
        <v>-0.97492791218182362</v>
      </c>
      <c r="V2311" s="11">
        <v>-0.22252093395631459</v>
      </c>
      <c r="W2311" s="11">
        <v>0.60812149989354181</v>
      </c>
      <c r="X2311" s="11">
        <v>0.79384396537810187</v>
      </c>
      <c r="Y2311">
        <v>1</v>
      </c>
      <c r="Z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6">
        <v>45697</v>
      </c>
      <c r="B2312" t="s">
        <v>31</v>
      </c>
      <c r="C2312" t="s">
        <v>32</v>
      </c>
      <c r="D2312" t="s">
        <v>33</v>
      </c>
      <c r="E2312" t="s">
        <v>34</v>
      </c>
      <c r="F2312">
        <v>140</v>
      </c>
      <c r="G2312">
        <v>360</v>
      </c>
      <c r="H2312">
        <v>218</v>
      </c>
      <c r="I2312">
        <v>91</v>
      </c>
      <c r="J2312" s="8">
        <v>0.65</v>
      </c>
      <c r="K2312">
        <v>56</v>
      </c>
      <c r="L2312">
        <v>34</v>
      </c>
      <c r="M2312">
        <v>176</v>
      </c>
      <c r="N2312" s="10">
        <v>461.09</v>
      </c>
      <c r="O2312" s="7">
        <v>3.5</v>
      </c>
      <c r="P2312" s="7">
        <v>27.2</v>
      </c>
      <c r="Q2312">
        <v>6</v>
      </c>
      <c r="R2312" t="s">
        <v>60</v>
      </c>
      <c r="S2312">
        <v>2</v>
      </c>
      <c r="T2312">
        <v>40</v>
      </c>
      <c r="U2312" s="11">
        <v>-0.78183148246802991</v>
      </c>
      <c r="V2312" s="11">
        <v>0.62348980185873337</v>
      </c>
      <c r="W2312" s="11">
        <v>0.62168689026654789</v>
      </c>
      <c r="X2312" s="11">
        <v>0.78326586193367909</v>
      </c>
      <c r="Y2312">
        <v>1</v>
      </c>
      <c r="Z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6">
        <v>45697</v>
      </c>
      <c r="B2313" t="s">
        <v>36</v>
      </c>
      <c r="C2313" t="s">
        <v>37</v>
      </c>
      <c r="D2313" t="s">
        <v>38</v>
      </c>
      <c r="E2313" t="s">
        <v>39</v>
      </c>
      <c r="F2313">
        <v>125</v>
      </c>
      <c r="G2313">
        <v>320</v>
      </c>
      <c r="H2313">
        <v>220</v>
      </c>
      <c r="I2313">
        <v>92</v>
      </c>
      <c r="J2313" s="8">
        <v>0.73599999999999999</v>
      </c>
      <c r="K2313">
        <v>48</v>
      </c>
      <c r="L2313">
        <v>44</v>
      </c>
      <c r="M2313">
        <v>181</v>
      </c>
      <c r="N2313" s="10">
        <v>703.28</v>
      </c>
      <c r="O2313" s="7">
        <v>3.5</v>
      </c>
      <c r="P2313" s="7">
        <v>27.2</v>
      </c>
      <c r="Q2313">
        <v>6</v>
      </c>
      <c r="R2313" t="s">
        <v>60</v>
      </c>
      <c r="S2313">
        <v>2</v>
      </c>
      <c r="T2313">
        <v>40</v>
      </c>
      <c r="U2313" s="11">
        <v>-0.78183148246802991</v>
      </c>
      <c r="V2313" s="11">
        <v>0.62348980185873337</v>
      </c>
      <c r="W2313" s="11">
        <v>0.62168689026654789</v>
      </c>
      <c r="X2313" s="11">
        <v>0.78326586193367909</v>
      </c>
      <c r="Y2313">
        <v>1</v>
      </c>
      <c r="Z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6">
        <v>45697</v>
      </c>
      <c r="B2314" t="s">
        <v>41</v>
      </c>
      <c r="C2314" t="s">
        <v>42</v>
      </c>
      <c r="D2314" t="s">
        <v>43</v>
      </c>
      <c r="E2314" t="s">
        <v>44</v>
      </c>
      <c r="F2314">
        <v>85</v>
      </c>
      <c r="G2314">
        <v>210</v>
      </c>
      <c r="H2314">
        <v>144</v>
      </c>
      <c r="I2314">
        <v>68</v>
      </c>
      <c r="J2314" s="8">
        <v>0.8</v>
      </c>
      <c r="K2314">
        <v>32</v>
      </c>
      <c r="L2314">
        <v>39</v>
      </c>
      <c r="M2314">
        <v>117</v>
      </c>
      <c r="N2314" s="10">
        <v>621.25</v>
      </c>
      <c r="O2314" s="7">
        <v>3.5</v>
      </c>
      <c r="P2314" s="7">
        <v>27.2</v>
      </c>
      <c r="Q2314">
        <v>6</v>
      </c>
      <c r="R2314" t="s">
        <v>60</v>
      </c>
      <c r="S2314">
        <v>2</v>
      </c>
      <c r="T2314">
        <v>40</v>
      </c>
      <c r="U2314" s="11">
        <v>-0.78183148246802991</v>
      </c>
      <c r="V2314" s="11">
        <v>0.62348980185873337</v>
      </c>
      <c r="W2314" s="11">
        <v>0.62168689026654789</v>
      </c>
      <c r="X2314" s="11">
        <v>0.78326586193367909</v>
      </c>
      <c r="Y2314">
        <v>1</v>
      </c>
      <c r="Z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6">
        <v>45698</v>
      </c>
      <c r="B2315" t="s">
        <v>31</v>
      </c>
      <c r="C2315" t="s">
        <v>32</v>
      </c>
      <c r="D2315" t="s">
        <v>33</v>
      </c>
      <c r="E2315" t="s">
        <v>34</v>
      </c>
      <c r="F2315">
        <v>140</v>
      </c>
      <c r="G2315">
        <v>360</v>
      </c>
      <c r="H2315">
        <v>218</v>
      </c>
      <c r="I2315">
        <v>93</v>
      </c>
      <c r="J2315" s="8">
        <v>0.66428571428571426</v>
      </c>
      <c r="K2315">
        <v>55</v>
      </c>
      <c r="L2315">
        <v>59</v>
      </c>
      <c r="M2315">
        <v>195</v>
      </c>
      <c r="N2315" s="10">
        <v>434.87</v>
      </c>
      <c r="O2315" s="7">
        <v>0</v>
      </c>
      <c r="P2315" s="7">
        <v>28.3</v>
      </c>
      <c r="Q2315">
        <v>0</v>
      </c>
      <c r="R2315" t="s">
        <v>62</v>
      </c>
      <c r="S2315">
        <v>2</v>
      </c>
      <c r="T2315">
        <v>41</v>
      </c>
      <c r="U2315" s="11">
        <v>0</v>
      </c>
      <c r="V2315" s="11">
        <v>1</v>
      </c>
      <c r="W2315" s="11">
        <v>0.63506831348674375</v>
      </c>
      <c r="X2315" s="11">
        <v>0.77245597751917416</v>
      </c>
      <c r="Y2315">
        <v>0</v>
      </c>
      <c r="Z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6">
        <v>45698</v>
      </c>
      <c r="B2316" t="s">
        <v>36</v>
      </c>
      <c r="C2316" t="s">
        <v>37</v>
      </c>
      <c r="D2316" t="s">
        <v>38</v>
      </c>
      <c r="E2316" t="s">
        <v>39</v>
      </c>
      <c r="F2316">
        <v>125</v>
      </c>
      <c r="G2316">
        <v>320</v>
      </c>
      <c r="H2316">
        <v>202</v>
      </c>
      <c r="I2316">
        <v>83</v>
      </c>
      <c r="J2316" s="8">
        <v>0.66400000000000003</v>
      </c>
      <c r="K2316">
        <v>51</v>
      </c>
      <c r="L2316">
        <v>29</v>
      </c>
      <c r="M2316">
        <v>179</v>
      </c>
      <c r="N2316" s="10">
        <v>590.65</v>
      </c>
      <c r="O2316" s="7">
        <v>0</v>
      </c>
      <c r="P2316" s="7">
        <v>28.3</v>
      </c>
      <c r="Q2316">
        <v>0</v>
      </c>
      <c r="R2316" t="s">
        <v>62</v>
      </c>
      <c r="S2316">
        <v>2</v>
      </c>
      <c r="T2316">
        <v>41</v>
      </c>
      <c r="U2316" s="11">
        <v>0</v>
      </c>
      <c r="V2316" s="11">
        <v>1</v>
      </c>
      <c r="W2316" s="11">
        <v>0.63506831348674375</v>
      </c>
      <c r="X2316" s="11">
        <v>0.77245597751917416</v>
      </c>
      <c r="Y2316">
        <v>0</v>
      </c>
      <c r="Z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6">
        <v>45698</v>
      </c>
      <c r="B2317" t="s">
        <v>41</v>
      </c>
      <c r="C2317" t="s">
        <v>42</v>
      </c>
      <c r="D2317" t="s">
        <v>43</v>
      </c>
      <c r="E2317" t="s">
        <v>44</v>
      </c>
      <c r="F2317">
        <v>85</v>
      </c>
      <c r="G2317">
        <v>210</v>
      </c>
      <c r="H2317">
        <v>132</v>
      </c>
      <c r="I2317">
        <v>58</v>
      </c>
      <c r="J2317" s="8">
        <v>0.68235294117647061</v>
      </c>
      <c r="K2317">
        <v>22</v>
      </c>
      <c r="L2317">
        <v>31</v>
      </c>
      <c r="M2317">
        <v>117</v>
      </c>
      <c r="N2317" s="10">
        <v>489.81</v>
      </c>
      <c r="O2317" s="7">
        <v>0</v>
      </c>
      <c r="P2317" s="7">
        <v>28.3</v>
      </c>
      <c r="Q2317">
        <v>0</v>
      </c>
      <c r="R2317" t="s">
        <v>62</v>
      </c>
      <c r="S2317">
        <v>2</v>
      </c>
      <c r="T2317">
        <v>41</v>
      </c>
      <c r="U2317" s="11">
        <v>0</v>
      </c>
      <c r="V2317" s="11">
        <v>1</v>
      </c>
      <c r="W2317" s="11">
        <v>0.63506831348674375</v>
      </c>
      <c r="X2317" s="11">
        <v>0.77245597751917416</v>
      </c>
      <c r="Y2317">
        <v>0</v>
      </c>
      <c r="Z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6">
        <v>45699</v>
      </c>
      <c r="B2318" t="s">
        <v>31</v>
      </c>
      <c r="C2318" t="s">
        <v>32</v>
      </c>
      <c r="D2318" t="s">
        <v>33</v>
      </c>
      <c r="E2318" t="s">
        <v>34</v>
      </c>
      <c r="F2318">
        <v>140</v>
      </c>
      <c r="G2318">
        <v>360</v>
      </c>
      <c r="H2318">
        <v>215</v>
      </c>
      <c r="I2318">
        <v>90</v>
      </c>
      <c r="J2318" s="8">
        <v>0.6428571428571429</v>
      </c>
      <c r="K2318">
        <v>43</v>
      </c>
      <c r="L2318">
        <v>40</v>
      </c>
      <c r="M2318">
        <v>175</v>
      </c>
      <c r="N2318" s="10">
        <v>423.51</v>
      </c>
      <c r="O2318" s="7">
        <v>0</v>
      </c>
      <c r="P2318" s="7">
        <v>26.5</v>
      </c>
      <c r="Q2318">
        <v>1</v>
      </c>
      <c r="R2318" t="s">
        <v>63</v>
      </c>
      <c r="S2318">
        <v>2</v>
      </c>
      <c r="T2318">
        <v>42</v>
      </c>
      <c r="U2318" s="11">
        <v>0.7818314824680298</v>
      </c>
      <c r="V2318" s="11">
        <v>0.62348980185873359</v>
      </c>
      <c r="W2318" s="11">
        <v>0.64826180977571224</v>
      </c>
      <c r="X2318" s="11">
        <v>0.76141751095329968</v>
      </c>
      <c r="Y2318">
        <v>0</v>
      </c>
      <c r="Z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6">
        <v>45699</v>
      </c>
      <c r="B2319" t="s">
        <v>36</v>
      </c>
      <c r="C2319" t="s">
        <v>37</v>
      </c>
      <c r="D2319" t="s">
        <v>38</v>
      </c>
      <c r="E2319" t="s">
        <v>39</v>
      </c>
      <c r="F2319">
        <v>125</v>
      </c>
      <c r="G2319">
        <v>320</v>
      </c>
      <c r="H2319">
        <v>175</v>
      </c>
      <c r="I2319">
        <v>74</v>
      </c>
      <c r="J2319" s="8">
        <v>0.59199999999999997</v>
      </c>
      <c r="K2319">
        <v>48</v>
      </c>
      <c r="L2319">
        <v>30</v>
      </c>
      <c r="M2319">
        <v>152</v>
      </c>
      <c r="N2319" s="10">
        <v>619.47</v>
      </c>
      <c r="O2319" s="7">
        <v>0</v>
      </c>
      <c r="P2319" s="7">
        <v>26.5</v>
      </c>
      <c r="Q2319">
        <v>1</v>
      </c>
      <c r="R2319" t="s">
        <v>63</v>
      </c>
      <c r="S2319">
        <v>2</v>
      </c>
      <c r="T2319">
        <v>42</v>
      </c>
      <c r="U2319" s="11">
        <v>0.7818314824680298</v>
      </c>
      <c r="V2319" s="11">
        <v>0.62348980185873359</v>
      </c>
      <c r="W2319" s="11">
        <v>0.64826180977571224</v>
      </c>
      <c r="X2319" s="11">
        <v>0.76141751095329968</v>
      </c>
      <c r="Y2319">
        <v>0</v>
      </c>
      <c r="Z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6">
        <v>45699</v>
      </c>
      <c r="B2320" t="s">
        <v>41</v>
      </c>
      <c r="C2320" t="s">
        <v>42</v>
      </c>
      <c r="D2320" t="s">
        <v>43</v>
      </c>
      <c r="E2320" t="s">
        <v>44</v>
      </c>
      <c r="F2320">
        <v>85</v>
      </c>
      <c r="G2320">
        <v>210</v>
      </c>
      <c r="H2320">
        <v>129</v>
      </c>
      <c r="I2320">
        <v>55</v>
      </c>
      <c r="J2320" s="8">
        <v>0.6470588235294118</v>
      </c>
      <c r="K2320">
        <v>34</v>
      </c>
      <c r="L2320">
        <v>13</v>
      </c>
      <c r="M2320">
        <v>112</v>
      </c>
      <c r="N2320" s="10">
        <v>532.29</v>
      </c>
      <c r="O2320" s="7">
        <v>0</v>
      </c>
      <c r="P2320" s="7">
        <v>26.5</v>
      </c>
      <c r="Q2320">
        <v>1</v>
      </c>
      <c r="R2320" t="s">
        <v>63</v>
      </c>
      <c r="S2320">
        <v>2</v>
      </c>
      <c r="T2320">
        <v>42</v>
      </c>
      <c r="U2320" s="11">
        <v>0.7818314824680298</v>
      </c>
      <c r="V2320" s="11">
        <v>0.62348980185873359</v>
      </c>
      <c r="W2320" s="11">
        <v>0.64826180977571224</v>
      </c>
      <c r="X2320" s="11">
        <v>0.76141751095329968</v>
      </c>
      <c r="Y2320">
        <v>0</v>
      </c>
      <c r="Z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6">
        <v>45700</v>
      </c>
      <c r="B2321" t="s">
        <v>31</v>
      </c>
      <c r="C2321" t="s">
        <v>32</v>
      </c>
      <c r="D2321" t="s">
        <v>33</v>
      </c>
      <c r="E2321" t="s">
        <v>34</v>
      </c>
      <c r="F2321">
        <v>140</v>
      </c>
      <c r="G2321">
        <v>360</v>
      </c>
      <c r="H2321">
        <v>221</v>
      </c>
      <c r="I2321">
        <v>93</v>
      </c>
      <c r="J2321" s="8">
        <v>0.66428571428571426</v>
      </c>
      <c r="K2321">
        <v>56</v>
      </c>
      <c r="L2321">
        <v>53</v>
      </c>
      <c r="M2321">
        <v>203</v>
      </c>
      <c r="N2321" s="10">
        <v>451.63</v>
      </c>
      <c r="O2321" s="7">
        <v>7</v>
      </c>
      <c r="P2321" s="7">
        <v>27.3</v>
      </c>
      <c r="Q2321">
        <v>2</v>
      </c>
      <c r="R2321" t="s">
        <v>64</v>
      </c>
      <c r="S2321">
        <v>2</v>
      </c>
      <c r="T2321">
        <v>43</v>
      </c>
      <c r="U2321" s="11">
        <v>0.97492791218182362</v>
      </c>
      <c r="V2321" s="11">
        <v>-0.22252093395631434</v>
      </c>
      <c r="W2321" s="11">
        <v>0.66126347496563864</v>
      </c>
      <c r="X2321" s="11">
        <v>0.75015372869590424</v>
      </c>
      <c r="Y2321">
        <v>0</v>
      </c>
      <c r="Z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6">
        <v>45700</v>
      </c>
      <c r="B2322" t="s">
        <v>36</v>
      </c>
      <c r="C2322" t="s">
        <v>37</v>
      </c>
      <c r="D2322" t="s">
        <v>38</v>
      </c>
      <c r="E2322" t="s">
        <v>39</v>
      </c>
      <c r="F2322">
        <v>125</v>
      </c>
      <c r="G2322">
        <v>320</v>
      </c>
      <c r="H2322">
        <v>162</v>
      </c>
      <c r="I2322">
        <v>66</v>
      </c>
      <c r="J2322" s="8">
        <v>0.52800000000000002</v>
      </c>
      <c r="K2322">
        <v>24</v>
      </c>
      <c r="L2322">
        <v>24</v>
      </c>
      <c r="M2322">
        <v>142</v>
      </c>
      <c r="N2322" s="10">
        <v>562.70000000000005</v>
      </c>
      <c r="O2322" s="7">
        <v>7</v>
      </c>
      <c r="P2322" s="7">
        <v>27.3</v>
      </c>
      <c r="Q2322">
        <v>2</v>
      </c>
      <c r="R2322" t="s">
        <v>64</v>
      </c>
      <c r="S2322">
        <v>2</v>
      </c>
      <c r="T2322">
        <v>43</v>
      </c>
      <c r="U2322" s="11">
        <v>0.97492791218182362</v>
      </c>
      <c r="V2322" s="11">
        <v>-0.22252093395631434</v>
      </c>
      <c r="W2322" s="11">
        <v>0.66126347496563864</v>
      </c>
      <c r="X2322" s="11">
        <v>0.75015372869590424</v>
      </c>
      <c r="Y2322">
        <v>0</v>
      </c>
      <c r="Z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6">
        <v>45700</v>
      </c>
      <c r="B2323" t="s">
        <v>41</v>
      </c>
      <c r="C2323" t="s">
        <v>42</v>
      </c>
      <c r="D2323" t="s">
        <v>43</v>
      </c>
      <c r="E2323" t="s">
        <v>44</v>
      </c>
      <c r="F2323">
        <v>85</v>
      </c>
      <c r="G2323">
        <v>210</v>
      </c>
      <c r="H2323">
        <v>142</v>
      </c>
      <c r="I2323">
        <v>63</v>
      </c>
      <c r="J2323" s="8">
        <v>0.74117647058823533</v>
      </c>
      <c r="K2323">
        <v>18</v>
      </c>
      <c r="L2323">
        <v>17</v>
      </c>
      <c r="M2323">
        <v>123</v>
      </c>
      <c r="N2323" s="10">
        <v>537.35</v>
      </c>
      <c r="O2323" s="7">
        <v>7</v>
      </c>
      <c r="P2323" s="7">
        <v>27.3</v>
      </c>
      <c r="Q2323">
        <v>2</v>
      </c>
      <c r="R2323" t="s">
        <v>64</v>
      </c>
      <c r="S2323">
        <v>2</v>
      </c>
      <c r="T2323">
        <v>43</v>
      </c>
      <c r="U2323" s="11">
        <v>0.97492791218182362</v>
      </c>
      <c r="V2323" s="11">
        <v>-0.22252093395631434</v>
      </c>
      <c r="W2323" s="11">
        <v>0.66126347496563864</v>
      </c>
      <c r="X2323" s="11">
        <v>0.75015372869590424</v>
      </c>
      <c r="Y2323">
        <v>0</v>
      </c>
      <c r="Z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6">
        <v>45701</v>
      </c>
      <c r="B2324" t="s">
        <v>31</v>
      </c>
      <c r="C2324" t="s">
        <v>32</v>
      </c>
      <c r="D2324" t="s">
        <v>33</v>
      </c>
      <c r="E2324" t="s">
        <v>34</v>
      </c>
      <c r="F2324">
        <v>140</v>
      </c>
      <c r="G2324">
        <v>360</v>
      </c>
      <c r="H2324">
        <v>212</v>
      </c>
      <c r="I2324">
        <v>88</v>
      </c>
      <c r="J2324" s="8">
        <v>0.62857142857142856</v>
      </c>
      <c r="K2324">
        <v>43</v>
      </c>
      <c r="L2324">
        <v>53</v>
      </c>
      <c r="M2324">
        <v>184</v>
      </c>
      <c r="N2324" s="10">
        <v>459.19</v>
      </c>
      <c r="O2324" s="7">
        <v>11</v>
      </c>
      <c r="P2324" s="7">
        <v>26.8</v>
      </c>
      <c r="Q2324">
        <v>3</v>
      </c>
      <c r="R2324" t="s">
        <v>65</v>
      </c>
      <c r="S2324">
        <v>2</v>
      </c>
      <c r="T2324">
        <v>44</v>
      </c>
      <c r="U2324" s="11">
        <v>0.43388373911755823</v>
      </c>
      <c r="V2324" s="11">
        <v>-0.90096886790241903</v>
      </c>
      <c r="W2324" s="11">
        <v>0.67406946165461612</v>
      </c>
      <c r="X2324" s="11">
        <v>0.73866796388137479</v>
      </c>
      <c r="Y2324">
        <v>0</v>
      </c>
      <c r="Z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6">
        <v>45701</v>
      </c>
      <c r="B2325" t="s">
        <v>36</v>
      </c>
      <c r="C2325" t="s">
        <v>37</v>
      </c>
      <c r="D2325" t="s">
        <v>38</v>
      </c>
      <c r="E2325" t="s">
        <v>39</v>
      </c>
      <c r="F2325">
        <v>125</v>
      </c>
      <c r="G2325">
        <v>320</v>
      </c>
      <c r="H2325">
        <v>177</v>
      </c>
      <c r="I2325">
        <v>74</v>
      </c>
      <c r="J2325" s="8">
        <v>0.59199999999999997</v>
      </c>
      <c r="K2325">
        <v>30</v>
      </c>
      <c r="L2325">
        <v>31</v>
      </c>
      <c r="M2325">
        <v>146</v>
      </c>
      <c r="N2325" s="10">
        <v>653.14</v>
      </c>
      <c r="O2325" s="7">
        <v>11</v>
      </c>
      <c r="P2325" s="7">
        <v>26.8</v>
      </c>
      <c r="Q2325">
        <v>3</v>
      </c>
      <c r="R2325" t="s">
        <v>65</v>
      </c>
      <c r="S2325">
        <v>2</v>
      </c>
      <c r="T2325">
        <v>44</v>
      </c>
      <c r="U2325" s="11">
        <v>0.43388373911755823</v>
      </c>
      <c r="V2325" s="11">
        <v>-0.90096886790241903</v>
      </c>
      <c r="W2325" s="11">
        <v>0.67406946165461612</v>
      </c>
      <c r="X2325" s="11">
        <v>0.73866796388137479</v>
      </c>
      <c r="Y2325">
        <v>0</v>
      </c>
      <c r="Z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6">
        <v>45701</v>
      </c>
      <c r="B2326" t="s">
        <v>41</v>
      </c>
      <c r="C2326" t="s">
        <v>42</v>
      </c>
      <c r="D2326" t="s">
        <v>43</v>
      </c>
      <c r="E2326" t="s">
        <v>44</v>
      </c>
      <c r="F2326">
        <v>85</v>
      </c>
      <c r="G2326">
        <v>210</v>
      </c>
      <c r="H2326">
        <v>128</v>
      </c>
      <c r="I2326">
        <v>57</v>
      </c>
      <c r="J2326" s="8">
        <v>0.6705882352941176</v>
      </c>
      <c r="K2326">
        <v>18</v>
      </c>
      <c r="L2326">
        <v>13</v>
      </c>
      <c r="M2326">
        <v>111</v>
      </c>
      <c r="N2326" s="10">
        <v>567.02</v>
      </c>
      <c r="O2326" s="7">
        <v>11</v>
      </c>
      <c r="P2326" s="7">
        <v>26.8</v>
      </c>
      <c r="Q2326">
        <v>3</v>
      </c>
      <c r="R2326" t="s">
        <v>65</v>
      </c>
      <c r="S2326">
        <v>2</v>
      </c>
      <c r="T2326">
        <v>44</v>
      </c>
      <c r="U2326" s="11">
        <v>0.43388373911755823</v>
      </c>
      <c r="V2326" s="11">
        <v>-0.90096886790241903</v>
      </c>
      <c r="W2326" s="11">
        <v>0.67406946165461612</v>
      </c>
      <c r="X2326" s="11">
        <v>0.73866796388137479</v>
      </c>
      <c r="Y2326">
        <v>0</v>
      </c>
      <c r="Z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6">
        <v>45702</v>
      </c>
      <c r="B2327" t="s">
        <v>31</v>
      </c>
      <c r="C2327" t="s">
        <v>32</v>
      </c>
      <c r="D2327" t="s">
        <v>33</v>
      </c>
      <c r="E2327" t="s">
        <v>34</v>
      </c>
      <c r="F2327">
        <v>140</v>
      </c>
      <c r="G2327">
        <v>360</v>
      </c>
      <c r="H2327">
        <v>200</v>
      </c>
      <c r="I2327">
        <v>86</v>
      </c>
      <c r="J2327" s="8">
        <v>0.61428571428571432</v>
      </c>
      <c r="K2327">
        <v>38</v>
      </c>
      <c r="L2327">
        <v>51</v>
      </c>
      <c r="M2327">
        <v>187</v>
      </c>
      <c r="N2327" s="10">
        <v>467.44</v>
      </c>
      <c r="O2327" s="7">
        <v>5.5</v>
      </c>
      <c r="P2327" s="7">
        <v>28.5</v>
      </c>
      <c r="Q2327">
        <v>4</v>
      </c>
      <c r="R2327" t="s">
        <v>66</v>
      </c>
      <c r="S2327">
        <v>2</v>
      </c>
      <c r="T2327">
        <v>45</v>
      </c>
      <c r="U2327" s="11">
        <v>-0.43388373911755801</v>
      </c>
      <c r="V2327" s="11">
        <v>-0.90096886790241915</v>
      </c>
      <c r="W2327" s="11">
        <v>0.68667598034515531</v>
      </c>
      <c r="X2327" s="11">
        <v>0.72696361533230802</v>
      </c>
      <c r="Y2327">
        <v>0</v>
      </c>
      <c r="Z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6">
        <v>45702</v>
      </c>
      <c r="B2328" t="s">
        <v>36</v>
      </c>
      <c r="C2328" t="s">
        <v>37</v>
      </c>
      <c r="D2328" t="s">
        <v>38</v>
      </c>
      <c r="E2328" t="s">
        <v>39</v>
      </c>
      <c r="F2328">
        <v>125</v>
      </c>
      <c r="G2328">
        <v>320</v>
      </c>
      <c r="H2328">
        <v>194</v>
      </c>
      <c r="I2328">
        <v>79</v>
      </c>
      <c r="J2328" s="8">
        <v>0.63200000000000001</v>
      </c>
      <c r="K2328">
        <v>48</v>
      </c>
      <c r="L2328">
        <v>34</v>
      </c>
      <c r="M2328">
        <v>165</v>
      </c>
      <c r="N2328" s="10">
        <v>584.09</v>
      </c>
      <c r="O2328" s="7">
        <v>5.5</v>
      </c>
      <c r="P2328" s="7">
        <v>28.5</v>
      </c>
      <c r="Q2328">
        <v>4</v>
      </c>
      <c r="R2328" t="s">
        <v>66</v>
      </c>
      <c r="S2328">
        <v>2</v>
      </c>
      <c r="T2328">
        <v>45</v>
      </c>
      <c r="U2328" s="11">
        <v>-0.43388373911755801</v>
      </c>
      <c r="V2328" s="11">
        <v>-0.90096886790241915</v>
      </c>
      <c r="W2328" s="11">
        <v>0.68667598034515531</v>
      </c>
      <c r="X2328" s="11">
        <v>0.72696361533230802</v>
      </c>
      <c r="Y2328">
        <v>0</v>
      </c>
      <c r="Z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6">
        <v>45702</v>
      </c>
      <c r="B2329" t="s">
        <v>41</v>
      </c>
      <c r="C2329" t="s">
        <v>42</v>
      </c>
      <c r="D2329" t="s">
        <v>43</v>
      </c>
      <c r="E2329" t="s">
        <v>44</v>
      </c>
      <c r="F2329">
        <v>85</v>
      </c>
      <c r="G2329">
        <v>210</v>
      </c>
      <c r="H2329">
        <v>137</v>
      </c>
      <c r="I2329">
        <v>60</v>
      </c>
      <c r="J2329" s="8">
        <v>0.70588235294117652</v>
      </c>
      <c r="K2329">
        <v>22</v>
      </c>
      <c r="L2329">
        <v>35</v>
      </c>
      <c r="M2329">
        <v>112</v>
      </c>
      <c r="N2329" s="10">
        <v>566.55999999999995</v>
      </c>
      <c r="O2329" s="7">
        <v>5.5</v>
      </c>
      <c r="P2329" s="7">
        <v>28.5</v>
      </c>
      <c r="Q2329">
        <v>4</v>
      </c>
      <c r="R2329" t="s">
        <v>66</v>
      </c>
      <c r="S2329">
        <v>2</v>
      </c>
      <c r="T2329">
        <v>45</v>
      </c>
      <c r="U2329" s="11">
        <v>-0.43388373911755801</v>
      </c>
      <c r="V2329" s="11">
        <v>-0.90096886790241915</v>
      </c>
      <c r="W2329" s="11">
        <v>0.68667598034515531</v>
      </c>
      <c r="X2329" s="11">
        <v>0.72696361533230802</v>
      </c>
      <c r="Y2329">
        <v>0</v>
      </c>
      <c r="Z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6">
        <v>45703</v>
      </c>
      <c r="B2330" t="s">
        <v>31</v>
      </c>
      <c r="C2330" t="s">
        <v>32</v>
      </c>
      <c r="D2330" t="s">
        <v>33</v>
      </c>
      <c r="E2330" t="s">
        <v>34</v>
      </c>
      <c r="F2330">
        <v>140</v>
      </c>
      <c r="G2330">
        <v>360</v>
      </c>
      <c r="H2330">
        <v>198</v>
      </c>
      <c r="I2330">
        <v>86</v>
      </c>
      <c r="J2330" s="8">
        <v>0.61428571428571432</v>
      </c>
      <c r="K2330">
        <v>36</v>
      </c>
      <c r="L2330">
        <v>50</v>
      </c>
      <c r="M2330">
        <v>185</v>
      </c>
      <c r="N2330" s="10">
        <v>492.29</v>
      </c>
      <c r="O2330" s="7">
        <v>5.5</v>
      </c>
      <c r="P2330" s="7">
        <v>26.5</v>
      </c>
      <c r="Q2330">
        <v>5</v>
      </c>
      <c r="R2330" t="s">
        <v>67</v>
      </c>
      <c r="S2330">
        <v>2</v>
      </c>
      <c r="T2330">
        <v>46</v>
      </c>
      <c r="U2330" s="11">
        <v>-0.97492791218182362</v>
      </c>
      <c r="V2330" s="11">
        <v>-0.22252093395631459</v>
      </c>
      <c r="W2330" s="11">
        <v>0.69907930056555623</v>
      </c>
      <c r="X2330" s="11">
        <v>0.71504414655374438</v>
      </c>
      <c r="Y2330">
        <v>1</v>
      </c>
      <c r="Z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6">
        <v>45703</v>
      </c>
      <c r="B2331" t="s">
        <v>36</v>
      </c>
      <c r="C2331" t="s">
        <v>37</v>
      </c>
      <c r="D2331" t="s">
        <v>38</v>
      </c>
      <c r="E2331" t="s">
        <v>39</v>
      </c>
      <c r="F2331">
        <v>125</v>
      </c>
      <c r="G2331">
        <v>320</v>
      </c>
      <c r="H2331">
        <v>215</v>
      </c>
      <c r="I2331">
        <v>90</v>
      </c>
      <c r="J2331" s="8">
        <v>0.72</v>
      </c>
      <c r="K2331">
        <v>57</v>
      </c>
      <c r="L2331">
        <v>26</v>
      </c>
      <c r="M2331">
        <v>190</v>
      </c>
      <c r="N2331" s="10">
        <v>651.5</v>
      </c>
      <c r="O2331" s="7">
        <v>5.5</v>
      </c>
      <c r="P2331" s="7">
        <v>26.5</v>
      </c>
      <c r="Q2331">
        <v>5</v>
      </c>
      <c r="R2331" t="s">
        <v>67</v>
      </c>
      <c r="S2331">
        <v>2</v>
      </c>
      <c r="T2331">
        <v>46</v>
      </c>
      <c r="U2331" s="11">
        <v>-0.97492791218182362</v>
      </c>
      <c r="V2331" s="11">
        <v>-0.22252093395631459</v>
      </c>
      <c r="W2331" s="11">
        <v>0.69907930056555623</v>
      </c>
      <c r="X2331" s="11">
        <v>0.71504414655374438</v>
      </c>
      <c r="Y2331">
        <v>1</v>
      </c>
      <c r="Z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6">
        <v>45703</v>
      </c>
      <c r="B2332" t="s">
        <v>41</v>
      </c>
      <c r="C2332" t="s">
        <v>42</v>
      </c>
      <c r="D2332" t="s">
        <v>43</v>
      </c>
      <c r="E2332" t="s">
        <v>44</v>
      </c>
      <c r="F2332">
        <v>85</v>
      </c>
      <c r="G2332">
        <v>210</v>
      </c>
      <c r="H2332">
        <v>153</v>
      </c>
      <c r="I2332">
        <v>70</v>
      </c>
      <c r="J2332" s="8">
        <v>0.82352941176470584</v>
      </c>
      <c r="K2332">
        <v>41</v>
      </c>
      <c r="L2332">
        <v>34</v>
      </c>
      <c r="M2332">
        <v>140</v>
      </c>
      <c r="N2332" s="10">
        <v>645.58000000000004</v>
      </c>
      <c r="O2332" s="7">
        <v>5.5</v>
      </c>
      <c r="P2332" s="7">
        <v>26.5</v>
      </c>
      <c r="Q2332">
        <v>5</v>
      </c>
      <c r="R2332" t="s">
        <v>67</v>
      </c>
      <c r="S2332">
        <v>2</v>
      </c>
      <c r="T2332">
        <v>46</v>
      </c>
      <c r="U2332" s="11">
        <v>-0.97492791218182362</v>
      </c>
      <c r="V2332" s="11">
        <v>-0.22252093395631459</v>
      </c>
      <c r="W2332" s="11">
        <v>0.69907930056555623</v>
      </c>
      <c r="X2332" s="11">
        <v>0.71504414655374438</v>
      </c>
      <c r="Y2332">
        <v>1</v>
      </c>
      <c r="Z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6">
        <v>45704</v>
      </c>
      <c r="B2333" t="s">
        <v>31</v>
      </c>
      <c r="C2333" t="s">
        <v>32</v>
      </c>
      <c r="D2333" t="s">
        <v>33</v>
      </c>
      <c r="E2333" t="s">
        <v>34</v>
      </c>
      <c r="F2333">
        <v>140</v>
      </c>
      <c r="G2333">
        <v>360</v>
      </c>
      <c r="H2333">
        <v>252</v>
      </c>
      <c r="I2333">
        <v>108</v>
      </c>
      <c r="J2333" s="8">
        <v>0.77142857142857146</v>
      </c>
      <c r="K2333">
        <v>63</v>
      </c>
      <c r="L2333">
        <v>43</v>
      </c>
      <c r="M2333">
        <v>215</v>
      </c>
      <c r="N2333" s="10">
        <v>442.92</v>
      </c>
      <c r="O2333" s="7">
        <v>7</v>
      </c>
      <c r="P2333" s="7">
        <v>27</v>
      </c>
      <c r="Q2333">
        <v>6</v>
      </c>
      <c r="R2333" t="s">
        <v>60</v>
      </c>
      <c r="S2333">
        <v>2</v>
      </c>
      <c r="T2333">
        <v>47</v>
      </c>
      <c r="U2333" s="11">
        <v>-0.78183148246802991</v>
      </c>
      <c r="V2333" s="11">
        <v>0.62348980185873337</v>
      </c>
      <c r="W2333" s="11">
        <v>0.71127575197381521</v>
      </c>
      <c r="X2333" s="11">
        <v>0.70291308470826153</v>
      </c>
      <c r="Y2333">
        <v>1</v>
      </c>
      <c r="Z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6">
        <v>45704</v>
      </c>
      <c r="B2334" t="s">
        <v>36</v>
      </c>
      <c r="C2334" t="s">
        <v>37</v>
      </c>
      <c r="D2334" t="s">
        <v>38</v>
      </c>
      <c r="E2334" t="s">
        <v>39</v>
      </c>
      <c r="F2334">
        <v>125</v>
      </c>
      <c r="G2334">
        <v>320</v>
      </c>
      <c r="H2334">
        <v>199</v>
      </c>
      <c r="I2334">
        <v>83</v>
      </c>
      <c r="J2334" s="8">
        <v>0.66400000000000003</v>
      </c>
      <c r="K2334">
        <v>48</v>
      </c>
      <c r="L2334">
        <v>53</v>
      </c>
      <c r="M2334">
        <v>174</v>
      </c>
      <c r="N2334" s="10">
        <v>675.31</v>
      </c>
      <c r="O2334" s="7">
        <v>7</v>
      </c>
      <c r="P2334" s="7">
        <v>27</v>
      </c>
      <c r="Q2334">
        <v>6</v>
      </c>
      <c r="R2334" t="s">
        <v>60</v>
      </c>
      <c r="S2334">
        <v>2</v>
      </c>
      <c r="T2334">
        <v>47</v>
      </c>
      <c r="U2334" s="11">
        <v>-0.78183148246802991</v>
      </c>
      <c r="V2334" s="11">
        <v>0.62348980185873337</v>
      </c>
      <c r="W2334" s="11">
        <v>0.71127575197381521</v>
      </c>
      <c r="X2334" s="11">
        <v>0.70291308470826153</v>
      </c>
      <c r="Y2334">
        <v>1</v>
      </c>
      <c r="Z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6">
        <v>45704</v>
      </c>
      <c r="B2335" t="s">
        <v>41</v>
      </c>
      <c r="C2335" t="s">
        <v>42</v>
      </c>
      <c r="D2335" t="s">
        <v>43</v>
      </c>
      <c r="E2335" t="s">
        <v>44</v>
      </c>
      <c r="F2335">
        <v>85</v>
      </c>
      <c r="G2335">
        <v>210</v>
      </c>
      <c r="H2335">
        <v>156</v>
      </c>
      <c r="I2335">
        <v>69</v>
      </c>
      <c r="J2335" s="8">
        <v>0.81176470588235294</v>
      </c>
      <c r="K2335">
        <v>28</v>
      </c>
      <c r="L2335">
        <v>24</v>
      </c>
      <c r="M2335">
        <v>136</v>
      </c>
      <c r="N2335" s="10">
        <v>586.04999999999995</v>
      </c>
      <c r="O2335" s="7">
        <v>7</v>
      </c>
      <c r="P2335" s="7">
        <v>27</v>
      </c>
      <c r="Q2335">
        <v>6</v>
      </c>
      <c r="R2335" t="s">
        <v>60</v>
      </c>
      <c r="S2335">
        <v>2</v>
      </c>
      <c r="T2335">
        <v>47</v>
      </c>
      <c r="U2335" s="11">
        <v>-0.78183148246802991</v>
      </c>
      <c r="V2335" s="11">
        <v>0.62348980185873337</v>
      </c>
      <c r="W2335" s="11">
        <v>0.71127575197381521</v>
      </c>
      <c r="X2335" s="11">
        <v>0.70291308470826153</v>
      </c>
      <c r="Y2335">
        <v>1</v>
      </c>
      <c r="Z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6">
        <v>45705</v>
      </c>
      <c r="B2336" t="s">
        <v>31</v>
      </c>
      <c r="C2336" t="s">
        <v>32</v>
      </c>
      <c r="D2336" t="s">
        <v>33</v>
      </c>
      <c r="E2336" t="s">
        <v>34</v>
      </c>
      <c r="F2336">
        <v>140</v>
      </c>
      <c r="G2336">
        <v>360</v>
      </c>
      <c r="H2336">
        <v>208</v>
      </c>
      <c r="I2336">
        <v>88</v>
      </c>
      <c r="J2336" s="8">
        <v>0.62857142857142856</v>
      </c>
      <c r="K2336">
        <v>37</v>
      </c>
      <c r="L2336">
        <v>37</v>
      </c>
      <c r="M2336">
        <v>190</v>
      </c>
      <c r="N2336" s="10">
        <v>389.07</v>
      </c>
      <c r="O2336" s="7">
        <v>5.5</v>
      </c>
      <c r="P2336" s="7">
        <v>27.8</v>
      </c>
      <c r="Q2336">
        <v>0</v>
      </c>
      <c r="R2336" t="s">
        <v>62</v>
      </c>
      <c r="S2336">
        <v>2</v>
      </c>
      <c r="T2336">
        <v>48</v>
      </c>
      <c r="U2336" s="11">
        <v>0</v>
      </c>
      <c r="V2336" s="11">
        <v>1</v>
      </c>
      <c r="W2336" s="11">
        <v>0.72326172544373879</v>
      </c>
      <c r="X2336" s="11">
        <v>0.69057401957222941</v>
      </c>
      <c r="Y2336">
        <v>0</v>
      </c>
      <c r="Z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6">
        <v>45705</v>
      </c>
      <c r="B2337" t="s">
        <v>36</v>
      </c>
      <c r="C2337" t="s">
        <v>37</v>
      </c>
      <c r="D2337" t="s">
        <v>38</v>
      </c>
      <c r="E2337" t="s">
        <v>39</v>
      </c>
      <c r="F2337">
        <v>125</v>
      </c>
      <c r="G2337">
        <v>320</v>
      </c>
      <c r="H2337">
        <v>195</v>
      </c>
      <c r="I2337">
        <v>82</v>
      </c>
      <c r="J2337" s="8">
        <v>0.65600000000000003</v>
      </c>
      <c r="K2337">
        <v>32</v>
      </c>
      <c r="L2337">
        <v>51</v>
      </c>
      <c r="M2337">
        <v>170</v>
      </c>
      <c r="N2337" s="10">
        <v>585.27</v>
      </c>
      <c r="O2337" s="7">
        <v>5.5</v>
      </c>
      <c r="P2337" s="7">
        <v>27.8</v>
      </c>
      <c r="Q2337">
        <v>0</v>
      </c>
      <c r="R2337" t="s">
        <v>62</v>
      </c>
      <c r="S2337">
        <v>2</v>
      </c>
      <c r="T2337">
        <v>48</v>
      </c>
      <c r="U2337" s="11">
        <v>0</v>
      </c>
      <c r="V2337" s="11">
        <v>1</v>
      </c>
      <c r="W2337" s="11">
        <v>0.72326172544373879</v>
      </c>
      <c r="X2337" s="11">
        <v>0.69057401957222941</v>
      </c>
      <c r="Y2337">
        <v>0</v>
      </c>
      <c r="Z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6">
        <v>45705</v>
      </c>
      <c r="B2338" t="s">
        <v>41</v>
      </c>
      <c r="C2338" t="s">
        <v>42</v>
      </c>
      <c r="D2338" t="s">
        <v>43</v>
      </c>
      <c r="E2338" t="s">
        <v>44</v>
      </c>
      <c r="F2338">
        <v>85</v>
      </c>
      <c r="G2338">
        <v>210</v>
      </c>
      <c r="H2338">
        <v>121</v>
      </c>
      <c r="I2338">
        <v>56</v>
      </c>
      <c r="J2338" s="8">
        <v>0.6588235294117647</v>
      </c>
      <c r="K2338">
        <v>30</v>
      </c>
      <c r="L2338">
        <v>23</v>
      </c>
      <c r="M2338">
        <v>104</v>
      </c>
      <c r="N2338" s="10">
        <v>544.16</v>
      </c>
      <c r="O2338" s="7">
        <v>5.5</v>
      </c>
      <c r="P2338" s="7">
        <v>27.8</v>
      </c>
      <c r="Q2338">
        <v>0</v>
      </c>
      <c r="R2338" t="s">
        <v>62</v>
      </c>
      <c r="S2338">
        <v>2</v>
      </c>
      <c r="T2338">
        <v>48</v>
      </c>
      <c r="U2338" s="11">
        <v>0</v>
      </c>
      <c r="V2338" s="11">
        <v>1</v>
      </c>
      <c r="W2338" s="11">
        <v>0.72326172544373879</v>
      </c>
      <c r="X2338" s="11">
        <v>0.69057401957222941</v>
      </c>
      <c r="Y2338">
        <v>0</v>
      </c>
      <c r="Z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6">
        <v>45706</v>
      </c>
      <c r="B2339" t="s">
        <v>31</v>
      </c>
      <c r="C2339" t="s">
        <v>32</v>
      </c>
      <c r="D2339" t="s">
        <v>33</v>
      </c>
      <c r="E2339" t="s">
        <v>34</v>
      </c>
      <c r="F2339">
        <v>140</v>
      </c>
      <c r="G2339">
        <v>360</v>
      </c>
      <c r="H2339">
        <v>205</v>
      </c>
      <c r="I2339">
        <v>88</v>
      </c>
      <c r="J2339" s="8">
        <v>0.62857142857142856</v>
      </c>
      <c r="K2339">
        <v>24</v>
      </c>
      <c r="L2339">
        <v>27</v>
      </c>
      <c r="M2339">
        <v>164</v>
      </c>
      <c r="N2339" s="10">
        <v>439.94</v>
      </c>
      <c r="O2339" s="7">
        <v>6.3</v>
      </c>
      <c r="P2339" s="7">
        <v>27.7</v>
      </c>
      <c r="Q2339">
        <v>1</v>
      </c>
      <c r="R2339" t="s">
        <v>63</v>
      </c>
      <c r="S2339">
        <v>2</v>
      </c>
      <c r="T2339">
        <v>49</v>
      </c>
      <c r="U2339" s="11">
        <v>0.7818314824680298</v>
      </c>
      <c r="V2339" s="11">
        <v>0.62348980185873359</v>
      </c>
      <c r="W2339" s="11">
        <v>0.73503367413294118</v>
      </c>
      <c r="X2339" s="11">
        <v>0.67803060247353819</v>
      </c>
      <c r="Y2339">
        <v>0</v>
      </c>
      <c r="Z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6">
        <v>45706</v>
      </c>
      <c r="B2340" t="s">
        <v>36</v>
      </c>
      <c r="C2340" t="s">
        <v>37</v>
      </c>
      <c r="D2340" t="s">
        <v>38</v>
      </c>
      <c r="E2340" t="s">
        <v>39</v>
      </c>
      <c r="F2340">
        <v>125</v>
      </c>
      <c r="G2340">
        <v>320</v>
      </c>
      <c r="H2340">
        <v>192</v>
      </c>
      <c r="I2340">
        <v>80</v>
      </c>
      <c r="J2340" s="8">
        <v>0.64</v>
      </c>
      <c r="K2340">
        <v>21</v>
      </c>
      <c r="L2340">
        <v>39</v>
      </c>
      <c r="M2340">
        <v>165</v>
      </c>
      <c r="N2340" s="10">
        <v>668.94</v>
      </c>
      <c r="O2340" s="7">
        <v>6.3</v>
      </c>
      <c r="P2340" s="7">
        <v>27.7</v>
      </c>
      <c r="Q2340">
        <v>1</v>
      </c>
      <c r="R2340" t="s">
        <v>63</v>
      </c>
      <c r="S2340">
        <v>2</v>
      </c>
      <c r="T2340">
        <v>49</v>
      </c>
      <c r="U2340" s="11">
        <v>0.7818314824680298</v>
      </c>
      <c r="V2340" s="11">
        <v>0.62348980185873359</v>
      </c>
      <c r="W2340" s="11">
        <v>0.73503367413294118</v>
      </c>
      <c r="X2340" s="11">
        <v>0.67803060247353819</v>
      </c>
      <c r="Y2340">
        <v>0</v>
      </c>
      <c r="Z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6">
        <v>45706</v>
      </c>
      <c r="B2341" t="s">
        <v>41</v>
      </c>
      <c r="C2341" t="s">
        <v>42</v>
      </c>
      <c r="D2341" t="s">
        <v>43</v>
      </c>
      <c r="E2341" t="s">
        <v>44</v>
      </c>
      <c r="F2341">
        <v>85</v>
      </c>
      <c r="G2341">
        <v>210</v>
      </c>
      <c r="H2341">
        <v>128</v>
      </c>
      <c r="I2341">
        <v>56</v>
      </c>
      <c r="J2341" s="8">
        <v>0.6588235294117647</v>
      </c>
      <c r="K2341">
        <v>23</v>
      </c>
      <c r="L2341">
        <v>16</v>
      </c>
      <c r="M2341">
        <v>115</v>
      </c>
      <c r="N2341" s="10">
        <v>569.97</v>
      </c>
      <c r="O2341" s="7">
        <v>6.3</v>
      </c>
      <c r="P2341" s="7">
        <v>27.7</v>
      </c>
      <c r="Q2341">
        <v>1</v>
      </c>
      <c r="R2341" t="s">
        <v>63</v>
      </c>
      <c r="S2341">
        <v>2</v>
      </c>
      <c r="T2341">
        <v>49</v>
      </c>
      <c r="U2341" s="11">
        <v>0.7818314824680298</v>
      </c>
      <c r="V2341" s="11">
        <v>0.62348980185873359</v>
      </c>
      <c r="W2341" s="11">
        <v>0.73503367413294118</v>
      </c>
      <c r="X2341" s="11">
        <v>0.67803060247353819</v>
      </c>
      <c r="Y2341">
        <v>0</v>
      </c>
      <c r="Z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6">
        <v>45707</v>
      </c>
      <c r="B2342" t="s">
        <v>31</v>
      </c>
      <c r="C2342" t="s">
        <v>32</v>
      </c>
      <c r="D2342" t="s">
        <v>33</v>
      </c>
      <c r="E2342" t="s">
        <v>34</v>
      </c>
      <c r="F2342">
        <v>140</v>
      </c>
      <c r="G2342">
        <v>360</v>
      </c>
      <c r="H2342">
        <v>207</v>
      </c>
      <c r="I2342">
        <v>88</v>
      </c>
      <c r="J2342" s="8">
        <v>0.62857142857142856</v>
      </c>
      <c r="K2342">
        <v>51</v>
      </c>
      <c r="L2342">
        <v>24</v>
      </c>
      <c r="M2342">
        <v>186</v>
      </c>
      <c r="N2342" s="10">
        <v>444.84</v>
      </c>
      <c r="O2342" s="7">
        <v>14.1</v>
      </c>
      <c r="P2342" s="7">
        <v>26.4</v>
      </c>
      <c r="Q2342">
        <v>2</v>
      </c>
      <c r="R2342" t="s">
        <v>64</v>
      </c>
      <c r="S2342">
        <v>2</v>
      </c>
      <c r="T2342">
        <v>50</v>
      </c>
      <c r="U2342" s="11">
        <v>0.97492791218182362</v>
      </c>
      <c r="V2342" s="11">
        <v>-0.22252093395631434</v>
      </c>
      <c r="W2342" s="11">
        <v>0.74658811453241303</v>
      </c>
      <c r="X2342" s="11">
        <v>0.66528654521111164</v>
      </c>
      <c r="Y2342">
        <v>0</v>
      </c>
      <c r="Z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6">
        <v>45707</v>
      </c>
      <c r="B2343" t="s">
        <v>36</v>
      </c>
      <c r="C2343" t="s">
        <v>37</v>
      </c>
      <c r="D2343" t="s">
        <v>38</v>
      </c>
      <c r="E2343" t="s">
        <v>39</v>
      </c>
      <c r="F2343">
        <v>125</v>
      </c>
      <c r="G2343">
        <v>320</v>
      </c>
      <c r="H2343">
        <v>183</v>
      </c>
      <c r="I2343">
        <v>78</v>
      </c>
      <c r="J2343" s="8">
        <v>0.624</v>
      </c>
      <c r="K2343">
        <v>40</v>
      </c>
      <c r="L2343">
        <v>35</v>
      </c>
      <c r="M2343">
        <v>146</v>
      </c>
      <c r="N2343" s="10">
        <v>623.05999999999995</v>
      </c>
      <c r="O2343" s="7">
        <v>14.1</v>
      </c>
      <c r="P2343" s="7">
        <v>26.4</v>
      </c>
      <c r="Q2343">
        <v>2</v>
      </c>
      <c r="R2343" t="s">
        <v>64</v>
      </c>
      <c r="S2343">
        <v>2</v>
      </c>
      <c r="T2343">
        <v>50</v>
      </c>
      <c r="U2343" s="11">
        <v>0.97492791218182362</v>
      </c>
      <c r="V2343" s="11">
        <v>-0.22252093395631434</v>
      </c>
      <c r="W2343" s="11">
        <v>0.74658811453241303</v>
      </c>
      <c r="X2343" s="11">
        <v>0.66528654521111164</v>
      </c>
      <c r="Y2343">
        <v>0</v>
      </c>
      <c r="Z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6">
        <v>45707</v>
      </c>
      <c r="B2344" t="s">
        <v>41</v>
      </c>
      <c r="C2344" t="s">
        <v>42</v>
      </c>
      <c r="D2344" t="s">
        <v>43</v>
      </c>
      <c r="E2344" t="s">
        <v>44</v>
      </c>
      <c r="F2344">
        <v>85</v>
      </c>
      <c r="G2344">
        <v>210</v>
      </c>
      <c r="H2344">
        <v>114</v>
      </c>
      <c r="I2344">
        <v>52</v>
      </c>
      <c r="J2344" s="8">
        <v>0.61176470588235299</v>
      </c>
      <c r="K2344">
        <v>20</v>
      </c>
      <c r="L2344">
        <v>17</v>
      </c>
      <c r="M2344">
        <v>103</v>
      </c>
      <c r="N2344" s="10">
        <v>481.93</v>
      </c>
      <c r="O2344" s="7">
        <v>14.1</v>
      </c>
      <c r="P2344" s="7">
        <v>26.4</v>
      </c>
      <c r="Q2344">
        <v>2</v>
      </c>
      <c r="R2344" t="s">
        <v>64</v>
      </c>
      <c r="S2344">
        <v>2</v>
      </c>
      <c r="T2344">
        <v>50</v>
      </c>
      <c r="U2344" s="11">
        <v>0.97492791218182362</v>
      </c>
      <c r="V2344" s="11">
        <v>-0.22252093395631434</v>
      </c>
      <c r="W2344" s="11">
        <v>0.74658811453241303</v>
      </c>
      <c r="X2344" s="11">
        <v>0.66528654521111164</v>
      </c>
      <c r="Y2344">
        <v>0</v>
      </c>
      <c r="Z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6">
        <v>45708</v>
      </c>
      <c r="B2345" t="s">
        <v>31</v>
      </c>
      <c r="C2345" t="s">
        <v>32</v>
      </c>
      <c r="D2345" t="s">
        <v>33</v>
      </c>
      <c r="E2345" t="s">
        <v>34</v>
      </c>
      <c r="F2345">
        <v>140</v>
      </c>
      <c r="G2345">
        <v>360</v>
      </c>
      <c r="H2345">
        <v>199</v>
      </c>
      <c r="I2345">
        <v>82</v>
      </c>
      <c r="J2345" s="8">
        <v>0.58571428571428574</v>
      </c>
      <c r="K2345">
        <v>26</v>
      </c>
      <c r="L2345">
        <v>48</v>
      </c>
      <c r="M2345">
        <v>165</v>
      </c>
      <c r="N2345" s="10">
        <v>453.69</v>
      </c>
      <c r="O2345" s="7">
        <v>0</v>
      </c>
      <c r="P2345" s="7">
        <v>27.3</v>
      </c>
      <c r="Q2345">
        <v>3</v>
      </c>
      <c r="R2345" t="s">
        <v>65</v>
      </c>
      <c r="S2345">
        <v>2</v>
      </c>
      <c r="T2345">
        <v>51</v>
      </c>
      <c r="U2345" s="11">
        <v>0.43388373911755823</v>
      </c>
      <c r="V2345" s="11">
        <v>-0.90096886790241903</v>
      </c>
      <c r="W2345" s="11">
        <v>0.75792162749734715</v>
      </c>
      <c r="X2345" s="11">
        <v>0.65234561895652565</v>
      </c>
      <c r="Y2345">
        <v>0</v>
      </c>
      <c r="Z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6">
        <v>45708</v>
      </c>
      <c r="B2346" t="s">
        <v>36</v>
      </c>
      <c r="C2346" t="s">
        <v>37</v>
      </c>
      <c r="D2346" t="s">
        <v>38</v>
      </c>
      <c r="E2346" t="s">
        <v>39</v>
      </c>
      <c r="F2346">
        <v>125</v>
      </c>
      <c r="G2346">
        <v>320</v>
      </c>
      <c r="H2346">
        <v>157</v>
      </c>
      <c r="I2346">
        <v>67</v>
      </c>
      <c r="J2346" s="8">
        <v>0.53600000000000003</v>
      </c>
      <c r="K2346">
        <v>32</v>
      </c>
      <c r="L2346">
        <v>25</v>
      </c>
      <c r="M2346">
        <v>127</v>
      </c>
      <c r="N2346" s="10">
        <v>571.25</v>
      </c>
      <c r="O2346" s="7">
        <v>0</v>
      </c>
      <c r="P2346" s="7">
        <v>27.3</v>
      </c>
      <c r="Q2346">
        <v>3</v>
      </c>
      <c r="R2346" t="s">
        <v>65</v>
      </c>
      <c r="S2346">
        <v>2</v>
      </c>
      <c r="T2346">
        <v>51</v>
      </c>
      <c r="U2346" s="11">
        <v>0.43388373911755823</v>
      </c>
      <c r="V2346" s="11">
        <v>-0.90096886790241903</v>
      </c>
      <c r="W2346" s="11">
        <v>0.75792162749734715</v>
      </c>
      <c r="X2346" s="11">
        <v>0.65234561895652565</v>
      </c>
      <c r="Y2346">
        <v>0</v>
      </c>
      <c r="Z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6">
        <v>45708</v>
      </c>
      <c r="B2347" t="s">
        <v>41</v>
      </c>
      <c r="C2347" t="s">
        <v>42</v>
      </c>
      <c r="D2347" t="s">
        <v>43</v>
      </c>
      <c r="E2347" t="s">
        <v>44</v>
      </c>
      <c r="F2347">
        <v>85</v>
      </c>
      <c r="G2347">
        <v>210</v>
      </c>
      <c r="H2347">
        <v>130</v>
      </c>
      <c r="I2347">
        <v>56</v>
      </c>
      <c r="J2347" s="8">
        <v>0.6588235294117647</v>
      </c>
      <c r="K2347">
        <v>21</v>
      </c>
      <c r="L2347">
        <v>15</v>
      </c>
      <c r="M2347">
        <v>116</v>
      </c>
      <c r="N2347" s="10">
        <v>502.36</v>
      </c>
      <c r="O2347" s="7">
        <v>0</v>
      </c>
      <c r="P2347" s="7">
        <v>27.3</v>
      </c>
      <c r="Q2347">
        <v>3</v>
      </c>
      <c r="R2347" t="s">
        <v>65</v>
      </c>
      <c r="S2347">
        <v>2</v>
      </c>
      <c r="T2347">
        <v>51</v>
      </c>
      <c r="U2347" s="11">
        <v>0.43388373911755823</v>
      </c>
      <c r="V2347" s="11">
        <v>-0.90096886790241903</v>
      </c>
      <c r="W2347" s="11">
        <v>0.75792162749734715</v>
      </c>
      <c r="X2347" s="11">
        <v>0.65234561895652565</v>
      </c>
      <c r="Y2347">
        <v>0</v>
      </c>
      <c r="Z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6">
        <v>45709</v>
      </c>
      <c r="B2348" t="s">
        <v>31</v>
      </c>
      <c r="C2348" t="s">
        <v>32</v>
      </c>
      <c r="D2348" t="s">
        <v>33</v>
      </c>
      <c r="E2348" t="s">
        <v>34</v>
      </c>
      <c r="F2348">
        <v>140</v>
      </c>
      <c r="G2348">
        <v>360</v>
      </c>
      <c r="H2348">
        <v>198</v>
      </c>
      <c r="I2348">
        <v>82</v>
      </c>
      <c r="J2348" s="8">
        <v>0.58571428571428574</v>
      </c>
      <c r="K2348">
        <v>55</v>
      </c>
      <c r="L2348">
        <v>35</v>
      </c>
      <c r="M2348">
        <v>178</v>
      </c>
      <c r="N2348" s="10">
        <v>433.08</v>
      </c>
      <c r="O2348" s="7">
        <v>0.3</v>
      </c>
      <c r="P2348" s="7">
        <v>28.8</v>
      </c>
      <c r="Q2348">
        <v>4</v>
      </c>
      <c r="R2348" t="s">
        <v>66</v>
      </c>
      <c r="S2348">
        <v>2</v>
      </c>
      <c r="T2348">
        <v>52</v>
      </c>
      <c r="U2348" s="11">
        <v>-0.43388373911755801</v>
      </c>
      <c r="V2348" s="11">
        <v>-0.90096886790241915</v>
      </c>
      <c r="W2348" s="11">
        <v>0.76903085925891812</v>
      </c>
      <c r="X2348" s="11">
        <v>0.63921165313805883</v>
      </c>
      <c r="Y2348">
        <v>0</v>
      </c>
      <c r="Z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6">
        <v>45709</v>
      </c>
      <c r="B2349" t="s">
        <v>36</v>
      </c>
      <c r="C2349" t="s">
        <v>37</v>
      </c>
      <c r="D2349" t="s">
        <v>38</v>
      </c>
      <c r="E2349" t="s">
        <v>39</v>
      </c>
      <c r="F2349">
        <v>125</v>
      </c>
      <c r="G2349">
        <v>320</v>
      </c>
      <c r="H2349">
        <v>184</v>
      </c>
      <c r="I2349">
        <v>77</v>
      </c>
      <c r="J2349" s="8">
        <v>0.61599999999999999</v>
      </c>
      <c r="K2349">
        <v>37</v>
      </c>
      <c r="L2349">
        <v>33</v>
      </c>
      <c r="M2349">
        <v>165</v>
      </c>
      <c r="N2349" s="10">
        <v>620.96</v>
      </c>
      <c r="O2349" s="7">
        <v>0.3</v>
      </c>
      <c r="P2349" s="7">
        <v>28.8</v>
      </c>
      <c r="Q2349">
        <v>4</v>
      </c>
      <c r="R2349" t="s">
        <v>66</v>
      </c>
      <c r="S2349">
        <v>2</v>
      </c>
      <c r="T2349">
        <v>52</v>
      </c>
      <c r="U2349" s="11">
        <v>-0.43388373911755801</v>
      </c>
      <c r="V2349" s="11">
        <v>-0.90096886790241915</v>
      </c>
      <c r="W2349" s="11">
        <v>0.76903085925891812</v>
      </c>
      <c r="X2349" s="11">
        <v>0.63921165313805883</v>
      </c>
      <c r="Y2349">
        <v>0</v>
      </c>
      <c r="Z2349">
        <v>0</v>
      </c>
      <c r="AB2349">
        <v>0</v>
      </c>
      <c r="AC2349">
        <v>0</v>
      </c>
      <c r="AD2349">
        <v>0</v>
      </c>
      <c r="AE2349">
        <v>0</v>
      </c>
    </row>
    <row r="2350" spans="1:31">
      <c r="A2350" s="6">
        <v>45709</v>
      </c>
      <c r="B2350" t="s">
        <v>41</v>
      </c>
      <c r="C2350" t="s">
        <v>42</v>
      </c>
      <c r="D2350" t="s">
        <v>43</v>
      </c>
      <c r="E2350" t="s">
        <v>44</v>
      </c>
      <c r="F2350">
        <v>85</v>
      </c>
      <c r="G2350">
        <v>210</v>
      </c>
      <c r="H2350">
        <v>116</v>
      </c>
      <c r="I2350">
        <v>53</v>
      </c>
      <c r="J2350" s="8">
        <v>0.62352941176470589</v>
      </c>
      <c r="K2350">
        <v>23</v>
      </c>
      <c r="L2350">
        <v>18</v>
      </c>
      <c r="M2350">
        <v>97</v>
      </c>
      <c r="N2350" s="10">
        <v>507.42</v>
      </c>
      <c r="O2350" s="7">
        <v>0.3</v>
      </c>
      <c r="P2350" s="7">
        <v>28.8</v>
      </c>
      <c r="Q2350">
        <v>4</v>
      </c>
      <c r="R2350" t="s">
        <v>66</v>
      </c>
      <c r="S2350">
        <v>2</v>
      </c>
      <c r="T2350">
        <v>52</v>
      </c>
      <c r="U2350" s="11">
        <v>-0.43388373911755801</v>
      </c>
      <c r="V2350" s="11">
        <v>-0.90096886790241915</v>
      </c>
      <c r="W2350" s="11">
        <v>0.76903085925891812</v>
      </c>
      <c r="X2350" s="11">
        <v>0.63921165313805883</v>
      </c>
      <c r="Y2350">
        <v>0</v>
      </c>
      <c r="Z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6">
        <v>45710</v>
      </c>
      <c r="B2351" t="s">
        <v>31</v>
      </c>
      <c r="C2351" t="s">
        <v>32</v>
      </c>
      <c r="D2351" t="s">
        <v>33</v>
      </c>
      <c r="E2351" t="s">
        <v>34</v>
      </c>
      <c r="F2351">
        <v>140</v>
      </c>
      <c r="G2351">
        <v>360</v>
      </c>
      <c r="H2351">
        <v>217</v>
      </c>
      <c r="I2351">
        <v>92</v>
      </c>
      <c r="J2351" s="8">
        <v>0.65714285714285714</v>
      </c>
      <c r="K2351">
        <v>40</v>
      </c>
      <c r="L2351">
        <v>22</v>
      </c>
      <c r="M2351">
        <v>175</v>
      </c>
      <c r="N2351" s="10">
        <v>511.81</v>
      </c>
      <c r="O2351" s="7">
        <v>8.1999999999999993</v>
      </c>
      <c r="P2351" s="7">
        <v>26.9</v>
      </c>
      <c r="Q2351">
        <v>5</v>
      </c>
      <c r="R2351" t="s">
        <v>67</v>
      </c>
      <c r="S2351">
        <v>2</v>
      </c>
      <c r="T2351">
        <v>53</v>
      </c>
      <c r="U2351" s="11">
        <v>-0.97492791218182362</v>
      </c>
      <c r="V2351" s="11">
        <v>-0.22252093395631459</v>
      </c>
      <c r="W2351" s="11">
        <v>0.77991252241671771</v>
      </c>
      <c r="X2351" s="11">
        <v>0.6258885343075018</v>
      </c>
      <c r="Y2351">
        <v>1</v>
      </c>
      <c r="Z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6">
        <v>45710</v>
      </c>
      <c r="B2352" t="s">
        <v>36</v>
      </c>
      <c r="C2352" t="s">
        <v>37</v>
      </c>
      <c r="D2352" t="s">
        <v>38</v>
      </c>
      <c r="E2352" t="s">
        <v>39</v>
      </c>
      <c r="F2352">
        <v>125</v>
      </c>
      <c r="G2352">
        <v>320</v>
      </c>
      <c r="H2352">
        <v>201</v>
      </c>
      <c r="I2352">
        <v>85</v>
      </c>
      <c r="J2352" s="8">
        <v>0.68</v>
      </c>
      <c r="K2352">
        <v>42</v>
      </c>
      <c r="L2352">
        <v>34</v>
      </c>
      <c r="M2352">
        <v>165</v>
      </c>
      <c r="N2352" s="10">
        <v>720.01</v>
      </c>
      <c r="O2352" s="7">
        <v>8.1999999999999993</v>
      </c>
      <c r="P2352" s="7">
        <v>26.9</v>
      </c>
      <c r="Q2352">
        <v>5</v>
      </c>
      <c r="R2352" t="s">
        <v>67</v>
      </c>
      <c r="S2352">
        <v>2</v>
      </c>
      <c r="T2352">
        <v>53</v>
      </c>
      <c r="U2352" s="11">
        <v>-0.97492791218182362</v>
      </c>
      <c r="V2352" s="11">
        <v>-0.22252093395631459</v>
      </c>
      <c r="W2352" s="11">
        <v>0.77991252241671771</v>
      </c>
      <c r="X2352" s="11">
        <v>0.6258885343075018</v>
      </c>
      <c r="Y2352">
        <v>1</v>
      </c>
      <c r="Z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6">
        <v>45710</v>
      </c>
      <c r="B2353" t="s">
        <v>41</v>
      </c>
      <c r="C2353" t="s">
        <v>42</v>
      </c>
      <c r="D2353" t="s">
        <v>43</v>
      </c>
      <c r="E2353" t="s">
        <v>44</v>
      </c>
      <c r="F2353">
        <v>85</v>
      </c>
      <c r="G2353">
        <v>210</v>
      </c>
      <c r="H2353">
        <v>153</v>
      </c>
      <c r="I2353">
        <v>67</v>
      </c>
      <c r="J2353" s="8">
        <v>0.78823529411764703</v>
      </c>
      <c r="K2353">
        <v>29</v>
      </c>
      <c r="L2353">
        <v>31</v>
      </c>
      <c r="M2353">
        <v>128</v>
      </c>
      <c r="N2353" s="10">
        <v>648.85</v>
      </c>
      <c r="O2353" s="7">
        <v>8.1999999999999993</v>
      </c>
      <c r="P2353" s="7">
        <v>26.9</v>
      </c>
      <c r="Q2353">
        <v>5</v>
      </c>
      <c r="R2353" t="s">
        <v>67</v>
      </c>
      <c r="S2353">
        <v>2</v>
      </c>
      <c r="T2353">
        <v>53</v>
      </c>
      <c r="U2353" s="11">
        <v>-0.97492791218182362</v>
      </c>
      <c r="V2353" s="11">
        <v>-0.22252093395631459</v>
      </c>
      <c r="W2353" s="11">
        <v>0.77991252241671771</v>
      </c>
      <c r="X2353" s="11">
        <v>0.6258885343075018</v>
      </c>
      <c r="Y2353">
        <v>1</v>
      </c>
      <c r="Z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6">
        <v>45711</v>
      </c>
      <c r="B2354" t="s">
        <v>31</v>
      </c>
      <c r="C2354" t="s">
        <v>32</v>
      </c>
      <c r="D2354" t="s">
        <v>33</v>
      </c>
      <c r="E2354" t="s">
        <v>34</v>
      </c>
      <c r="F2354">
        <v>140</v>
      </c>
      <c r="G2354">
        <v>360</v>
      </c>
      <c r="H2354">
        <v>218</v>
      </c>
      <c r="I2354">
        <v>94</v>
      </c>
      <c r="J2354" s="8">
        <v>0.67142857142857137</v>
      </c>
      <c r="K2354">
        <v>36</v>
      </c>
      <c r="L2354">
        <v>34</v>
      </c>
      <c r="M2354">
        <v>188</v>
      </c>
      <c r="N2354" s="10">
        <v>467.32</v>
      </c>
      <c r="O2354" s="7">
        <v>1.1000000000000001</v>
      </c>
      <c r="P2354" s="7">
        <v>27.6</v>
      </c>
      <c r="Q2354">
        <v>6</v>
      </c>
      <c r="R2354" t="s">
        <v>60</v>
      </c>
      <c r="S2354">
        <v>2</v>
      </c>
      <c r="T2354">
        <v>54</v>
      </c>
      <c r="U2354" s="11">
        <v>-0.78183148246802991</v>
      </c>
      <c r="V2354" s="11">
        <v>0.62348980185873337</v>
      </c>
      <c r="W2354" s="11">
        <v>0.7905633969115482</v>
      </c>
      <c r="X2354" s="11">
        <v>0.61238020499006496</v>
      </c>
      <c r="Y2354">
        <v>1</v>
      </c>
      <c r="Z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6">
        <v>45711</v>
      </c>
      <c r="B2355" t="s">
        <v>36</v>
      </c>
      <c r="C2355" t="s">
        <v>37</v>
      </c>
      <c r="D2355" t="s">
        <v>38</v>
      </c>
      <c r="E2355" t="s">
        <v>39</v>
      </c>
      <c r="F2355">
        <v>125</v>
      </c>
      <c r="G2355">
        <v>320</v>
      </c>
      <c r="H2355">
        <v>206</v>
      </c>
      <c r="I2355">
        <v>84</v>
      </c>
      <c r="J2355" s="8">
        <v>0.67200000000000004</v>
      </c>
      <c r="K2355">
        <v>49</v>
      </c>
      <c r="L2355">
        <v>32</v>
      </c>
      <c r="M2355">
        <v>176</v>
      </c>
      <c r="N2355" s="10">
        <v>704.5</v>
      </c>
      <c r="O2355" s="7">
        <v>1.1000000000000001</v>
      </c>
      <c r="P2355" s="7">
        <v>27.6</v>
      </c>
      <c r="Q2355">
        <v>6</v>
      </c>
      <c r="R2355" t="s">
        <v>60</v>
      </c>
      <c r="S2355">
        <v>2</v>
      </c>
      <c r="T2355">
        <v>54</v>
      </c>
      <c r="U2355" s="11">
        <v>-0.78183148246802991</v>
      </c>
      <c r="V2355" s="11">
        <v>0.62348980185873337</v>
      </c>
      <c r="W2355" s="11">
        <v>0.7905633969115482</v>
      </c>
      <c r="X2355" s="11">
        <v>0.61238020499006496</v>
      </c>
      <c r="Y2355">
        <v>1</v>
      </c>
      <c r="Z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6">
        <v>45711</v>
      </c>
      <c r="B2356" t="s">
        <v>41</v>
      </c>
      <c r="C2356" t="s">
        <v>42</v>
      </c>
      <c r="D2356" t="s">
        <v>43</v>
      </c>
      <c r="E2356" t="s">
        <v>44</v>
      </c>
      <c r="F2356">
        <v>85</v>
      </c>
      <c r="G2356">
        <v>210</v>
      </c>
      <c r="H2356">
        <v>151</v>
      </c>
      <c r="I2356">
        <v>63</v>
      </c>
      <c r="J2356" s="8">
        <v>0.74117647058823533</v>
      </c>
      <c r="K2356">
        <v>21</v>
      </c>
      <c r="L2356">
        <v>36</v>
      </c>
      <c r="M2356">
        <v>140</v>
      </c>
      <c r="N2356" s="10">
        <v>644.46</v>
      </c>
      <c r="O2356" s="7">
        <v>1.1000000000000001</v>
      </c>
      <c r="P2356" s="7">
        <v>27.6</v>
      </c>
      <c r="Q2356">
        <v>6</v>
      </c>
      <c r="R2356" t="s">
        <v>60</v>
      </c>
      <c r="S2356">
        <v>2</v>
      </c>
      <c r="T2356">
        <v>54</v>
      </c>
      <c r="U2356" s="11">
        <v>-0.78183148246802991</v>
      </c>
      <c r="V2356" s="11">
        <v>0.62348980185873337</v>
      </c>
      <c r="W2356" s="11">
        <v>0.7905633969115482</v>
      </c>
      <c r="X2356" s="11">
        <v>0.61238020499006496</v>
      </c>
      <c r="Y2356">
        <v>1</v>
      </c>
      <c r="Z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6">
        <v>45712</v>
      </c>
      <c r="B2357" t="s">
        <v>31</v>
      </c>
      <c r="C2357" t="s">
        <v>32</v>
      </c>
      <c r="D2357" t="s">
        <v>33</v>
      </c>
      <c r="E2357" t="s">
        <v>34</v>
      </c>
      <c r="F2357">
        <v>140</v>
      </c>
      <c r="G2357">
        <v>360</v>
      </c>
      <c r="H2357">
        <v>196</v>
      </c>
      <c r="I2357">
        <v>82</v>
      </c>
      <c r="J2357" s="8">
        <v>0.58571428571428574</v>
      </c>
      <c r="K2357">
        <v>40</v>
      </c>
      <c r="L2357">
        <v>42</v>
      </c>
      <c r="M2357">
        <v>177</v>
      </c>
      <c r="N2357" s="10">
        <v>460.24</v>
      </c>
      <c r="O2357" s="7">
        <v>0</v>
      </c>
      <c r="P2357" s="7">
        <v>26.8</v>
      </c>
      <c r="Q2357">
        <v>0</v>
      </c>
      <c r="R2357" t="s">
        <v>62</v>
      </c>
      <c r="S2357">
        <v>2</v>
      </c>
      <c r="T2357">
        <v>55</v>
      </c>
      <c r="U2357" s="11">
        <v>0</v>
      </c>
      <c r="V2357" s="11">
        <v>1</v>
      </c>
      <c r="W2357" s="11">
        <v>0.80098033097829047</v>
      </c>
      <c r="X2357" s="11">
        <v>0.59869066251772141</v>
      </c>
      <c r="Y2357">
        <v>0</v>
      </c>
      <c r="Z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6">
        <v>45712</v>
      </c>
      <c r="B2358" t="s">
        <v>36</v>
      </c>
      <c r="C2358" t="s">
        <v>37</v>
      </c>
      <c r="D2358" t="s">
        <v>38</v>
      </c>
      <c r="E2358" t="s">
        <v>39</v>
      </c>
      <c r="F2358">
        <v>125</v>
      </c>
      <c r="G2358">
        <v>320</v>
      </c>
      <c r="H2358">
        <v>175</v>
      </c>
      <c r="I2358">
        <v>72</v>
      </c>
      <c r="J2358" s="8">
        <v>0.57599999999999996</v>
      </c>
      <c r="K2358">
        <v>29</v>
      </c>
      <c r="L2358">
        <v>40</v>
      </c>
      <c r="M2358">
        <v>146</v>
      </c>
      <c r="N2358" s="10">
        <v>567.08000000000004</v>
      </c>
      <c r="O2358" s="7">
        <v>0</v>
      </c>
      <c r="P2358" s="7">
        <v>26.8</v>
      </c>
      <c r="Q2358">
        <v>0</v>
      </c>
      <c r="R2358" t="s">
        <v>62</v>
      </c>
      <c r="S2358">
        <v>2</v>
      </c>
      <c r="T2358">
        <v>55</v>
      </c>
      <c r="U2358" s="11">
        <v>0</v>
      </c>
      <c r="V2358" s="11">
        <v>1</v>
      </c>
      <c r="W2358" s="11">
        <v>0.80098033097829047</v>
      </c>
      <c r="X2358" s="11">
        <v>0.59869066251772141</v>
      </c>
      <c r="Y2358">
        <v>0</v>
      </c>
      <c r="Z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6">
        <v>45712</v>
      </c>
      <c r="B2359" t="s">
        <v>41</v>
      </c>
      <c r="C2359" t="s">
        <v>42</v>
      </c>
      <c r="D2359" t="s">
        <v>43</v>
      </c>
      <c r="E2359" t="s">
        <v>44</v>
      </c>
      <c r="F2359">
        <v>85</v>
      </c>
      <c r="G2359">
        <v>210</v>
      </c>
      <c r="H2359">
        <v>128</v>
      </c>
      <c r="I2359">
        <v>54</v>
      </c>
      <c r="J2359" s="8">
        <v>0.63529411764705879</v>
      </c>
      <c r="K2359">
        <v>23</v>
      </c>
      <c r="L2359">
        <v>16</v>
      </c>
      <c r="M2359">
        <v>108</v>
      </c>
      <c r="N2359" s="10">
        <v>544.86</v>
      </c>
      <c r="O2359" s="7">
        <v>0</v>
      </c>
      <c r="P2359" s="7">
        <v>26.8</v>
      </c>
      <c r="Q2359">
        <v>0</v>
      </c>
      <c r="R2359" t="s">
        <v>62</v>
      </c>
      <c r="S2359">
        <v>2</v>
      </c>
      <c r="T2359">
        <v>55</v>
      </c>
      <c r="U2359" s="11">
        <v>0</v>
      </c>
      <c r="V2359" s="11">
        <v>1</v>
      </c>
      <c r="W2359" s="11">
        <v>0.80098033097829047</v>
      </c>
      <c r="X2359" s="11">
        <v>0.59869066251772141</v>
      </c>
      <c r="Y2359">
        <v>0</v>
      </c>
      <c r="Z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6">
        <v>45713</v>
      </c>
      <c r="B2360" t="s">
        <v>31</v>
      </c>
      <c r="C2360" t="s">
        <v>32</v>
      </c>
      <c r="D2360" t="s">
        <v>33</v>
      </c>
      <c r="E2360" t="s">
        <v>34</v>
      </c>
      <c r="F2360">
        <v>140</v>
      </c>
      <c r="G2360">
        <v>360</v>
      </c>
      <c r="H2360">
        <v>197</v>
      </c>
      <c r="I2360">
        <v>81</v>
      </c>
      <c r="J2360" s="8">
        <v>0.57857142857142863</v>
      </c>
      <c r="K2360">
        <v>32</v>
      </c>
      <c r="L2360">
        <v>30</v>
      </c>
      <c r="M2360">
        <v>185</v>
      </c>
      <c r="N2360" s="10">
        <v>455.54</v>
      </c>
      <c r="O2360" s="7">
        <v>17.100000000000001</v>
      </c>
      <c r="P2360" s="7">
        <v>27.1</v>
      </c>
      <c r="Q2360">
        <v>1</v>
      </c>
      <c r="R2360" t="s">
        <v>63</v>
      </c>
      <c r="S2360">
        <v>2</v>
      </c>
      <c r="T2360">
        <v>56</v>
      </c>
      <c r="U2360" s="11">
        <v>0.7818314824680298</v>
      </c>
      <c r="V2360" s="11">
        <v>0.62348980185873359</v>
      </c>
      <c r="W2360" s="11">
        <v>0.81116024207856208</v>
      </c>
      <c r="X2360" s="11">
        <v>0.58482395784633223</v>
      </c>
      <c r="Y2360">
        <v>0</v>
      </c>
      <c r="Z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6">
        <v>45713</v>
      </c>
      <c r="B2361" t="s">
        <v>36</v>
      </c>
      <c r="C2361" t="s">
        <v>37</v>
      </c>
      <c r="D2361" t="s">
        <v>38</v>
      </c>
      <c r="E2361" t="s">
        <v>39</v>
      </c>
      <c r="F2361">
        <v>125</v>
      </c>
      <c r="G2361">
        <v>320</v>
      </c>
      <c r="H2361">
        <v>183</v>
      </c>
      <c r="I2361">
        <v>73</v>
      </c>
      <c r="J2361" s="8">
        <v>0.58399999999999996</v>
      </c>
      <c r="K2361">
        <v>40</v>
      </c>
      <c r="L2361">
        <v>49</v>
      </c>
      <c r="M2361">
        <v>149</v>
      </c>
      <c r="N2361" s="10">
        <v>650.12</v>
      </c>
      <c r="O2361" s="7">
        <v>17.100000000000001</v>
      </c>
      <c r="P2361" s="7">
        <v>27.1</v>
      </c>
      <c r="Q2361">
        <v>1</v>
      </c>
      <c r="R2361" t="s">
        <v>63</v>
      </c>
      <c r="S2361">
        <v>2</v>
      </c>
      <c r="T2361">
        <v>56</v>
      </c>
      <c r="U2361" s="11">
        <v>0.7818314824680298</v>
      </c>
      <c r="V2361" s="11">
        <v>0.62348980185873359</v>
      </c>
      <c r="W2361" s="11">
        <v>0.81116024207856208</v>
      </c>
      <c r="X2361" s="11">
        <v>0.58482395784633223</v>
      </c>
      <c r="Y2361">
        <v>0</v>
      </c>
      <c r="Z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6">
        <v>45713</v>
      </c>
      <c r="B2362" t="s">
        <v>41</v>
      </c>
      <c r="C2362" t="s">
        <v>42</v>
      </c>
      <c r="D2362" t="s">
        <v>43</v>
      </c>
      <c r="E2362" t="s">
        <v>44</v>
      </c>
      <c r="F2362">
        <v>85</v>
      </c>
      <c r="G2362">
        <v>210</v>
      </c>
      <c r="H2362">
        <v>108</v>
      </c>
      <c r="I2362">
        <v>48</v>
      </c>
      <c r="J2362" s="8">
        <v>0.56470588235294117</v>
      </c>
      <c r="K2362">
        <v>27</v>
      </c>
      <c r="L2362">
        <v>28</v>
      </c>
      <c r="M2362">
        <v>91</v>
      </c>
      <c r="N2362" s="10">
        <v>486.67</v>
      </c>
      <c r="O2362" s="7">
        <v>17.100000000000001</v>
      </c>
      <c r="P2362" s="7">
        <v>27.1</v>
      </c>
      <c r="Q2362">
        <v>1</v>
      </c>
      <c r="R2362" t="s">
        <v>63</v>
      </c>
      <c r="S2362">
        <v>2</v>
      </c>
      <c r="T2362">
        <v>56</v>
      </c>
      <c r="U2362" s="11">
        <v>0.7818314824680298</v>
      </c>
      <c r="V2362" s="11">
        <v>0.62348980185873359</v>
      </c>
      <c r="W2362" s="11">
        <v>0.81116024207856208</v>
      </c>
      <c r="X2362" s="11">
        <v>0.58482395784633223</v>
      </c>
      <c r="Y2362">
        <v>0</v>
      </c>
      <c r="Z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6">
        <v>45714</v>
      </c>
      <c r="B2363" t="s">
        <v>31</v>
      </c>
      <c r="C2363" t="s">
        <v>32</v>
      </c>
      <c r="D2363" t="s">
        <v>33</v>
      </c>
      <c r="E2363" t="s">
        <v>34</v>
      </c>
      <c r="F2363">
        <v>140</v>
      </c>
      <c r="G2363">
        <v>360</v>
      </c>
      <c r="H2363">
        <v>191</v>
      </c>
      <c r="I2363">
        <v>84</v>
      </c>
      <c r="J2363" s="8">
        <v>0.6</v>
      </c>
      <c r="K2363">
        <v>42</v>
      </c>
      <c r="L2363">
        <v>28</v>
      </c>
      <c r="M2363">
        <v>176</v>
      </c>
      <c r="N2363" s="10">
        <v>423.78</v>
      </c>
      <c r="O2363" s="7">
        <v>18.100000000000001</v>
      </c>
      <c r="P2363" s="7">
        <v>26.4</v>
      </c>
      <c r="Q2363">
        <v>2</v>
      </c>
      <c r="R2363" t="s">
        <v>64</v>
      </c>
      <c r="S2363">
        <v>2</v>
      </c>
      <c r="T2363">
        <v>57</v>
      </c>
      <c r="U2363" s="11">
        <v>0.97492791218182362</v>
      </c>
      <c r="V2363" s="11">
        <v>-0.22252093395631434</v>
      </c>
      <c r="W2363" s="11">
        <v>0.82110011781288916</v>
      </c>
      <c r="X2363" s="11">
        <v>0.57078419435690364</v>
      </c>
      <c r="Y2363">
        <v>0</v>
      </c>
      <c r="Z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6">
        <v>45714</v>
      </c>
      <c r="B2364" t="s">
        <v>36</v>
      </c>
      <c r="C2364" t="s">
        <v>37</v>
      </c>
      <c r="D2364" t="s">
        <v>38</v>
      </c>
      <c r="E2364" t="s">
        <v>39</v>
      </c>
      <c r="F2364">
        <v>125</v>
      </c>
      <c r="G2364">
        <v>320</v>
      </c>
      <c r="H2364">
        <v>174</v>
      </c>
      <c r="I2364">
        <v>73</v>
      </c>
      <c r="J2364" s="8">
        <v>0.58399999999999996</v>
      </c>
      <c r="K2364">
        <v>24</v>
      </c>
      <c r="L2364">
        <v>46</v>
      </c>
      <c r="M2364">
        <v>151</v>
      </c>
      <c r="N2364" s="10">
        <v>628.19000000000005</v>
      </c>
      <c r="O2364" s="7">
        <v>18.100000000000001</v>
      </c>
      <c r="P2364" s="7">
        <v>26.4</v>
      </c>
      <c r="Q2364">
        <v>2</v>
      </c>
      <c r="R2364" t="s">
        <v>64</v>
      </c>
      <c r="S2364">
        <v>2</v>
      </c>
      <c r="T2364">
        <v>57</v>
      </c>
      <c r="U2364" s="11">
        <v>0.97492791218182362</v>
      </c>
      <c r="V2364" s="11">
        <v>-0.22252093395631434</v>
      </c>
      <c r="W2364" s="11">
        <v>0.82110011781288916</v>
      </c>
      <c r="X2364" s="11">
        <v>0.57078419435690364</v>
      </c>
      <c r="Y2364">
        <v>0</v>
      </c>
      <c r="Z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6">
        <v>45714</v>
      </c>
      <c r="B2365" t="s">
        <v>41</v>
      </c>
      <c r="C2365" t="s">
        <v>42</v>
      </c>
      <c r="D2365" t="s">
        <v>43</v>
      </c>
      <c r="E2365" t="s">
        <v>44</v>
      </c>
      <c r="F2365">
        <v>85</v>
      </c>
      <c r="G2365">
        <v>210</v>
      </c>
      <c r="H2365">
        <v>128</v>
      </c>
      <c r="I2365">
        <v>57</v>
      </c>
      <c r="J2365" s="8">
        <v>0.6705882352941176</v>
      </c>
      <c r="K2365">
        <v>31</v>
      </c>
      <c r="L2365">
        <v>13</v>
      </c>
      <c r="M2365">
        <v>111</v>
      </c>
      <c r="N2365" s="10">
        <v>517.05999999999995</v>
      </c>
      <c r="O2365" s="7">
        <v>18.100000000000001</v>
      </c>
      <c r="P2365" s="7">
        <v>26.4</v>
      </c>
      <c r="Q2365">
        <v>2</v>
      </c>
      <c r="R2365" t="s">
        <v>64</v>
      </c>
      <c r="S2365">
        <v>2</v>
      </c>
      <c r="T2365">
        <v>57</v>
      </c>
      <c r="U2365" s="11">
        <v>0.97492791218182362</v>
      </c>
      <c r="V2365" s="11">
        <v>-0.22252093395631434</v>
      </c>
      <c r="W2365" s="11">
        <v>0.82110011781288916</v>
      </c>
      <c r="X2365" s="11">
        <v>0.57078419435690364</v>
      </c>
      <c r="Y2365">
        <v>0</v>
      </c>
      <c r="Z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6">
        <v>45715</v>
      </c>
      <c r="B2366" t="s">
        <v>31</v>
      </c>
      <c r="C2366" t="s">
        <v>32</v>
      </c>
      <c r="D2366" t="s">
        <v>33</v>
      </c>
      <c r="E2366" t="s">
        <v>34</v>
      </c>
      <c r="F2366">
        <v>140</v>
      </c>
      <c r="G2366">
        <v>360</v>
      </c>
      <c r="H2366">
        <v>194</v>
      </c>
      <c r="I2366">
        <v>81</v>
      </c>
      <c r="J2366" s="8">
        <v>0.57857142857142863</v>
      </c>
      <c r="K2366">
        <v>32</v>
      </c>
      <c r="L2366">
        <v>25</v>
      </c>
      <c r="M2366">
        <v>168</v>
      </c>
      <c r="N2366" s="10">
        <v>388.34</v>
      </c>
      <c r="O2366" s="7">
        <v>9.4</v>
      </c>
      <c r="P2366" s="7">
        <v>28</v>
      </c>
      <c r="Q2366">
        <v>3</v>
      </c>
      <c r="R2366" t="s">
        <v>65</v>
      </c>
      <c r="S2366">
        <v>2</v>
      </c>
      <c r="T2366">
        <v>58</v>
      </c>
      <c r="U2366" s="11">
        <v>0.43388373911755823</v>
      </c>
      <c r="V2366" s="11">
        <v>-0.90096886790241903</v>
      </c>
      <c r="W2366" s="11">
        <v>0.8307970168121247</v>
      </c>
      <c r="X2366" s="11">
        <v>0.55657552664133025</v>
      </c>
      <c r="Y2366">
        <v>0</v>
      </c>
      <c r="Z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6">
        <v>45715</v>
      </c>
      <c r="B2367" t="s">
        <v>36</v>
      </c>
      <c r="C2367" t="s">
        <v>37</v>
      </c>
      <c r="D2367" t="s">
        <v>38</v>
      </c>
      <c r="E2367" t="s">
        <v>39</v>
      </c>
      <c r="F2367">
        <v>125</v>
      </c>
      <c r="G2367">
        <v>320</v>
      </c>
      <c r="H2367">
        <v>152</v>
      </c>
      <c r="I2367">
        <v>65</v>
      </c>
      <c r="J2367" s="8">
        <v>0.52</v>
      </c>
      <c r="K2367">
        <v>30</v>
      </c>
      <c r="L2367">
        <v>39</v>
      </c>
      <c r="M2367">
        <v>135</v>
      </c>
      <c r="N2367" s="10">
        <v>645.04999999999995</v>
      </c>
      <c r="O2367" s="7">
        <v>9.4</v>
      </c>
      <c r="P2367" s="7">
        <v>28</v>
      </c>
      <c r="Q2367">
        <v>3</v>
      </c>
      <c r="R2367" t="s">
        <v>65</v>
      </c>
      <c r="S2367">
        <v>2</v>
      </c>
      <c r="T2367">
        <v>58</v>
      </c>
      <c r="U2367" s="11">
        <v>0.43388373911755823</v>
      </c>
      <c r="V2367" s="11">
        <v>-0.90096886790241903</v>
      </c>
      <c r="W2367" s="11">
        <v>0.8307970168121247</v>
      </c>
      <c r="X2367" s="11">
        <v>0.55657552664133025</v>
      </c>
      <c r="Y2367">
        <v>0</v>
      </c>
      <c r="Z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6">
        <v>45715</v>
      </c>
      <c r="B2368" t="s">
        <v>41</v>
      </c>
      <c r="C2368" t="s">
        <v>42</v>
      </c>
      <c r="D2368" t="s">
        <v>43</v>
      </c>
      <c r="E2368" t="s">
        <v>44</v>
      </c>
      <c r="F2368">
        <v>85</v>
      </c>
      <c r="G2368">
        <v>210</v>
      </c>
      <c r="H2368">
        <v>121</v>
      </c>
      <c r="I2368">
        <v>55</v>
      </c>
      <c r="J2368" s="8">
        <v>0.6470588235294118</v>
      </c>
      <c r="K2368">
        <v>17</v>
      </c>
      <c r="L2368">
        <v>26</v>
      </c>
      <c r="M2368">
        <v>104</v>
      </c>
      <c r="N2368" s="10">
        <v>557.76</v>
      </c>
      <c r="O2368" s="7">
        <v>9.4</v>
      </c>
      <c r="P2368" s="7">
        <v>28</v>
      </c>
      <c r="Q2368">
        <v>3</v>
      </c>
      <c r="R2368" t="s">
        <v>65</v>
      </c>
      <c r="S2368">
        <v>2</v>
      </c>
      <c r="T2368">
        <v>58</v>
      </c>
      <c r="U2368" s="11">
        <v>0.43388373911755823</v>
      </c>
      <c r="V2368" s="11">
        <v>-0.90096886790241903</v>
      </c>
      <c r="W2368" s="11">
        <v>0.8307970168121247</v>
      </c>
      <c r="X2368" s="11">
        <v>0.55657552664133025</v>
      </c>
      <c r="Y2368">
        <v>0</v>
      </c>
      <c r="Z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6">
        <v>45716</v>
      </c>
      <c r="B2369" t="s">
        <v>31</v>
      </c>
      <c r="C2369" t="s">
        <v>32</v>
      </c>
      <c r="D2369" t="s">
        <v>33</v>
      </c>
      <c r="E2369" t="s">
        <v>34</v>
      </c>
      <c r="F2369">
        <v>140</v>
      </c>
      <c r="G2369">
        <v>360</v>
      </c>
      <c r="H2369">
        <v>197</v>
      </c>
      <c r="I2369">
        <v>84</v>
      </c>
      <c r="J2369" s="8">
        <v>0.6</v>
      </c>
      <c r="K2369">
        <v>37</v>
      </c>
      <c r="L2369">
        <v>30</v>
      </c>
      <c r="M2369">
        <v>159</v>
      </c>
      <c r="N2369" s="10">
        <v>449.23</v>
      </c>
      <c r="O2369" s="7">
        <v>0</v>
      </c>
      <c r="P2369" s="7">
        <v>28.2</v>
      </c>
      <c r="Q2369">
        <v>4</v>
      </c>
      <c r="R2369" t="s">
        <v>66</v>
      </c>
      <c r="S2369">
        <v>2</v>
      </c>
      <c r="T2369">
        <v>59</v>
      </c>
      <c r="U2369" s="11">
        <v>-0.43388373911755801</v>
      </c>
      <c r="V2369" s="11">
        <v>-0.90096886790241915</v>
      </c>
      <c r="W2369" s="11">
        <v>0.84024806960784693</v>
      </c>
      <c r="X2369" s="11">
        <v>0.54220215927298443</v>
      </c>
      <c r="Y2369">
        <v>0</v>
      </c>
      <c r="Z2369">
        <v>0</v>
      </c>
      <c r="AB2369">
        <v>0</v>
      </c>
      <c r="AC2369">
        <v>1</v>
      </c>
      <c r="AD2369">
        <v>0</v>
      </c>
      <c r="AE2369">
        <v>0</v>
      </c>
    </row>
    <row r="2370" spans="1:31">
      <c r="A2370" s="6">
        <v>45716</v>
      </c>
      <c r="B2370" t="s">
        <v>36</v>
      </c>
      <c r="C2370" t="s">
        <v>37</v>
      </c>
      <c r="D2370" t="s">
        <v>38</v>
      </c>
      <c r="E2370" t="s">
        <v>39</v>
      </c>
      <c r="F2370">
        <v>125</v>
      </c>
      <c r="G2370">
        <v>320</v>
      </c>
      <c r="H2370">
        <v>190</v>
      </c>
      <c r="I2370">
        <v>79</v>
      </c>
      <c r="J2370" s="8">
        <v>0.63200000000000001</v>
      </c>
      <c r="K2370">
        <v>24</v>
      </c>
      <c r="L2370">
        <v>37</v>
      </c>
      <c r="M2370">
        <v>170</v>
      </c>
      <c r="N2370" s="10">
        <v>664.81</v>
      </c>
      <c r="O2370" s="7">
        <v>0</v>
      </c>
      <c r="P2370" s="7">
        <v>28.2</v>
      </c>
      <c r="Q2370">
        <v>4</v>
      </c>
      <c r="R2370" t="s">
        <v>66</v>
      </c>
      <c r="S2370">
        <v>2</v>
      </c>
      <c r="T2370">
        <v>59</v>
      </c>
      <c r="U2370" s="11">
        <v>-0.43388373911755801</v>
      </c>
      <c r="V2370" s="11">
        <v>-0.90096886790241915</v>
      </c>
      <c r="W2370" s="11">
        <v>0.84024806960784693</v>
      </c>
      <c r="X2370" s="11">
        <v>0.54220215927298443</v>
      </c>
      <c r="Y2370">
        <v>0</v>
      </c>
      <c r="Z2370">
        <v>0</v>
      </c>
      <c r="AB2370">
        <v>0</v>
      </c>
      <c r="AC2370">
        <v>1</v>
      </c>
      <c r="AD2370">
        <v>0</v>
      </c>
      <c r="AE2370">
        <v>0</v>
      </c>
    </row>
    <row r="2371" spans="1:31">
      <c r="A2371" s="6">
        <v>45716</v>
      </c>
      <c r="B2371" t="s">
        <v>41</v>
      </c>
      <c r="C2371" t="s">
        <v>42</v>
      </c>
      <c r="D2371" t="s">
        <v>43</v>
      </c>
      <c r="E2371" t="s">
        <v>44</v>
      </c>
      <c r="F2371">
        <v>85</v>
      </c>
      <c r="G2371">
        <v>210</v>
      </c>
      <c r="H2371">
        <v>126</v>
      </c>
      <c r="I2371">
        <v>60</v>
      </c>
      <c r="J2371" s="8">
        <v>0.70588235294117652</v>
      </c>
      <c r="K2371">
        <v>31</v>
      </c>
      <c r="L2371">
        <v>23</v>
      </c>
      <c r="M2371">
        <v>107</v>
      </c>
      <c r="N2371" s="10">
        <v>619.01</v>
      </c>
      <c r="O2371" s="7">
        <v>0</v>
      </c>
      <c r="P2371" s="7">
        <v>28.2</v>
      </c>
      <c r="Q2371">
        <v>4</v>
      </c>
      <c r="R2371" t="s">
        <v>66</v>
      </c>
      <c r="S2371">
        <v>2</v>
      </c>
      <c r="T2371">
        <v>59</v>
      </c>
      <c r="U2371" s="11">
        <v>-0.43388373911755801</v>
      </c>
      <c r="V2371" s="11">
        <v>-0.90096886790241915</v>
      </c>
      <c r="W2371" s="11">
        <v>0.84024806960784693</v>
      </c>
      <c r="X2371" s="11">
        <v>0.54220215927298443</v>
      </c>
      <c r="Y2371">
        <v>0</v>
      </c>
      <c r="Z2371">
        <v>0</v>
      </c>
      <c r="AB2371">
        <v>0</v>
      </c>
      <c r="AC2371">
        <v>1</v>
      </c>
      <c r="AD2371">
        <v>0</v>
      </c>
      <c r="AE2371">
        <v>0</v>
      </c>
    </row>
    <row r="2372" spans="1:31">
      <c r="A2372" s="6">
        <v>45717</v>
      </c>
      <c r="B2372" t="s">
        <v>31</v>
      </c>
      <c r="C2372" t="s">
        <v>32</v>
      </c>
      <c r="D2372" t="s">
        <v>33</v>
      </c>
      <c r="E2372" t="s">
        <v>34</v>
      </c>
      <c r="F2372">
        <v>140</v>
      </c>
      <c r="G2372">
        <v>360</v>
      </c>
      <c r="H2372">
        <v>226</v>
      </c>
      <c r="I2372">
        <v>97</v>
      </c>
      <c r="J2372" s="8">
        <v>0.69285714285714284</v>
      </c>
      <c r="K2372">
        <v>33</v>
      </c>
      <c r="L2372">
        <v>54</v>
      </c>
      <c r="M2372">
        <v>208</v>
      </c>
      <c r="N2372" s="10">
        <v>500.82</v>
      </c>
      <c r="O2372" s="7">
        <v>18.899999999999999</v>
      </c>
      <c r="P2372" s="7">
        <v>28.4</v>
      </c>
      <c r="Q2372">
        <v>5</v>
      </c>
      <c r="R2372" t="s">
        <v>67</v>
      </c>
      <c r="S2372">
        <v>3</v>
      </c>
      <c r="T2372">
        <v>60</v>
      </c>
      <c r="U2372" s="11">
        <v>-0.97492791218182362</v>
      </c>
      <c r="V2372" s="11">
        <v>-0.22252093395631459</v>
      </c>
      <c r="W2372" s="11">
        <v>0.84945047948148056</v>
      </c>
      <c r="X2372" s="11">
        <v>0.52766834556251596</v>
      </c>
      <c r="Y2372">
        <v>1</v>
      </c>
      <c r="Z2372">
        <v>0</v>
      </c>
      <c r="AB2372">
        <v>0</v>
      </c>
      <c r="AC2372">
        <v>1</v>
      </c>
      <c r="AD2372">
        <v>0</v>
      </c>
      <c r="AE2372">
        <v>0</v>
      </c>
    </row>
    <row r="2373" spans="1:31">
      <c r="A2373" s="6">
        <v>45717</v>
      </c>
      <c r="B2373" t="s">
        <v>36</v>
      </c>
      <c r="C2373" t="s">
        <v>37</v>
      </c>
      <c r="D2373" t="s">
        <v>38</v>
      </c>
      <c r="E2373" t="s">
        <v>39</v>
      </c>
      <c r="F2373">
        <v>125</v>
      </c>
      <c r="G2373">
        <v>320</v>
      </c>
      <c r="H2373">
        <v>222</v>
      </c>
      <c r="I2373">
        <v>94</v>
      </c>
      <c r="J2373" s="8">
        <v>0.752</v>
      </c>
      <c r="K2373">
        <v>35</v>
      </c>
      <c r="L2373">
        <v>33</v>
      </c>
      <c r="M2373">
        <v>194</v>
      </c>
      <c r="N2373" s="10">
        <v>778.58</v>
      </c>
      <c r="O2373" s="7">
        <v>18.899999999999999</v>
      </c>
      <c r="P2373" s="7">
        <v>28.4</v>
      </c>
      <c r="Q2373">
        <v>5</v>
      </c>
      <c r="R2373" t="s">
        <v>67</v>
      </c>
      <c r="S2373">
        <v>3</v>
      </c>
      <c r="T2373">
        <v>60</v>
      </c>
      <c r="U2373" s="11">
        <v>-0.97492791218182362</v>
      </c>
      <c r="V2373" s="11">
        <v>-0.22252093395631459</v>
      </c>
      <c r="W2373" s="11">
        <v>0.84945047948148056</v>
      </c>
      <c r="X2373" s="11">
        <v>0.52766834556251596</v>
      </c>
      <c r="Y2373">
        <v>1</v>
      </c>
      <c r="Z2373">
        <v>0</v>
      </c>
      <c r="AB2373">
        <v>0</v>
      </c>
      <c r="AC2373">
        <v>1</v>
      </c>
      <c r="AD2373">
        <v>0</v>
      </c>
      <c r="AE2373">
        <v>0</v>
      </c>
    </row>
    <row r="2374" spans="1:31">
      <c r="A2374" s="6">
        <v>45717</v>
      </c>
      <c r="B2374" t="s">
        <v>41</v>
      </c>
      <c r="C2374" t="s">
        <v>42</v>
      </c>
      <c r="D2374" t="s">
        <v>43</v>
      </c>
      <c r="E2374" t="s">
        <v>44</v>
      </c>
      <c r="F2374">
        <v>85</v>
      </c>
      <c r="G2374">
        <v>210</v>
      </c>
      <c r="H2374">
        <v>159</v>
      </c>
      <c r="I2374">
        <v>69</v>
      </c>
      <c r="J2374" s="8">
        <v>0.81176470588235294</v>
      </c>
      <c r="K2374">
        <v>32</v>
      </c>
      <c r="L2374">
        <v>39</v>
      </c>
      <c r="M2374">
        <v>146</v>
      </c>
      <c r="N2374" s="10">
        <v>594.91999999999996</v>
      </c>
      <c r="O2374" s="7">
        <v>18.899999999999999</v>
      </c>
      <c r="P2374" s="7">
        <v>28.4</v>
      </c>
      <c r="Q2374">
        <v>5</v>
      </c>
      <c r="R2374" t="s">
        <v>67</v>
      </c>
      <c r="S2374">
        <v>3</v>
      </c>
      <c r="T2374">
        <v>60</v>
      </c>
      <c r="U2374" s="11">
        <v>-0.97492791218182362</v>
      </c>
      <c r="V2374" s="11">
        <v>-0.22252093395631459</v>
      </c>
      <c r="W2374" s="11">
        <v>0.84945047948148056</v>
      </c>
      <c r="X2374" s="11">
        <v>0.52766834556251596</v>
      </c>
      <c r="Y2374">
        <v>1</v>
      </c>
      <c r="Z2374">
        <v>0</v>
      </c>
      <c r="AB2374">
        <v>0</v>
      </c>
      <c r="AC2374">
        <v>1</v>
      </c>
      <c r="AD2374">
        <v>0</v>
      </c>
      <c r="AE2374">
        <v>0</v>
      </c>
    </row>
    <row r="2375" spans="1:31">
      <c r="A2375" s="6">
        <v>45718</v>
      </c>
      <c r="B2375" t="s">
        <v>31</v>
      </c>
      <c r="C2375" t="s">
        <v>32</v>
      </c>
      <c r="D2375" t="s">
        <v>33</v>
      </c>
      <c r="E2375" t="s">
        <v>34</v>
      </c>
      <c r="F2375">
        <v>140</v>
      </c>
      <c r="G2375">
        <v>360</v>
      </c>
      <c r="H2375">
        <v>253</v>
      </c>
      <c r="I2375">
        <v>106</v>
      </c>
      <c r="J2375" s="8">
        <v>0.75714285714285712</v>
      </c>
      <c r="K2375">
        <v>71</v>
      </c>
      <c r="L2375">
        <v>27</v>
      </c>
      <c r="M2375">
        <v>230</v>
      </c>
      <c r="N2375" s="10">
        <v>469.94</v>
      </c>
      <c r="O2375" s="7">
        <v>8.3000000000000007</v>
      </c>
      <c r="P2375" s="7">
        <v>26.9</v>
      </c>
      <c r="Q2375">
        <v>6</v>
      </c>
      <c r="R2375" t="s">
        <v>60</v>
      </c>
      <c r="S2375">
        <v>3</v>
      </c>
      <c r="T2375">
        <v>61</v>
      </c>
      <c r="U2375" s="11">
        <v>-0.78183148246802991</v>
      </c>
      <c r="V2375" s="11">
        <v>0.62348980185873337</v>
      </c>
      <c r="W2375" s="11">
        <v>0.85840152329189168</v>
      </c>
      <c r="X2375" s="11">
        <v>0.51297838629922798</v>
      </c>
      <c r="Y2375">
        <v>1</v>
      </c>
      <c r="Z2375">
        <v>0</v>
      </c>
      <c r="AB2375">
        <v>0</v>
      </c>
      <c r="AC2375">
        <v>1</v>
      </c>
      <c r="AD2375">
        <v>0</v>
      </c>
      <c r="AE2375">
        <v>0</v>
      </c>
    </row>
    <row r="2376" spans="1:31">
      <c r="A2376" s="6">
        <v>45718</v>
      </c>
      <c r="B2376" t="s">
        <v>36</v>
      </c>
      <c r="C2376" t="s">
        <v>37</v>
      </c>
      <c r="D2376" t="s">
        <v>38</v>
      </c>
      <c r="E2376" t="s">
        <v>39</v>
      </c>
      <c r="F2376">
        <v>125</v>
      </c>
      <c r="G2376">
        <v>320</v>
      </c>
      <c r="H2376">
        <v>220</v>
      </c>
      <c r="I2376">
        <v>92</v>
      </c>
      <c r="J2376" s="8">
        <v>0.73599999999999999</v>
      </c>
      <c r="K2376">
        <v>61</v>
      </c>
      <c r="L2376">
        <v>30</v>
      </c>
      <c r="M2376">
        <v>185</v>
      </c>
      <c r="N2376" s="10">
        <v>804.89</v>
      </c>
      <c r="O2376" s="7">
        <v>8.3000000000000007</v>
      </c>
      <c r="P2376" s="7">
        <v>26.9</v>
      </c>
      <c r="Q2376">
        <v>6</v>
      </c>
      <c r="R2376" t="s">
        <v>60</v>
      </c>
      <c r="S2376">
        <v>3</v>
      </c>
      <c r="T2376">
        <v>61</v>
      </c>
      <c r="U2376" s="11">
        <v>-0.78183148246802991</v>
      </c>
      <c r="V2376" s="11">
        <v>0.62348980185873337</v>
      </c>
      <c r="W2376" s="11">
        <v>0.85840152329189168</v>
      </c>
      <c r="X2376" s="11">
        <v>0.51297838629922798</v>
      </c>
      <c r="Y2376">
        <v>1</v>
      </c>
      <c r="Z2376">
        <v>0</v>
      </c>
      <c r="AB2376">
        <v>0</v>
      </c>
      <c r="AC2376">
        <v>1</v>
      </c>
      <c r="AD2376">
        <v>0</v>
      </c>
      <c r="AE2376">
        <v>0</v>
      </c>
    </row>
    <row r="2377" spans="1:31">
      <c r="A2377" s="6">
        <v>45718</v>
      </c>
      <c r="B2377" t="s">
        <v>41</v>
      </c>
      <c r="C2377" t="s">
        <v>42</v>
      </c>
      <c r="D2377" t="s">
        <v>43</v>
      </c>
      <c r="E2377" t="s">
        <v>44</v>
      </c>
      <c r="F2377">
        <v>85</v>
      </c>
      <c r="G2377">
        <v>210</v>
      </c>
      <c r="H2377">
        <v>160</v>
      </c>
      <c r="I2377">
        <v>72</v>
      </c>
      <c r="J2377" s="8">
        <v>0.84705882352941175</v>
      </c>
      <c r="K2377">
        <v>34</v>
      </c>
      <c r="L2377">
        <v>42</v>
      </c>
      <c r="M2377">
        <v>138</v>
      </c>
      <c r="N2377" s="10">
        <v>596.14</v>
      </c>
      <c r="O2377" s="7">
        <v>8.3000000000000007</v>
      </c>
      <c r="P2377" s="7">
        <v>26.9</v>
      </c>
      <c r="Q2377">
        <v>6</v>
      </c>
      <c r="R2377" t="s">
        <v>60</v>
      </c>
      <c r="S2377">
        <v>3</v>
      </c>
      <c r="T2377">
        <v>61</v>
      </c>
      <c r="U2377" s="11">
        <v>-0.78183148246802991</v>
      </c>
      <c r="V2377" s="11">
        <v>0.62348980185873337</v>
      </c>
      <c r="W2377" s="11">
        <v>0.85840152329189168</v>
      </c>
      <c r="X2377" s="11">
        <v>0.51297838629922798</v>
      </c>
      <c r="Y2377">
        <v>1</v>
      </c>
      <c r="Z2377">
        <v>0</v>
      </c>
      <c r="AB2377">
        <v>0</v>
      </c>
      <c r="AC2377">
        <v>1</v>
      </c>
      <c r="AD2377">
        <v>0</v>
      </c>
      <c r="AE2377">
        <v>0</v>
      </c>
    </row>
    <row r="2378" spans="1:31">
      <c r="A2378" s="6">
        <v>45719</v>
      </c>
      <c r="B2378" t="s">
        <v>31</v>
      </c>
      <c r="C2378" t="s">
        <v>32</v>
      </c>
      <c r="D2378" t="s">
        <v>33</v>
      </c>
      <c r="E2378" t="s">
        <v>34</v>
      </c>
      <c r="F2378">
        <v>140</v>
      </c>
      <c r="G2378">
        <v>360</v>
      </c>
      <c r="H2378">
        <v>205</v>
      </c>
      <c r="I2378">
        <v>85</v>
      </c>
      <c r="J2378" s="8">
        <v>0.6071428571428571</v>
      </c>
      <c r="K2378">
        <v>44</v>
      </c>
      <c r="L2378">
        <v>36</v>
      </c>
      <c r="M2378">
        <v>180</v>
      </c>
      <c r="N2378" s="10">
        <v>472.7</v>
      </c>
      <c r="O2378" s="7">
        <v>6.9</v>
      </c>
      <c r="P2378" s="7">
        <v>27.5</v>
      </c>
      <c r="Q2378">
        <v>0</v>
      </c>
      <c r="R2378" t="s">
        <v>62</v>
      </c>
      <c r="S2378">
        <v>3</v>
      </c>
      <c r="T2378">
        <v>62</v>
      </c>
      <c r="U2378" s="11">
        <v>0</v>
      </c>
      <c r="V2378" s="11">
        <v>1</v>
      </c>
      <c r="W2378" s="11">
        <v>0.86709855228120813</v>
      </c>
      <c r="X2378" s="11">
        <v>0.49813662847840551</v>
      </c>
      <c r="Y2378">
        <v>0</v>
      </c>
      <c r="Z2378">
        <v>0</v>
      </c>
      <c r="AB2378">
        <v>0</v>
      </c>
      <c r="AC2378">
        <v>1</v>
      </c>
      <c r="AD2378">
        <v>0</v>
      </c>
      <c r="AE2378">
        <v>0</v>
      </c>
    </row>
    <row r="2379" spans="1:31">
      <c r="A2379" s="6">
        <v>45719</v>
      </c>
      <c r="B2379" t="s">
        <v>36</v>
      </c>
      <c r="C2379" t="s">
        <v>37</v>
      </c>
      <c r="D2379" t="s">
        <v>38</v>
      </c>
      <c r="E2379" t="s">
        <v>39</v>
      </c>
      <c r="F2379">
        <v>125</v>
      </c>
      <c r="G2379">
        <v>320</v>
      </c>
      <c r="H2379">
        <v>198</v>
      </c>
      <c r="I2379">
        <v>83</v>
      </c>
      <c r="J2379" s="8">
        <v>0.66400000000000003</v>
      </c>
      <c r="K2379">
        <v>42</v>
      </c>
      <c r="L2379">
        <v>28</v>
      </c>
      <c r="M2379">
        <v>159</v>
      </c>
      <c r="N2379" s="10">
        <v>663.17</v>
      </c>
      <c r="O2379" s="7">
        <v>6.9</v>
      </c>
      <c r="P2379" s="7">
        <v>27.5</v>
      </c>
      <c r="Q2379">
        <v>0</v>
      </c>
      <c r="R2379" t="s">
        <v>62</v>
      </c>
      <c r="S2379">
        <v>3</v>
      </c>
      <c r="T2379">
        <v>62</v>
      </c>
      <c r="U2379" s="11">
        <v>0</v>
      </c>
      <c r="V2379" s="11">
        <v>1</v>
      </c>
      <c r="W2379" s="11">
        <v>0.86709855228120813</v>
      </c>
      <c r="X2379" s="11">
        <v>0.49813662847840551</v>
      </c>
      <c r="Y2379">
        <v>0</v>
      </c>
      <c r="Z2379">
        <v>0</v>
      </c>
      <c r="AB2379">
        <v>0</v>
      </c>
      <c r="AC2379">
        <v>1</v>
      </c>
      <c r="AD2379">
        <v>0</v>
      </c>
      <c r="AE2379">
        <v>0</v>
      </c>
    </row>
    <row r="2380" spans="1:31">
      <c r="A2380" s="6">
        <v>45719</v>
      </c>
      <c r="B2380" t="s">
        <v>41</v>
      </c>
      <c r="C2380" t="s">
        <v>42</v>
      </c>
      <c r="D2380" t="s">
        <v>43</v>
      </c>
      <c r="E2380" t="s">
        <v>44</v>
      </c>
      <c r="F2380">
        <v>85</v>
      </c>
      <c r="G2380">
        <v>210</v>
      </c>
      <c r="H2380">
        <v>144</v>
      </c>
      <c r="I2380">
        <v>65</v>
      </c>
      <c r="J2380" s="8">
        <v>0.76470588235294112</v>
      </c>
      <c r="K2380">
        <v>24</v>
      </c>
      <c r="L2380">
        <v>24</v>
      </c>
      <c r="M2380">
        <v>116</v>
      </c>
      <c r="N2380" s="10">
        <v>574.01</v>
      </c>
      <c r="O2380" s="7">
        <v>6.9</v>
      </c>
      <c r="P2380" s="7">
        <v>27.5</v>
      </c>
      <c r="Q2380">
        <v>0</v>
      </c>
      <c r="R2380" t="s">
        <v>62</v>
      </c>
      <c r="S2380">
        <v>3</v>
      </c>
      <c r="T2380">
        <v>62</v>
      </c>
      <c r="U2380" s="11">
        <v>0</v>
      </c>
      <c r="V2380" s="11">
        <v>1</v>
      </c>
      <c r="W2380" s="11">
        <v>0.86709855228120813</v>
      </c>
      <c r="X2380" s="11">
        <v>0.49813662847840551</v>
      </c>
      <c r="Y2380">
        <v>0</v>
      </c>
      <c r="Z2380">
        <v>0</v>
      </c>
      <c r="AB2380">
        <v>0</v>
      </c>
      <c r="AC2380">
        <v>1</v>
      </c>
      <c r="AD2380">
        <v>0</v>
      </c>
      <c r="AE2380">
        <v>0</v>
      </c>
    </row>
    <row r="2381" spans="1:31">
      <c r="A2381" s="6">
        <v>45720</v>
      </c>
      <c r="B2381" t="s">
        <v>31</v>
      </c>
      <c r="C2381" t="s">
        <v>32</v>
      </c>
      <c r="D2381" t="s">
        <v>33</v>
      </c>
      <c r="E2381" t="s">
        <v>34</v>
      </c>
      <c r="F2381">
        <v>140</v>
      </c>
      <c r="G2381">
        <v>360</v>
      </c>
      <c r="H2381">
        <v>208</v>
      </c>
      <c r="I2381">
        <v>88</v>
      </c>
      <c r="J2381" s="8">
        <v>0.62857142857142856</v>
      </c>
      <c r="K2381">
        <v>52</v>
      </c>
      <c r="L2381">
        <v>39</v>
      </c>
      <c r="M2381">
        <v>190</v>
      </c>
      <c r="N2381" s="10">
        <v>504.29</v>
      </c>
      <c r="O2381" s="7">
        <v>12.9</v>
      </c>
      <c r="P2381" s="7">
        <v>27.2</v>
      </c>
      <c r="Q2381">
        <v>1</v>
      </c>
      <c r="R2381" t="s">
        <v>63</v>
      </c>
      <c r="S2381">
        <v>3</v>
      </c>
      <c r="T2381">
        <v>63</v>
      </c>
      <c r="U2381" s="11">
        <v>0.7818314824680298</v>
      </c>
      <c r="V2381" s="11">
        <v>0.62348980185873359</v>
      </c>
      <c r="W2381" s="11">
        <v>0.87553899285863024</v>
      </c>
      <c r="X2381" s="11">
        <v>0.48314746401496872</v>
      </c>
      <c r="Y2381">
        <v>0</v>
      </c>
      <c r="Z2381">
        <v>0</v>
      </c>
      <c r="AB2381">
        <v>0</v>
      </c>
      <c r="AC2381">
        <v>1</v>
      </c>
      <c r="AD2381">
        <v>0</v>
      </c>
      <c r="AE2381">
        <v>0</v>
      </c>
    </row>
    <row r="2382" spans="1:31">
      <c r="A2382" s="6">
        <v>45720</v>
      </c>
      <c r="B2382" t="s">
        <v>36</v>
      </c>
      <c r="C2382" t="s">
        <v>37</v>
      </c>
      <c r="D2382" t="s">
        <v>38</v>
      </c>
      <c r="E2382" t="s">
        <v>39</v>
      </c>
      <c r="F2382">
        <v>125</v>
      </c>
      <c r="G2382">
        <v>320</v>
      </c>
      <c r="H2382">
        <v>190</v>
      </c>
      <c r="I2382">
        <v>79</v>
      </c>
      <c r="J2382" s="8">
        <v>0.63200000000000001</v>
      </c>
      <c r="K2382">
        <v>30</v>
      </c>
      <c r="L2382">
        <v>40</v>
      </c>
      <c r="M2382">
        <v>153</v>
      </c>
      <c r="N2382" s="10">
        <v>650.53</v>
      </c>
      <c r="O2382" s="7">
        <v>12.9</v>
      </c>
      <c r="P2382" s="7">
        <v>27.2</v>
      </c>
      <c r="Q2382">
        <v>1</v>
      </c>
      <c r="R2382" t="s">
        <v>63</v>
      </c>
      <c r="S2382">
        <v>3</v>
      </c>
      <c r="T2382">
        <v>63</v>
      </c>
      <c r="U2382" s="11">
        <v>0.7818314824680298</v>
      </c>
      <c r="V2382" s="11">
        <v>0.62348980185873359</v>
      </c>
      <c r="W2382" s="11">
        <v>0.87553899285863024</v>
      </c>
      <c r="X2382" s="11">
        <v>0.48314746401496872</v>
      </c>
      <c r="Y2382">
        <v>0</v>
      </c>
      <c r="Z2382">
        <v>0</v>
      </c>
      <c r="AB2382">
        <v>0</v>
      </c>
      <c r="AC2382">
        <v>1</v>
      </c>
      <c r="AD2382">
        <v>0</v>
      </c>
      <c r="AE2382">
        <v>0</v>
      </c>
    </row>
    <row r="2383" spans="1:31">
      <c r="A2383" s="6">
        <v>45720</v>
      </c>
      <c r="B2383" t="s">
        <v>41</v>
      </c>
      <c r="C2383" t="s">
        <v>42</v>
      </c>
      <c r="D2383" t="s">
        <v>43</v>
      </c>
      <c r="E2383" t="s">
        <v>44</v>
      </c>
      <c r="F2383">
        <v>85</v>
      </c>
      <c r="G2383">
        <v>210</v>
      </c>
      <c r="H2383">
        <v>131</v>
      </c>
      <c r="I2383">
        <v>59</v>
      </c>
      <c r="J2383" s="8">
        <v>0.69411764705882351</v>
      </c>
      <c r="K2383">
        <v>28</v>
      </c>
      <c r="L2383">
        <v>18</v>
      </c>
      <c r="M2383">
        <v>113</v>
      </c>
      <c r="N2383" s="10">
        <v>606.67999999999995</v>
      </c>
      <c r="O2383" s="7">
        <v>12.9</v>
      </c>
      <c r="P2383" s="7">
        <v>27.2</v>
      </c>
      <c r="Q2383">
        <v>1</v>
      </c>
      <c r="R2383" t="s">
        <v>63</v>
      </c>
      <c r="S2383">
        <v>3</v>
      </c>
      <c r="T2383">
        <v>63</v>
      </c>
      <c r="U2383" s="11">
        <v>0.7818314824680298</v>
      </c>
      <c r="V2383" s="11">
        <v>0.62348980185873359</v>
      </c>
      <c r="W2383" s="11">
        <v>0.87553899285863024</v>
      </c>
      <c r="X2383" s="11">
        <v>0.48314746401496872</v>
      </c>
      <c r="Y2383">
        <v>0</v>
      </c>
      <c r="Z2383">
        <v>0</v>
      </c>
      <c r="AB2383">
        <v>0</v>
      </c>
      <c r="AC2383">
        <v>1</v>
      </c>
      <c r="AD2383">
        <v>0</v>
      </c>
      <c r="AE2383">
        <v>0</v>
      </c>
    </row>
    <row r="2384" spans="1:31">
      <c r="A2384" s="6">
        <v>45721</v>
      </c>
      <c r="B2384" t="s">
        <v>31</v>
      </c>
      <c r="C2384" t="s">
        <v>32</v>
      </c>
      <c r="D2384" t="s">
        <v>33</v>
      </c>
      <c r="E2384" t="s">
        <v>34</v>
      </c>
      <c r="F2384">
        <v>140</v>
      </c>
      <c r="G2384">
        <v>360</v>
      </c>
      <c r="H2384">
        <v>187</v>
      </c>
      <c r="I2384">
        <v>79</v>
      </c>
      <c r="J2384" s="8">
        <v>0.56428571428571428</v>
      </c>
      <c r="K2384">
        <v>23</v>
      </c>
      <c r="L2384">
        <v>18</v>
      </c>
      <c r="M2384">
        <v>169</v>
      </c>
      <c r="N2384" s="10">
        <v>438.05</v>
      </c>
      <c r="O2384" s="7">
        <v>0</v>
      </c>
      <c r="P2384" s="7">
        <v>28.5</v>
      </c>
      <c r="Q2384">
        <v>2</v>
      </c>
      <c r="R2384" t="s">
        <v>64</v>
      </c>
      <c r="S2384">
        <v>3</v>
      </c>
      <c r="T2384">
        <v>64</v>
      </c>
      <c r="U2384" s="11">
        <v>0.97492791218182362</v>
      </c>
      <c r="V2384" s="11">
        <v>-0.22252093395631434</v>
      </c>
      <c r="W2384" s="11">
        <v>0.88372034736199767</v>
      </c>
      <c r="X2384" s="11">
        <v>0.46801532844383448</v>
      </c>
      <c r="Y2384">
        <v>0</v>
      </c>
      <c r="Z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6">
        <v>45721</v>
      </c>
      <c r="B2385" t="s">
        <v>36</v>
      </c>
      <c r="C2385" t="s">
        <v>37</v>
      </c>
      <c r="D2385" t="s">
        <v>38</v>
      </c>
      <c r="E2385" t="s">
        <v>39</v>
      </c>
      <c r="F2385">
        <v>125</v>
      </c>
      <c r="G2385">
        <v>320</v>
      </c>
      <c r="H2385">
        <v>167</v>
      </c>
      <c r="I2385">
        <v>70</v>
      </c>
      <c r="J2385" s="8">
        <v>0.56000000000000005</v>
      </c>
      <c r="K2385">
        <v>35</v>
      </c>
      <c r="L2385">
        <v>18</v>
      </c>
      <c r="M2385">
        <v>137</v>
      </c>
      <c r="N2385" s="10">
        <v>621.04</v>
      </c>
      <c r="O2385" s="7">
        <v>0</v>
      </c>
      <c r="P2385" s="7">
        <v>28.5</v>
      </c>
      <c r="Q2385">
        <v>2</v>
      </c>
      <c r="R2385" t="s">
        <v>64</v>
      </c>
      <c r="S2385">
        <v>3</v>
      </c>
      <c r="T2385">
        <v>64</v>
      </c>
      <c r="U2385" s="11">
        <v>0.97492791218182362</v>
      </c>
      <c r="V2385" s="11">
        <v>-0.22252093395631434</v>
      </c>
      <c r="W2385" s="11">
        <v>0.88372034736199767</v>
      </c>
      <c r="X2385" s="11">
        <v>0.46801532844383448</v>
      </c>
      <c r="Y2385">
        <v>0</v>
      </c>
      <c r="Z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6">
        <v>45721</v>
      </c>
      <c r="B2386" t="s">
        <v>41</v>
      </c>
      <c r="C2386" t="s">
        <v>42</v>
      </c>
      <c r="D2386" t="s">
        <v>43</v>
      </c>
      <c r="E2386" t="s">
        <v>44</v>
      </c>
      <c r="F2386">
        <v>85</v>
      </c>
      <c r="G2386">
        <v>210</v>
      </c>
      <c r="H2386">
        <v>109</v>
      </c>
      <c r="I2386">
        <v>50</v>
      </c>
      <c r="J2386" s="8">
        <v>0.58823529411764708</v>
      </c>
      <c r="K2386">
        <v>16</v>
      </c>
      <c r="L2386">
        <v>4</v>
      </c>
      <c r="M2386">
        <v>94</v>
      </c>
      <c r="N2386" s="10">
        <v>534.75</v>
      </c>
      <c r="O2386" s="7">
        <v>0</v>
      </c>
      <c r="P2386" s="7">
        <v>28.5</v>
      </c>
      <c r="Q2386">
        <v>2</v>
      </c>
      <c r="R2386" t="s">
        <v>64</v>
      </c>
      <c r="S2386">
        <v>3</v>
      </c>
      <c r="T2386">
        <v>64</v>
      </c>
      <c r="U2386" s="11">
        <v>0.97492791218182362</v>
      </c>
      <c r="V2386" s="11">
        <v>-0.22252093395631434</v>
      </c>
      <c r="W2386" s="11">
        <v>0.88372034736199767</v>
      </c>
      <c r="X2386" s="11">
        <v>0.46801532844383448</v>
      </c>
      <c r="Y2386">
        <v>0</v>
      </c>
      <c r="Z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6">
        <v>45722</v>
      </c>
      <c r="B2387" t="s">
        <v>31</v>
      </c>
      <c r="C2387" t="s">
        <v>32</v>
      </c>
      <c r="D2387" t="s">
        <v>33</v>
      </c>
      <c r="E2387" t="s">
        <v>34</v>
      </c>
      <c r="F2387">
        <v>140</v>
      </c>
      <c r="G2387">
        <v>360</v>
      </c>
      <c r="H2387">
        <v>171</v>
      </c>
      <c r="I2387">
        <v>72</v>
      </c>
      <c r="J2387" s="8">
        <v>0.51428571428571423</v>
      </c>
      <c r="K2387">
        <v>36</v>
      </c>
      <c r="L2387">
        <v>32</v>
      </c>
      <c r="M2387">
        <v>157</v>
      </c>
      <c r="N2387" s="10">
        <v>398.88</v>
      </c>
      <c r="O2387" s="7">
        <v>6</v>
      </c>
      <c r="P2387" s="7">
        <v>27.9</v>
      </c>
      <c r="Q2387">
        <v>3</v>
      </c>
      <c r="R2387" t="s">
        <v>65</v>
      </c>
      <c r="S2387">
        <v>3</v>
      </c>
      <c r="T2387">
        <v>65</v>
      </c>
      <c r="U2387" s="11">
        <v>0.43388373911755823</v>
      </c>
      <c r="V2387" s="11">
        <v>-0.90096886790241903</v>
      </c>
      <c r="W2387" s="11">
        <v>0.89164019479688739</v>
      </c>
      <c r="X2387" s="11">
        <v>0.45274469960737107</v>
      </c>
      <c r="Y2387">
        <v>0</v>
      </c>
      <c r="Z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6">
        <v>45722</v>
      </c>
      <c r="B2388" t="s">
        <v>36</v>
      </c>
      <c r="C2388" t="s">
        <v>37</v>
      </c>
      <c r="D2388" t="s">
        <v>38</v>
      </c>
      <c r="E2388" t="s">
        <v>39</v>
      </c>
      <c r="F2388">
        <v>125</v>
      </c>
      <c r="G2388">
        <v>320</v>
      </c>
      <c r="H2388">
        <v>153</v>
      </c>
      <c r="I2388">
        <v>65</v>
      </c>
      <c r="J2388" s="8">
        <v>0.52</v>
      </c>
      <c r="K2388">
        <v>36</v>
      </c>
      <c r="L2388">
        <v>38</v>
      </c>
      <c r="M2388">
        <v>129</v>
      </c>
      <c r="N2388" s="10">
        <v>629.82000000000005</v>
      </c>
      <c r="O2388" s="7">
        <v>6</v>
      </c>
      <c r="P2388" s="7">
        <v>27.9</v>
      </c>
      <c r="Q2388">
        <v>3</v>
      </c>
      <c r="R2388" t="s">
        <v>65</v>
      </c>
      <c r="S2388">
        <v>3</v>
      </c>
      <c r="T2388">
        <v>65</v>
      </c>
      <c r="U2388" s="11">
        <v>0.43388373911755823</v>
      </c>
      <c r="V2388" s="11">
        <v>-0.90096886790241903</v>
      </c>
      <c r="W2388" s="11">
        <v>0.89164019479688739</v>
      </c>
      <c r="X2388" s="11">
        <v>0.45274469960737107</v>
      </c>
      <c r="Y2388">
        <v>0</v>
      </c>
      <c r="Z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6">
        <v>45722</v>
      </c>
      <c r="B2389" t="s">
        <v>41</v>
      </c>
      <c r="C2389" t="s">
        <v>42</v>
      </c>
      <c r="D2389" t="s">
        <v>43</v>
      </c>
      <c r="E2389" t="s">
        <v>44</v>
      </c>
      <c r="F2389">
        <v>85</v>
      </c>
      <c r="G2389">
        <v>210</v>
      </c>
      <c r="H2389">
        <v>114</v>
      </c>
      <c r="I2389">
        <v>50</v>
      </c>
      <c r="J2389" s="8">
        <v>0.58823529411764708</v>
      </c>
      <c r="K2389">
        <v>30</v>
      </c>
      <c r="L2389">
        <v>19</v>
      </c>
      <c r="M2389">
        <v>100</v>
      </c>
      <c r="N2389" s="10">
        <v>507.84</v>
      </c>
      <c r="O2389" s="7">
        <v>6</v>
      </c>
      <c r="P2389" s="7">
        <v>27.9</v>
      </c>
      <c r="Q2389">
        <v>3</v>
      </c>
      <c r="R2389" t="s">
        <v>65</v>
      </c>
      <c r="S2389">
        <v>3</v>
      </c>
      <c r="T2389">
        <v>65</v>
      </c>
      <c r="U2389" s="11">
        <v>0.43388373911755823</v>
      </c>
      <c r="V2389" s="11">
        <v>-0.90096886790241903</v>
      </c>
      <c r="W2389" s="11">
        <v>0.89164019479688739</v>
      </c>
      <c r="X2389" s="11">
        <v>0.45274469960737107</v>
      </c>
      <c r="Y2389">
        <v>0</v>
      </c>
      <c r="Z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6">
        <v>45723</v>
      </c>
      <c r="B2390" t="s">
        <v>31</v>
      </c>
      <c r="C2390" t="s">
        <v>32</v>
      </c>
      <c r="D2390" t="s">
        <v>33</v>
      </c>
      <c r="E2390" t="s">
        <v>34</v>
      </c>
      <c r="F2390">
        <v>140</v>
      </c>
      <c r="G2390">
        <v>360</v>
      </c>
      <c r="H2390">
        <v>173</v>
      </c>
      <c r="I2390">
        <v>74</v>
      </c>
      <c r="J2390" s="8">
        <v>0.52857142857142858</v>
      </c>
      <c r="K2390">
        <v>38</v>
      </c>
      <c r="L2390">
        <v>41</v>
      </c>
      <c r="M2390">
        <v>157</v>
      </c>
      <c r="N2390" s="10">
        <v>451.42</v>
      </c>
      <c r="O2390" s="7">
        <v>12.7</v>
      </c>
      <c r="P2390" s="7">
        <v>27.6</v>
      </c>
      <c r="Q2390">
        <v>4</v>
      </c>
      <c r="R2390" t="s">
        <v>66</v>
      </c>
      <c r="S2390">
        <v>3</v>
      </c>
      <c r="T2390">
        <v>66</v>
      </c>
      <c r="U2390" s="11">
        <v>-0.43388373911755801</v>
      </c>
      <c r="V2390" s="11">
        <v>-0.90096886790241915</v>
      </c>
      <c r="W2390" s="11">
        <v>0.89929619155302531</v>
      </c>
      <c r="X2390" s="11">
        <v>0.43734009633033227</v>
      </c>
      <c r="Y2390">
        <v>0</v>
      </c>
      <c r="Z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6">
        <v>45723</v>
      </c>
      <c r="B2391" t="s">
        <v>36</v>
      </c>
      <c r="C2391" t="s">
        <v>37</v>
      </c>
      <c r="D2391" t="s">
        <v>38</v>
      </c>
      <c r="E2391" t="s">
        <v>39</v>
      </c>
      <c r="F2391">
        <v>125</v>
      </c>
      <c r="G2391">
        <v>320</v>
      </c>
      <c r="H2391">
        <v>165</v>
      </c>
      <c r="I2391">
        <v>68</v>
      </c>
      <c r="J2391" s="8">
        <v>0.54400000000000004</v>
      </c>
      <c r="K2391">
        <v>26</v>
      </c>
      <c r="L2391">
        <v>35</v>
      </c>
      <c r="M2391">
        <v>147</v>
      </c>
      <c r="N2391" s="10">
        <v>663.54</v>
      </c>
      <c r="O2391" s="7">
        <v>12.7</v>
      </c>
      <c r="P2391" s="7">
        <v>27.6</v>
      </c>
      <c r="Q2391">
        <v>4</v>
      </c>
      <c r="R2391" t="s">
        <v>66</v>
      </c>
      <c r="S2391">
        <v>3</v>
      </c>
      <c r="T2391">
        <v>66</v>
      </c>
      <c r="U2391" s="11">
        <v>-0.43388373911755801</v>
      </c>
      <c r="V2391" s="11">
        <v>-0.90096886790241915</v>
      </c>
      <c r="W2391" s="11">
        <v>0.89929619155302531</v>
      </c>
      <c r="X2391" s="11">
        <v>0.43734009633033227</v>
      </c>
      <c r="Y2391">
        <v>0</v>
      </c>
      <c r="Z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6">
        <v>45723</v>
      </c>
      <c r="B2392" t="s">
        <v>41</v>
      </c>
      <c r="C2392" t="s">
        <v>42</v>
      </c>
      <c r="D2392" t="s">
        <v>43</v>
      </c>
      <c r="E2392" t="s">
        <v>44</v>
      </c>
      <c r="F2392">
        <v>85</v>
      </c>
      <c r="G2392">
        <v>210</v>
      </c>
      <c r="H2392">
        <v>118</v>
      </c>
      <c r="I2392">
        <v>54</v>
      </c>
      <c r="J2392" s="8">
        <v>0.63529411764705879</v>
      </c>
      <c r="K2392">
        <v>34</v>
      </c>
      <c r="L2392">
        <v>21</v>
      </c>
      <c r="M2392">
        <v>103</v>
      </c>
      <c r="N2392" s="10">
        <v>499.46</v>
      </c>
      <c r="O2392" s="7">
        <v>12.7</v>
      </c>
      <c r="P2392" s="7">
        <v>27.6</v>
      </c>
      <c r="Q2392">
        <v>4</v>
      </c>
      <c r="R2392" t="s">
        <v>66</v>
      </c>
      <c r="S2392">
        <v>3</v>
      </c>
      <c r="T2392">
        <v>66</v>
      </c>
      <c r="U2392" s="11">
        <v>-0.43388373911755801</v>
      </c>
      <c r="V2392" s="11">
        <v>-0.90096886790241915</v>
      </c>
      <c r="W2392" s="11">
        <v>0.89929619155302531</v>
      </c>
      <c r="X2392" s="11">
        <v>0.43734009633033227</v>
      </c>
      <c r="Y2392">
        <v>0</v>
      </c>
      <c r="Z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6">
        <v>45724</v>
      </c>
      <c r="B2393" t="s">
        <v>31</v>
      </c>
      <c r="C2393" t="s">
        <v>32</v>
      </c>
      <c r="D2393" t="s">
        <v>33</v>
      </c>
      <c r="E2393" t="s">
        <v>34</v>
      </c>
      <c r="F2393">
        <v>140</v>
      </c>
      <c r="G2393">
        <v>360</v>
      </c>
      <c r="H2393">
        <v>218</v>
      </c>
      <c r="I2393">
        <v>92</v>
      </c>
      <c r="J2393" s="8">
        <v>0.65714285714285714</v>
      </c>
      <c r="K2393">
        <v>40</v>
      </c>
      <c r="L2393">
        <v>35</v>
      </c>
      <c r="M2393">
        <v>186</v>
      </c>
      <c r="N2393" s="10">
        <v>479.78</v>
      </c>
      <c r="O2393" s="7">
        <v>16.8</v>
      </c>
      <c r="P2393" s="7">
        <v>28.1</v>
      </c>
      <c r="Q2393">
        <v>5</v>
      </c>
      <c r="R2393" t="s">
        <v>67</v>
      </c>
      <c r="S2393">
        <v>3</v>
      </c>
      <c r="T2393">
        <v>67</v>
      </c>
      <c r="U2393" s="11">
        <v>-0.97492791218182362</v>
      </c>
      <c r="V2393" s="11">
        <v>-0.22252093395631459</v>
      </c>
      <c r="W2393" s="11">
        <v>0.9066860720977985</v>
      </c>
      <c r="X2393" s="11">
        <v>0.42180607708266338</v>
      </c>
      <c r="Y2393">
        <v>1</v>
      </c>
      <c r="Z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6">
        <v>45724</v>
      </c>
      <c r="B2394" t="s">
        <v>36</v>
      </c>
      <c r="C2394" t="s">
        <v>37</v>
      </c>
      <c r="D2394" t="s">
        <v>38</v>
      </c>
      <c r="E2394" t="s">
        <v>39</v>
      </c>
      <c r="F2394">
        <v>125</v>
      </c>
      <c r="G2394">
        <v>320</v>
      </c>
      <c r="H2394">
        <v>200</v>
      </c>
      <c r="I2394">
        <v>85</v>
      </c>
      <c r="J2394" s="8">
        <v>0.68</v>
      </c>
      <c r="K2394">
        <v>51</v>
      </c>
      <c r="L2394">
        <v>37</v>
      </c>
      <c r="M2394">
        <v>171</v>
      </c>
      <c r="N2394" s="10">
        <v>653.36</v>
      </c>
      <c r="O2394" s="7">
        <v>16.8</v>
      </c>
      <c r="P2394" s="7">
        <v>28.1</v>
      </c>
      <c r="Q2394">
        <v>5</v>
      </c>
      <c r="R2394" t="s">
        <v>67</v>
      </c>
      <c r="S2394">
        <v>3</v>
      </c>
      <c r="T2394">
        <v>67</v>
      </c>
      <c r="U2394" s="11">
        <v>-0.97492791218182362</v>
      </c>
      <c r="V2394" s="11">
        <v>-0.22252093395631459</v>
      </c>
      <c r="W2394" s="11">
        <v>0.9066860720977985</v>
      </c>
      <c r="X2394" s="11">
        <v>0.42180607708266338</v>
      </c>
      <c r="Y2394">
        <v>1</v>
      </c>
      <c r="Z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6">
        <v>45724</v>
      </c>
      <c r="B2395" t="s">
        <v>41</v>
      </c>
      <c r="C2395" t="s">
        <v>42</v>
      </c>
      <c r="D2395" t="s">
        <v>43</v>
      </c>
      <c r="E2395" t="s">
        <v>44</v>
      </c>
      <c r="F2395">
        <v>85</v>
      </c>
      <c r="G2395">
        <v>210</v>
      </c>
      <c r="H2395">
        <v>141</v>
      </c>
      <c r="I2395">
        <v>63</v>
      </c>
      <c r="J2395" s="8">
        <v>0.74117647058823533</v>
      </c>
      <c r="K2395">
        <v>33</v>
      </c>
      <c r="L2395">
        <v>14</v>
      </c>
      <c r="M2395">
        <v>126</v>
      </c>
      <c r="N2395" s="10">
        <v>650.73</v>
      </c>
      <c r="O2395" s="7">
        <v>16.8</v>
      </c>
      <c r="P2395" s="7">
        <v>28.1</v>
      </c>
      <c r="Q2395">
        <v>5</v>
      </c>
      <c r="R2395" t="s">
        <v>67</v>
      </c>
      <c r="S2395">
        <v>3</v>
      </c>
      <c r="T2395">
        <v>67</v>
      </c>
      <c r="U2395" s="11">
        <v>-0.97492791218182362</v>
      </c>
      <c r="V2395" s="11">
        <v>-0.22252093395631459</v>
      </c>
      <c r="W2395" s="11">
        <v>0.9066860720977985</v>
      </c>
      <c r="X2395" s="11">
        <v>0.42180607708266338</v>
      </c>
      <c r="Y2395">
        <v>1</v>
      </c>
      <c r="Z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6">
        <v>45725</v>
      </c>
      <c r="B2396" t="s">
        <v>31</v>
      </c>
      <c r="C2396" t="s">
        <v>32</v>
      </c>
      <c r="D2396" t="s">
        <v>33</v>
      </c>
      <c r="E2396" t="s">
        <v>34</v>
      </c>
      <c r="F2396">
        <v>140</v>
      </c>
      <c r="G2396">
        <v>360</v>
      </c>
      <c r="H2396">
        <v>192</v>
      </c>
      <c r="I2396">
        <v>82</v>
      </c>
      <c r="J2396" s="8">
        <v>0.58571428571428574</v>
      </c>
      <c r="K2396">
        <v>29</v>
      </c>
      <c r="L2396">
        <v>46</v>
      </c>
      <c r="M2396">
        <v>159</v>
      </c>
      <c r="N2396" s="10">
        <v>491.53</v>
      </c>
      <c r="O2396" s="7">
        <v>13.2</v>
      </c>
      <c r="P2396" s="7">
        <v>28.3</v>
      </c>
      <c r="Q2396">
        <v>6</v>
      </c>
      <c r="R2396" t="s">
        <v>60</v>
      </c>
      <c r="S2396">
        <v>3</v>
      </c>
      <c r="T2396">
        <v>68</v>
      </c>
      <c r="U2396" s="11">
        <v>-0.78183148246802991</v>
      </c>
      <c r="V2396" s="11">
        <v>0.62348980185873337</v>
      </c>
      <c r="W2396" s="11">
        <v>0.9138076496466615</v>
      </c>
      <c r="X2396" s="11">
        <v>0.40614723863057883</v>
      </c>
      <c r="Y2396">
        <v>1</v>
      </c>
      <c r="Z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6">
        <v>45725</v>
      </c>
      <c r="B2397" t="s">
        <v>36</v>
      </c>
      <c r="C2397" t="s">
        <v>37</v>
      </c>
      <c r="D2397" t="s">
        <v>38</v>
      </c>
      <c r="E2397" t="s">
        <v>39</v>
      </c>
      <c r="F2397">
        <v>125</v>
      </c>
      <c r="G2397">
        <v>320</v>
      </c>
      <c r="H2397">
        <v>199</v>
      </c>
      <c r="I2397">
        <v>84</v>
      </c>
      <c r="J2397" s="8">
        <v>0.67200000000000004</v>
      </c>
      <c r="K2397">
        <v>39</v>
      </c>
      <c r="L2397">
        <v>29</v>
      </c>
      <c r="M2397">
        <v>174</v>
      </c>
      <c r="N2397" s="10">
        <v>764.3</v>
      </c>
      <c r="O2397" s="7">
        <v>13.2</v>
      </c>
      <c r="P2397" s="7">
        <v>28.3</v>
      </c>
      <c r="Q2397">
        <v>6</v>
      </c>
      <c r="R2397" t="s">
        <v>60</v>
      </c>
      <c r="S2397">
        <v>3</v>
      </c>
      <c r="T2397">
        <v>68</v>
      </c>
      <c r="U2397" s="11">
        <v>-0.78183148246802991</v>
      </c>
      <c r="V2397" s="11">
        <v>0.62348980185873337</v>
      </c>
      <c r="W2397" s="11">
        <v>0.9138076496466615</v>
      </c>
      <c r="X2397" s="11">
        <v>0.40614723863057883</v>
      </c>
      <c r="Y2397">
        <v>1</v>
      </c>
      <c r="Z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6">
        <v>45725</v>
      </c>
      <c r="B2398" t="s">
        <v>41</v>
      </c>
      <c r="C2398" t="s">
        <v>42</v>
      </c>
      <c r="D2398" t="s">
        <v>43</v>
      </c>
      <c r="E2398" t="s">
        <v>44</v>
      </c>
      <c r="F2398">
        <v>85</v>
      </c>
      <c r="G2398">
        <v>210</v>
      </c>
      <c r="H2398">
        <v>144</v>
      </c>
      <c r="I2398">
        <v>63</v>
      </c>
      <c r="J2398" s="8">
        <v>0.74117647058823533</v>
      </c>
      <c r="K2398">
        <v>35</v>
      </c>
      <c r="L2398">
        <v>34</v>
      </c>
      <c r="M2398">
        <v>128</v>
      </c>
      <c r="N2398" s="10">
        <v>548.22</v>
      </c>
      <c r="O2398" s="7">
        <v>13.2</v>
      </c>
      <c r="P2398" s="7">
        <v>28.3</v>
      </c>
      <c r="Q2398">
        <v>6</v>
      </c>
      <c r="R2398" t="s">
        <v>60</v>
      </c>
      <c r="S2398">
        <v>3</v>
      </c>
      <c r="T2398">
        <v>68</v>
      </c>
      <c r="U2398" s="11">
        <v>-0.78183148246802991</v>
      </c>
      <c r="V2398" s="11">
        <v>0.62348980185873337</v>
      </c>
      <c r="W2398" s="11">
        <v>0.9138076496466615</v>
      </c>
      <c r="X2398" s="11">
        <v>0.40614723863057883</v>
      </c>
      <c r="Y2398">
        <v>1</v>
      </c>
      <c r="Z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6">
        <v>45726</v>
      </c>
      <c r="B2399" t="s">
        <v>31</v>
      </c>
      <c r="C2399" t="s">
        <v>32</v>
      </c>
      <c r="D2399" t="s">
        <v>33</v>
      </c>
      <c r="E2399" t="s">
        <v>34</v>
      </c>
      <c r="F2399">
        <v>140</v>
      </c>
      <c r="G2399">
        <v>360</v>
      </c>
      <c r="H2399">
        <v>200</v>
      </c>
      <c r="I2399">
        <v>84</v>
      </c>
      <c r="J2399" s="8">
        <v>0.6</v>
      </c>
      <c r="K2399">
        <v>29</v>
      </c>
      <c r="L2399">
        <v>44</v>
      </c>
      <c r="M2399">
        <v>179</v>
      </c>
      <c r="N2399" s="10">
        <v>450.82</v>
      </c>
      <c r="O2399" s="7">
        <v>8.6</v>
      </c>
      <c r="P2399" s="7">
        <v>26.8</v>
      </c>
      <c r="Q2399">
        <v>0</v>
      </c>
      <c r="R2399" t="s">
        <v>62</v>
      </c>
      <c r="S2399">
        <v>3</v>
      </c>
      <c r="T2399">
        <v>69</v>
      </c>
      <c r="U2399" s="11">
        <v>0</v>
      </c>
      <c r="V2399" s="11">
        <v>1</v>
      </c>
      <c r="W2399" s="11">
        <v>0.92065881681024275</v>
      </c>
      <c r="X2399" s="11">
        <v>0.39036821467630262</v>
      </c>
      <c r="Y2399">
        <v>0</v>
      </c>
      <c r="Z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6">
        <v>45726</v>
      </c>
      <c r="B2400" t="s">
        <v>36</v>
      </c>
      <c r="C2400" t="s">
        <v>37</v>
      </c>
      <c r="D2400" t="s">
        <v>38</v>
      </c>
      <c r="E2400" t="s">
        <v>39</v>
      </c>
      <c r="F2400">
        <v>125</v>
      </c>
      <c r="G2400">
        <v>320</v>
      </c>
      <c r="H2400">
        <v>173</v>
      </c>
      <c r="I2400">
        <v>74</v>
      </c>
      <c r="J2400" s="8">
        <v>0.59199999999999997</v>
      </c>
      <c r="K2400">
        <v>50</v>
      </c>
      <c r="L2400">
        <v>31</v>
      </c>
      <c r="M2400">
        <v>156</v>
      </c>
      <c r="N2400" s="10">
        <v>616</v>
      </c>
      <c r="O2400" s="7">
        <v>8.6</v>
      </c>
      <c r="P2400" s="7">
        <v>26.8</v>
      </c>
      <c r="Q2400">
        <v>0</v>
      </c>
      <c r="R2400" t="s">
        <v>62</v>
      </c>
      <c r="S2400">
        <v>3</v>
      </c>
      <c r="T2400">
        <v>69</v>
      </c>
      <c r="U2400" s="11">
        <v>0</v>
      </c>
      <c r="V2400" s="11">
        <v>1</v>
      </c>
      <c r="W2400" s="11">
        <v>0.92065881681024275</v>
      </c>
      <c r="X2400" s="11">
        <v>0.39036821467630262</v>
      </c>
      <c r="Y2400">
        <v>0</v>
      </c>
      <c r="Z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6">
        <v>45726</v>
      </c>
      <c r="B2401" t="s">
        <v>41</v>
      </c>
      <c r="C2401" t="s">
        <v>42</v>
      </c>
      <c r="D2401" t="s">
        <v>43</v>
      </c>
      <c r="E2401" t="s">
        <v>44</v>
      </c>
      <c r="F2401">
        <v>85</v>
      </c>
      <c r="G2401">
        <v>210</v>
      </c>
      <c r="H2401">
        <v>110</v>
      </c>
      <c r="I2401">
        <v>51</v>
      </c>
      <c r="J2401" s="8">
        <v>0.6</v>
      </c>
      <c r="K2401">
        <v>30</v>
      </c>
      <c r="L2401">
        <v>29</v>
      </c>
      <c r="M2401">
        <v>91</v>
      </c>
      <c r="N2401" s="10">
        <v>522.07000000000005</v>
      </c>
      <c r="O2401" s="7">
        <v>8.6</v>
      </c>
      <c r="P2401" s="7">
        <v>26.8</v>
      </c>
      <c r="Q2401">
        <v>0</v>
      </c>
      <c r="R2401" t="s">
        <v>62</v>
      </c>
      <c r="S2401">
        <v>3</v>
      </c>
      <c r="T2401">
        <v>69</v>
      </c>
      <c r="U2401" s="11">
        <v>0</v>
      </c>
      <c r="V2401" s="11">
        <v>1</v>
      </c>
      <c r="W2401" s="11">
        <v>0.92065881681024275</v>
      </c>
      <c r="X2401" s="11">
        <v>0.39036821467630262</v>
      </c>
      <c r="Y2401">
        <v>0</v>
      </c>
      <c r="Z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6">
        <v>45727</v>
      </c>
      <c r="B2402" t="s">
        <v>31</v>
      </c>
      <c r="C2402" t="s">
        <v>32</v>
      </c>
      <c r="D2402" t="s">
        <v>33</v>
      </c>
      <c r="E2402" t="s">
        <v>34</v>
      </c>
      <c r="F2402">
        <v>140</v>
      </c>
      <c r="G2402">
        <v>360</v>
      </c>
      <c r="H2402">
        <v>195</v>
      </c>
      <c r="I2402">
        <v>82</v>
      </c>
      <c r="J2402" s="8">
        <v>0.58571428571428574</v>
      </c>
      <c r="K2402">
        <v>37</v>
      </c>
      <c r="L2402">
        <v>54</v>
      </c>
      <c r="M2402">
        <v>166</v>
      </c>
      <c r="N2402" s="10">
        <v>427.34</v>
      </c>
      <c r="O2402" s="7">
        <v>6.4</v>
      </c>
      <c r="P2402" s="7">
        <v>28.1</v>
      </c>
      <c r="Q2402">
        <v>1</v>
      </c>
      <c r="R2402" t="s">
        <v>63</v>
      </c>
      <c r="S2402">
        <v>3</v>
      </c>
      <c r="T2402">
        <v>70</v>
      </c>
      <c r="U2402" s="11">
        <v>0.7818314824680298</v>
      </c>
      <c r="V2402" s="11">
        <v>0.62348980185873359</v>
      </c>
      <c r="W2402" s="11">
        <v>0.92723754621795373</v>
      </c>
      <c r="X2402" s="11">
        <v>0.37447367448688301</v>
      </c>
      <c r="Y2402">
        <v>0</v>
      </c>
      <c r="Z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6">
        <v>45727</v>
      </c>
      <c r="B2403" t="s">
        <v>36</v>
      </c>
      <c r="C2403" t="s">
        <v>37</v>
      </c>
      <c r="D2403" t="s">
        <v>38</v>
      </c>
      <c r="E2403" t="s">
        <v>39</v>
      </c>
      <c r="F2403">
        <v>125</v>
      </c>
      <c r="G2403">
        <v>320</v>
      </c>
      <c r="H2403">
        <v>145</v>
      </c>
      <c r="I2403">
        <v>61</v>
      </c>
      <c r="J2403" s="8">
        <v>0.48799999999999999</v>
      </c>
      <c r="K2403">
        <v>35</v>
      </c>
      <c r="L2403">
        <v>36</v>
      </c>
      <c r="M2403">
        <v>131</v>
      </c>
      <c r="N2403" s="10">
        <v>579.74</v>
      </c>
      <c r="O2403" s="7">
        <v>6.4</v>
      </c>
      <c r="P2403" s="7">
        <v>28.1</v>
      </c>
      <c r="Q2403">
        <v>1</v>
      </c>
      <c r="R2403" t="s">
        <v>63</v>
      </c>
      <c r="S2403">
        <v>3</v>
      </c>
      <c r="T2403">
        <v>70</v>
      </c>
      <c r="U2403" s="11">
        <v>0.7818314824680298</v>
      </c>
      <c r="V2403" s="11">
        <v>0.62348980185873359</v>
      </c>
      <c r="W2403" s="11">
        <v>0.92723754621795373</v>
      </c>
      <c r="X2403" s="11">
        <v>0.37447367448688301</v>
      </c>
      <c r="Y2403">
        <v>0</v>
      </c>
      <c r="Z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6">
        <v>45727</v>
      </c>
      <c r="B2404" t="s">
        <v>41</v>
      </c>
      <c r="C2404" t="s">
        <v>42</v>
      </c>
      <c r="D2404" t="s">
        <v>43</v>
      </c>
      <c r="E2404" t="s">
        <v>44</v>
      </c>
      <c r="F2404">
        <v>85</v>
      </c>
      <c r="G2404">
        <v>210</v>
      </c>
      <c r="H2404">
        <v>128</v>
      </c>
      <c r="I2404">
        <v>59</v>
      </c>
      <c r="J2404" s="8">
        <v>0.69411764705882351</v>
      </c>
      <c r="K2404">
        <v>37</v>
      </c>
      <c r="L2404">
        <v>25</v>
      </c>
      <c r="M2404">
        <v>115</v>
      </c>
      <c r="N2404" s="10">
        <v>540.25</v>
      </c>
      <c r="O2404" s="7">
        <v>6.4</v>
      </c>
      <c r="P2404" s="7">
        <v>28.1</v>
      </c>
      <c r="Q2404">
        <v>1</v>
      </c>
      <c r="R2404" t="s">
        <v>63</v>
      </c>
      <c r="S2404">
        <v>3</v>
      </c>
      <c r="T2404">
        <v>70</v>
      </c>
      <c r="U2404" s="11">
        <v>0.7818314824680298</v>
      </c>
      <c r="V2404" s="11">
        <v>0.62348980185873359</v>
      </c>
      <c r="W2404" s="11">
        <v>0.92723754621795373</v>
      </c>
      <c r="X2404" s="11">
        <v>0.37447367448688301</v>
      </c>
      <c r="Y2404">
        <v>0</v>
      </c>
      <c r="Z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6">
        <v>45728</v>
      </c>
      <c r="B2405" t="s">
        <v>31</v>
      </c>
      <c r="C2405" t="s">
        <v>32</v>
      </c>
      <c r="D2405" t="s">
        <v>33</v>
      </c>
      <c r="E2405" t="s">
        <v>34</v>
      </c>
      <c r="F2405">
        <v>140</v>
      </c>
      <c r="G2405">
        <v>360</v>
      </c>
      <c r="H2405">
        <v>162</v>
      </c>
      <c r="I2405">
        <v>72</v>
      </c>
      <c r="J2405" s="8">
        <v>0.51428571428571423</v>
      </c>
      <c r="K2405">
        <v>28</v>
      </c>
      <c r="L2405">
        <v>38</v>
      </c>
      <c r="M2405">
        <v>138</v>
      </c>
      <c r="N2405" s="10">
        <v>463.56</v>
      </c>
      <c r="O2405" s="7">
        <v>9.6</v>
      </c>
      <c r="P2405" s="7">
        <v>28.1</v>
      </c>
      <c r="Q2405">
        <v>2</v>
      </c>
      <c r="R2405" t="s">
        <v>64</v>
      </c>
      <c r="S2405">
        <v>3</v>
      </c>
      <c r="T2405">
        <v>71</v>
      </c>
      <c r="U2405" s="11">
        <v>0.97492791218182362</v>
      </c>
      <c r="V2405" s="11">
        <v>-0.22252093395631434</v>
      </c>
      <c r="W2405" s="11">
        <v>0.93354189111792119</v>
      </c>
      <c r="X2405" s="11">
        <v>0.35846832151248087</v>
      </c>
      <c r="Y2405">
        <v>0</v>
      </c>
      <c r="Z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6">
        <v>45728</v>
      </c>
      <c r="B2406" t="s">
        <v>36</v>
      </c>
      <c r="C2406" t="s">
        <v>37</v>
      </c>
      <c r="D2406" t="s">
        <v>38</v>
      </c>
      <c r="E2406" t="s">
        <v>39</v>
      </c>
      <c r="F2406">
        <v>125</v>
      </c>
      <c r="G2406">
        <v>320</v>
      </c>
      <c r="H2406">
        <v>167</v>
      </c>
      <c r="I2406">
        <v>71</v>
      </c>
      <c r="J2406" s="8">
        <v>0.56799999999999995</v>
      </c>
      <c r="K2406">
        <v>44</v>
      </c>
      <c r="L2406">
        <v>22</v>
      </c>
      <c r="M2406">
        <v>154</v>
      </c>
      <c r="N2406" s="10">
        <v>576.73</v>
      </c>
      <c r="O2406" s="7">
        <v>9.6</v>
      </c>
      <c r="P2406" s="7">
        <v>28.1</v>
      </c>
      <c r="Q2406">
        <v>2</v>
      </c>
      <c r="R2406" t="s">
        <v>64</v>
      </c>
      <c r="S2406">
        <v>3</v>
      </c>
      <c r="T2406">
        <v>71</v>
      </c>
      <c r="U2406" s="11">
        <v>0.97492791218182362</v>
      </c>
      <c r="V2406" s="11">
        <v>-0.22252093395631434</v>
      </c>
      <c r="W2406" s="11">
        <v>0.93354189111792119</v>
      </c>
      <c r="X2406" s="11">
        <v>0.35846832151248087</v>
      </c>
      <c r="Y2406">
        <v>0</v>
      </c>
      <c r="Z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6">
        <v>45728</v>
      </c>
      <c r="B2407" t="s">
        <v>41</v>
      </c>
      <c r="C2407" t="s">
        <v>42</v>
      </c>
      <c r="D2407" t="s">
        <v>43</v>
      </c>
      <c r="E2407" t="s">
        <v>44</v>
      </c>
      <c r="F2407">
        <v>85</v>
      </c>
      <c r="G2407">
        <v>210</v>
      </c>
      <c r="H2407">
        <v>116</v>
      </c>
      <c r="I2407">
        <v>53</v>
      </c>
      <c r="J2407" s="8">
        <v>0.62352941176470589</v>
      </c>
      <c r="K2407">
        <v>26</v>
      </c>
      <c r="L2407">
        <v>31</v>
      </c>
      <c r="M2407">
        <v>108</v>
      </c>
      <c r="N2407" s="10">
        <v>557.91</v>
      </c>
      <c r="O2407" s="7">
        <v>9.6</v>
      </c>
      <c r="P2407" s="7">
        <v>28.1</v>
      </c>
      <c r="Q2407">
        <v>2</v>
      </c>
      <c r="R2407" t="s">
        <v>64</v>
      </c>
      <c r="S2407">
        <v>3</v>
      </c>
      <c r="T2407">
        <v>71</v>
      </c>
      <c r="U2407" s="11">
        <v>0.97492791218182362</v>
      </c>
      <c r="V2407" s="11">
        <v>-0.22252093395631434</v>
      </c>
      <c r="W2407" s="11">
        <v>0.93354189111792119</v>
      </c>
      <c r="X2407" s="11">
        <v>0.35846832151248087</v>
      </c>
      <c r="Y2407">
        <v>0</v>
      </c>
      <c r="Z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6">
        <v>45729</v>
      </c>
      <c r="B2408" t="s">
        <v>31</v>
      </c>
      <c r="C2408" t="s">
        <v>32</v>
      </c>
      <c r="D2408" t="s">
        <v>33</v>
      </c>
      <c r="E2408" t="s">
        <v>34</v>
      </c>
      <c r="F2408">
        <v>140</v>
      </c>
      <c r="G2408">
        <v>360</v>
      </c>
      <c r="H2408">
        <v>172</v>
      </c>
      <c r="I2408">
        <v>74</v>
      </c>
      <c r="J2408" s="8">
        <v>0.52857142857142858</v>
      </c>
      <c r="K2408">
        <v>27</v>
      </c>
      <c r="L2408">
        <v>41</v>
      </c>
      <c r="M2408">
        <v>160</v>
      </c>
      <c r="N2408" s="10">
        <v>393.79</v>
      </c>
      <c r="O2408" s="7">
        <v>21.3</v>
      </c>
      <c r="P2408" s="7">
        <v>28.1</v>
      </c>
      <c r="Q2408">
        <v>3</v>
      </c>
      <c r="R2408" t="s">
        <v>65</v>
      </c>
      <c r="S2408">
        <v>3</v>
      </c>
      <c r="T2408">
        <v>72</v>
      </c>
      <c r="U2408" s="11">
        <v>0.43388373911755823</v>
      </c>
      <c r="V2408" s="11">
        <v>-0.90096886790241903</v>
      </c>
      <c r="W2408" s="11">
        <v>0.93956998595306218</v>
      </c>
      <c r="X2408" s="11">
        <v>0.342356891994542</v>
      </c>
      <c r="Y2408">
        <v>0</v>
      </c>
      <c r="Z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6">
        <v>45729</v>
      </c>
      <c r="B2409" t="s">
        <v>36</v>
      </c>
      <c r="C2409" t="s">
        <v>37</v>
      </c>
      <c r="D2409" t="s">
        <v>38</v>
      </c>
      <c r="E2409" t="s">
        <v>39</v>
      </c>
      <c r="F2409">
        <v>125</v>
      </c>
      <c r="G2409">
        <v>320</v>
      </c>
      <c r="H2409">
        <v>142</v>
      </c>
      <c r="I2409">
        <v>59</v>
      </c>
      <c r="J2409" s="8">
        <v>0.47199999999999998</v>
      </c>
      <c r="K2409">
        <v>28</v>
      </c>
      <c r="L2409">
        <v>10</v>
      </c>
      <c r="M2409">
        <v>128</v>
      </c>
      <c r="N2409" s="10">
        <v>634.78</v>
      </c>
      <c r="O2409" s="7">
        <v>21.3</v>
      </c>
      <c r="P2409" s="7">
        <v>28.1</v>
      </c>
      <c r="Q2409">
        <v>3</v>
      </c>
      <c r="R2409" t="s">
        <v>65</v>
      </c>
      <c r="S2409">
        <v>3</v>
      </c>
      <c r="T2409">
        <v>72</v>
      </c>
      <c r="U2409" s="11">
        <v>0.43388373911755823</v>
      </c>
      <c r="V2409" s="11">
        <v>-0.90096886790241903</v>
      </c>
      <c r="W2409" s="11">
        <v>0.93956998595306218</v>
      </c>
      <c r="X2409" s="11">
        <v>0.342356891994542</v>
      </c>
      <c r="Y2409">
        <v>0</v>
      </c>
      <c r="Z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6">
        <v>45729</v>
      </c>
      <c r="B2410" t="s">
        <v>41</v>
      </c>
      <c r="C2410" t="s">
        <v>42</v>
      </c>
      <c r="D2410" t="s">
        <v>43</v>
      </c>
      <c r="E2410" t="s">
        <v>44</v>
      </c>
      <c r="F2410">
        <v>85</v>
      </c>
      <c r="G2410">
        <v>210</v>
      </c>
      <c r="H2410">
        <v>115</v>
      </c>
      <c r="I2410">
        <v>54</v>
      </c>
      <c r="J2410" s="8">
        <v>0.63529411764705879</v>
      </c>
      <c r="K2410">
        <v>27</v>
      </c>
      <c r="L2410">
        <v>29</v>
      </c>
      <c r="M2410">
        <v>107</v>
      </c>
      <c r="N2410" s="10">
        <v>536.04</v>
      </c>
      <c r="O2410" s="7">
        <v>21.3</v>
      </c>
      <c r="P2410" s="7">
        <v>28.1</v>
      </c>
      <c r="Q2410">
        <v>3</v>
      </c>
      <c r="R2410" t="s">
        <v>65</v>
      </c>
      <c r="S2410">
        <v>3</v>
      </c>
      <c r="T2410">
        <v>72</v>
      </c>
      <c r="U2410" s="11">
        <v>0.43388373911755823</v>
      </c>
      <c r="V2410" s="11">
        <v>-0.90096886790241903</v>
      </c>
      <c r="W2410" s="11">
        <v>0.93956998595306218</v>
      </c>
      <c r="X2410" s="11">
        <v>0.342356891994542</v>
      </c>
      <c r="Y2410">
        <v>0</v>
      </c>
      <c r="Z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6">
        <v>45730</v>
      </c>
      <c r="B2411" t="s">
        <v>31</v>
      </c>
      <c r="C2411" t="s">
        <v>32</v>
      </c>
      <c r="D2411" t="s">
        <v>33</v>
      </c>
      <c r="E2411" t="s">
        <v>34</v>
      </c>
      <c r="F2411">
        <v>140</v>
      </c>
      <c r="G2411">
        <v>360</v>
      </c>
      <c r="H2411">
        <v>193</v>
      </c>
      <c r="I2411">
        <v>83</v>
      </c>
      <c r="J2411" s="8">
        <v>0.59285714285714286</v>
      </c>
      <c r="K2411">
        <v>35</v>
      </c>
      <c r="L2411">
        <v>39</v>
      </c>
      <c r="M2411">
        <v>159</v>
      </c>
      <c r="N2411" s="10">
        <v>442.54</v>
      </c>
      <c r="O2411" s="7">
        <v>14.2</v>
      </c>
      <c r="P2411" s="7">
        <v>26.8</v>
      </c>
      <c r="Q2411">
        <v>4</v>
      </c>
      <c r="R2411" t="s">
        <v>66</v>
      </c>
      <c r="S2411">
        <v>3</v>
      </c>
      <c r="T2411">
        <v>73</v>
      </c>
      <c r="U2411" s="11">
        <v>-0.43388373911755801</v>
      </c>
      <c r="V2411" s="11">
        <v>-0.90096886790241915</v>
      </c>
      <c r="W2411" s="11">
        <v>0.94532004691313198</v>
      </c>
      <c r="X2411" s="11">
        <v>0.32614415356426962</v>
      </c>
      <c r="Y2411">
        <v>0</v>
      </c>
      <c r="Z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6">
        <v>45730</v>
      </c>
      <c r="B2412" t="s">
        <v>36</v>
      </c>
      <c r="C2412" t="s">
        <v>37</v>
      </c>
      <c r="D2412" t="s">
        <v>38</v>
      </c>
      <c r="E2412" t="s">
        <v>39</v>
      </c>
      <c r="F2412">
        <v>125</v>
      </c>
      <c r="G2412">
        <v>320</v>
      </c>
      <c r="H2412">
        <v>176</v>
      </c>
      <c r="I2412">
        <v>70</v>
      </c>
      <c r="J2412" s="8">
        <v>0.56000000000000005</v>
      </c>
      <c r="K2412">
        <v>32</v>
      </c>
      <c r="L2412">
        <v>28</v>
      </c>
      <c r="M2412">
        <v>151</v>
      </c>
      <c r="N2412" s="10">
        <v>666.85</v>
      </c>
      <c r="O2412" s="7">
        <v>14.2</v>
      </c>
      <c r="P2412" s="7">
        <v>26.8</v>
      </c>
      <c r="Q2412">
        <v>4</v>
      </c>
      <c r="R2412" t="s">
        <v>66</v>
      </c>
      <c r="S2412">
        <v>3</v>
      </c>
      <c r="T2412">
        <v>73</v>
      </c>
      <c r="U2412" s="11">
        <v>-0.43388373911755801</v>
      </c>
      <c r="V2412" s="11">
        <v>-0.90096886790241915</v>
      </c>
      <c r="W2412" s="11">
        <v>0.94532004691313198</v>
      </c>
      <c r="X2412" s="11">
        <v>0.32614415356426962</v>
      </c>
      <c r="Y2412">
        <v>0</v>
      </c>
      <c r="Z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6">
        <v>45730</v>
      </c>
      <c r="B2413" t="s">
        <v>41</v>
      </c>
      <c r="C2413" t="s">
        <v>42</v>
      </c>
      <c r="D2413" t="s">
        <v>43</v>
      </c>
      <c r="E2413" t="s">
        <v>44</v>
      </c>
      <c r="F2413">
        <v>85</v>
      </c>
      <c r="G2413">
        <v>210</v>
      </c>
      <c r="H2413">
        <v>116</v>
      </c>
      <c r="I2413">
        <v>51</v>
      </c>
      <c r="J2413" s="8">
        <v>0.6</v>
      </c>
      <c r="K2413">
        <v>31</v>
      </c>
      <c r="L2413">
        <v>19</v>
      </c>
      <c r="M2413">
        <v>106</v>
      </c>
      <c r="N2413" s="10">
        <v>545.85</v>
      </c>
      <c r="O2413" s="7">
        <v>14.2</v>
      </c>
      <c r="P2413" s="7">
        <v>26.8</v>
      </c>
      <c r="Q2413">
        <v>4</v>
      </c>
      <c r="R2413" t="s">
        <v>66</v>
      </c>
      <c r="S2413">
        <v>3</v>
      </c>
      <c r="T2413">
        <v>73</v>
      </c>
      <c r="U2413" s="11">
        <v>-0.43388373911755801</v>
      </c>
      <c r="V2413" s="11">
        <v>-0.90096886790241915</v>
      </c>
      <c r="W2413" s="11">
        <v>0.94532004691313198</v>
      </c>
      <c r="X2413" s="11">
        <v>0.32614415356426962</v>
      </c>
      <c r="Y2413">
        <v>0</v>
      </c>
      <c r="Z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6">
        <v>45731</v>
      </c>
      <c r="B2414" t="s">
        <v>31</v>
      </c>
      <c r="C2414" t="s">
        <v>32</v>
      </c>
      <c r="D2414" t="s">
        <v>33</v>
      </c>
      <c r="E2414" t="s">
        <v>34</v>
      </c>
      <c r="F2414">
        <v>140</v>
      </c>
      <c r="G2414">
        <v>360</v>
      </c>
      <c r="H2414">
        <v>194</v>
      </c>
      <c r="I2414">
        <v>84</v>
      </c>
      <c r="J2414" s="8">
        <v>0.6</v>
      </c>
      <c r="K2414">
        <v>38</v>
      </c>
      <c r="L2414">
        <v>28</v>
      </c>
      <c r="M2414">
        <v>181</v>
      </c>
      <c r="N2414" s="10">
        <v>436.65</v>
      </c>
      <c r="O2414" s="7">
        <v>0</v>
      </c>
      <c r="P2414" s="7">
        <v>27</v>
      </c>
      <c r="Q2414">
        <v>5</v>
      </c>
      <c r="R2414" t="s">
        <v>67</v>
      </c>
      <c r="S2414">
        <v>3</v>
      </c>
      <c r="T2414">
        <v>74</v>
      </c>
      <c r="U2414" s="11">
        <v>-0.97492791218182362</v>
      </c>
      <c r="V2414" s="11">
        <v>-0.22252093395631459</v>
      </c>
      <c r="W2414" s="11">
        <v>0.95079037246258324</v>
      </c>
      <c r="X2414" s="11">
        <v>0.30983490383180251</v>
      </c>
      <c r="Y2414">
        <v>1</v>
      </c>
      <c r="Z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6">
        <v>45731</v>
      </c>
      <c r="B2415" t="s">
        <v>36</v>
      </c>
      <c r="C2415" t="s">
        <v>37</v>
      </c>
      <c r="D2415" t="s">
        <v>38</v>
      </c>
      <c r="E2415" t="s">
        <v>39</v>
      </c>
      <c r="F2415">
        <v>125</v>
      </c>
      <c r="G2415">
        <v>320</v>
      </c>
      <c r="H2415">
        <v>183</v>
      </c>
      <c r="I2415">
        <v>76</v>
      </c>
      <c r="J2415" s="8">
        <v>0.60799999999999998</v>
      </c>
      <c r="K2415">
        <v>22</v>
      </c>
      <c r="L2415">
        <v>50</v>
      </c>
      <c r="M2415">
        <v>169</v>
      </c>
      <c r="N2415" s="10">
        <v>752.34</v>
      </c>
      <c r="O2415" s="7">
        <v>0</v>
      </c>
      <c r="P2415" s="7">
        <v>27</v>
      </c>
      <c r="Q2415">
        <v>5</v>
      </c>
      <c r="R2415" t="s">
        <v>67</v>
      </c>
      <c r="S2415">
        <v>3</v>
      </c>
      <c r="T2415">
        <v>74</v>
      </c>
      <c r="U2415" s="11">
        <v>-0.97492791218182362</v>
      </c>
      <c r="V2415" s="11">
        <v>-0.22252093395631459</v>
      </c>
      <c r="W2415" s="11">
        <v>0.95079037246258324</v>
      </c>
      <c r="X2415" s="11">
        <v>0.30983490383180251</v>
      </c>
      <c r="Y2415">
        <v>1</v>
      </c>
      <c r="Z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6">
        <v>45731</v>
      </c>
      <c r="B2416" t="s">
        <v>41</v>
      </c>
      <c r="C2416" t="s">
        <v>42</v>
      </c>
      <c r="D2416" t="s">
        <v>43</v>
      </c>
      <c r="E2416" t="s">
        <v>44</v>
      </c>
      <c r="F2416">
        <v>85</v>
      </c>
      <c r="G2416">
        <v>210</v>
      </c>
      <c r="H2416">
        <v>150</v>
      </c>
      <c r="I2416">
        <v>67</v>
      </c>
      <c r="J2416" s="8">
        <v>0.78823529411764703</v>
      </c>
      <c r="K2416">
        <v>19</v>
      </c>
      <c r="L2416">
        <v>39</v>
      </c>
      <c r="M2416">
        <v>135</v>
      </c>
      <c r="N2416" s="10">
        <v>589.28</v>
      </c>
      <c r="O2416" s="7">
        <v>0</v>
      </c>
      <c r="P2416" s="7">
        <v>27</v>
      </c>
      <c r="Q2416">
        <v>5</v>
      </c>
      <c r="R2416" t="s">
        <v>67</v>
      </c>
      <c r="S2416">
        <v>3</v>
      </c>
      <c r="T2416">
        <v>74</v>
      </c>
      <c r="U2416" s="11">
        <v>-0.97492791218182362</v>
      </c>
      <c r="V2416" s="11">
        <v>-0.22252093395631459</v>
      </c>
      <c r="W2416" s="11">
        <v>0.95079037246258324</v>
      </c>
      <c r="X2416" s="11">
        <v>0.30983490383180251</v>
      </c>
      <c r="Y2416">
        <v>1</v>
      </c>
      <c r="Z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6">
        <v>45732</v>
      </c>
      <c r="B2417" t="s">
        <v>31</v>
      </c>
      <c r="C2417" t="s">
        <v>32</v>
      </c>
      <c r="D2417" t="s">
        <v>33</v>
      </c>
      <c r="E2417" t="s">
        <v>34</v>
      </c>
      <c r="F2417">
        <v>140</v>
      </c>
      <c r="G2417">
        <v>360</v>
      </c>
      <c r="H2417">
        <v>220</v>
      </c>
      <c r="I2417">
        <v>92</v>
      </c>
      <c r="J2417" s="8">
        <v>0.65714285714285714</v>
      </c>
      <c r="K2417">
        <v>51</v>
      </c>
      <c r="L2417">
        <v>42</v>
      </c>
      <c r="M2417">
        <v>191</v>
      </c>
      <c r="N2417" s="10">
        <v>446.54</v>
      </c>
      <c r="O2417" s="7">
        <v>16</v>
      </c>
      <c r="P2417" s="7">
        <v>27.4</v>
      </c>
      <c r="Q2417">
        <v>6</v>
      </c>
      <c r="R2417" t="s">
        <v>60</v>
      </c>
      <c r="S2417">
        <v>3</v>
      </c>
      <c r="T2417">
        <v>75</v>
      </c>
      <c r="U2417" s="11">
        <v>-0.78183148246802991</v>
      </c>
      <c r="V2417" s="11">
        <v>0.62348980185873337</v>
      </c>
      <c r="W2417" s="11">
        <v>0.95597934384407657</v>
      </c>
      <c r="X2417" s="11">
        <v>0.29343396896652729</v>
      </c>
      <c r="Y2417">
        <v>1</v>
      </c>
      <c r="Z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6">
        <v>45732</v>
      </c>
      <c r="B2418" t="s">
        <v>36</v>
      </c>
      <c r="C2418" t="s">
        <v>37</v>
      </c>
      <c r="D2418" t="s">
        <v>38</v>
      </c>
      <c r="E2418" t="s">
        <v>39</v>
      </c>
      <c r="F2418">
        <v>125</v>
      </c>
      <c r="G2418">
        <v>320</v>
      </c>
      <c r="H2418">
        <v>187</v>
      </c>
      <c r="I2418">
        <v>76</v>
      </c>
      <c r="J2418" s="8">
        <v>0.60799999999999998</v>
      </c>
      <c r="K2418">
        <v>29</v>
      </c>
      <c r="L2418">
        <v>43</v>
      </c>
      <c r="M2418">
        <v>159</v>
      </c>
      <c r="N2418" s="10">
        <v>718.58</v>
      </c>
      <c r="O2418" s="7">
        <v>16</v>
      </c>
      <c r="P2418" s="7">
        <v>27.4</v>
      </c>
      <c r="Q2418">
        <v>6</v>
      </c>
      <c r="R2418" t="s">
        <v>60</v>
      </c>
      <c r="S2418">
        <v>3</v>
      </c>
      <c r="T2418">
        <v>75</v>
      </c>
      <c r="U2418" s="11">
        <v>-0.78183148246802991</v>
      </c>
      <c r="V2418" s="11">
        <v>0.62348980185873337</v>
      </c>
      <c r="W2418" s="11">
        <v>0.95597934384407657</v>
      </c>
      <c r="X2418" s="11">
        <v>0.29343396896652729</v>
      </c>
      <c r="Y2418">
        <v>1</v>
      </c>
      <c r="Z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6">
        <v>45732</v>
      </c>
      <c r="B2419" t="s">
        <v>41</v>
      </c>
      <c r="C2419" t="s">
        <v>42</v>
      </c>
      <c r="D2419" t="s">
        <v>43</v>
      </c>
      <c r="E2419" t="s">
        <v>44</v>
      </c>
      <c r="F2419">
        <v>85</v>
      </c>
      <c r="G2419">
        <v>210</v>
      </c>
      <c r="H2419">
        <v>139</v>
      </c>
      <c r="I2419">
        <v>63</v>
      </c>
      <c r="J2419" s="8">
        <v>0.74117647058823533</v>
      </c>
      <c r="K2419">
        <v>30</v>
      </c>
      <c r="L2419">
        <v>23</v>
      </c>
      <c r="M2419">
        <v>121</v>
      </c>
      <c r="N2419" s="10">
        <v>607.52</v>
      </c>
      <c r="O2419" s="7">
        <v>16</v>
      </c>
      <c r="P2419" s="7">
        <v>27.4</v>
      </c>
      <c r="Q2419">
        <v>6</v>
      </c>
      <c r="R2419" t="s">
        <v>60</v>
      </c>
      <c r="S2419">
        <v>3</v>
      </c>
      <c r="T2419">
        <v>75</v>
      </c>
      <c r="U2419" s="11">
        <v>-0.78183148246802991</v>
      </c>
      <c r="V2419" s="11">
        <v>0.62348980185873337</v>
      </c>
      <c r="W2419" s="11">
        <v>0.95597934384407657</v>
      </c>
      <c r="X2419" s="11">
        <v>0.29343396896652729</v>
      </c>
      <c r="Y2419">
        <v>1</v>
      </c>
      <c r="Z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6">
        <v>45733</v>
      </c>
      <c r="B2420" t="s">
        <v>31</v>
      </c>
      <c r="C2420" t="s">
        <v>32</v>
      </c>
      <c r="D2420" t="s">
        <v>33</v>
      </c>
      <c r="E2420" t="s">
        <v>34</v>
      </c>
      <c r="F2420">
        <v>140</v>
      </c>
      <c r="G2420">
        <v>360</v>
      </c>
      <c r="H2420">
        <v>184</v>
      </c>
      <c r="I2420">
        <v>77</v>
      </c>
      <c r="J2420" s="8">
        <v>0.55000000000000004</v>
      </c>
      <c r="K2420">
        <v>45</v>
      </c>
      <c r="L2420">
        <v>25</v>
      </c>
      <c r="M2420">
        <v>172</v>
      </c>
      <c r="N2420" s="10">
        <v>437.96</v>
      </c>
      <c r="O2420" s="7">
        <v>14.5</v>
      </c>
      <c r="P2420" s="7">
        <v>26.7</v>
      </c>
      <c r="Q2420">
        <v>0</v>
      </c>
      <c r="R2420" t="s">
        <v>62</v>
      </c>
      <c r="S2420">
        <v>3</v>
      </c>
      <c r="T2420">
        <v>76</v>
      </c>
      <c r="U2420" s="11">
        <v>0</v>
      </c>
      <c r="V2420" s="11">
        <v>1</v>
      </c>
      <c r="W2420" s="11">
        <v>0.96088542555749767</v>
      </c>
      <c r="X2420" s="11">
        <v>0.27694620226893646</v>
      </c>
      <c r="Y2420">
        <v>0</v>
      </c>
      <c r="Z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6">
        <v>45733</v>
      </c>
      <c r="B2421" t="s">
        <v>36</v>
      </c>
      <c r="C2421" t="s">
        <v>37</v>
      </c>
      <c r="D2421" t="s">
        <v>38</v>
      </c>
      <c r="E2421" t="s">
        <v>39</v>
      </c>
      <c r="F2421">
        <v>125</v>
      </c>
      <c r="G2421">
        <v>320</v>
      </c>
      <c r="H2421">
        <v>165</v>
      </c>
      <c r="I2421">
        <v>69</v>
      </c>
      <c r="J2421" s="8">
        <v>0.55200000000000005</v>
      </c>
      <c r="K2421">
        <v>30</v>
      </c>
      <c r="L2421">
        <v>39</v>
      </c>
      <c r="M2421">
        <v>150</v>
      </c>
      <c r="N2421" s="10">
        <v>656.51</v>
      </c>
      <c r="O2421" s="7">
        <v>14.5</v>
      </c>
      <c r="P2421" s="7">
        <v>26.7</v>
      </c>
      <c r="Q2421">
        <v>0</v>
      </c>
      <c r="R2421" t="s">
        <v>62</v>
      </c>
      <c r="S2421">
        <v>3</v>
      </c>
      <c r="T2421">
        <v>76</v>
      </c>
      <c r="U2421" s="11">
        <v>0</v>
      </c>
      <c r="V2421" s="11">
        <v>1</v>
      </c>
      <c r="W2421" s="11">
        <v>0.96088542555749767</v>
      </c>
      <c r="X2421" s="11">
        <v>0.27694620226893646</v>
      </c>
      <c r="Y2421">
        <v>0</v>
      </c>
      <c r="Z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6">
        <v>45733</v>
      </c>
      <c r="B2422" t="s">
        <v>41</v>
      </c>
      <c r="C2422" t="s">
        <v>42</v>
      </c>
      <c r="D2422" t="s">
        <v>43</v>
      </c>
      <c r="E2422" t="s">
        <v>44</v>
      </c>
      <c r="F2422">
        <v>85</v>
      </c>
      <c r="G2422">
        <v>210</v>
      </c>
      <c r="H2422">
        <v>122</v>
      </c>
      <c r="I2422">
        <v>51</v>
      </c>
      <c r="J2422" s="8">
        <v>0.6</v>
      </c>
      <c r="K2422">
        <v>18</v>
      </c>
      <c r="L2422">
        <v>23</v>
      </c>
      <c r="M2422">
        <v>114</v>
      </c>
      <c r="N2422" s="10">
        <v>497.89</v>
      </c>
      <c r="O2422" s="7">
        <v>14.5</v>
      </c>
      <c r="P2422" s="7">
        <v>26.7</v>
      </c>
      <c r="Q2422">
        <v>0</v>
      </c>
      <c r="R2422" t="s">
        <v>62</v>
      </c>
      <c r="S2422">
        <v>3</v>
      </c>
      <c r="T2422">
        <v>76</v>
      </c>
      <c r="U2422" s="11">
        <v>0</v>
      </c>
      <c r="V2422" s="11">
        <v>1</v>
      </c>
      <c r="W2422" s="11">
        <v>0.96088542555749767</v>
      </c>
      <c r="X2422" s="11">
        <v>0.27694620226893646</v>
      </c>
      <c r="Y2422">
        <v>0</v>
      </c>
      <c r="Z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6">
        <v>45734</v>
      </c>
      <c r="B2423" t="s">
        <v>31</v>
      </c>
      <c r="C2423" t="s">
        <v>32</v>
      </c>
      <c r="D2423" t="s">
        <v>33</v>
      </c>
      <c r="E2423" t="s">
        <v>34</v>
      </c>
      <c r="F2423">
        <v>140</v>
      </c>
      <c r="G2423">
        <v>360</v>
      </c>
      <c r="H2423">
        <v>202</v>
      </c>
      <c r="I2423">
        <v>89</v>
      </c>
      <c r="J2423" s="8">
        <v>0.63571428571428568</v>
      </c>
      <c r="K2423">
        <v>42</v>
      </c>
      <c r="L2423">
        <v>51</v>
      </c>
      <c r="M2423">
        <v>162</v>
      </c>
      <c r="N2423" s="10">
        <v>464.14</v>
      </c>
      <c r="O2423" s="7">
        <v>12.5</v>
      </c>
      <c r="P2423" s="7">
        <v>27.6</v>
      </c>
      <c r="Q2423">
        <v>1</v>
      </c>
      <c r="R2423" t="s">
        <v>63</v>
      </c>
      <c r="S2423">
        <v>3</v>
      </c>
      <c r="T2423">
        <v>77</v>
      </c>
      <c r="U2423" s="11">
        <v>0.7818314824680298</v>
      </c>
      <c r="V2423" s="11">
        <v>0.62348980185873359</v>
      </c>
      <c r="W2423" s="11">
        <v>0.96550716581433638</v>
      </c>
      <c r="X2423" s="11">
        <v>0.26037648273445813</v>
      </c>
      <c r="Y2423">
        <v>0</v>
      </c>
      <c r="Z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6">
        <v>45734</v>
      </c>
      <c r="B2424" t="s">
        <v>36</v>
      </c>
      <c r="C2424" t="s">
        <v>37</v>
      </c>
      <c r="D2424" t="s">
        <v>38</v>
      </c>
      <c r="E2424" t="s">
        <v>39</v>
      </c>
      <c r="F2424">
        <v>125</v>
      </c>
      <c r="G2424">
        <v>320</v>
      </c>
      <c r="H2424">
        <v>138</v>
      </c>
      <c r="I2424">
        <v>56</v>
      </c>
      <c r="J2424" s="8">
        <v>0.44800000000000001</v>
      </c>
      <c r="K2424">
        <v>35</v>
      </c>
      <c r="L2424">
        <v>37</v>
      </c>
      <c r="M2424">
        <v>115</v>
      </c>
      <c r="N2424" s="10">
        <v>630.69000000000005</v>
      </c>
      <c r="O2424" s="7">
        <v>12.5</v>
      </c>
      <c r="P2424" s="7">
        <v>27.6</v>
      </c>
      <c r="Q2424">
        <v>1</v>
      </c>
      <c r="R2424" t="s">
        <v>63</v>
      </c>
      <c r="S2424">
        <v>3</v>
      </c>
      <c r="T2424">
        <v>77</v>
      </c>
      <c r="U2424" s="11">
        <v>0.7818314824680298</v>
      </c>
      <c r="V2424" s="11">
        <v>0.62348980185873359</v>
      </c>
      <c r="W2424" s="11">
        <v>0.96550716581433638</v>
      </c>
      <c r="X2424" s="11">
        <v>0.26037648273445813</v>
      </c>
      <c r="Y2424">
        <v>0</v>
      </c>
      <c r="Z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6">
        <v>45734</v>
      </c>
      <c r="B2425" t="s">
        <v>41</v>
      </c>
      <c r="C2425" t="s">
        <v>42</v>
      </c>
      <c r="D2425" t="s">
        <v>43</v>
      </c>
      <c r="E2425" t="s">
        <v>44</v>
      </c>
      <c r="F2425">
        <v>85</v>
      </c>
      <c r="G2425">
        <v>210</v>
      </c>
      <c r="H2425">
        <v>115</v>
      </c>
      <c r="I2425">
        <v>54</v>
      </c>
      <c r="J2425" s="8">
        <v>0.63529411764705879</v>
      </c>
      <c r="K2425">
        <v>13</v>
      </c>
      <c r="L2425">
        <v>30</v>
      </c>
      <c r="M2425">
        <v>104</v>
      </c>
      <c r="N2425" s="10">
        <v>571.17999999999995</v>
      </c>
      <c r="O2425" s="7">
        <v>12.5</v>
      </c>
      <c r="P2425" s="7">
        <v>27.6</v>
      </c>
      <c r="Q2425">
        <v>1</v>
      </c>
      <c r="R2425" t="s">
        <v>63</v>
      </c>
      <c r="S2425">
        <v>3</v>
      </c>
      <c r="T2425">
        <v>77</v>
      </c>
      <c r="U2425" s="11">
        <v>0.7818314824680298</v>
      </c>
      <c r="V2425" s="11">
        <v>0.62348980185873359</v>
      </c>
      <c r="W2425" s="11">
        <v>0.96550716581433638</v>
      </c>
      <c r="X2425" s="11">
        <v>0.26037648273445813</v>
      </c>
      <c r="Y2425">
        <v>0</v>
      </c>
      <c r="Z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6">
        <v>45735</v>
      </c>
      <c r="B2426" t="s">
        <v>31</v>
      </c>
      <c r="C2426" t="s">
        <v>32</v>
      </c>
      <c r="D2426" t="s">
        <v>33</v>
      </c>
      <c r="E2426" t="s">
        <v>34</v>
      </c>
      <c r="F2426">
        <v>140</v>
      </c>
      <c r="G2426">
        <v>360</v>
      </c>
      <c r="H2426">
        <v>205</v>
      </c>
      <c r="I2426">
        <v>86</v>
      </c>
      <c r="J2426" s="8">
        <v>0.61428571428571432</v>
      </c>
      <c r="K2426">
        <v>35</v>
      </c>
      <c r="L2426">
        <v>36</v>
      </c>
      <c r="M2426">
        <v>192</v>
      </c>
      <c r="N2426" s="10">
        <v>403.77</v>
      </c>
      <c r="O2426" s="7">
        <v>7.3</v>
      </c>
      <c r="P2426" s="7">
        <v>27.8</v>
      </c>
      <c r="Q2426">
        <v>2</v>
      </c>
      <c r="R2426" t="s">
        <v>64</v>
      </c>
      <c r="S2426">
        <v>3</v>
      </c>
      <c r="T2426">
        <v>78</v>
      </c>
      <c r="U2426" s="11">
        <v>0.97492791218182362</v>
      </c>
      <c r="V2426" s="11">
        <v>-0.22252093395631434</v>
      </c>
      <c r="W2426" s="11">
        <v>0.96984319696729404</v>
      </c>
      <c r="X2426" s="11">
        <v>0.24372971360968387</v>
      </c>
      <c r="Y2426">
        <v>0</v>
      </c>
      <c r="Z2426">
        <v>1</v>
      </c>
      <c r="AA2426" t="s">
        <v>68</v>
      </c>
      <c r="AB2426">
        <v>0</v>
      </c>
      <c r="AC2426">
        <v>0</v>
      </c>
      <c r="AD2426">
        <v>0</v>
      </c>
      <c r="AE2426">
        <v>0</v>
      </c>
    </row>
    <row r="2427" spans="1:31">
      <c r="A2427" s="6">
        <v>45735</v>
      </c>
      <c r="B2427" t="s">
        <v>36</v>
      </c>
      <c r="C2427" t="s">
        <v>37</v>
      </c>
      <c r="D2427" t="s">
        <v>38</v>
      </c>
      <c r="E2427" t="s">
        <v>39</v>
      </c>
      <c r="F2427">
        <v>125</v>
      </c>
      <c r="G2427">
        <v>320</v>
      </c>
      <c r="H2427">
        <v>197</v>
      </c>
      <c r="I2427">
        <v>82</v>
      </c>
      <c r="J2427" s="8">
        <v>0.65600000000000003</v>
      </c>
      <c r="K2427">
        <v>31</v>
      </c>
      <c r="L2427">
        <v>27</v>
      </c>
      <c r="M2427">
        <v>167</v>
      </c>
      <c r="N2427" s="10">
        <v>564.37</v>
      </c>
      <c r="O2427" s="7">
        <v>7.3</v>
      </c>
      <c r="P2427" s="7">
        <v>27.8</v>
      </c>
      <c r="Q2427">
        <v>2</v>
      </c>
      <c r="R2427" t="s">
        <v>64</v>
      </c>
      <c r="S2427">
        <v>3</v>
      </c>
      <c r="T2427">
        <v>78</v>
      </c>
      <c r="U2427" s="11">
        <v>0.97492791218182362</v>
      </c>
      <c r="V2427" s="11">
        <v>-0.22252093395631434</v>
      </c>
      <c r="W2427" s="11">
        <v>0.96984319696729404</v>
      </c>
      <c r="X2427" s="11">
        <v>0.24372971360968387</v>
      </c>
      <c r="Y2427">
        <v>0</v>
      </c>
      <c r="Z2427">
        <v>1</v>
      </c>
      <c r="AA2427" t="s">
        <v>68</v>
      </c>
      <c r="AB2427">
        <v>0</v>
      </c>
      <c r="AC2427">
        <v>0</v>
      </c>
      <c r="AD2427">
        <v>0</v>
      </c>
      <c r="AE2427">
        <v>0</v>
      </c>
    </row>
    <row r="2428" spans="1:31">
      <c r="A2428" s="6">
        <v>45735</v>
      </c>
      <c r="B2428" t="s">
        <v>41</v>
      </c>
      <c r="C2428" t="s">
        <v>42</v>
      </c>
      <c r="D2428" t="s">
        <v>43</v>
      </c>
      <c r="E2428" t="s">
        <v>44</v>
      </c>
      <c r="F2428">
        <v>85</v>
      </c>
      <c r="G2428">
        <v>210</v>
      </c>
      <c r="H2428">
        <v>143</v>
      </c>
      <c r="I2428">
        <v>62</v>
      </c>
      <c r="J2428" s="8">
        <v>0.72941176470588232</v>
      </c>
      <c r="K2428">
        <v>21</v>
      </c>
      <c r="L2428">
        <v>39</v>
      </c>
      <c r="M2428">
        <v>115</v>
      </c>
      <c r="N2428" s="10">
        <v>547.12</v>
      </c>
      <c r="O2428" s="7">
        <v>7.3</v>
      </c>
      <c r="P2428" s="7">
        <v>27.8</v>
      </c>
      <c r="Q2428">
        <v>2</v>
      </c>
      <c r="R2428" t="s">
        <v>64</v>
      </c>
      <c r="S2428">
        <v>3</v>
      </c>
      <c r="T2428">
        <v>78</v>
      </c>
      <c r="U2428" s="11">
        <v>0.97492791218182362</v>
      </c>
      <c r="V2428" s="11">
        <v>-0.22252093395631434</v>
      </c>
      <c r="W2428" s="11">
        <v>0.96984319696729404</v>
      </c>
      <c r="X2428" s="11">
        <v>0.24372971360968387</v>
      </c>
      <c r="Y2428">
        <v>0</v>
      </c>
      <c r="Z2428">
        <v>1</v>
      </c>
      <c r="AA2428" t="s">
        <v>68</v>
      </c>
      <c r="AB2428">
        <v>0</v>
      </c>
      <c r="AC2428">
        <v>0</v>
      </c>
      <c r="AD2428">
        <v>0</v>
      </c>
      <c r="AE2428">
        <v>0</v>
      </c>
    </row>
    <row r="2429" spans="1:31">
      <c r="A2429" s="6">
        <v>45736</v>
      </c>
      <c r="B2429" t="s">
        <v>31</v>
      </c>
      <c r="C2429" t="s">
        <v>32</v>
      </c>
      <c r="D2429" t="s">
        <v>33</v>
      </c>
      <c r="E2429" t="s">
        <v>34</v>
      </c>
      <c r="F2429">
        <v>140</v>
      </c>
      <c r="G2429">
        <v>360</v>
      </c>
      <c r="H2429">
        <v>185</v>
      </c>
      <c r="I2429">
        <v>79</v>
      </c>
      <c r="J2429" s="8">
        <v>0.56428571428571428</v>
      </c>
      <c r="K2429">
        <v>44</v>
      </c>
      <c r="L2429">
        <v>20</v>
      </c>
      <c r="M2429">
        <v>170</v>
      </c>
      <c r="N2429" s="10">
        <v>413.94</v>
      </c>
      <c r="O2429" s="7">
        <v>9.1999999999999993</v>
      </c>
      <c r="P2429" s="7">
        <v>28.6</v>
      </c>
      <c r="Q2429">
        <v>3</v>
      </c>
      <c r="R2429" t="s">
        <v>65</v>
      </c>
      <c r="S2429">
        <v>3</v>
      </c>
      <c r="T2429">
        <v>79</v>
      </c>
      <c r="U2429" s="11">
        <v>0.43388373911755823</v>
      </c>
      <c r="V2429" s="11">
        <v>-0.90096886790241903</v>
      </c>
      <c r="W2429" s="11">
        <v>0.97389223591499241</v>
      </c>
      <c r="X2429" s="11">
        <v>0.22701082094141847</v>
      </c>
      <c r="Y2429">
        <v>0</v>
      </c>
      <c r="Z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6">
        <v>45736</v>
      </c>
      <c r="B2430" t="s">
        <v>36</v>
      </c>
      <c r="C2430" t="s">
        <v>37</v>
      </c>
      <c r="D2430" t="s">
        <v>38</v>
      </c>
      <c r="E2430" t="s">
        <v>39</v>
      </c>
      <c r="F2430">
        <v>125</v>
      </c>
      <c r="G2430">
        <v>320</v>
      </c>
      <c r="H2430">
        <v>179</v>
      </c>
      <c r="I2430">
        <v>77</v>
      </c>
      <c r="J2430" s="8">
        <v>0.61599999999999999</v>
      </c>
      <c r="K2430">
        <v>36</v>
      </c>
      <c r="L2430">
        <v>24</v>
      </c>
      <c r="M2430">
        <v>155</v>
      </c>
      <c r="N2430" s="10">
        <v>673.27</v>
      </c>
      <c r="O2430" s="7">
        <v>9.1999999999999993</v>
      </c>
      <c r="P2430" s="7">
        <v>28.6</v>
      </c>
      <c r="Q2430">
        <v>3</v>
      </c>
      <c r="R2430" t="s">
        <v>65</v>
      </c>
      <c r="S2430">
        <v>3</v>
      </c>
      <c r="T2430">
        <v>79</v>
      </c>
      <c r="U2430" s="11">
        <v>0.43388373911755823</v>
      </c>
      <c r="V2430" s="11">
        <v>-0.90096886790241903</v>
      </c>
      <c r="W2430" s="11">
        <v>0.97389223591499241</v>
      </c>
      <c r="X2430" s="11">
        <v>0.22701082094141847</v>
      </c>
      <c r="Y2430">
        <v>0</v>
      </c>
      <c r="Z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6">
        <v>45736</v>
      </c>
      <c r="B2431" t="s">
        <v>41</v>
      </c>
      <c r="C2431" t="s">
        <v>42</v>
      </c>
      <c r="D2431" t="s">
        <v>43</v>
      </c>
      <c r="E2431" t="s">
        <v>44</v>
      </c>
      <c r="F2431">
        <v>85</v>
      </c>
      <c r="G2431">
        <v>210</v>
      </c>
      <c r="H2431">
        <v>111</v>
      </c>
      <c r="I2431">
        <v>51</v>
      </c>
      <c r="J2431" s="8">
        <v>0.6</v>
      </c>
      <c r="K2431">
        <v>23</v>
      </c>
      <c r="L2431">
        <v>25</v>
      </c>
      <c r="M2431">
        <v>102</v>
      </c>
      <c r="N2431" s="10">
        <v>489.64</v>
      </c>
      <c r="O2431" s="7">
        <v>9.1999999999999993</v>
      </c>
      <c r="P2431" s="7">
        <v>28.6</v>
      </c>
      <c r="Q2431">
        <v>3</v>
      </c>
      <c r="R2431" t="s">
        <v>65</v>
      </c>
      <c r="S2431">
        <v>3</v>
      </c>
      <c r="T2431">
        <v>79</v>
      </c>
      <c r="U2431" s="11">
        <v>0.43388373911755823</v>
      </c>
      <c r="V2431" s="11">
        <v>-0.90096886790241903</v>
      </c>
      <c r="W2431" s="11">
        <v>0.97389223591499241</v>
      </c>
      <c r="X2431" s="11">
        <v>0.22701082094141847</v>
      </c>
      <c r="Y2431">
        <v>0</v>
      </c>
      <c r="Z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6">
        <v>45737</v>
      </c>
      <c r="B2432" t="s">
        <v>31</v>
      </c>
      <c r="C2432" t="s">
        <v>32</v>
      </c>
      <c r="D2432" t="s">
        <v>33</v>
      </c>
      <c r="E2432" t="s">
        <v>34</v>
      </c>
      <c r="F2432">
        <v>140</v>
      </c>
      <c r="G2432">
        <v>360</v>
      </c>
      <c r="H2432">
        <v>199</v>
      </c>
      <c r="I2432">
        <v>83</v>
      </c>
      <c r="J2432" s="8">
        <v>0.59285714285714286</v>
      </c>
      <c r="K2432">
        <v>50</v>
      </c>
      <c r="L2432">
        <v>25</v>
      </c>
      <c r="M2432">
        <v>187</v>
      </c>
      <c r="N2432" s="10">
        <v>438.94</v>
      </c>
      <c r="O2432" s="7">
        <v>8.8000000000000007</v>
      </c>
      <c r="P2432" s="7">
        <v>26</v>
      </c>
      <c r="Q2432">
        <v>4</v>
      </c>
      <c r="R2432" t="s">
        <v>66</v>
      </c>
      <c r="S2432">
        <v>3</v>
      </c>
      <c r="T2432">
        <v>80</v>
      </c>
      <c r="U2432" s="11">
        <v>-0.43388373911755801</v>
      </c>
      <c r="V2432" s="11">
        <v>-0.90096886790241915</v>
      </c>
      <c r="W2432" s="11">
        <v>0.9776530844816641</v>
      </c>
      <c r="X2432" s="11">
        <v>0.21022475211898359</v>
      </c>
      <c r="Y2432">
        <v>0</v>
      </c>
      <c r="Z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6">
        <v>45737</v>
      </c>
      <c r="B2433" t="s">
        <v>36</v>
      </c>
      <c r="C2433" t="s">
        <v>37</v>
      </c>
      <c r="D2433" t="s">
        <v>38</v>
      </c>
      <c r="E2433" t="s">
        <v>39</v>
      </c>
      <c r="F2433">
        <v>125</v>
      </c>
      <c r="G2433">
        <v>320</v>
      </c>
      <c r="H2433">
        <v>159</v>
      </c>
      <c r="I2433">
        <v>67</v>
      </c>
      <c r="J2433" s="8">
        <v>0.53600000000000003</v>
      </c>
      <c r="K2433">
        <v>37</v>
      </c>
      <c r="L2433">
        <v>39</v>
      </c>
      <c r="M2433">
        <v>141</v>
      </c>
      <c r="N2433" s="10">
        <v>659.57</v>
      </c>
      <c r="O2433" s="7">
        <v>8.8000000000000007</v>
      </c>
      <c r="P2433" s="7">
        <v>26</v>
      </c>
      <c r="Q2433">
        <v>4</v>
      </c>
      <c r="R2433" t="s">
        <v>66</v>
      </c>
      <c r="S2433">
        <v>3</v>
      </c>
      <c r="T2433">
        <v>80</v>
      </c>
      <c r="U2433" s="11">
        <v>-0.43388373911755801</v>
      </c>
      <c r="V2433" s="11">
        <v>-0.90096886790241915</v>
      </c>
      <c r="W2433" s="11">
        <v>0.9776530844816641</v>
      </c>
      <c r="X2433" s="11">
        <v>0.21022475211898359</v>
      </c>
      <c r="Y2433">
        <v>0</v>
      </c>
      <c r="Z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6">
        <v>45737</v>
      </c>
      <c r="B2434" t="s">
        <v>41</v>
      </c>
      <c r="C2434" t="s">
        <v>42</v>
      </c>
      <c r="D2434" t="s">
        <v>43</v>
      </c>
      <c r="E2434" t="s">
        <v>44</v>
      </c>
      <c r="F2434">
        <v>85</v>
      </c>
      <c r="G2434">
        <v>210</v>
      </c>
      <c r="H2434">
        <v>112</v>
      </c>
      <c r="I2434">
        <v>51</v>
      </c>
      <c r="J2434" s="8">
        <v>0.6</v>
      </c>
      <c r="K2434">
        <v>16</v>
      </c>
      <c r="L2434">
        <v>13</v>
      </c>
      <c r="M2434">
        <v>104</v>
      </c>
      <c r="N2434" s="10">
        <v>482.05</v>
      </c>
      <c r="O2434" s="7">
        <v>8.8000000000000007</v>
      </c>
      <c r="P2434" s="7">
        <v>26</v>
      </c>
      <c r="Q2434">
        <v>4</v>
      </c>
      <c r="R2434" t="s">
        <v>66</v>
      </c>
      <c r="S2434">
        <v>3</v>
      </c>
      <c r="T2434">
        <v>80</v>
      </c>
      <c r="U2434" s="11">
        <v>-0.43388373911755801</v>
      </c>
      <c r="V2434" s="11">
        <v>-0.90096886790241915</v>
      </c>
      <c r="W2434" s="11">
        <v>0.9776530844816641</v>
      </c>
      <c r="X2434" s="11">
        <v>0.21022475211898359</v>
      </c>
      <c r="Y2434">
        <v>0</v>
      </c>
      <c r="Z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6">
        <v>45738</v>
      </c>
      <c r="B2435" t="s">
        <v>31</v>
      </c>
      <c r="C2435" t="s">
        <v>32</v>
      </c>
      <c r="D2435" t="s">
        <v>33</v>
      </c>
      <c r="E2435" t="s">
        <v>34</v>
      </c>
      <c r="F2435">
        <v>140</v>
      </c>
      <c r="G2435">
        <v>360</v>
      </c>
      <c r="H2435">
        <v>202</v>
      </c>
      <c r="I2435">
        <v>83</v>
      </c>
      <c r="J2435" s="8">
        <v>0.59285714285714286</v>
      </c>
      <c r="K2435">
        <v>32</v>
      </c>
      <c r="L2435">
        <v>41</v>
      </c>
      <c r="M2435">
        <v>184</v>
      </c>
      <c r="N2435" s="10">
        <v>520.41999999999996</v>
      </c>
      <c r="O2435" s="7">
        <v>11.4</v>
      </c>
      <c r="P2435" s="7">
        <v>27.3</v>
      </c>
      <c r="Q2435">
        <v>5</v>
      </c>
      <c r="R2435" t="s">
        <v>67</v>
      </c>
      <c r="S2435">
        <v>3</v>
      </c>
      <c r="T2435">
        <v>81</v>
      </c>
      <c r="U2435" s="11">
        <v>-0.97492791218182362</v>
      </c>
      <c r="V2435" s="11">
        <v>-0.22252093395631459</v>
      </c>
      <c r="W2435" s="11">
        <v>0.981124629771712</v>
      </c>
      <c r="X2435" s="11">
        <v>0.19337647441020586</v>
      </c>
      <c r="Y2435">
        <v>1</v>
      </c>
      <c r="Z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6">
        <v>45738</v>
      </c>
      <c r="B2436" t="s">
        <v>36</v>
      </c>
      <c r="C2436" t="s">
        <v>37</v>
      </c>
      <c r="D2436" t="s">
        <v>38</v>
      </c>
      <c r="E2436" t="s">
        <v>39</v>
      </c>
      <c r="F2436">
        <v>125</v>
      </c>
      <c r="G2436">
        <v>320</v>
      </c>
      <c r="H2436">
        <v>191</v>
      </c>
      <c r="I2436">
        <v>81</v>
      </c>
      <c r="J2436" s="8">
        <v>0.64800000000000002</v>
      </c>
      <c r="K2436">
        <v>54</v>
      </c>
      <c r="L2436">
        <v>29</v>
      </c>
      <c r="M2436">
        <v>167</v>
      </c>
      <c r="N2436" s="10">
        <v>732.32</v>
      </c>
      <c r="O2436" s="7">
        <v>11.4</v>
      </c>
      <c r="P2436" s="7">
        <v>27.3</v>
      </c>
      <c r="Q2436">
        <v>5</v>
      </c>
      <c r="R2436" t="s">
        <v>67</v>
      </c>
      <c r="S2436">
        <v>3</v>
      </c>
      <c r="T2436">
        <v>81</v>
      </c>
      <c r="U2436" s="11">
        <v>-0.97492791218182362</v>
      </c>
      <c r="V2436" s="11">
        <v>-0.22252093395631459</v>
      </c>
      <c r="W2436" s="11">
        <v>0.981124629771712</v>
      </c>
      <c r="X2436" s="11">
        <v>0.19337647441020586</v>
      </c>
      <c r="Y2436">
        <v>1</v>
      </c>
      <c r="Z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6">
        <v>45738</v>
      </c>
      <c r="B2437" t="s">
        <v>41</v>
      </c>
      <c r="C2437" t="s">
        <v>42</v>
      </c>
      <c r="D2437" t="s">
        <v>43</v>
      </c>
      <c r="E2437" t="s">
        <v>44</v>
      </c>
      <c r="F2437">
        <v>85</v>
      </c>
      <c r="G2437">
        <v>210</v>
      </c>
      <c r="H2437">
        <v>153</v>
      </c>
      <c r="I2437">
        <v>64</v>
      </c>
      <c r="J2437" s="8">
        <v>0.75294117647058822</v>
      </c>
      <c r="K2437">
        <v>32</v>
      </c>
      <c r="L2437">
        <v>48</v>
      </c>
      <c r="M2437">
        <v>129</v>
      </c>
      <c r="N2437" s="10">
        <v>596.73</v>
      </c>
      <c r="O2437" s="7">
        <v>11.4</v>
      </c>
      <c r="P2437" s="7">
        <v>27.3</v>
      </c>
      <c r="Q2437">
        <v>5</v>
      </c>
      <c r="R2437" t="s">
        <v>67</v>
      </c>
      <c r="S2437">
        <v>3</v>
      </c>
      <c r="T2437">
        <v>81</v>
      </c>
      <c r="U2437" s="11">
        <v>-0.97492791218182362</v>
      </c>
      <c r="V2437" s="11">
        <v>-0.22252093395631459</v>
      </c>
      <c r="W2437" s="11">
        <v>0.981124629771712</v>
      </c>
      <c r="X2437" s="11">
        <v>0.19337647441020586</v>
      </c>
      <c r="Y2437">
        <v>1</v>
      </c>
      <c r="Z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6">
        <v>45739</v>
      </c>
      <c r="B2438" t="s">
        <v>31</v>
      </c>
      <c r="C2438" t="s">
        <v>32</v>
      </c>
      <c r="D2438" t="s">
        <v>33</v>
      </c>
      <c r="E2438" t="s">
        <v>34</v>
      </c>
      <c r="F2438">
        <v>140</v>
      </c>
      <c r="G2438">
        <v>360</v>
      </c>
      <c r="H2438">
        <v>210</v>
      </c>
      <c r="I2438">
        <v>89</v>
      </c>
      <c r="J2438" s="8">
        <v>0.63571428571428568</v>
      </c>
      <c r="K2438">
        <v>31</v>
      </c>
      <c r="L2438">
        <v>25</v>
      </c>
      <c r="M2438">
        <v>181</v>
      </c>
      <c r="N2438" s="10">
        <v>464.41</v>
      </c>
      <c r="O2438" s="7">
        <v>6.5</v>
      </c>
      <c r="P2438" s="7">
        <v>27.5</v>
      </c>
      <c r="Q2438">
        <v>6</v>
      </c>
      <c r="R2438" t="s">
        <v>60</v>
      </c>
      <c r="S2438">
        <v>3</v>
      </c>
      <c r="T2438">
        <v>82</v>
      </c>
      <c r="U2438" s="11">
        <v>-0.78183148246802991</v>
      </c>
      <c r="V2438" s="11">
        <v>0.62348980185873337</v>
      </c>
      <c r="W2438" s="11">
        <v>0.98430584449903302</v>
      </c>
      <c r="X2438" s="11">
        <v>0.17647097349152166</v>
      </c>
      <c r="Y2438">
        <v>1</v>
      </c>
      <c r="Z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6">
        <v>45739</v>
      </c>
      <c r="B2439" t="s">
        <v>36</v>
      </c>
      <c r="C2439" t="s">
        <v>37</v>
      </c>
      <c r="D2439" t="s">
        <v>38</v>
      </c>
      <c r="E2439" t="s">
        <v>39</v>
      </c>
      <c r="F2439">
        <v>125</v>
      </c>
      <c r="G2439">
        <v>320</v>
      </c>
      <c r="H2439">
        <v>187</v>
      </c>
      <c r="I2439">
        <v>77</v>
      </c>
      <c r="J2439" s="8">
        <v>0.61599999999999999</v>
      </c>
      <c r="K2439">
        <v>52</v>
      </c>
      <c r="L2439">
        <v>31</v>
      </c>
      <c r="M2439">
        <v>174</v>
      </c>
      <c r="N2439" s="10">
        <v>667.04</v>
      </c>
      <c r="O2439" s="7">
        <v>6.5</v>
      </c>
      <c r="P2439" s="7">
        <v>27.5</v>
      </c>
      <c r="Q2439">
        <v>6</v>
      </c>
      <c r="R2439" t="s">
        <v>60</v>
      </c>
      <c r="S2439">
        <v>3</v>
      </c>
      <c r="T2439">
        <v>82</v>
      </c>
      <c r="U2439" s="11">
        <v>-0.78183148246802991</v>
      </c>
      <c r="V2439" s="11">
        <v>0.62348980185873337</v>
      </c>
      <c r="W2439" s="11">
        <v>0.98430584449903302</v>
      </c>
      <c r="X2439" s="11">
        <v>0.17647097349152166</v>
      </c>
      <c r="Y2439">
        <v>1</v>
      </c>
      <c r="Z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6">
        <v>45739</v>
      </c>
      <c r="B2440" t="s">
        <v>41</v>
      </c>
      <c r="C2440" t="s">
        <v>42</v>
      </c>
      <c r="D2440" t="s">
        <v>43</v>
      </c>
      <c r="E2440" t="s">
        <v>44</v>
      </c>
      <c r="F2440">
        <v>85</v>
      </c>
      <c r="G2440">
        <v>210</v>
      </c>
      <c r="H2440">
        <v>128</v>
      </c>
      <c r="I2440">
        <v>62</v>
      </c>
      <c r="J2440" s="8">
        <v>0.72941176470588232</v>
      </c>
      <c r="K2440">
        <v>18</v>
      </c>
      <c r="L2440">
        <v>20</v>
      </c>
      <c r="M2440">
        <v>113</v>
      </c>
      <c r="N2440" s="10">
        <v>638.98</v>
      </c>
      <c r="O2440" s="7">
        <v>6.5</v>
      </c>
      <c r="P2440" s="7">
        <v>27.5</v>
      </c>
      <c r="Q2440">
        <v>6</v>
      </c>
      <c r="R2440" t="s">
        <v>60</v>
      </c>
      <c r="S2440">
        <v>3</v>
      </c>
      <c r="T2440">
        <v>82</v>
      </c>
      <c r="U2440" s="11">
        <v>-0.78183148246802991</v>
      </c>
      <c r="V2440" s="11">
        <v>0.62348980185873337</v>
      </c>
      <c r="W2440" s="11">
        <v>0.98430584449903302</v>
      </c>
      <c r="X2440" s="11">
        <v>0.17647097349152166</v>
      </c>
      <c r="Y2440">
        <v>1</v>
      </c>
      <c r="Z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6">
        <v>45740</v>
      </c>
      <c r="B2441" t="s">
        <v>31</v>
      </c>
      <c r="C2441" t="s">
        <v>32</v>
      </c>
      <c r="D2441" t="s">
        <v>33</v>
      </c>
      <c r="E2441" t="s">
        <v>34</v>
      </c>
      <c r="F2441">
        <v>140</v>
      </c>
      <c r="G2441">
        <v>360</v>
      </c>
      <c r="H2441">
        <v>197</v>
      </c>
      <c r="I2441">
        <v>82</v>
      </c>
      <c r="J2441" s="8">
        <v>0.58571428571428574</v>
      </c>
      <c r="K2441">
        <v>34</v>
      </c>
      <c r="L2441">
        <v>28</v>
      </c>
      <c r="M2441">
        <v>180</v>
      </c>
      <c r="N2441" s="10">
        <v>387.87</v>
      </c>
      <c r="O2441" s="7">
        <v>0</v>
      </c>
      <c r="P2441" s="7">
        <v>28.1</v>
      </c>
      <c r="Q2441">
        <v>0</v>
      </c>
      <c r="R2441" t="s">
        <v>62</v>
      </c>
      <c r="S2441">
        <v>3</v>
      </c>
      <c r="T2441">
        <v>83</v>
      </c>
      <c r="U2441" s="11">
        <v>0</v>
      </c>
      <c r="V2441" s="11">
        <v>1</v>
      </c>
      <c r="W2441" s="11">
        <v>0.98719578729100854</v>
      </c>
      <c r="X2441" s="11">
        <v>0.15951325197263655</v>
      </c>
      <c r="Y2441">
        <v>0</v>
      </c>
      <c r="Z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6">
        <v>45740</v>
      </c>
      <c r="B2442" t="s">
        <v>36</v>
      </c>
      <c r="C2442" t="s">
        <v>37</v>
      </c>
      <c r="D2442" t="s">
        <v>38</v>
      </c>
      <c r="E2442" t="s">
        <v>39</v>
      </c>
      <c r="F2442">
        <v>125</v>
      </c>
      <c r="G2442">
        <v>320</v>
      </c>
      <c r="H2442">
        <v>150</v>
      </c>
      <c r="I2442">
        <v>66</v>
      </c>
      <c r="J2442" s="8">
        <v>0.52800000000000002</v>
      </c>
      <c r="K2442">
        <v>22</v>
      </c>
      <c r="L2442">
        <v>27</v>
      </c>
      <c r="M2442">
        <v>132</v>
      </c>
      <c r="N2442" s="10">
        <v>571.79999999999995</v>
      </c>
      <c r="O2442" s="7">
        <v>0</v>
      </c>
      <c r="P2442" s="7">
        <v>28.1</v>
      </c>
      <c r="Q2442">
        <v>0</v>
      </c>
      <c r="R2442" t="s">
        <v>62</v>
      </c>
      <c r="S2442">
        <v>3</v>
      </c>
      <c r="T2442">
        <v>83</v>
      </c>
      <c r="U2442" s="11">
        <v>0</v>
      </c>
      <c r="V2442" s="11">
        <v>1</v>
      </c>
      <c r="W2442" s="11">
        <v>0.98719578729100854</v>
      </c>
      <c r="X2442" s="11">
        <v>0.15951325197263655</v>
      </c>
      <c r="Y2442">
        <v>0</v>
      </c>
      <c r="Z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6">
        <v>45740</v>
      </c>
      <c r="B2443" t="s">
        <v>41</v>
      </c>
      <c r="C2443" t="s">
        <v>42</v>
      </c>
      <c r="D2443" t="s">
        <v>43</v>
      </c>
      <c r="E2443" t="s">
        <v>44</v>
      </c>
      <c r="F2443">
        <v>85</v>
      </c>
      <c r="G2443">
        <v>210</v>
      </c>
      <c r="H2443">
        <v>117</v>
      </c>
      <c r="I2443">
        <v>51</v>
      </c>
      <c r="J2443" s="8">
        <v>0.6</v>
      </c>
      <c r="K2443">
        <v>25</v>
      </c>
      <c r="L2443">
        <v>20</v>
      </c>
      <c r="M2443">
        <v>100</v>
      </c>
      <c r="N2443" s="10">
        <v>540.95000000000005</v>
      </c>
      <c r="O2443" s="7">
        <v>0</v>
      </c>
      <c r="P2443" s="7">
        <v>28.1</v>
      </c>
      <c r="Q2443">
        <v>0</v>
      </c>
      <c r="R2443" t="s">
        <v>62</v>
      </c>
      <c r="S2443">
        <v>3</v>
      </c>
      <c r="T2443">
        <v>83</v>
      </c>
      <c r="U2443" s="11">
        <v>0</v>
      </c>
      <c r="V2443" s="11">
        <v>1</v>
      </c>
      <c r="W2443" s="11">
        <v>0.98719578729100854</v>
      </c>
      <c r="X2443" s="11">
        <v>0.15951325197263655</v>
      </c>
      <c r="Y2443">
        <v>0</v>
      </c>
      <c r="Z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6">
        <v>45741</v>
      </c>
      <c r="B2444" t="s">
        <v>31</v>
      </c>
      <c r="C2444" t="s">
        <v>32</v>
      </c>
      <c r="D2444" t="s">
        <v>33</v>
      </c>
      <c r="E2444" t="s">
        <v>34</v>
      </c>
      <c r="F2444">
        <v>140</v>
      </c>
      <c r="G2444">
        <v>360</v>
      </c>
      <c r="H2444">
        <v>229</v>
      </c>
      <c r="I2444">
        <v>99</v>
      </c>
      <c r="J2444" s="8">
        <v>0.70714285714285718</v>
      </c>
      <c r="K2444">
        <v>31</v>
      </c>
      <c r="L2444">
        <v>49</v>
      </c>
      <c r="M2444">
        <v>196</v>
      </c>
      <c r="N2444" s="10">
        <v>388.79</v>
      </c>
      <c r="O2444" s="7">
        <v>13.3</v>
      </c>
      <c r="P2444" s="7">
        <v>26.7</v>
      </c>
      <c r="Q2444">
        <v>1</v>
      </c>
      <c r="R2444" t="s">
        <v>63</v>
      </c>
      <c r="S2444">
        <v>3</v>
      </c>
      <c r="T2444">
        <v>84</v>
      </c>
      <c r="U2444" s="11">
        <v>0.7818314824680298</v>
      </c>
      <c r="V2444" s="11">
        <v>0.62348980185873359</v>
      </c>
      <c r="W2444" s="11">
        <v>0.98979360296707164</v>
      </c>
      <c r="X2444" s="11">
        <v>0.14250832791617088</v>
      </c>
      <c r="Y2444">
        <v>0</v>
      </c>
      <c r="Z2444">
        <v>1</v>
      </c>
      <c r="AA2444" t="s">
        <v>69</v>
      </c>
      <c r="AB2444">
        <v>0</v>
      </c>
      <c r="AC2444">
        <v>0</v>
      </c>
      <c r="AD2444">
        <v>0</v>
      </c>
      <c r="AE2444">
        <v>0</v>
      </c>
    </row>
    <row r="2445" spans="1:31">
      <c r="A2445" s="6">
        <v>45741</v>
      </c>
      <c r="B2445" t="s">
        <v>36</v>
      </c>
      <c r="C2445" t="s">
        <v>37</v>
      </c>
      <c r="D2445" t="s">
        <v>38</v>
      </c>
      <c r="E2445" t="s">
        <v>39</v>
      </c>
      <c r="F2445">
        <v>125</v>
      </c>
      <c r="G2445">
        <v>320</v>
      </c>
      <c r="H2445">
        <v>184</v>
      </c>
      <c r="I2445">
        <v>76</v>
      </c>
      <c r="J2445" s="8">
        <v>0.60799999999999998</v>
      </c>
      <c r="K2445">
        <v>27</v>
      </c>
      <c r="L2445">
        <v>51</v>
      </c>
      <c r="M2445">
        <v>157</v>
      </c>
      <c r="N2445" s="10">
        <v>641.99</v>
      </c>
      <c r="O2445" s="7">
        <v>13.3</v>
      </c>
      <c r="P2445" s="7">
        <v>26.7</v>
      </c>
      <c r="Q2445">
        <v>1</v>
      </c>
      <c r="R2445" t="s">
        <v>63</v>
      </c>
      <c r="S2445">
        <v>3</v>
      </c>
      <c r="T2445">
        <v>84</v>
      </c>
      <c r="U2445" s="11">
        <v>0.7818314824680298</v>
      </c>
      <c r="V2445" s="11">
        <v>0.62348980185873359</v>
      </c>
      <c r="W2445" s="11">
        <v>0.98979360296707164</v>
      </c>
      <c r="X2445" s="11">
        <v>0.14250832791617088</v>
      </c>
      <c r="Y2445">
        <v>0</v>
      </c>
      <c r="Z2445">
        <v>1</v>
      </c>
      <c r="AA2445" t="s">
        <v>69</v>
      </c>
      <c r="AB2445">
        <v>0</v>
      </c>
      <c r="AC2445">
        <v>0</v>
      </c>
      <c r="AD2445">
        <v>0</v>
      </c>
      <c r="AE2445">
        <v>0</v>
      </c>
    </row>
    <row r="2446" spans="1:31">
      <c r="A2446" s="6">
        <v>45741</v>
      </c>
      <c r="B2446" t="s">
        <v>41</v>
      </c>
      <c r="C2446" t="s">
        <v>42</v>
      </c>
      <c r="D2446" t="s">
        <v>43</v>
      </c>
      <c r="E2446" t="s">
        <v>44</v>
      </c>
      <c r="F2446">
        <v>85</v>
      </c>
      <c r="G2446">
        <v>210</v>
      </c>
      <c r="H2446">
        <v>129</v>
      </c>
      <c r="I2446">
        <v>57</v>
      </c>
      <c r="J2446" s="8">
        <v>0.6705882352941176</v>
      </c>
      <c r="K2446">
        <v>27</v>
      </c>
      <c r="L2446">
        <v>30</v>
      </c>
      <c r="M2446">
        <v>114</v>
      </c>
      <c r="N2446" s="10">
        <v>495.04</v>
      </c>
      <c r="O2446" s="7">
        <v>13.3</v>
      </c>
      <c r="P2446" s="7">
        <v>26.7</v>
      </c>
      <c r="Q2446">
        <v>1</v>
      </c>
      <c r="R2446" t="s">
        <v>63</v>
      </c>
      <c r="S2446">
        <v>3</v>
      </c>
      <c r="T2446">
        <v>84</v>
      </c>
      <c r="U2446" s="11">
        <v>0.7818314824680298</v>
      </c>
      <c r="V2446" s="11">
        <v>0.62348980185873359</v>
      </c>
      <c r="W2446" s="11">
        <v>0.98979360296707164</v>
      </c>
      <c r="X2446" s="11">
        <v>0.14250832791617088</v>
      </c>
      <c r="Y2446">
        <v>0</v>
      </c>
      <c r="Z2446">
        <v>1</v>
      </c>
      <c r="AA2446" t="s">
        <v>69</v>
      </c>
      <c r="AB2446">
        <v>0</v>
      </c>
      <c r="AC2446">
        <v>0</v>
      </c>
      <c r="AD2446">
        <v>0</v>
      </c>
      <c r="AE2446">
        <v>0</v>
      </c>
    </row>
    <row r="2447" spans="1:31">
      <c r="A2447" s="6">
        <v>45742</v>
      </c>
      <c r="B2447" t="s">
        <v>31</v>
      </c>
      <c r="C2447" t="s">
        <v>32</v>
      </c>
      <c r="D2447" t="s">
        <v>33</v>
      </c>
      <c r="E2447" t="s">
        <v>34</v>
      </c>
      <c r="F2447">
        <v>140</v>
      </c>
      <c r="G2447">
        <v>360</v>
      </c>
      <c r="H2447">
        <v>157</v>
      </c>
      <c r="I2447">
        <v>69</v>
      </c>
      <c r="J2447" s="8">
        <v>0.49285714285714288</v>
      </c>
      <c r="K2447">
        <v>47</v>
      </c>
      <c r="L2447">
        <v>19</v>
      </c>
      <c r="M2447">
        <v>128</v>
      </c>
      <c r="N2447" s="10">
        <v>449.67</v>
      </c>
      <c r="O2447" s="7">
        <v>7</v>
      </c>
      <c r="P2447" s="7">
        <v>26.4</v>
      </c>
      <c r="Q2447">
        <v>2</v>
      </c>
      <c r="R2447" t="s">
        <v>64</v>
      </c>
      <c r="S2447">
        <v>3</v>
      </c>
      <c r="T2447">
        <v>85</v>
      </c>
      <c r="U2447" s="11">
        <v>0.97492791218182362</v>
      </c>
      <c r="V2447" s="11">
        <v>-0.22252093395631434</v>
      </c>
      <c r="W2447" s="11">
        <v>0.99209852279176902</v>
      </c>
      <c r="X2447" s="11">
        <v>0.12546123335273648</v>
      </c>
      <c r="Y2447">
        <v>0</v>
      </c>
      <c r="Z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6">
        <v>45742</v>
      </c>
      <c r="B2448" t="s">
        <v>36</v>
      </c>
      <c r="C2448" t="s">
        <v>37</v>
      </c>
      <c r="D2448" t="s">
        <v>38</v>
      </c>
      <c r="E2448" t="s">
        <v>39</v>
      </c>
      <c r="F2448">
        <v>125</v>
      </c>
      <c r="G2448">
        <v>320</v>
      </c>
      <c r="H2448">
        <v>135</v>
      </c>
      <c r="I2448">
        <v>59</v>
      </c>
      <c r="J2448" s="8">
        <v>0.47199999999999998</v>
      </c>
      <c r="K2448">
        <v>33</v>
      </c>
      <c r="L2448">
        <v>36</v>
      </c>
      <c r="M2448">
        <v>115</v>
      </c>
      <c r="N2448" s="10">
        <v>579.16</v>
      </c>
      <c r="O2448" s="7">
        <v>7</v>
      </c>
      <c r="P2448" s="7">
        <v>26.4</v>
      </c>
      <c r="Q2448">
        <v>2</v>
      </c>
      <c r="R2448" t="s">
        <v>64</v>
      </c>
      <c r="S2448">
        <v>3</v>
      </c>
      <c r="T2448">
        <v>85</v>
      </c>
      <c r="U2448" s="11">
        <v>0.97492791218182362</v>
      </c>
      <c r="V2448" s="11">
        <v>-0.22252093395631434</v>
      </c>
      <c r="W2448" s="11">
        <v>0.99209852279176902</v>
      </c>
      <c r="X2448" s="11">
        <v>0.12546123335273648</v>
      </c>
      <c r="Y2448">
        <v>0</v>
      </c>
      <c r="Z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6">
        <v>45742</v>
      </c>
      <c r="B2449" t="s">
        <v>41</v>
      </c>
      <c r="C2449" t="s">
        <v>42</v>
      </c>
      <c r="D2449" t="s">
        <v>43</v>
      </c>
      <c r="E2449" t="s">
        <v>44</v>
      </c>
      <c r="F2449">
        <v>85</v>
      </c>
      <c r="G2449">
        <v>210</v>
      </c>
      <c r="H2449">
        <v>111</v>
      </c>
      <c r="I2449">
        <v>50</v>
      </c>
      <c r="J2449" s="8">
        <v>0.58823529411764708</v>
      </c>
      <c r="K2449">
        <v>24</v>
      </c>
      <c r="L2449">
        <v>27</v>
      </c>
      <c r="M2449">
        <v>98</v>
      </c>
      <c r="N2449" s="10">
        <v>506.77</v>
      </c>
      <c r="O2449" s="7">
        <v>7</v>
      </c>
      <c r="P2449" s="7">
        <v>26.4</v>
      </c>
      <c r="Q2449">
        <v>2</v>
      </c>
      <c r="R2449" t="s">
        <v>64</v>
      </c>
      <c r="S2449">
        <v>3</v>
      </c>
      <c r="T2449">
        <v>85</v>
      </c>
      <c r="U2449" s="11">
        <v>0.97492791218182362</v>
      </c>
      <c r="V2449" s="11">
        <v>-0.22252093395631434</v>
      </c>
      <c r="W2449" s="11">
        <v>0.99209852279176902</v>
      </c>
      <c r="X2449" s="11">
        <v>0.12546123335273648</v>
      </c>
      <c r="Y2449">
        <v>0</v>
      </c>
      <c r="Z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6">
        <v>45743</v>
      </c>
      <c r="B2450" t="s">
        <v>31</v>
      </c>
      <c r="C2450" t="s">
        <v>32</v>
      </c>
      <c r="D2450" t="s">
        <v>33</v>
      </c>
      <c r="E2450" t="s">
        <v>34</v>
      </c>
      <c r="F2450">
        <v>140</v>
      </c>
      <c r="G2450">
        <v>360</v>
      </c>
      <c r="H2450">
        <v>192</v>
      </c>
      <c r="I2450">
        <v>80</v>
      </c>
      <c r="J2450" s="8">
        <v>0.5714285714285714</v>
      </c>
      <c r="K2450">
        <v>23</v>
      </c>
      <c r="L2450">
        <v>22</v>
      </c>
      <c r="M2450">
        <v>175</v>
      </c>
      <c r="N2450" s="10">
        <v>398.51</v>
      </c>
      <c r="O2450" s="7">
        <v>0</v>
      </c>
      <c r="P2450" s="7">
        <v>28.5</v>
      </c>
      <c r="Q2450">
        <v>3</v>
      </c>
      <c r="R2450" t="s">
        <v>65</v>
      </c>
      <c r="S2450">
        <v>3</v>
      </c>
      <c r="T2450">
        <v>86</v>
      </c>
      <c r="U2450" s="11">
        <v>0.43388373911755823</v>
      </c>
      <c r="V2450" s="11">
        <v>-0.90096886790241903</v>
      </c>
      <c r="W2450" s="11">
        <v>0.99410986470224183</v>
      </c>
      <c r="X2450" s="11">
        <v>0.10837701279187609</v>
      </c>
      <c r="Y2450">
        <v>0</v>
      </c>
      <c r="Z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6">
        <v>45743</v>
      </c>
      <c r="B2451" t="s">
        <v>36</v>
      </c>
      <c r="C2451" t="s">
        <v>37</v>
      </c>
      <c r="D2451" t="s">
        <v>38</v>
      </c>
      <c r="E2451" t="s">
        <v>39</v>
      </c>
      <c r="F2451">
        <v>125</v>
      </c>
      <c r="G2451">
        <v>320</v>
      </c>
      <c r="H2451">
        <v>166</v>
      </c>
      <c r="I2451">
        <v>64</v>
      </c>
      <c r="J2451" s="8">
        <v>0.51200000000000001</v>
      </c>
      <c r="K2451">
        <v>18</v>
      </c>
      <c r="L2451">
        <v>33</v>
      </c>
      <c r="M2451">
        <v>149</v>
      </c>
      <c r="N2451" s="10">
        <v>665.13</v>
      </c>
      <c r="O2451" s="7">
        <v>0</v>
      </c>
      <c r="P2451" s="7">
        <v>28.5</v>
      </c>
      <c r="Q2451">
        <v>3</v>
      </c>
      <c r="R2451" t="s">
        <v>65</v>
      </c>
      <c r="S2451">
        <v>3</v>
      </c>
      <c r="T2451">
        <v>86</v>
      </c>
      <c r="U2451" s="11">
        <v>0.43388373911755823</v>
      </c>
      <c r="V2451" s="11">
        <v>-0.90096886790241903</v>
      </c>
      <c r="W2451" s="11">
        <v>0.99410986470224183</v>
      </c>
      <c r="X2451" s="11">
        <v>0.10837701279187609</v>
      </c>
      <c r="Y2451">
        <v>0</v>
      </c>
      <c r="Z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6">
        <v>45743</v>
      </c>
      <c r="B2452" t="s">
        <v>41</v>
      </c>
      <c r="C2452" t="s">
        <v>42</v>
      </c>
      <c r="D2452" t="s">
        <v>43</v>
      </c>
      <c r="E2452" t="s">
        <v>44</v>
      </c>
      <c r="F2452">
        <v>85</v>
      </c>
      <c r="G2452">
        <v>210</v>
      </c>
      <c r="H2452">
        <v>115</v>
      </c>
      <c r="I2452">
        <v>51</v>
      </c>
      <c r="J2452" s="8">
        <v>0.6</v>
      </c>
      <c r="K2452">
        <v>11</v>
      </c>
      <c r="L2452">
        <v>12</v>
      </c>
      <c r="M2452">
        <v>93</v>
      </c>
      <c r="N2452" s="10">
        <v>581.88</v>
      </c>
      <c r="O2452" s="7">
        <v>0</v>
      </c>
      <c r="P2452" s="7">
        <v>28.5</v>
      </c>
      <c r="Q2452">
        <v>3</v>
      </c>
      <c r="R2452" t="s">
        <v>65</v>
      </c>
      <c r="S2452">
        <v>3</v>
      </c>
      <c r="T2452">
        <v>86</v>
      </c>
      <c r="U2452" s="11">
        <v>0.43388373911755823</v>
      </c>
      <c r="V2452" s="11">
        <v>-0.90096886790241903</v>
      </c>
      <c r="W2452" s="11">
        <v>0.99410986470224183</v>
      </c>
      <c r="X2452" s="11">
        <v>0.10837701279187609</v>
      </c>
      <c r="Y2452">
        <v>0</v>
      </c>
      <c r="Z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6">
        <v>45744</v>
      </c>
      <c r="B2453" t="s">
        <v>31</v>
      </c>
      <c r="C2453" t="s">
        <v>32</v>
      </c>
      <c r="D2453" t="s">
        <v>33</v>
      </c>
      <c r="E2453" t="s">
        <v>34</v>
      </c>
      <c r="F2453">
        <v>140</v>
      </c>
      <c r="G2453">
        <v>360</v>
      </c>
      <c r="H2453">
        <v>173</v>
      </c>
      <c r="I2453">
        <v>73</v>
      </c>
      <c r="J2453" s="8">
        <v>0.52142857142857146</v>
      </c>
      <c r="K2453">
        <v>48</v>
      </c>
      <c r="L2453">
        <v>35</v>
      </c>
      <c r="M2453">
        <v>147</v>
      </c>
      <c r="N2453" s="10">
        <v>406.57</v>
      </c>
      <c r="O2453" s="7">
        <v>9.9</v>
      </c>
      <c r="P2453" s="7">
        <v>27</v>
      </c>
      <c r="Q2453">
        <v>4</v>
      </c>
      <c r="R2453" t="s">
        <v>66</v>
      </c>
      <c r="S2453">
        <v>3</v>
      </c>
      <c r="T2453">
        <v>87</v>
      </c>
      <c r="U2453" s="11">
        <v>-0.43388373911755801</v>
      </c>
      <c r="V2453" s="11">
        <v>-0.90096886790241915</v>
      </c>
      <c r="W2453" s="11">
        <v>0.99582703351005952</v>
      </c>
      <c r="X2453" s="11">
        <v>9.1260721729311878E-2</v>
      </c>
      <c r="Y2453">
        <v>0</v>
      </c>
      <c r="Z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6">
        <v>45744</v>
      </c>
      <c r="B2454" t="s">
        <v>36</v>
      </c>
      <c r="C2454" t="s">
        <v>37</v>
      </c>
      <c r="D2454" t="s">
        <v>38</v>
      </c>
      <c r="E2454" t="s">
        <v>39</v>
      </c>
      <c r="F2454">
        <v>125</v>
      </c>
      <c r="G2454">
        <v>320</v>
      </c>
      <c r="H2454">
        <v>153</v>
      </c>
      <c r="I2454">
        <v>63</v>
      </c>
      <c r="J2454" s="8">
        <v>0.504</v>
      </c>
      <c r="K2454">
        <v>31</v>
      </c>
      <c r="L2454">
        <v>22</v>
      </c>
      <c r="M2454">
        <v>134</v>
      </c>
      <c r="N2454" s="10">
        <v>679.49</v>
      </c>
      <c r="O2454" s="7">
        <v>9.9</v>
      </c>
      <c r="P2454" s="7">
        <v>27</v>
      </c>
      <c r="Q2454">
        <v>4</v>
      </c>
      <c r="R2454" t="s">
        <v>66</v>
      </c>
      <c r="S2454">
        <v>3</v>
      </c>
      <c r="T2454">
        <v>87</v>
      </c>
      <c r="U2454" s="11">
        <v>-0.43388373911755801</v>
      </c>
      <c r="V2454" s="11">
        <v>-0.90096886790241915</v>
      </c>
      <c r="W2454" s="11">
        <v>0.99582703351005952</v>
      </c>
      <c r="X2454" s="11">
        <v>9.1260721729311878E-2</v>
      </c>
      <c r="Y2454">
        <v>0</v>
      </c>
      <c r="Z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6">
        <v>45744</v>
      </c>
      <c r="B2455" t="s">
        <v>41</v>
      </c>
      <c r="C2455" t="s">
        <v>42</v>
      </c>
      <c r="D2455" t="s">
        <v>43</v>
      </c>
      <c r="E2455" t="s">
        <v>44</v>
      </c>
      <c r="F2455">
        <v>85</v>
      </c>
      <c r="G2455">
        <v>210</v>
      </c>
      <c r="H2455">
        <v>105</v>
      </c>
      <c r="I2455">
        <v>48</v>
      </c>
      <c r="J2455" s="8">
        <v>0.56470588235294117</v>
      </c>
      <c r="K2455">
        <v>27</v>
      </c>
      <c r="L2455">
        <v>22</v>
      </c>
      <c r="M2455">
        <v>94</v>
      </c>
      <c r="N2455" s="10">
        <v>512.32000000000005</v>
      </c>
      <c r="O2455" s="7">
        <v>9.9</v>
      </c>
      <c r="P2455" s="7">
        <v>27</v>
      </c>
      <c r="Q2455">
        <v>4</v>
      </c>
      <c r="R2455" t="s">
        <v>66</v>
      </c>
      <c r="S2455">
        <v>3</v>
      </c>
      <c r="T2455">
        <v>87</v>
      </c>
      <c r="U2455" s="11">
        <v>-0.43388373911755801</v>
      </c>
      <c r="V2455" s="11">
        <v>-0.90096886790241915</v>
      </c>
      <c r="W2455" s="11">
        <v>0.99582703351005952</v>
      </c>
      <c r="X2455" s="11">
        <v>9.1260721729311878E-2</v>
      </c>
      <c r="Y2455">
        <v>0</v>
      </c>
      <c r="Z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6">
        <v>45745</v>
      </c>
      <c r="B2456" t="s">
        <v>31</v>
      </c>
      <c r="C2456" t="s">
        <v>32</v>
      </c>
      <c r="D2456" t="s">
        <v>33</v>
      </c>
      <c r="E2456" t="s">
        <v>34</v>
      </c>
      <c r="F2456">
        <v>140</v>
      </c>
      <c r="G2456">
        <v>360</v>
      </c>
      <c r="H2456">
        <v>223</v>
      </c>
      <c r="I2456">
        <v>94</v>
      </c>
      <c r="J2456" s="8">
        <v>0.67142857142857137</v>
      </c>
      <c r="K2456">
        <v>27</v>
      </c>
      <c r="L2456">
        <v>43</v>
      </c>
      <c r="M2456">
        <v>201</v>
      </c>
      <c r="N2456" s="10">
        <v>522.1</v>
      </c>
      <c r="O2456" s="7">
        <v>2.8</v>
      </c>
      <c r="P2456" s="7">
        <v>28.2</v>
      </c>
      <c r="Q2456">
        <v>5</v>
      </c>
      <c r="R2456" t="s">
        <v>67</v>
      </c>
      <c r="S2456">
        <v>3</v>
      </c>
      <c r="T2456">
        <v>88</v>
      </c>
      <c r="U2456" s="11">
        <v>-0.97492791218182362</v>
      </c>
      <c r="V2456" s="11">
        <v>-0.22252093395631459</v>
      </c>
      <c r="W2456" s="11">
        <v>0.9972495210773451</v>
      </c>
      <c r="X2456" s="11">
        <v>7.4117425150944369E-2</v>
      </c>
      <c r="Y2456">
        <v>1</v>
      </c>
      <c r="Z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6">
        <v>45745</v>
      </c>
      <c r="B2457" t="s">
        <v>36</v>
      </c>
      <c r="C2457" t="s">
        <v>37</v>
      </c>
      <c r="D2457" t="s">
        <v>38</v>
      </c>
      <c r="E2457" t="s">
        <v>39</v>
      </c>
      <c r="F2457">
        <v>125</v>
      </c>
      <c r="G2457">
        <v>320</v>
      </c>
      <c r="H2457">
        <v>201</v>
      </c>
      <c r="I2457">
        <v>83</v>
      </c>
      <c r="J2457" s="8">
        <v>0.66400000000000003</v>
      </c>
      <c r="K2457">
        <v>45</v>
      </c>
      <c r="L2457">
        <v>41</v>
      </c>
      <c r="M2457">
        <v>178</v>
      </c>
      <c r="N2457" s="10">
        <v>758.93</v>
      </c>
      <c r="O2457" s="7">
        <v>2.8</v>
      </c>
      <c r="P2457" s="7">
        <v>28.2</v>
      </c>
      <c r="Q2457">
        <v>5</v>
      </c>
      <c r="R2457" t="s">
        <v>67</v>
      </c>
      <c r="S2457">
        <v>3</v>
      </c>
      <c r="T2457">
        <v>88</v>
      </c>
      <c r="U2457" s="11">
        <v>-0.97492791218182362</v>
      </c>
      <c r="V2457" s="11">
        <v>-0.22252093395631459</v>
      </c>
      <c r="W2457" s="11">
        <v>0.9972495210773451</v>
      </c>
      <c r="X2457" s="11">
        <v>7.4117425150944369E-2</v>
      </c>
      <c r="Y2457">
        <v>1</v>
      </c>
      <c r="Z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6">
        <v>45745</v>
      </c>
      <c r="B2458" t="s">
        <v>41</v>
      </c>
      <c r="C2458" t="s">
        <v>42</v>
      </c>
      <c r="D2458" t="s">
        <v>43</v>
      </c>
      <c r="E2458" t="s">
        <v>44</v>
      </c>
      <c r="F2458">
        <v>85</v>
      </c>
      <c r="G2458">
        <v>210</v>
      </c>
      <c r="H2458">
        <v>148</v>
      </c>
      <c r="I2458">
        <v>61</v>
      </c>
      <c r="J2458" s="8">
        <v>0.71764705882352942</v>
      </c>
      <c r="K2458">
        <v>16</v>
      </c>
      <c r="L2458">
        <v>29</v>
      </c>
      <c r="M2458">
        <v>119</v>
      </c>
      <c r="N2458" s="10">
        <v>586.64</v>
      </c>
      <c r="O2458" s="7">
        <v>2.8</v>
      </c>
      <c r="P2458" s="7">
        <v>28.2</v>
      </c>
      <c r="Q2458">
        <v>5</v>
      </c>
      <c r="R2458" t="s">
        <v>67</v>
      </c>
      <c r="S2458">
        <v>3</v>
      </c>
      <c r="T2458">
        <v>88</v>
      </c>
      <c r="U2458" s="11">
        <v>-0.97492791218182362</v>
      </c>
      <c r="V2458" s="11">
        <v>-0.22252093395631459</v>
      </c>
      <c r="W2458" s="11">
        <v>0.9972495210773451</v>
      </c>
      <c r="X2458" s="11">
        <v>7.4117425150944369E-2</v>
      </c>
      <c r="Y2458">
        <v>1</v>
      </c>
      <c r="Z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6">
        <v>45746</v>
      </c>
      <c r="B2459" t="s">
        <v>31</v>
      </c>
      <c r="C2459" t="s">
        <v>32</v>
      </c>
      <c r="D2459" t="s">
        <v>33</v>
      </c>
      <c r="E2459" t="s">
        <v>34</v>
      </c>
      <c r="F2459">
        <v>140</v>
      </c>
      <c r="G2459">
        <v>360</v>
      </c>
      <c r="H2459">
        <v>192</v>
      </c>
      <c r="I2459">
        <v>85</v>
      </c>
      <c r="J2459" s="8">
        <v>0.6071428571428571</v>
      </c>
      <c r="K2459">
        <v>40</v>
      </c>
      <c r="L2459">
        <v>40</v>
      </c>
      <c r="M2459">
        <v>166</v>
      </c>
      <c r="N2459" s="10">
        <v>487.03</v>
      </c>
      <c r="O2459" s="7">
        <v>16.600000000000001</v>
      </c>
      <c r="P2459" s="7">
        <v>26.5</v>
      </c>
      <c r="Q2459">
        <v>6</v>
      </c>
      <c r="R2459" t="s">
        <v>60</v>
      </c>
      <c r="S2459">
        <v>3</v>
      </c>
      <c r="T2459">
        <v>89</v>
      </c>
      <c r="U2459" s="11">
        <v>-0.78183148246802991</v>
      </c>
      <c r="V2459" s="11">
        <v>0.62348980185873337</v>
      </c>
      <c r="W2459" s="11">
        <v>0.99837690646714194</v>
      </c>
      <c r="X2459" s="11">
        <v>5.6952196034039754E-2</v>
      </c>
      <c r="Y2459">
        <v>1</v>
      </c>
      <c r="Z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6">
        <v>45746</v>
      </c>
      <c r="B2460" t="s">
        <v>36</v>
      </c>
      <c r="C2460" t="s">
        <v>37</v>
      </c>
      <c r="D2460" t="s">
        <v>38</v>
      </c>
      <c r="E2460" t="s">
        <v>39</v>
      </c>
      <c r="F2460">
        <v>125</v>
      </c>
      <c r="G2460">
        <v>320</v>
      </c>
      <c r="H2460">
        <v>180</v>
      </c>
      <c r="I2460">
        <v>73</v>
      </c>
      <c r="J2460" s="8">
        <v>0.58399999999999996</v>
      </c>
      <c r="K2460">
        <v>43</v>
      </c>
      <c r="L2460">
        <v>46</v>
      </c>
      <c r="M2460">
        <v>152</v>
      </c>
      <c r="N2460" s="10">
        <v>699.94</v>
      </c>
      <c r="O2460" s="7">
        <v>16.600000000000001</v>
      </c>
      <c r="P2460" s="7">
        <v>26.5</v>
      </c>
      <c r="Q2460">
        <v>6</v>
      </c>
      <c r="R2460" t="s">
        <v>60</v>
      </c>
      <c r="S2460">
        <v>3</v>
      </c>
      <c r="T2460">
        <v>89</v>
      </c>
      <c r="U2460" s="11">
        <v>-0.78183148246802991</v>
      </c>
      <c r="V2460" s="11">
        <v>0.62348980185873337</v>
      </c>
      <c r="W2460" s="11">
        <v>0.99837690646714194</v>
      </c>
      <c r="X2460" s="11">
        <v>5.6952196034039754E-2</v>
      </c>
      <c r="Y2460">
        <v>1</v>
      </c>
      <c r="Z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6">
        <v>45746</v>
      </c>
      <c r="B2461" t="s">
        <v>41</v>
      </c>
      <c r="C2461" t="s">
        <v>42</v>
      </c>
      <c r="D2461" t="s">
        <v>43</v>
      </c>
      <c r="E2461" t="s">
        <v>44</v>
      </c>
      <c r="F2461">
        <v>85</v>
      </c>
      <c r="G2461">
        <v>210</v>
      </c>
      <c r="H2461">
        <v>137</v>
      </c>
      <c r="I2461">
        <v>62</v>
      </c>
      <c r="J2461" s="8">
        <v>0.72941176470588232</v>
      </c>
      <c r="K2461">
        <v>19</v>
      </c>
      <c r="L2461">
        <v>30</v>
      </c>
      <c r="M2461">
        <v>126</v>
      </c>
      <c r="N2461" s="10">
        <v>540.94000000000005</v>
      </c>
      <c r="O2461" s="7">
        <v>16.600000000000001</v>
      </c>
      <c r="P2461" s="7">
        <v>26.5</v>
      </c>
      <c r="Q2461">
        <v>6</v>
      </c>
      <c r="R2461" t="s">
        <v>60</v>
      </c>
      <c r="S2461">
        <v>3</v>
      </c>
      <c r="T2461">
        <v>89</v>
      </c>
      <c r="U2461" s="11">
        <v>-0.78183148246802991</v>
      </c>
      <c r="V2461" s="11">
        <v>0.62348980185873337</v>
      </c>
      <c r="W2461" s="11">
        <v>0.99837690646714194</v>
      </c>
      <c r="X2461" s="11">
        <v>5.6952196034039754E-2</v>
      </c>
      <c r="Y2461">
        <v>1</v>
      </c>
      <c r="Z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6">
        <v>45747</v>
      </c>
      <c r="B2462" t="s">
        <v>31</v>
      </c>
      <c r="C2462" t="s">
        <v>32</v>
      </c>
      <c r="D2462" t="s">
        <v>33</v>
      </c>
      <c r="E2462" t="s">
        <v>34</v>
      </c>
      <c r="F2462">
        <v>140</v>
      </c>
      <c r="G2462">
        <v>360</v>
      </c>
      <c r="H2462">
        <v>152</v>
      </c>
      <c r="I2462">
        <v>67</v>
      </c>
      <c r="J2462" s="8">
        <v>0.47857142857142859</v>
      </c>
      <c r="K2462">
        <v>22</v>
      </c>
      <c r="L2462">
        <v>25</v>
      </c>
      <c r="M2462">
        <v>136</v>
      </c>
      <c r="N2462" s="10">
        <v>402.5</v>
      </c>
      <c r="O2462" s="7">
        <v>5.2</v>
      </c>
      <c r="P2462" s="7">
        <v>27.7</v>
      </c>
      <c r="Q2462">
        <v>0</v>
      </c>
      <c r="R2462" t="s">
        <v>62</v>
      </c>
      <c r="S2462">
        <v>3</v>
      </c>
      <c r="T2462">
        <v>90</v>
      </c>
      <c r="U2462" s="11">
        <v>0</v>
      </c>
      <c r="V2462" s="11">
        <v>1</v>
      </c>
      <c r="W2462" s="11">
        <v>0.99920885606797527</v>
      </c>
      <c r="X2462" s="11">
        <v>3.9770113846055721E-2</v>
      </c>
      <c r="Y2462">
        <v>0</v>
      </c>
      <c r="Z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6">
        <v>45747</v>
      </c>
      <c r="B2463" t="s">
        <v>36</v>
      </c>
      <c r="C2463" t="s">
        <v>37</v>
      </c>
      <c r="D2463" t="s">
        <v>38</v>
      </c>
      <c r="E2463" t="s">
        <v>39</v>
      </c>
      <c r="F2463">
        <v>125</v>
      </c>
      <c r="G2463">
        <v>320</v>
      </c>
      <c r="H2463">
        <v>165</v>
      </c>
      <c r="I2463">
        <v>68</v>
      </c>
      <c r="J2463" s="8">
        <v>0.54400000000000004</v>
      </c>
      <c r="K2463">
        <v>27</v>
      </c>
      <c r="L2463">
        <v>29</v>
      </c>
      <c r="M2463">
        <v>153</v>
      </c>
      <c r="N2463" s="10">
        <v>583.69000000000005</v>
      </c>
      <c r="O2463" s="7">
        <v>5.2</v>
      </c>
      <c r="P2463" s="7">
        <v>27.7</v>
      </c>
      <c r="Q2463">
        <v>0</v>
      </c>
      <c r="R2463" t="s">
        <v>62</v>
      </c>
      <c r="S2463">
        <v>3</v>
      </c>
      <c r="T2463">
        <v>90</v>
      </c>
      <c r="U2463" s="11">
        <v>0</v>
      </c>
      <c r="V2463" s="11">
        <v>1</v>
      </c>
      <c r="W2463" s="11">
        <v>0.99920885606797527</v>
      </c>
      <c r="X2463" s="11">
        <v>3.9770113846055721E-2</v>
      </c>
      <c r="Y2463">
        <v>0</v>
      </c>
      <c r="Z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6">
        <v>45747</v>
      </c>
      <c r="B2464" t="s">
        <v>41</v>
      </c>
      <c r="C2464" t="s">
        <v>42</v>
      </c>
      <c r="D2464" t="s">
        <v>43</v>
      </c>
      <c r="E2464" t="s">
        <v>44</v>
      </c>
      <c r="F2464">
        <v>85</v>
      </c>
      <c r="G2464">
        <v>210</v>
      </c>
      <c r="H2464">
        <v>124</v>
      </c>
      <c r="I2464">
        <v>52</v>
      </c>
      <c r="J2464" s="8">
        <v>0.61176470588235299</v>
      </c>
      <c r="K2464">
        <v>19</v>
      </c>
      <c r="L2464">
        <v>19</v>
      </c>
      <c r="M2464">
        <v>106</v>
      </c>
      <c r="N2464" s="10">
        <v>540.34</v>
      </c>
      <c r="O2464" s="7">
        <v>5.2</v>
      </c>
      <c r="P2464" s="7">
        <v>27.7</v>
      </c>
      <c r="Q2464">
        <v>0</v>
      </c>
      <c r="R2464" t="s">
        <v>62</v>
      </c>
      <c r="S2464">
        <v>3</v>
      </c>
      <c r="T2464">
        <v>90</v>
      </c>
      <c r="U2464" s="11">
        <v>0</v>
      </c>
      <c r="V2464" s="11">
        <v>1</v>
      </c>
      <c r="W2464" s="11">
        <v>0.99920885606797527</v>
      </c>
      <c r="X2464" s="11">
        <v>3.9770113846055721E-2</v>
      </c>
      <c r="Y2464">
        <v>0</v>
      </c>
      <c r="Z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6">
        <v>45748</v>
      </c>
      <c r="B2465" t="s">
        <v>31</v>
      </c>
      <c r="C2465" t="s">
        <v>32</v>
      </c>
      <c r="D2465" t="s">
        <v>33</v>
      </c>
      <c r="E2465" t="s">
        <v>34</v>
      </c>
      <c r="F2465">
        <v>140</v>
      </c>
      <c r="G2465">
        <v>360</v>
      </c>
      <c r="H2465">
        <v>185</v>
      </c>
      <c r="I2465">
        <v>77</v>
      </c>
      <c r="J2465" s="8">
        <v>0.55000000000000004</v>
      </c>
      <c r="K2465">
        <v>43</v>
      </c>
      <c r="L2465">
        <v>25</v>
      </c>
      <c r="M2465">
        <v>161</v>
      </c>
      <c r="N2465" s="10">
        <v>443.4</v>
      </c>
      <c r="O2465" s="7">
        <v>5.7</v>
      </c>
      <c r="P2465" s="7">
        <v>27.6</v>
      </c>
      <c r="Q2465">
        <v>1</v>
      </c>
      <c r="R2465" t="s">
        <v>63</v>
      </c>
      <c r="S2465">
        <v>4</v>
      </c>
      <c r="T2465">
        <v>91</v>
      </c>
      <c r="U2465" s="11">
        <v>0.7818314824680298</v>
      </c>
      <c r="V2465" s="11">
        <v>0.62348980185873359</v>
      </c>
      <c r="W2465" s="11">
        <v>0.9997451236925734</v>
      </c>
      <c r="X2465" s="11">
        <v>2.2576263041545485E-2</v>
      </c>
      <c r="Y2465">
        <v>0</v>
      </c>
      <c r="Z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6">
        <v>45748</v>
      </c>
      <c r="B2466" t="s">
        <v>36</v>
      </c>
      <c r="C2466" t="s">
        <v>37</v>
      </c>
      <c r="D2466" t="s">
        <v>38</v>
      </c>
      <c r="E2466" t="s">
        <v>39</v>
      </c>
      <c r="F2466">
        <v>125</v>
      </c>
      <c r="G2466">
        <v>320</v>
      </c>
      <c r="H2466">
        <v>140</v>
      </c>
      <c r="I2466">
        <v>60</v>
      </c>
      <c r="J2466" s="8">
        <v>0.48</v>
      </c>
      <c r="K2466">
        <v>32</v>
      </c>
      <c r="L2466">
        <v>25</v>
      </c>
      <c r="M2466">
        <v>118</v>
      </c>
      <c r="N2466" s="10">
        <v>588.45000000000005</v>
      </c>
      <c r="O2466" s="7">
        <v>5.7</v>
      </c>
      <c r="P2466" s="7">
        <v>27.6</v>
      </c>
      <c r="Q2466">
        <v>1</v>
      </c>
      <c r="R2466" t="s">
        <v>63</v>
      </c>
      <c r="S2466">
        <v>4</v>
      </c>
      <c r="T2466">
        <v>91</v>
      </c>
      <c r="U2466" s="11">
        <v>0.7818314824680298</v>
      </c>
      <c r="V2466" s="11">
        <v>0.62348980185873359</v>
      </c>
      <c r="W2466" s="11">
        <v>0.9997451236925734</v>
      </c>
      <c r="X2466" s="11">
        <v>2.2576263041545485E-2</v>
      </c>
      <c r="Y2466">
        <v>0</v>
      </c>
      <c r="Z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6">
        <v>45748</v>
      </c>
      <c r="B2467" t="s">
        <v>41</v>
      </c>
      <c r="C2467" t="s">
        <v>42</v>
      </c>
      <c r="D2467" t="s">
        <v>43</v>
      </c>
      <c r="E2467" t="s">
        <v>44</v>
      </c>
      <c r="F2467">
        <v>85</v>
      </c>
      <c r="G2467">
        <v>210</v>
      </c>
      <c r="H2467">
        <v>110</v>
      </c>
      <c r="I2467">
        <v>50</v>
      </c>
      <c r="J2467" s="8">
        <v>0.58823529411764708</v>
      </c>
      <c r="K2467">
        <v>23</v>
      </c>
      <c r="L2467">
        <v>12</v>
      </c>
      <c r="M2467">
        <v>92</v>
      </c>
      <c r="N2467" s="10">
        <v>479.99</v>
      </c>
      <c r="O2467" s="7">
        <v>5.7</v>
      </c>
      <c r="P2467" s="7">
        <v>27.6</v>
      </c>
      <c r="Q2467">
        <v>1</v>
      </c>
      <c r="R2467" t="s">
        <v>63</v>
      </c>
      <c r="S2467">
        <v>4</v>
      </c>
      <c r="T2467">
        <v>91</v>
      </c>
      <c r="U2467" s="11">
        <v>0.7818314824680298</v>
      </c>
      <c r="V2467" s="11">
        <v>0.62348980185873359</v>
      </c>
      <c r="W2467" s="11">
        <v>0.9997451236925734</v>
      </c>
      <c r="X2467" s="11">
        <v>2.2576263041545485E-2</v>
      </c>
      <c r="Y2467">
        <v>0</v>
      </c>
      <c r="Z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6">
        <v>45749</v>
      </c>
      <c r="B2468" t="s">
        <v>31</v>
      </c>
      <c r="C2468" t="s">
        <v>32</v>
      </c>
      <c r="D2468" t="s">
        <v>33</v>
      </c>
      <c r="E2468" t="s">
        <v>34</v>
      </c>
      <c r="F2468">
        <v>140</v>
      </c>
      <c r="G2468">
        <v>360</v>
      </c>
      <c r="H2468">
        <v>186</v>
      </c>
      <c r="I2468">
        <v>76</v>
      </c>
      <c r="J2468" s="8">
        <v>0.54285714285714282</v>
      </c>
      <c r="K2468">
        <v>36</v>
      </c>
      <c r="L2468">
        <v>45</v>
      </c>
      <c r="M2468">
        <v>157</v>
      </c>
      <c r="N2468" s="10">
        <v>434.96</v>
      </c>
      <c r="O2468" s="7">
        <v>17.399999999999999</v>
      </c>
      <c r="P2468" s="7">
        <v>26.4</v>
      </c>
      <c r="Q2468">
        <v>2</v>
      </c>
      <c r="R2468" t="s">
        <v>64</v>
      </c>
      <c r="S2468">
        <v>4</v>
      </c>
      <c r="T2468">
        <v>92</v>
      </c>
      <c r="U2468" s="11">
        <v>0.97492791218182362</v>
      </c>
      <c r="V2468" s="11">
        <v>-0.22252093395631434</v>
      </c>
      <c r="W2468" s="11">
        <v>0.99998555065071859</v>
      </c>
      <c r="X2468" s="11">
        <v>5.3757315575838844E-3</v>
      </c>
      <c r="Y2468">
        <v>0</v>
      </c>
      <c r="Z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6">
        <v>45749</v>
      </c>
      <c r="B2469" t="s">
        <v>36</v>
      </c>
      <c r="C2469" t="s">
        <v>37</v>
      </c>
      <c r="D2469" t="s">
        <v>38</v>
      </c>
      <c r="E2469" t="s">
        <v>39</v>
      </c>
      <c r="F2469">
        <v>125</v>
      </c>
      <c r="G2469">
        <v>320</v>
      </c>
      <c r="H2469">
        <v>157</v>
      </c>
      <c r="I2469">
        <v>67</v>
      </c>
      <c r="J2469" s="8">
        <v>0.53600000000000003</v>
      </c>
      <c r="K2469">
        <v>24</v>
      </c>
      <c r="L2469">
        <v>31</v>
      </c>
      <c r="M2469">
        <v>140</v>
      </c>
      <c r="N2469" s="10">
        <v>592.46</v>
      </c>
      <c r="O2469" s="7">
        <v>17.399999999999999</v>
      </c>
      <c r="P2469" s="7">
        <v>26.4</v>
      </c>
      <c r="Q2469">
        <v>2</v>
      </c>
      <c r="R2469" t="s">
        <v>64</v>
      </c>
      <c r="S2469">
        <v>4</v>
      </c>
      <c r="T2469">
        <v>92</v>
      </c>
      <c r="U2469" s="11">
        <v>0.97492791218182362</v>
      </c>
      <c r="V2469" s="11">
        <v>-0.22252093395631434</v>
      </c>
      <c r="W2469" s="11">
        <v>0.99998555065071859</v>
      </c>
      <c r="X2469" s="11">
        <v>5.3757315575838844E-3</v>
      </c>
      <c r="Y2469">
        <v>0</v>
      </c>
      <c r="Z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6">
        <v>45749</v>
      </c>
      <c r="B2470" t="s">
        <v>41</v>
      </c>
      <c r="C2470" t="s">
        <v>42</v>
      </c>
      <c r="D2470" t="s">
        <v>43</v>
      </c>
      <c r="E2470" t="s">
        <v>44</v>
      </c>
      <c r="F2470">
        <v>85</v>
      </c>
      <c r="G2470">
        <v>210</v>
      </c>
      <c r="H2470">
        <v>133</v>
      </c>
      <c r="I2470">
        <v>55</v>
      </c>
      <c r="J2470" s="8">
        <v>0.6470588235294118</v>
      </c>
      <c r="K2470">
        <v>15</v>
      </c>
      <c r="L2470">
        <v>16</v>
      </c>
      <c r="M2470">
        <v>122</v>
      </c>
      <c r="N2470" s="10">
        <v>494.21</v>
      </c>
      <c r="O2470" s="7">
        <v>17.399999999999999</v>
      </c>
      <c r="P2470" s="7">
        <v>26.4</v>
      </c>
      <c r="Q2470">
        <v>2</v>
      </c>
      <c r="R2470" t="s">
        <v>64</v>
      </c>
      <c r="S2470">
        <v>4</v>
      </c>
      <c r="T2470">
        <v>92</v>
      </c>
      <c r="U2470" s="11">
        <v>0.97492791218182362</v>
      </c>
      <c r="V2470" s="11">
        <v>-0.22252093395631434</v>
      </c>
      <c r="W2470" s="11">
        <v>0.99998555065071859</v>
      </c>
      <c r="X2470" s="11">
        <v>5.3757315575838844E-3</v>
      </c>
      <c r="Y2470">
        <v>0</v>
      </c>
      <c r="Z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6">
        <v>45750</v>
      </c>
      <c r="B2471" t="s">
        <v>31</v>
      </c>
      <c r="C2471" t="s">
        <v>32</v>
      </c>
      <c r="D2471" t="s">
        <v>33</v>
      </c>
      <c r="E2471" t="s">
        <v>34</v>
      </c>
      <c r="F2471">
        <v>140</v>
      </c>
      <c r="G2471">
        <v>360</v>
      </c>
      <c r="H2471">
        <v>164</v>
      </c>
      <c r="I2471">
        <v>69</v>
      </c>
      <c r="J2471" s="8">
        <v>0.49285714285714288</v>
      </c>
      <c r="K2471">
        <v>24</v>
      </c>
      <c r="L2471">
        <v>46</v>
      </c>
      <c r="M2471">
        <v>134</v>
      </c>
      <c r="N2471" s="10">
        <v>411.93</v>
      </c>
      <c r="O2471" s="7">
        <v>9.5</v>
      </c>
      <c r="P2471" s="7">
        <v>26.7</v>
      </c>
      <c r="Q2471">
        <v>3</v>
      </c>
      <c r="R2471" t="s">
        <v>65</v>
      </c>
      <c r="S2471">
        <v>4</v>
      </c>
      <c r="T2471">
        <v>93</v>
      </c>
      <c r="U2471" s="11">
        <v>0.43388373911755823</v>
      </c>
      <c r="V2471" s="11">
        <v>-0.90096886790241903</v>
      </c>
      <c r="W2471" s="11">
        <v>0.99993006579620569</v>
      </c>
      <c r="X2471" s="11">
        <v>-1.1826390691832589E-2</v>
      </c>
      <c r="Y2471">
        <v>0</v>
      </c>
      <c r="Z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6">
        <v>45750</v>
      </c>
      <c r="B2472" t="s">
        <v>36</v>
      </c>
      <c r="C2472" t="s">
        <v>37</v>
      </c>
      <c r="D2472" t="s">
        <v>38</v>
      </c>
      <c r="E2472" t="s">
        <v>39</v>
      </c>
      <c r="F2472">
        <v>125</v>
      </c>
      <c r="G2472">
        <v>320</v>
      </c>
      <c r="H2472">
        <v>146</v>
      </c>
      <c r="I2472">
        <v>61</v>
      </c>
      <c r="J2472" s="8">
        <v>0.48799999999999999</v>
      </c>
      <c r="K2472">
        <v>36</v>
      </c>
      <c r="L2472">
        <v>37</v>
      </c>
      <c r="M2472">
        <v>135</v>
      </c>
      <c r="N2472" s="10">
        <v>638.13</v>
      </c>
      <c r="O2472" s="7">
        <v>9.5</v>
      </c>
      <c r="P2472" s="7">
        <v>26.7</v>
      </c>
      <c r="Q2472">
        <v>3</v>
      </c>
      <c r="R2472" t="s">
        <v>65</v>
      </c>
      <c r="S2472">
        <v>4</v>
      </c>
      <c r="T2472">
        <v>93</v>
      </c>
      <c r="U2472" s="11">
        <v>0.43388373911755823</v>
      </c>
      <c r="V2472" s="11">
        <v>-0.90096886790241903</v>
      </c>
      <c r="W2472" s="11">
        <v>0.99993006579620569</v>
      </c>
      <c r="X2472" s="11">
        <v>-1.1826390691832589E-2</v>
      </c>
      <c r="Y2472">
        <v>0</v>
      </c>
      <c r="Z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6">
        <v>45750</v>
      </c>
      <c r="B2473" t="s">
        <v>41</v>
      </c>
      <c r="C2473" t="s">
        <v>42</v>
      </c>
      <c r="D2473" t="s">
        <v>43</v>
      </c>
      <c r="E2473" t="s">
        <v>44</v>
      </c>
      <c r="F2473">
        <v>85</v>
      </c>
      <c r="G2473">
        <v>210</v>
      </c>
      <c r="H2473">
        <v>115</v>
      </c>
      <c r="I2473">
        <v>51</v>
      </c>
      <c r="J2473" s="8">
        <v>0.6</v>
      </c>
      <c r="K2473">
        <v>26</v>
      </c>
      <c r="L2473">
        <v>17</v>
      </c>
      <c r="M2473">
        <v>95</v>
      </c>
      <c r="N2473" s="10">
        <v>556.58000000000004</v>
      </c>
      <c r="O2473" s="7">
        <v>9.5</v>
      </c>
      <c r="P2473" s="7">
        <v>26.7</v>
      </c>
      <c r="Q2473">
        <v>3</v>
      </c>
      <c r="R2473" t="s">
        <v>65</v>
      </c>
      <c r="S2473">
        <v>4</v>
      </c>
      <c r="T2473">
        <v>93</v>
      </c>
      <c r="U2473" s="11">
        <v>0.43388373911755823</v>
      </c>
      <c r="V2473" s="11">
        <v>-0.90096886790241903</v>
      </c>
      <c r="W2473" s="11">
        <v>0.99993006579620569</v>
      </c>
      <c r="X2473" s="11">
        <v>-1.1826390691832589E-2</v>
      </c>
      <c r="Y2473">
        <v>0</v>
      </c>
      <c r="Z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6">
        <v>45751</v>
      </c>
      <c r="B2474" t="s">
        <v>31</v>
      </c>
      <c r="C2474" t="s">
        <v>32</v>
      </c>
      <c r="D2474" t="s">
        <v>33</v>
      </c>
      <c r="E2474" t="s">
        <v>34</v>
      </c>
      <c r="F2474">
        <v>140</v>
      </c>
      <c r="G2474">
        <v>360</v>
      </c>
      <c r="H2474">
        <v>173</v>
      </c>
      <c r="I2474">
        <v>71</v>
      </c>
      <c r="J2474" s="8">
        <v>0.50714285714285712</v>
      </c>
      <c r="K2474">
        <v>28</v>
      </c>
      <c r="L2474">
        <v>40</v>
      </c>
      <c r="M2474">
        <v>149</v>
      </c>
      <c r="N2474" s="10">
        <v>441.92</v>
      </c>
      <c r="O2474" s="7">
        <v>8.1999999999999993</v>
      </c>
      <c r="P2474" s="7">
        <v>26.9</v>
      </c>
      <c r="Q2474">
        <v>4</v>
      </c>
      <c r="R2474" t="s">
        <v>66</v>
      </c>
      <c r="S2474">
        <v>4</v>
      </c>
      <c r="T2474">
        <v>94</v>
      </c>
      <c r="U2474" s="11">
        <v>-0.43388373911755801</v>
      </c>
      <c r="V2474" s="11">
        <v>-0.90096886790241915</v>
      </c>
      <c r="W2474" s="11">
        <v>0.99957868554789575</v>
      </c>
      <c r="X2474" s="11">
        <v>-2.9025013321975237E-2</v>
      </c>
      <c r="Y2474">
        <v>0</v>
      </c>
      <c r="Z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6">
        <v>45751</v>
      </c>
      <c r="B2475" t="s">
        <v>36</v>
      </c>
      <c r="C2475" t="s">
        <v>37</v>
      </c>
      <c r="D2475" t="s">
        <v>38</v>
      </c>
      <c r="E2475" t="s">
        <v>39</v>
      </c>
      <c r="F2475">
        <v>125</v>
      </c>
      <c r="G2475">
        <v>320</v>
      </c>
      <c r="H2475">
        <v>171</v>
      </c>
      <c r="I2475">
        <v>72</v>
      </c>
      <c r="J2475" s="8">
        <v>0.57599999999999996</v>
      </c>
      <c r="K2475">
        <v>34</v>
      </c>
      <c r="L2475">
        <v>19</v>
      </c>
      <c r="M2475">
        <v>139</v>
      </c>
      <c r="N2475" s="10">
        <v>610.54999999999995</v>
      </c>
      <c r="O2475" s="7">
        <v>8.1999999999999993</v>
      </c>
      <c r="P2475" s="7">
        <v>26.9</v>
      </c>
      <c r="Q2475">
        <v>4</v>
      </c>
      <c r="R2475" t="s">
        <v>66</v>
      </c>
      <c r="S2475">
        <v>4</v>
      </c>
      <c r="T2475">
        <v>94</v>
      </c>
      <c r="U2475" s="11">
        <v>-0.43388373911755801</v>
      </c>
      <c r="V2475" s="11">
        <v>-0.90096886790241915</v>
      </c>
      <c r="W2475" s="11">
        <v>0.99957868554789575</v>
      </c>
      <c r="X2475" s="11">
        <v>-2.9025013321975237E-2</v>
      </c>
      <c r="Y2475">
        <v>0</v>
      </c>
      <c r="Z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6">
        <v>45751</v>
      </c>
      <c r="B2476" t="s">
        <v>41</v>
      </c>
      <c r="C2476" t="s">
        <v>42</v>
      </c>
      <c r="D2476" t="s">
        <v>43</v>
      </c>
      <c r="E2476" t="s">
        <v>44</v>
      </c>
      <c r="F2476">
        <v>85</v>
      </c>
      <c r="G2476">
        <v>210</v>
      </c>
      <c r="H2476">
        <v>127</v>
      </c>
      <c r="I2476">
        <v>59</v>
      </c>
      <c r="J2476" s="8">
        <v>0.69411764705882351</v>
      </c>
      <c r="K2476">
        <v>36</v>
      </c>
      <c r="L2476">
        <v>17</v>
      </c>
      <c r="M2476">
        <v>116</v>
      </c>
      <c r="N2476" s="10">
        <v>504.06</v>
      </c>
      <c r="O2476" s="7">
        <v>8.1999999999999993</v>
      </c>
      <c r="P2476" s="7">
        <v>26.9</v>
      </c>
      <c r="Q2476">
        <v>4</v>
      </c>
      <c r="R2476" t="s">
        <v>66</v>
      </c>
      <c r="S2476">
        <v>4</v>
      </c>
      <c r="T2476">
        <v>94</v>
      </c>
      <c r="U2476" s="11">
        <v>-0.43388373911755801</v>
      </c>
      <c r="V2476" s="11">
        <v>-0.90096886790241915</v>
      </c>
      <c r="W2476" s="11">
        <v>0.99957868554789575</v>
      </c>
      <c r="X2476" s="11">
        <v>-2.9025013321975237E-2</v>
      </c>
      <c r="Y2476">
        <v>0</v>
      </c>
      <c r="Z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6">
        <v>45752</v>
      </c>
      <c r="B2477" t="s">
        <v>31</v>
      </c>
      <c r="C2477" t="s">
        <v>32</v>
      </c>
      <c r="D2477" t="s">
        <v>33</v>
      </c>
      <c r="E2477" t="s">
        <v>34</v>
      </c>
      <c r="F2477">
        <v>140</v>
      </c>
      <c r="G2477">
        <v>360</v>
      </c>
      <c r="H2477">
        <v>185</v>
      </c>
      <c r="I2477">
        <v>79</v>
      </c>
      <c r="J2477" s="8">
        <v>0.56428571428571428</v>
      </c>
      <c r="K2477">
        <v>31</v>
      </c>
      <c r="L2477">
        <v>36</v>
      </c>
      <c r="M2477">
        <v>164</v>
      </c>
      <c r="N2477" s="10">
        <v>516.96</v>
      </c>
      <c r="O2477" s="7">
        <v>20.399999999999999</v>
      </c>
      <c r="P2477" s="7">
        <v>28.9</v>
      </c>
      <c r="Q2477">
        <v>5</v>
      </c>
      <c r="R2477" t="s">
        <v>67</v>
      </c>
      <c r="S2477">
        <v>4</v>
      </c>
      <c r="T2477">
        <v>95</v>
      </c>
      <c r="U2477" s="11">
        <v>-0.97492791218182362</v>
      </c>
      <c r="V2477" s="11">
        <v>-0.22252093395631459</v>
      </c>
      <c r="W2477" s="11">
        <v>0.99893151388485768</v>
      </c>
      <c r="X2477" s="11">
        <v>-4.6215046983708354E-2</v>
      </c>
      <c r="Y2477">
        <v>1</v>
      </c>
      <c r="Z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6">
        <v>45752</v>
      </c>
      <c r="B2478" t="s">
        <v>36</v>
      </c>
      <c r="C2478" t="s">
        <v>37</v>
      </c>
      <c r="D2478" t="s">
        <v>38</v>
      </c>
      <c r="E2478" t="s">
        <v>39</v>
      </c>
      <c r="F2478">
        <v>125</v>
      </c>
      <c r="G2478">
        <v>320</v>
      </c>
      <c r="H2478">
        <v>202</v>
      </c>
      <c r="I2478">
        <v>82</v>
      </c>
      <c r="J2478" s="8">
        <v>0.65600000000000003</v>
      </c>
      <c r="K2478">
        <v>47</v>
      </c>
      <c r="L2478">
        <v>38</v>
      </c>
      <c r="M2478">
        <v>189</v>
      </c>
      <c r="N2478" s="10">
        <v>682.55</v>
      </c>
      <c r="O2478" s="7">
        <v>20.399999999999999</v>
      </c>
      <c r="P2478" s="7">
        <v>28.9</v>
      </c>
      <c r="Q2478">
        <v>5</v>
      </c>
      <c r="R2478" t="s">
        <v>67</v>
      </c>
      <c r="S2478">
        <v>4</v>
      </c>
      <c r="T2478">
        <v>95</v>
      </c>
      <c r="U2478" s="11">
        <v>-0.97492791218182362</v>
      </c>
      <c r="V2478" s="11">
        <v>-0.22252093395631459</v>
      </c>
      <c r="W2478" s="11">
        <v>0.99893151388485768</v>
      </c>
      <c r="X2478" s="11">
        <v>-4.6215046983708354E-2</v>
      </c>
      <c r="Y2478">
        <v>1</v>
      </c>
      <c r="Z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6">
        <v>45752</v>
      </c>
      <c r="B2479" t="s">
        <v>41</v>
      </c>
      <c r="C2479" t="s">
        <v>42</v>
      </c>
      <c r="D2479" t="s">
        <v>43</v>
      </c>
      <c r="E2479" t="s">
        <v>44</v>
      </c>
      <c r="F2479">
        <v>85</v>
      </c>
      <c r="G2479">
        <v>210</v>
      </c>
      <c r="H2479">
        <v>140</v>
      </c>
      <c r="I2479">
        <v>63</v>
      </c>
      <c r="J2479" s="8">
        <v>0.74117647058823533</v>
      </c>
      <c r="K2479">
        <v>30</v>
      </c>
      <c r="L2479">
        <v>24</v>
      </c>
      <c r="M2479">
        <v>116</v>
      </c>
      <c r="N2479" s="10">
        <v>650.08000000000004</v>
      </c>
      <c r="O2479" s="7">
        <v>20.399999999999999</v>
      </c>
      <c r="P2479" s="7">
        <v>28.9</v>
      </c>
      <c r="Q2479">
        <v>5</v>
      </c>
      <c r="R2479" t="s">
        <v>67</v>
      </c>
      <c r="S2479">
        <v>4</v>
      </c>
      <c r="T2479">
        <v>95</v>
      </c>
      <c r="U2479" s="11">
        <v>-0.97492791218182362</v>
      </c>
      <c r="V2479" s="11">
        <v>-0.22252093395631459</v>
      </c>
      <c r="W2479" s="11">
        <v>0.99893151388485768</v>
      </c>
      <c r="X2479" s="11">
        <v>-4.6215046983708354E-2</v>
      </c>
      <c r="Y2479">
        <v>1</v>
      </c>
      <c r="Z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6">
        <v>45753</v>
      </c>
      <c r="B2480" t="s">
        <v>31</v>
      </c>
      <c r="C2480" t="s">
        <v>32</v>
      </c>
      <c r="D2480" t="s">
        <v>33</v>
      </c>
      <c r="E2480" t="s">
        <v>34</v>
      </c>
      <c r="F2480">
        <v>140</v>
      </c>
      <c r="G2480">
        <v>360</v>
      </c>
      <c r="H2480">
        <v>209</v>
      </c>
      <c r="I2480">
        <v>89</v>
      </c>
      <c r="J2480" s="8">
        <v>0.63571428571428568</v>
      </c>
      <c r="K2480">
        <v>24</v>
      </c>
      <c r="L2480">
        <v>33</v>
      </c>
      <c r="M2480">
        <v>189</v>
      </c>
      <c r="N2480" s="10">
        <v>516.96</v>
      </c>
      <c r="O2480" s="7">
        <v>5.6</v>
      </c>
      <c r="P2480" s="7">
        <v>25.9</v>
      </c>
      <c r="Q2480">
        <v>6</v>
      </c>
      <c r="R2480" t="s">
        <v>60</v>
      </c>
      <c r="S2480">
        <v>4</v>
      </c>
      <c r="T2480">
        <v>96</v>
      </c>
      <c r="U2480" s="11">
        <v>-0.78183148246802991</v>
      </c>
      <c r="V2480" s="11">
        <v>0.62348980185873337</v>
      </c>
      <c r="W2480" s="11">
        <v>0.99798874231559842</v>
      </c>
      <c r="X2480" s="11">
        <v>-6.3391404869510379E-2</v>
      </c>
      <c r="Y2480">
        <v>1</v>
      </c>
      <c r="Z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6">
        <v>45753</v>
      </c>
      <c r="B2481" t="s">
        <v>36</v>
      </c>
      <c r="C2481" t="s">
        <v>37</v>
      </c>
      <c r="D2481" t="s">
        <v>38</v>
      </c>
      <c r="E2481" t="s">
        <v>39</v>
      </c>
      <c r="F2481">
        <v>125</v>
      </c>
      <c r="G2481">
        <v>320</v>
      </c>
      <c r="H2481">
        <v>177</v>
      </c>
      <c r="I2481">
        <v>72</v>
      </c>
      <c r="J2481" s="8">
        <v>0.57599999999999996</v>
      </c>
      <c r="K2481">
        <v>49</v>
      </c>
      <c r="L2481">
        <v>35</v>
      </c>
      <c r="M2481">
        <v>142</v>
      </c>
      <c r="N2481" s="10">
        <v>739.83</v>
      </c>
      <c r="O2481" s="7">
        <v>5.6</v>
      </c>
      <c r="P2481" s="7">
        <v>25.9</v>
      </c>
      <c r="Q2481">
        <v>6</v>
      </c>
      <c r="R2481" t="s">
        <v>60</v>
      </c>
      <c r="S2481">
        <v>4</v>
      </c>
      <c r="T2481">
        <v>96</v>
      </c>
      <c r="U2481" s="11">
        <v>-0.78183148246802991</v>
      </c>
      <c r="V2481" s="11">
        <v>0.62348980185873337</v>
      </c>
      <c r="W2481" s="11">
        <v>0.99798874231559842</v>
      </c>
      <c r="X2481" s="11">
        <v>-6.3391404869510379E-2</v>
      </c>
      <c r="Y2481">
        <v>1</v>
      </c>
      <c r="Z2481">
        <v>0</v>
      </c>
      <c r="AB2481">
        <v>0</v>
      </c>
      <c r="AC2481">
        <v>0</v>
      </c>
      <c r="AD2481">
        <v>0</v>
      </c>
      <c r="AE2481">
        <v>0</v>
      </c>
    </row>
    <row r="2482" spans="1:31">
      <c r="A2482" s="6">
        <v>45753</v>
      </c>
      <c r="B2482" t="s">
        <v>41</v>
      </c>
      <c r="C2482" t="s">
        <v>42</v>
      </c>
      <c r="D2482" t="s">
        <v>43</v>
      </c>
      <c r="E2482" t="s">
        <v>44</v>
      </c>
      <c r="F2482">
        <v>85</v>
      </c>
      <c r="G2482">
        <v>210</v>
      </c>
      <c r="H2482">
        <v>151</v>
      </c>
      <c r="I2482">
        <v>67</v>
      </c>
      <c r="J2482" s="8">
        <v>0.78823529411764703</v>
      </c>
      <c r="K2482">
        <v>39</v>
      </c>
      <c r="L2482">
        <v>28</v>
      </c>
      <c r="M2482">
        <v>127</v>
      </c>
      <c r="N2482" s="10">
        <v>634.54999999999995</v>
      </c>
      <c r="O2482" s="7">
        <v>5.6</v>
      </c>
      <c r="P2482" s="7">
        <v>25.9</v>
      </c>
      <c r="Q2482">
        <v>6</v>
      </c>
      <c r="R2482" t="s">
        <v>60</v>
      </c>
      <c r="S2482">
        <v>4</v>
      </c>
      <c r="T2482">
        <v>96</v>
      </c>
      <c r="U2482" s="11">
        <v>-0.78183148246802991</v>
      </c>
      <c r="V2482" s="11">
        <v>0.62348980185873337</v>
      </c>
      <c r="W2482" s="11">
        <v>0.99798874231559842</v>
      </c>
      <c r="X2482" s="11">
        <v>-6.3391404869510379E-2</v>
      </c>
      <c r="Y2482">
        <v>1</v>
      </c>
      <c r="Z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6">
        <v>45754</v>
      </c>
      <c r="B2483" t="s">
        <v>31</v>
      </c>
      <c r="C2483" t="s">
        <v>32</v>
      </c>
      <c r="D2483" t="s">
        <v>33</v>
      </c>
      <c r="E2483" t="s">
        <v>34</v>
      </c>
      <c r="F2483">
        <v>140</v>
      </c>
      <c r="G2483">
        <v>360</v>
      </c>
      <c r="H2483">
        <v>196</v>
      </c>
      <c r="I2483">
        <v>81</v>
      </c>
      <c r="J2483" s="8">
        <v>0.57857142857142863</v>
      </c>
      <c r="K2483">
        <v>42</v>
      </c>
      <c r="L2483">
        <v>49</v>
      </c>
      <c r="M2483">
        <v>179</v>
      </c>
      <c r="N2483" s="10">
        <v>417.04</v>
      </c>
      <c r="O2483" s="7">
        <v>17.100000000000001</v>
      </c>
      <c r="P2483" s="7">
        <v>25.8</v>
      </c>
      <c r="Q2483">
        <v>0</v>
      </c>
      <c r="R2483" t="s">
        <v>62</v>
      </c>
      <c r="S2483">
        <v>4</v>
      </c>
      <c r="T2483">
        <v>97</v>
      </c>
      <c r="U2483" s="11">
        <v>0</v>
      </c>
      <c r="V2483" s="11">
        <v>1</v>
      </c>
      <c r="W2483" s="11">
        <v>0.99675064982139294</v>
      </c>
      <c r="X2483" s="11">
        <v>-8.0549004218741671E-2</v>
      </c>
      <c r="Y2483">
        <v>0</v>
      </c>
      <c r="Z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6">
        <v>45754</v>
      </c>
      <c r="B2484" t="s">
        <v>36</v>
      </c>
      <c r="C2484" t="s">
        <v>37</v>
      </c>
      <c r="D2484" t="s">
        <v>38</v>
      </c>
      <c r="E2484" t="s">
        <v>39</v>
      </c>
      <c r="F2484">
        <v>125</v>
      </c>
      <c r="G2484">
        <v>320</v>
      </c>
      <c r="H2484">
        <v>160</v>
      </c>
      <c r="I2484">
        <v>65</v>
      </c>
      <c r="J2484" s="8">
        <v>0.52</v>
      </c>
      <c r="K2484">
        <v>19</v>
      </c>
      <c r="L2484">
        <v>23</v>
      </c>
      <c r="M2484">
        <v>135</v>
      </c>
      <c r="N2484" s="10">
        <v>594.88</v>
      </c>
      <c r="O2484" s="7">
        <v>17.100000000000001</v>
      </c>
      <c r="P2484" s="7">
        <v>25.8</v>
      </c>
      <c r="Q2484">
        <v>0</v>
      </c>
      <c r="R2484" t="s">
        <v>62</v>
      </c>
      <c r="S2484">
        <v>4</v>
      </c>
      <c r="T2484">
        <v>97</v>
      </c>
      <c r="U2484" s="11">
        <v>0</v>
      </c>
      <c r="V2484" s="11">
        <v>1</v>
      </c>
      <c r="W2484" s="11">
        <v>0.99675064982139294</v>
      </c>
      <c r="X2484" s="11">
        <v>-8.0549004218741671E-2</v>
      </c>
      <c r="Y2484">
        <v>0</v>
      </c>
      <c r="Z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6">
        <v>45754</v>
      </c>
      <c r="B2485" t="s">
        <v>41</v>
      </c>
      <c r="C2485" t="s">
        <v>42</v>
      </c>
      <c r="D2485" t="s">
        <v>43</v>
      </c>
      <c r="E2485" t="s">
        <v>44</v>
      </c>
      <c r="F2485">
        <v>85</v>
      </c>
      <c r="G2485">
        <v>210</v>
      </c>
      <c r="H2485">
        <v>102</v>
      </c>
      <c r="I2485">
        <v>51</v>
      </c>
      <c r="J2485" s="8">
        <v>0.6</v>
      </c>
      <c r="K2485">
        <v>25</v>
      </c>
      <c r="L2485">
        <v>10</v>
      </c>
      <c r="M2485">
        <v>92</v>
      </c>
      <c r="N2485" s="10">
        <v>541.5</v>
      </c>
      <c r="O2485" s="7">
        <v>17.100000000000001</v>
      </c>
      <c r="P2485" s="7">
        <v>25.8</v>
      </c>
      <c r="Q2485">
        <v>0</v>
      </c>
      <c r="R2485" t="s">
        <v>62</v>
      </c>
      <c r="S2485">
        <v>4</v>
      </c>
      <c r="T2485">
        <v>97</v>
      </c>
      <c r="U2485" s="11">
        <v>0</v>
      </c>
      <c r="V2485" s="11">
        <v>1</v>
      </c>
      <c r="W2485" s="11">
        <v>0.99675064982139294</v>
      </c>
      <c r="X2485" s="11">
        <v>-8.0549004218741671E-2</v>
      </c>
      <c r="Y2485">
        <v>0</v>
      </c>
      <c r="Z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6">
        <v>45755</v>
      </c>
      <c r="B2486" t="s">
        <v>31</v>
      </c>
      <c r="C2486" t="s">
        <v>32</v>
      </c>
      <c r="D2486" t="s">
        <v>33</v>
      </c>
      <c r="E2486" t="s">
        <v>34</v>
      </c>
      <c r="F2486">
        <v>140</v>
      </c>
      <c r="G2486">
        <v>360</v>
      </c>
      <c r="H2486">
        <v>184</v>
      </c>
      <c r="I2486">
        <v>80</v>
      </c>
      <c r="J2486" s="8">
        <v>0.5714285714285714</v>
      </c>
      <c r="K2486">
        <v>44</v>
      </c>
      <c r="L2486">
        <v>45</v>
      </c>
      <c r="M2486">
        <v>151</v>
      </c>
      <c r="N2486" s="10">
        <v>466.9</v>
      </c>
      <c r="O2486" s="7">
        <v>9.1999999999999993</v>
      </c>
      <c r="P2486" s="7">
        <v>28.1</v>
      </c>
      <c r="Q2486">
        <v>1</v>
      </c>
      <c r="R2486" t="s">
        <v>63</v>
      </c>
      <c r="S2486">
        <v>4</v>
      </c>
      <c r="T2486">
        <v>98</v>
      </c>
      <c r="U2486" s="11">
        <v>0.7818314824680298</v>
      </c>
      <c r="V2486" s="11">
        <v>0.62348980185873359</v>
      </c>
      <c r="W2486" s="11">
        <v>0.99521760277372939</v>
      </c>
      <c r="X2486" s="11">
        <v>-9.7682767821715977E-2</v>
      </c>
      <c r="Y2486">
        <v>0</v>
      </c>
      <c r="Z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6">
        <v>45755</v>
      </c>
      <c r="B2487" t="s">
        <v>36</v>
      </c>
      <c r="C2487" t="s">
        <v>37</v>
      </c>
      <c r="D2487" t="s">
        <v>38</v>
      </c>
      <c r="E2487" t="s">
        <v>39</v>
      </c>
      <c r="F2487">
        <v>125</v>
      </c>
      <c r="G2487">
        <v>320</v>
      </c>
      <c r="H2487">
        <v>174</v>
      </c>
      <c r="I2487">
        <v>73</v>
      </c>
      <c r="J2487" s="8">
        <v>0.58399999999999996</v>
      </c>
      <c r="K2487">
        <v>42</v>
      </c>
      <c r="L2487">
        <v>25</v>
      </c>
      <c r="M2487">
        <v>148</v>
      </c>
      <c r="N2487" s="10">
        <v>566.22</v>
      </c>
      <c r="O2487" s="7">
        <v>9.1999999999999993</v>
      </c>
      <c r="P2487" s="7">
        <v>28.1</v>
      </c>
      <c r="Q2487">
        <v>1</v>
      </c>
      <c r="R2487" t="s">
        <v>63</v>
      </c>
      <c r="S2487">
        <v>4</v>
      </c>
      <c r="T2487">
        <v>98</v>
      </c>
      <c r="U2487" s="11">
        <v>0.7818314824680298</v>
      </c>
      <c r="V2487" s="11">
        <v>0.62348980185873359</v>
      </c>
      <c r="W2487" s="11">
        <v>0.99521760277372939</v>
      </c>
      <c r="X2487" s="11">
        <v>-9.7682767821715977E-2</v>
      </c>
      <c r="Y2487">
        <v>0</v>
      </c>
      <c r="Z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6">
        <v>45755</v>
      </c>
      <c r="B2488" t="s">
        <v>41</v>
      </c>
      <c r="C2488" t="s">
        <v>42</v>
      </c>
      <c r="D2488" t="s">
        <v>43</v>
      </c>
      <c r="E2488" t="s">
        <v>44</v>
      </c>
      <c r="F2488">
        <v>85</v>
      </c>
      <c r="G2488">
        <v>210</v>
      </c>
      <c r="H2488">
        <v>125</v>
      </c>
      <c r="I2488">
        <v>52</v>
      </c>
      <c r="J2488" s="8">
        <v>0.61176470588235299</v>
      </c>
      <c r="K2488">
        <v>27</v>
      </c>
      <c r="L2488">
        <v>30</v>
      </c>
      <c r="M2488">
        <v>109</v>
      </c>
      <c r="N2488" s="10">
        <v>498.16</v>
      </c>
      <c r="O2488" s="7">
        <v>9.1999999999999993</v>
      </c>
      <c r="P2488" s="7">
        <v>28.1</v>
      </c>
      <c r="Q2488">
        <v>1</v>
      </c>
      <c r="R2488" t="s">
        <v>63</v>
      </c>
      <c r="S2488">
        <v>4</v>
      </c>
      <c r="T2488">
        <v>98</v>
      </c>
      <c r="U2488" s="11">
        <v>0.7818314824680298</v>
      </c>
      <c r="V2488" s="11">
        <v>0.62348980185873359</v>
      </c>
      <c r="W2488" s="11">
        <v>0.99521760277372939</v>
      </c>
      <c r="X2488" s="11">
        <v>-9.7682767821715977E-2</v>
      </c>
      <c r="Y2488">
        <v>0</v>
      </c>
      <c r="Z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6">
        <v>45756</v>
      </c>
      <c r="B2489" t="s">
        <v>31</v>
      </c>
      <c r="C2489" t="s">
        <v>32</v>
      </c>
      <c r="D2489" t="s">
        <v>33</v>
      </c>
      <c r="E2489" t="s">
        <v>34</v>
      </c>
      <c r="F2489">
        <v>140</v>
      </c>
      <c r="G2489">
        <v>360</v>
      </c>
      <c r="H2489">
        <v>188</v>
      </c>
      <c r="I2489">
        <v>79</v>
      </c>
      <c r="J2489" s="8">
        <v>0.56428571428571428</v>
      </c>
      <c r="K2489">
        <v>37</v>
      </c>
      <c r="L2489">
        <v>52</v>
      </c>
      <c r="M2489">
        <v>176</v>
      </c>
      <c r="N2489" s="10">
        <v>468.81</v>
      </c>
      <c r="O2489" s="7">
        <v>13.4</v>
      </c>
      <c r="P2489" s="7">
        <v>26.6</v>
      </c>
      <c r="Q2489">
        <v>2</v>
      </c>
      <c r="R2489" t="s">
        <v>64</v>
      </c>
      <c r="S2489">
        <v>4</v>
      </c>
      <c r="T2489">
        <v>99</v>
      </c>
      <c r="U2489" s="11">
        <v>0.97492791218182362</v>
      </c>
      <c r="V2489" s="11">
        <v>-0.22252093395631434</v>
      </c>
      <c r="W2489" s="11">
        <v>0.9933900548258936</v>
      </c>
      <c r="X2489" s="11">
        <v>-0.11478762552212701</v>
      </c>
      <c r="Y2489">
        <v>0</v>
      </c>
      <c r="Z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6">
        <v>45756</v>
      </c>
      <c r="B2490" t="s">
        <v>36</v>
      </c>
      <c r="C2490" t="s">
        <v>37</v>
      </c>
      <c r="D2490" t="s">
        <v>38</v>
      </c>
      <c r="E2490" t="s">
        <v>39</v>
      </c>
      <c r="F2490">
        <v>125</v>
      </c>
      <c r="G2490">
        <v>320</v>
      </c>
      <c r="H2490">
        <v>160</v>
      </c>
      <c r="I2490">
        <v>67</v>
      </c>
      <c r="J2490" s="8">
        <v>0.53600000000000003</v>
      </c>
      <c r="K2490">
        <v>30</v>
      </c>
      <c r="L2490">
        <v>25</v>
      </c>
      <c r="M2490">
        <v>137</v>
      </c>
      <c r="N2490" s="10">
        <v>562.51</v>
      </c>
      <c r="O2490" s="7">
        <v>13.4</v>
      </c>
      <c r="P2490" s="7">
        <v>26.6</v>
      </c>
      <c r="Q2490">
        <v>2</v>
      </c>
      <c r="R2490" t="s">
        <v>64</v>
      </c>
      <c r="S2490">
        <v>4</v>
      </c>
      <c r="T2490">
        <v>99</v>
      </c>
      <c r="U2490" s="11">
        <v>0.97492791218182362</v>
      </c>
      <c r="V2490" s="11">
        <v>-0.22252093395631434</v>
      </c>
      <c r="W2490" s="11">
        <v>0.9933900548258936</v>
      </c>
      <c r="X2490" s="11">
        <v>-0.11478762552212701</v>
      </c>
      <c r="Y2490">
        <v>0</v>
      </c>
      <c r="Z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6">
        <v>45756</v>
      </c>
      <c r="B2491" t="s">
        <v>41</v>
      </c>
      <c r="C2491" t="s">
        <v>42</v>
      </c>
      <c r="D2491" t="s">
        <v>43</v>
      </c>
      <c r="E2491" t="s">
        <v>44</v>
      </c>
      <c r="F2491">
        <v>85</v>
      </c>
      <c r="G2491">
        <v>210</v>
      </c>
      <c r="H2491">
        <v>125</v>
      </c>
      <c r="I2491">
        <v>53</v>
      </c>
      <c r="J2491" s="8">
        <v>0.62352941176470589</v>
      </c>
      <c r="K2491">
        <v>34</v>
      </c>
      <c r="L2491">
        <v>23</v>
      </c>
      <c r="M2491">
        <v>103</v>
      </c>
      <c r="N2491" s="10">
        <v>493.2</v>
      </c>
      <c r="O2491" s="7">
        <v>13.4</v>
      </c>
      <c r="P2491" s="7">
        <v>26.6</v>
      </c>
      <c r="Q2491">
        <v>2</v>
      </c>
      <c r="R2491" t="s">
        <v>64</v>
      </c>
      <c r="S2491">
        <v>4</v>
      </c>
      <c r="T2491">
        <v>99</v>
      </c>
      <c r="U2491" s="11">
        <v>0.97492791218182362</v>
      </c>
      <c r="V2491" s="11">
        <v>-0.22252093395631434</v>
      </c>
      <c r="W2491" s="11">
        <v>0.9933900548258936</v>
      </c>
      <c r="X2491" s="11">
        <v>-0.11478762552212701</v>
      </c>
      <c r="Y2491">
        <v>0</v>
      </c>
      <c r="Z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6">
        <v>45757</v>
      </c>
      <c r="B2492" t="s">
        <v>31</v>
      </c>
      <c r="C2492" t="s">
        <v>32</v>
      </c>
      <c r="D2492" t="s">
        <v>33</v>
      </c>
      <c r="E2492" t="s">
        <v>34</v>
      </c>
      <c r="F2492">
        <v>140</v>
      </c>
      <c r="G2492">
        <v>360</v>
      </c>
      <c r="H2492">
        <v>160</v>
      </c>
      <c r="I2492">
        <v>67</v>
      </c>
      <c r="J2492" s="8">
        <v>0.47857142857142859</v>
      </c>
      <c r="K2492">
        <v>35</v>
      </c>
      <c r="L2492">
        <v>22</v>
      </c>
      <c r="M2492">
        <v>141</v>
      </c>
      <c r="N2492" s="10">
        <v>405.07</v>
      </c>
      <c r="O2492" s="7">
        <v>22.9</v>
      </c>
      <c r="P2492" s="7">
        <v>27.4</v>
      </c>
      <c r="Q2492">
        <v>3</v>
      </c>
      <c r="R2492" t="s">
        <v>65</v>
      </c>
      <c r="S2492">
        <v>4</v>
      </c>
      <c r="T2492">
        <v>100</v>
      </c>
      <c r="U2492" s="11">
        <v>0.43388373911755823</v>
      </c>
      <c r="V2492" s="11">
        <v>-0.90096886790241903</v>
      </c>
      <c r="W2492" s="11">
        <v>0.99126854677872556</v>
      </c>
      <c r="X2492" s="11">
        <v>-0.13185851571739118</v>
      </c>
      <c r="Y2492">
        <v>0</v>
      </c>
      <c r="Z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6">
        <v>45757</v>
      </c>
      <c r="B2493" t="s">
        <v>36</v>
      </c>
      <c r="C2493" t="s">
        <v>37</v>
      </c>
      <c r="D2493" t="s">
        <v>38</v>
      </c>
      <c r="E2493" t="s">
        <v>39</v>
      </c>
      <c r="F2493">
        <v>125</v>
      </c>
      <c r="G2493">
        <v>320</v>
      </c>
      <c r="H2493">
        <v>181</v>
      </c>
      <c r="I2493">
        <v>75</v>
      </c>
      <c r="J2493" s="8">
        <v>0.6</v>
      </c>
      <c r="K2493">
        <v>34</v>
      </c>
      <c r="L2493">
        <v>23</v>
      </c>
      <c r="M2493">
        <v>155</v>
      </c>
      <c r="N2493" s="10">
        <v>666.55</v>
      </c>
      <c r="O2493" s="7">
        <v>22.9</v>
      </c>
      <c r="P2493" s="7">
        <v>27.4</v>
      </c>
      <c r="Q2493">
        <v>3</v>
      </c>
      <c r="R2493" t="s">
        <v>65</v>
      </c>
      <c r="S2493">
        <v>4</v>
      </c>
      <c r="T2493">
        <v>100</v>
      </c>
      <c r="U2493" s="11">
        <v>0.43388373911755823</v>
      </c>
      <c r="V2493" s="11">
        <v>-0.90096886790241903</v>
      </c>
      <c r="W2493" s="11">
        <v>0.99126854677872556</v>
      </c>
      <c r="X2493" s="11">
        <v>-0.13185851571739118</v>
      </c>
      <c r="Y2493">
        <v>0</v>
      </c>
      <c r="Z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6">
        <v>45757</v>
      </c>
      <c r="B2494" t="s">
        <v>41</v>
      </c>
      <c r="C2494" t="s">
        <v>42</v>
      </c>
      <c r="D2494" t="s">
        <v>43</v>
      </c>
      <c r="E2494" t="s">
        <v>44</v>
      </c>
      <c r="F2494">
        <v>85</v>
      </c>
      <c r="G2494">
        <v>210</v>
      </c>
      <c r="H2494">
        <v>123</v>
      </c>
      <c r="I2494">
        <v>52</v>
      </c>
      <c r="J2494" s="8">
        <v>0.61176470588235299</v>
      </c>
      <c r="K2494">
        <v>22</v>
      </c>
      <c r="L2494">
        <v>19</v>
      </c>
      <c r="M2494">
        <v>109</v>
      </c>
      <c r="N2494" s="10">
        <v>569.83000000000004</v>
      </c>
      <c r="O2494" s="7">
        <v>22.9</v>
      </c>
      <c r="P2494" s="7">
        <v>27.4</v>
      </c>
      <c r="Q2494">
        <v>3</v>
      </c>
      <c r="R2494" t="s">
        <v>65</v>
      </c>
      <c r="S2494">
        <v>4</v>
      </c>
      <c r="T2494">
        <v>100</v>
      </c>
      <c r="U2494" s="11">
        <v>0.43388373911755823</v>
      </c>
      <c r="V2494" s="11">
        <v>-0.90096886790241903</v>
      </c>
      <c r="W2494" s="11">
        <v>0.99126854677872556</v>
      </c>
      <c r="X2494" s="11">
        <v>-0.13185851571739118</v>
      </c>
      <c r="Y2494">
        <v>0</v>
      </c>
      <c r="Z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6">
        <v>45758</v>
      </c>
      <c r="B2495" t="s">
        <v>31</v>
      </c>
      <c r="C2495" t="s">
        <v>32</v>
      </c>
      <c r="D2495" t="s">
        <v>33</v>
      </c>
      <c r="E2495" t="s">
        <v>34</v>
      </c>
      <c r="F2495">
        <v>140</v>
      </c>
      <c r="G2495">
        <v>360</v>
      </c>
      <c r="H2495">
        <v>175</v>
      </c>
      <c r="I2495">
        <v>76</v>
      </c>
      <c r="J2495" s="8">
        <v>0.54285714285714282</v>
      </c>
      <c r="K2495">
        <v>23</v>
      </c>
      <c r="L2495">
        <v>42</v>
      </c>
      <c r="M2495">
        <v>164</v>
      </c>
      <c r="N2495" s="10">
        <v>465.09</v>
      </c>
      <c r="O2495" s="7">
        <v>21.4</v>
      </c>
      <c r="P2495" s="7">
        <v>27.4</v>
      </c>
      <c r="Q2495">
        <v>4</v>
      </c>
      <c r="R2495" t="s">
        <v>66</v>
      </c>
      <c r="S2495">
        <v>4</v>
      </c>
      <c r="T2495">
        <v>101</v>
      </c>
      <c r="U2495" s="11">
        <v>-0.43388373911755801</v>
      </c>
      <c r="V2495" s="11">
        <v>-0.90096886790241915</v>
      </c>
      <c r="W2495" s="11">
        <v>0.98885370642058845</v>
      </c>
      <c r="X2495" s="11">
        <v>-0.14889038685645481</v>
      </c>
      <c r="Y2495">
        <v>0</v>
      </c>
      <c r="Z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6">
        <v>45758</v>
      </c>
      <c r="B2496" t="s">
        <v>36</v>
      </c>
      <c r="C2496" t="s">
        <v>37</v>
      </c>
      <c r="D2496" t="s">
        <v>38</v>
      </c>
      <c r="E2496" t="s">
        <v>39</v>
      </c>
      <c r="F2496">
        <v>125</v>
      </c>
      <c r="G2496">
        <v>320</v>
      </c>
      <c r="H2496">
        <v>147</v>
      </c>
      <c r="I2496">
        <v>60</v>
      </c>
      <c r="J2496" s="8">
        <v>0.48</v>
      </c>
      <c r="K2496">
        <v>30</v>
      </c>
      <c r="L2496">
        <v>32</v>
      </c>
      <c r="M2496">
        <v>124</v>
      </c>
      <c r="N2496" s="10">
        <v>679.86</v>
      </c>
      <c r="O2496" s="7">
        <v>21.4</v>
      </c>
      <c r="P2496" s="7">
        <v>27.4</v>
      </c>
      <c r="Q2496">
        <v>4</v>
      </c>
      <c r="R2496" t="s">
        <v>66</v>
      </c>
      <c r="S2496">
        <v>4</v>
      </c>
      <c r="T2496">
        <v>101</v>
      </c>
      <c r="U2496" s="11">
        <v>-0.43388373911755801</v>
      </c>
      <c r="V2496" s="11">
        <v>-0.90096886790241915</v>
      </c>
      <c r="W2496" s="11">
        <v>0.98885370642058845</v>
      </c>
      <c r="X2496" s="11">
        <v>-0.14889038685645481</v>
      </c>
      <c r="Y2496">
        <v>0</v>
      </c>
      <c r="Z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6">
        <v>45758</v>
      </c>
      <c r="B2497" t="s">
        <v>41</v>
      </c>
      <c r="C2497" t="s">
        <v>42</v>
      </c>
      <c r="D2497" t="s">
        <v>43</v>
      </c>
      <c r="E2497" t="s">
        <v>44</v>
      </c>
      <c r="F2497">
        <v>85</v>
      </c>
      <c r="G2497">
        <v>210</v>
      </c>
      <c r="H2497">
        <v>114</v>
      </c>
      <c r="I2497">
        <v>52</v>
      </c>
      <c r="J2497" s="8">
        <v>0.61176470588235299</v>
      </c>
      <c r="K2497">
        <v>22</v>
      </c>
      <c r="L2497">
        <v>21</v>
      </c>
      <c r="M2497">
        <v>106</v>
      </c>
      <c r="N2497" s="10">
        <v>496.45</v>
      </c>
      <c r="O2497" s="7">
        <v>21.4</v>
      </c>
      <c r="P2497" s="7">
        <v>27.4</v>
      </c>
      <c r="Q2497">
        <v>4</v>
      </c>
      <c r="R2497" t="s">
        <v>66</v>
      </c>
      <c r="S2497">
        <v>4</v>
      </c>
      <c r="T2497">
        <v>101</v>
      </c>
      <c r="U2497" s="11">
        <v>-0.43388373911755801</v>
      </c>
      <c r="V2497" s="11">
        <v>-0.90096886790241915</v>
      </c>
      <c r="W2497" s="11">
        <v>0.98885370642058845</v>
      </c>
      <c r="X2497" s="11">
        <v>-0.14889038685645481</v>
      </c>
      <c r="Y2497">
        <v>0</v>
      </c>
      <c r="Z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6">
        <v>45759</v>
      </c>
      <c r="B2498" t="s">
        <v>31</v>
      </c>
      <c r="C2498" t="s">
        <v>32</v>
      </c>
      <c r="D2498" t="s">
        <v>33</v>
      </c>
      <c r="E2498" t="s">
        <v>34</v>
      </c>
      <c r="F2498">
        <v>140</v>
      </c>
      <c r="G2498">
        <v>360</v>
      </c>
      <c r="H2498">
        <v>216</v>
      </c>
      <c r="I2498">
        <v>92</v>
      </c>
      <c r="J2498" s="8">
        <v>0.65714285714285714</v>
      </c>
      <c r="K2498">
        <v>57</v>
      </c>
      <c r="L2498">
        <v>56</v>
      </c>
      <c r="M2498">
        <v>175</v>
      </c>
      <c r="N2498" s="10">
        <v>502.82</v>
      </c>
      <c r="O2498" s="7">
        <v>19.5</v>
      </c>
      <c r="P2498" s="7">
        <v>28</v>
      </c>
      <c r="Q2498">
        <v>5</v>
      </c>
      <c r="R2498" t="s">
        <v>67</v>
      </c>
      <c r="S2498">
        <v>4</v>
      </c>
      <c r="T2498">
        <v>102</v>
      </c>
      <c r="U2498" s="11">
        <v>-0.97492791218182362</v>
      </c>
      <c r="V2498" s="11">
        <v>-0.22252093395631459</v>
      </c>
      <c r="W2498" s="11">
        <v>0.98614624834159503</v>
      </c>
      <c r="X2498" s="11">
        <v>-0.16587819893463143</v>
      </c>
      <c r="Y2498">
        <v>1</v>
      </c>
      <c r="Z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6">
        <v>45759</v>
      </c>
      <c r="B2499" t="s">
        <v>36</v>
      </c>
      <c r="C2499" t="s">
        <v>37</v>
      </c>
      <c r="D2499" t="s">
        <v>38</v>
      </c>
      <c r="E2499" t="s">
        <v>39</v>
      </c>
      <c r="F2499">
        <v>125</v>
      </c>
      <c r="G2499">
        <v>320</v>
      </c>
      <c r="H2499">
        <v>190</v>
      </c>
      <c r="I2499">
        <v>79</v>
      </c>
      <c r="J2499" s="8">
        <v>0.63200000000000001</v>
      </c>
      <c r="K2499">
        <v>26</v>
      </c>
      <c r="L2499">
        <v>35</v>
      </c>
      <c r="M2499">
        <v>173</v>
      </c>
      <c r="N2499" s="10">
        <v>701.69</v>
      </c>
      <c r="O2499" s="7">
        <v>19.5</v>
      </c>
      <c r="P2499" s="7">
        <v>28</v>
      </c>
      <c r="Q2499">
        <v>5</v>
      </c>
      <c r="R2499" t="s">
        <v>67</v>
      </c>
      <c r="S2499">
        <v>4</v>
      </c>
      <c r="T2499">
        <v>102</v>
      </c>
      <c r="U2499" s="11">
        <v>-0.97492791218182362</v>
      </c>
      <c r="V2499" s="11">
        <v>-0.22252093395631459</v>
      </c>
      <c r="W2499" s="11">
        <v>0.98614624834159503</v>
      </c>
      <c r="X2499" s="11">
        <v>-0.16587819893463143</v>
      </c>
      <c r="Y2499">
        <v>1</v>
      </c>
      <c r="Z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6">
        <v>45759</v>
      </c>
      <c r="B2500" t="s">
        <v>41</v>
      </c>
      <c r="C2500" t="s">
        <v>42</v>
      </c>
      <c r="D2500" t="s">
        <v>43</v>
      </c>
      <c r="E2500" t="s">
        <v>44</v>
      </c>
      <c r="F2500">
        <v>85</v>
      </c>
      <c r="G2500">
        <v>210</v>
      </c>
      <c r="H2500">
        <v>136</v>
      </c>
      <c r="I2500">
        <v>63</v>
      </c>
      <c r="J2500" s="8">
        <v>0.74117647058823533</v>
      </c>
      <c r="K2500">
        <v>26</v>
      </c>
      <c r="L2500">
        <v>32</v>
      </c>
      <c r="M2500">
        <v>125</v>
      </c>
      <c r="N2500" s="10">
        <v>539.97</v>
      </c>
      <c r="O2500" s="7">
        <v>19.5</v>
      </c>
      <c r="P2500" s="7">
        <v>28</v>
      </c>
      <c r="Q2500">
        <v>5</v>
      </c>
      <c r="R2500" t="s">
        <v>67</v>
      </c>
      <c r="S2500">
        <v>4</v>
      </c>
      <c r="T2500">
        <v>102</v>
      </c>
      <c r="U2500" s="11">
        <v>-0.97492791218182362</v>
      </c>
      <c r="V2500" s="11">
        <v>-0.22252093395631459</v>
      </c>
      <c r="W2500" s="11">
        <v>0.98614624834159503</v>
      </c>
      <c r="X2500" s="11">
        <v>-0.16587819893463143</v>
      </c>
      <c r="Y2500">
        <v>1</v>
      </c>
      <c r="Z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6">
        <v>45760</v>
      </c>
      <c r="B2501" t="s">
        <v>31</v>
      </c>
      <c r="C2501" t="s">
        <v>32</v>
      </c>
      <c r="D2501" t="s">
        <v>33</v>
      </c>
      <c r="E2501" t="s">
        <v>34</v>
      </c>
      <c r="F2501">
        <v>140</v>
      </c>
      <c r="G2501">
        <v>360</v>
      </c>
      <c r="H2501">
        <v>209</v>
      </c>
      <c r="I2501">
        <v>88</v>
      </c>
      <c r="J2501" s="8">
        <v>0.62857142857142856</v>
      </c>
      <c r="K2501">
        <v>55</v>
      </c>
      <c r="L2501">
        <v>23</v>
      </c>
      <c r="M2501">
        <v>179</v>
      </c>
      <c r="N2501" s="10">
        <v>477.5</v>
      </c>
      <c r="O2501" s="7">
        <v>24.6</v>
      </c>
      <c r="P2501" s="7">
        <v>26.3</v>
      </c>
      <c r="Q2501">
        <v>6</v>
      </c>
      <c r="R2501" t="s">
        <v>60</v>
      </c>
      <c r="S2501">
        <v>4</v>
      </c>
      <c r="T2501">
        <v>103</v>
      </c>
      <c r="U2501" s="11">
        <v>-0.78183148246802991</v>
      </c>
      <c r="V2501" s="11">
        <v>0.62348980185873337</v>
      </c>
      <c r="W2501" s="11">
        <v>0.98314697372214988</v>
      </c>
      <c r="X2501" s="11">
        <v>-0.18281692498501989</v>
      </c>
      <c r="Y2501">
        <v>1</v>
      </c>
      <c r="Z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6">
        <v>45760</v>
      </c>
      <c r="B2502" t="s">
        <v>36</v>
      </c>
      <c r="C2502" t="s">
        <v>37</v>
      </c>
      <c r="D2502" t="s">
        <v>38</v>
      </c>
      <c r="E2502" t="s">
        <v>39</v>
      </c>
      <c r="F2502">
        <v>125</v>
      </c>
      <c r="G2502">
        <v>320</v>
      </c>
      <c r="H2502">
        <v>182</v>
      </c>
      <c r="I2502">
        <v>74</v>
      </c>
      <c r="J2502" s="8">
        <v>0.59199999999999997</v>
      </c>
      <c r="K2502">
        <v>31</v>
      </c>
      <c r="L2502">
        <v>53</v>
      </c>
      <c r="M2502">
        <v>169</v>
      </c>
      <c r="N2502" s="10">
        <v>672.51</v>
      </c>
      <c r="O2502" s="7">
        <v>24.6</v>
      </c>
      <c r="P2502" s="7">
        <v>26.3</v>
      </c>
      <c r="Q2502">
        <v>6</v>
      </c>
      <c r="R2502" t="s">
        <v>60</v>
      </c>
      <c r="S2502">
        <v>4</v>
      </c>
      <c r="T2502">
        <v>103</v>
      </c>
      <c r="U2502" s="11">
        <v>-0.78183148246802991</v>
      </c>
      <c r="V2502" s="11">
        <v>0.62348980185873337</v>
      </c>
      <c r="W2502" s="11">
        <v>0.98314697372214988</v>
      </c>
      <c r="X2502" s="11">
        <v>-0.18281692498501989</v>
      </c>
      <c r="Y2502">
        <v>1</v>
      </c>
      <c r="Z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6">
        <v>45760</v>
      </c>
      <c r="B2503" t="s">
        <v>41</v>
      </c>
      <c r="C2503" t="s">
        <v>42</v>
      </c>
      <c r="D2503" t="s">
        <v>43</v>
      </c>
      <c r="E2503" t="s">
        <v>44</v>
      </c>
      <c r="F2503">
        <v>85</v>
      </c>
      <c r="G2503">
        <v>210</v>
      </c>
      <c r="H2503">
        <v>138</v>
      </c>
      <c r="I2503">
        <v>63</v>
      </c>
      <c r="J2503" s="8">
        <v>0.74117647058823533</v>
      </c>
      <c r="K2503">
        <v>31</v>
      </c>
      <c r="L2503">
        <v>27</v>
      </c>
      <c r="M2503">
        <v>122</v>
      </c>
      <c r="N2503" s="10">
        <v>635.36</v>
      </c>
      <c r="O2503" s="7">
        <v>24.6</v>
      </c>
      <c r="P2503" s="7">
        <v>26.3</v>
      </c>
      <c r="Q2503">
        <v>6</v>
      </c>
      <c r="R2503" t="s">
        <v>60</v>
      </c>
      <c r="S2503">
        <v>4</v>
      </c>
      <c r="T2503">
        <v>103</v>
      </c>
      <c r="U2503" s="11">
        <v>-0.78183148246802991</v>
      </c>
      <c r="V2503" s="11">
        <v>0.62348980185873337</v>
      </c>
      <c r="W2503" s="11">
        <v>0.98314697372214988</v>
      </c>
      <c r="X2503" s="11">
        <v>-0.18281692498501989</v>
      </c>
      <c r="Y2503">
        <v>1</v>
      </c>
      <c r="Z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6">
        <v>45761</v>
      </c>
      <c r="B2504" t="s">
        <v>31</v>
      </c>
      <c r="C2504" t="s">
        <v>32</v>
      </c>
      <c r="D2504" t="s">
        <v>33</v>
      </c>
      <c r="E2504" t="s">
        <v>34</v>
      </c>
      <c r="F2504">
        <v>140</v>
      </c>
      <c r="G2504">
        <v>360</v>
      </c>
      <c r="H2504">
        <v>173</v>
      </c>
      <c r="I2504">
        <v>74</v>
      </c>
      <c r="J2504" s="8">
        <v>0.52857142857142858</v>
      </c>
      <c r="K2504">
        <v>45</v>
      </c>
      <c r="L2504">
        <v>25</v>
      </c>
      <c r="M2504">
        <v>149</v>
      </c>
      <c r="N2504" s="10">
        <v>428.05</v>
      </c>
      <c r="O2504" s="7">
        <v>6.5</v>
      </c>
      <c r="P2504" s="7">
        <v>27.4</v>
      </c>
      <c r="Q2504">
        <v>0</v>
      </c>
      <c r="R2504" t="s">
        <v>62</v>
      </c>
      <c r="S2504">
        <v>4</v>
      </c>
      <c r="T2504">
        <v>104</v>
      </c>
      <c r="U2504" s="11">
        <v>0</v>
      </c>
      <c r="V2504" s="11">
        <v>1</v>
      </c>
      <c r="W2504" s="11">
        <v>0.97985677009586647</v>
      </c>
      <c r="X2504" s="11">
        <v>-0.19970155256606359</v>
      </c>
      <c r="Y2504">
        <v>0</v>
      </c>
      <c r="Z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6">
        <v>45761</v>
      </c>
      <c r="B2505" t="s">
        <v>36</v>
      </c>
      <c r="C2505" t="s">
        <v>37</v>
      </c>
      <c r="D2505" t="s">
        <v>38</v>
      </c>
      <c r="E2505" t="s">
        <v>39</v>
      </c>
      <c r="F2505">
        <v>125</v>
      </c>
      <c r="G2505">
        <v>320</v>
      </c>
      <c r="H2505">
        <v>150</v>
      </c>
      <c r="I2505">
        <v>64</v>
      </c>
      <c r="J2505" s="8">
        <v>0.51200000000000001</v>
      </c>
      <c r="K2505">
        <v>17</v>
      </c>
      <c r="L2505">
        <v>29</v>
      </c>
      <c r="M2505">
        <v>128</v>
      </c>
      <c r="N2505" s="10">
        <v>645.78</v>
      </c>
      <c r="O2505" s="7">
        <v>6.5</v>
      </c>
      <c r="P2505" s="7">
        <v>27.4</v>
      </c>
      <c r="Q2505">
        <v>0</v>
      </c>
      <c r="R2505" t="s">
        <v>62</v>
      </c>
      <c r="S2505">
        <v>4</v>
      </c>
      <c r="T2505">
        <v>104</v>
      </c>
      <c r="U2505" s="11">
        <v>0</v>
      </c>
      <c r="V2505" s="11">
        <v>1</v>
      </c>
      <c r="W2505" s="11">
        <v>0.97985677009586647</v>
      </c>
      <c r="X2505" s="11">
        <v>-0.19970155256606359</v>
      </c>
      <c r="Y2505">
        <v>0</v>
      </c>
      <c r="Z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6">
        <v>45761</v>
      </c>
      <c r="B2506" t="s">
        <v>41</v>
      </c>
      <c r="C2506" t="s">
        <v>42</v>
      </c>
      <c r="D2506" t="s">
        <v>43</v>
      </c>
      <c r="E2506" t="s">
        <v>44</v>
      </c>
      <c r="F2506">
        <v>85</v>
      </c>
      <c r="G2506">
        <v>210</v>
      </c>
      <c r="H2506">
        <v>116</v>
      </c>
      <c r="I2506">
        <v>55</v>
      </c>
      <c r="J2506" s="8">
        <v>0.6470588235294118</v>
      </c>
      <c r="K2506">
        <v>18</v>
      </c>
      <c r="L2506">
        <v>19</v>
      </c>
      <c r="M2506">
        <v>97</v>
      </c>
      <c r="N2506" s="10">
        <v>517.26</v>
      </c>
      <c r="O2506" s="7">
        <v>6.5</v>
      </c>
      <c r="P2506" s="7">
        <v>27.4</v>
      </c>
      <c r="Q2506">
        <v>0</v>
      </c>
      <c r="R2506" t="s">
        <v>62</v>
      </c>
      <c r="S2506">
        <v>4</v>
      </c>
      <c r="T2506">
        <v>104</v>
      </c>
      <c r="U2506" s="11">
        <v>0</v>
      </c>
      <c r="V2506" s="11">
        <v>1</v>
      </c>
      <c r="W2506" s="11">
        <v>0.97985677009586647</v>
      </c>
      <c r="X2506" s="11">
        <v>-0.19970155256606359</v>
      </c>
      <c r="Y2506">
        <v>0</v>
      </c>
      <c r="Z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6">
        <v>45762</v>
      </c>
      <c r="B2507" t="s">
        <v>31</v>
      </c>
      <c r="C2507" t="s">
        <v>32</v>
      </c>
      <c r="D2507" t="s">
        <v>33</v>
      </c>
      <c r="E2507" t="s">
        <v>34</v>
      </c>
      <c r="F2507">
        <v>140</v>
      </c>
      <c r="G2507">
        <v>360</v>
      </c>
      <c r="H2507">
        <v>171</v>
      </c>
      <c r="I2507">
        <v>73</v>
      </c>
      <c r="J2507" s="8">
        <v>0.52142857142857146</v>
      </c>
      <c r="K2507">
        <v>41</v>
      </c>
      <c r="L2507">
        <v>33</v>
      </c>
      <c r="M2507">
        <v>160</v>
      </c>
      <c r="N2507" s="10">
        <v>414.32</v>
      </c>
      <c r="O2507" s="7">
        <v>14.2</v>
      </c>
      <c r="P2507" s="7">
        <v>27.4</v>
      </c>
      <c r="Q2507">
        <v>1</v>
      </c>
      <c r="R2507" t="s">
        <v>63</v>
      </c>
      <c r="S2507">
        <v>4</v>
      </c>
      <c r="T2507">
        <v>105</v>
      </c>
      <c r="U2507" s="11">
        <v>0.7818314824680298</v>
      </c>
      <c r="V2507" s="11">
        <v>0.62348980185873359</v>
      </c>
      <c r="W2507" s="11">
        <v>0.97627661108693209</v>
      </c>
      <c r="X2507" s="11">
        <v>-0.21652708524481437</v>
      </c>
      <c r="Y2507">
        <v>0</v>
      </c>
      <c r="Z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6">
        <v>45762</v>
      </c>
      <c r="B2508" t="s">
        <v>36</v>
      </c>
      <c r="C2508" t="s">
        <v>37</v>
      </c>
      <c r="D2508" t="s">
        <v>38</v>
      </c>
      <c r="E2508" t="s">
        <v>39</v>
      </c>
      <c r="F2508">
        <v>125</v>
      </c>
      <c r="G2508">
        <v>320</v>
      </c>
      <c r="H2508">
        <v>169</v>
      </c>
      <c r="I2508">
        <v>69</v>
      </c>
      <c r="J2508" s="8">
        <v>0.55200000000000005</v>
      </c>
      <c r="K2508">
        <v>39</v>
      </c>
      <c r="L2508">
        <v>37</v>
      </c>
      <c r="M2508">
        <v>137</v>
      </c>
      <c r="N2508" s="10">
        <v>631.14</v>
      </c>
      <c r="O2508" s="7">
        <v>14.2</v>
      </c>
      <c r="P2508" s="7">
        <v>27.4</v>
      </c>
      <c r="Q2508">
        <v>1</v>
      </c>
      <c r="R2508" t="s">
        <v>63</v>
      </c>
      <c r="S2508">
        <v>4</v>
      </c>
      <c r="T2508">
        <v>105</v>
      </c>
      <c r="U2508" s="11">
        <v>0.7818314824680298</v>
      </c>
      <c r="V2508" s="11">
        <v>0.62348980185873359</v>
      </c>
      <c r="W2508" s="11">
        <v>0.97627661108693209</v>
      </c>
      <c r="X2508" s="11">
        <v>-0.21652708524481437</v>
      </c>
      <c r="Y2508">
        <v>0</v>
      </c>
      <c r="Z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6">
        <v>45762</v>
      </c>
      <c r="B2509" t="s">
        <v>41</v>
      </c>
      <c r="C2509" t="s">
        <v>42</v>
      </c>
      <c r="D2509" t="s">
        <v>43</v>
      </c>
      <c r="E2509" t="s">
        <v>44</v>
      </c>
      <c r="F2509">
        <v>85</v>
      </c>
      <c r="G2509">
        <v>210</v>
      </c>
      <c r="H2509">
        <v>110</v>
      </c>
      <c r="I2509">
        <v>47</v>
      </c>
      <c r="J2509" s="8">
        <v>0.55294117647058827</v>
      </c>
      <c r="K2509">
        <v>21</v>
      </c>
      <c r="L2509">
        <v>22</v>
      </c>
      <c r="M2509">
        <v>99</v>
      </c>
      <c r="N2509" s="10">
        <v>526.41</v>
      </c>
      <c r="O2509" s="7">
        <v>14.2</v>
      </c>
      <c r="P2509" s="7">
        <v>27.4</v>
      </c>
      <c r="Q2509">
        <v>1</v>
      </c>
      <c r="R2509" t="s">
        <v>63</v>
      </c>
      <c r="S2509">
        <v>4</v>
      </c>
      <c r="T2509">
        <v>105</v>
      </c>
      <c r="U2509" s="11">
        <v>0.7818314824680298</v>
      </c>
      <c r="V2509" s="11">
        <v>0.62348980185873359</v>
      </c>
      <c r="W2509" s="11">
        <v>0.97627661108693209</v>
      </c>
      <c r="X2509" s="11">
        <v>-0.21652708524481437</v>
      </c>
      <c r="Y2509">
        <v>0</v>
      </c>
      <c r="Z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6">
        <v>45763</v>
      </c>
      <c r="B2510" t="s">
        <v>31</v>
      </c>
      <c r="C2510" t="s">
        <v>32</v>
      </c>
      <c r="D2510" t="s">
        <v>33</v>
      </c>
      <c r="E2510" t="s">
        <v>34</v>
      </c>
      <c r="F2510">
        <v>140</v>
      </c>
      <c r="G2510">
        <v>360</v>
      </c>
      <c r="H2510">
        <v>169</v>
      </c>
      <c r="I2510">
        <v>72</v>
      </c>
      <c r="J2510" s="8">
        <v>0.51428571428571423</v>
      </c>
      <c r="K2510">
        <v>25</v>
      </c>
      <c r="L2510">
        <v>34</v>
      </c>
      <c r="M2510">
        <v>137</v>
      </c>
      <c r="N2510" s="10">
        <v>438.32</v>
      </c>
      <c r="O2510" s="7">
        <v>8.4</v>
      </c>
      <c r="P2510" s="7">
        <v>26.8</v>
      </c>
      <c r="Q2510">
        <v>2</v>
      </c>
      <c r="R2510" t="s">
        <v>64</v>
      </c>
      <c r="S2510">
        <v>4</v>
      </c>
      <c r="T2510">
        <v>106</v>
      </c>
      <c r="U2510" s="11">
        <v>0.97492791218182362</v>
      </c>
      <c r="V2510" s="11">
        <v>-0.22252093395631434</v>
      </c>
      <c r="W2510" s="11">
        <v>0.97240755612199681</v>
      </c>
      <c r="X2510" s="11">
        <v>-0.23328854407545518</v>
      </c>
      <c r="Y2510">
        <v>0</v>
      </c>
      <c r="Z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6">
        <v>45763</v>
      </c>
      <c r="B2511" t="s">
        <v>36</v>
      </c>
      <c r="C2511" t="s">
        <v>37</v>
      </c>
      <c r="D2511" t="s">
        <v>38</v>
      </c>
      <c r="E2511" t="s">
        <v>39</v>
      </c>
      <c r="F2511">
        <v>125</v>
      </c>
      <c r="G2511">
        <v>320</v>
      </c>
      <c r="H2511">
        <v>147</v>
      </c>
      <c r="I2511">
        <v>65</v>
      </c>
      <c r="J2511" s="8">
        <v>0.52</v>
      </c>
      <c r="K2511">
        <v>28</v>
      </c>
      <c r="L2511">
        <v>35</v>
      </c>
      <c r="M2511">
        <v>131</v>
      </c>
      <c r="N2511" s="10">
        <v>561.61</v>
      </c>
      <c r="O2511" s="7">
        <v>8.4</v>
      </c>
      <c r="P2511" s="7">
        <v>26.8</v>
      </c>
      <c r="Q2511">
        <v>2</v>
      </c>
      <c r="R2511" t="s">
        <v>64</v>
      </c>
      <c r="S2511">
        <v>4</v>
      </c>
      <c r="T2511">
        <v>106</v>
      </c>
      <c r="U2511" s="11">
        <v>0.97492791218182362</v>
      </c>
      <c r="V2511" s="11">
        <v>-0.22252093395631434</v>
      </c>
      <c r="W2511" s="11">
        <v>0.97240755612199681</v>
      </c>
      <c r="X2511" s="11">
        <v>-0.23328854407545518</v>
      </c>
      <c r="Y2511">
        <v>0</v>
      </c>
      <c r="Z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6">
        <v>45763</v>
      </c>
      <c r="B2512" t="s">
        <v>41</v>
      </c>
      <c r="C2512" t="s">
        <v>42</v>
      </c>
      <c r="D2512" t="s">
        <v>43</v>
      </c>
      <c r="E2512" t="s">
        <v>44</v>
      </c>
      <c r="F2512">
        <v>85</v>
      </c>
      <c r="G2512">
        <v>210</v>
      </c>
      <c r="H2512">
        <v>107</v>
      </c>
      <c r="I2512">
        <v>49</v>
      </c>
      <c r="J2512" s="8">
        <v>0.57647058823529407</v>
      </c>
      <c r="K2512">
        <v>15</v>
      </c>
      <c r="L2512">
        <v>31</v>
      </c>
      <c r="M2512">
        <v>95</v>
      </c>
      <c r="N2512" s="10">
        <v>577.41999999999996</v>
      </c>
      <c r="O2512" s="7">
        <v>8.4</v>
      </c>
      <c r="P2512" s="7">
        <v>26.8</v>
      </c>
      <c r="Q2512">
        <v>2</v>
      </c>
      <c r="R2512" t="s">
        <v>64</v>
      </c>
      <c r="S2512">
        <v>4</v>
      </c>
      <c r="T2512">
        <v>106</v>
      </c>
      <c r="U2512" s="11">
        <v>0.97492791218182362</v>
      </c>
      <c r="V2512" s="11">
        <v>-0.22252093395631434</v>
      </c>
      <c r="W2512" s="11">
        <v>0.97240755612199681</v>
      </c>
      <c r="X2512" s="11">
        <v>-0.23328854407545518</v>
      </c>
      <c r="Y2512">
        <v>0</v>
      </c>
      <c r="Z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6">
        <v>45764</v>
      </c>
      <c r="B2513" t="s">
        <v>31</v>
      </c>
      <c r="C2513" t="s">
        <v>32</v>
      </c>
      <c r="D2513" t="s">
        <v>33</v>
      </c>
      <c r="E2513" t="s">
        <v>34</v>
      </c>
      <c r="F2513">
        <v>140</v>
      </c>
      <c r="G2513">
        <v>360</v>
      </c>
      <c r="H2513">
        <v>185</v>
      </c>
      <c r="I2513">
        <v>77</v>
      </c>
      <c r="J2513" s="8">
        <v>0.55000000000000004</v>
      </c>
      <c r="K2513">
        <v>50</v>
      </c>
      <c r="L2513">
        <v>37</v>
      </c>
      <c r="M2513">
        <v>151</v>
      </c>
      <c r="N2513" s="10">
        <v>422.31</v>
      </c>
      <c r="O2513" s="7">
        <v>19.5</v>
      </c>
      <c r="P2513" s="7">
        <v>26.7</v>
      </c>
      <c r="Q2513">
        <v>3</v>
      </c>
      <c r="R2513" t="s">
        <v>65</v>
      </c>
      <c r="S2513">
        <v>4</v>
      </c>
      <c r="T2513">
        <v>107</v>
      </c>
      <c r="U2513" s="11">
        <v>0.43388373911755823</v>
      </c>
      <c r="V2513" s="11">
        <v>-0.90096886790241903</v>
      </c>
      <c r="W2513" s="11">
        <v>0.96825075011667183</v>
      </c>
      <c r="X2513" s="11">
        <v>-0.2499809690726521</v>
      </c>
      <c r="Y2513">
        <v>0</v>
      </c>
      <c r="Z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6">
        <v>45764</v>
      </c>
      <c r="B2514" t="s">
        <v>36</v>
      </c>
      <c r="C2514" t="s">
        <v>37</v>
      </c>
      <c r="D2514" t="s">
        <v>38</v>
      </c>
      <c r="E2514" t="s">
        <v>39</v>
      </c>
      <c r="F2514">
        <v>125</v>
      </c>
      <c r="G2514">
        <v>320</v>
      </c>
      <c r="H2514">
        <v>169</v>
      </c>
      <c r="I2514">
        <v>68</v>
      </c>
      <c r="J2514" s="8">
        <v>0.54400000000000004</v>
      </c>
      <c r="K2514">
        <v>47</v>
      </c>
      <c r="L2514">
        <v>41</v>
      </c>
      <c r="M2514">
        <v>137</v>
      </c>
      <c r="N2514" s="10">
        <v>679.34</v>
      </c>
      <c r="O2514" s="7">
        <v>19.5</v>
      </c>
      <c r="P2514" s="7">
        <v>26.7</v>
      </c>
      <c r="Q2514">
        <v>3</v>
      </c>
      <c r="R2514" t="s">
        <v>65</v>
      </c>
      <c r="S2514">
        <v>4</v>
      </c>
      <c r="T2514">
        <v>107</v>
      </c>
      <c r="U2514" s="11">
        <v>0.43388373911755823</v>
      </c>
      <c r="V2514" s="11">
        <v>-0.90096886790241903</v>
      </c>
      <c r="W2514" s="11">
        <v>0.96825075011667183</v>
      </c>
      <c r="X2514" s="11">
        <v>-0.2499809690726521</v>
      </c>
      <c r="Y2514">
        <v>0</v>
      </c>
      <c r="Z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6">
        <v>45764</v>
      </c>
      <c r="B2515" t="s">
        <v>41</v>
      </c>
      <c r="C2515" t="s">
        <v>42</v>
      </c>
      <c r="D2515" t="s">
        <v>43</v>
      </c>
      <c r="E2515" t="s">
        <v>44</v>
      </c>
      <c r="F2515">
        <v>85</v>
      </c>
      <c r="G2515">
        <v>210</v>
      </c>
      <c r="H2515">
        <v>118</v>
      </c>
      <c r="I2515">
        <v>49</v>
      </c>
      <c r="J2515" s="8">
        <v>0.57647058823529407</v>
      </c>
      <c r="K2515">
        <v>29</v>
      </c>
      <c r="L2515">
        <v>10</v>
      </c>
      <c r="M2515">
        <v>104</v>
      </c>
      <c r="N2515" s="10">
        <v>579.62</v>
      </c>
      <c r="O2515" s="7">
        <v>19.5</v>
      </c>
      <c r="P2515" s="7">
        <v>26.7</v>
      </c>
      <c r="Q2515">
        <v>3</v>
      </c>
      <c r="R2515" t="s">
        <v>65</v>
      </c>
      <c r="S2515">
        <v>4</v>
      </c>
      <c r="T2515">
        <v>107</v>
      </c>
      <c r="U2515" s="11">
        <v>0.43388373911755823</v>
      </c>
      <c r="V2515" s="11">
        <v>-0.90096886790241903</v>
      </c>
      <c r="W2515" s="11">
        <v>0.96825075011667183</v>
      </c>
      <c r="X2515" s="11">
        <v>-0.2499809690726521</v>
      </c>
      <c r="Y2515">
        <v>0</v>
      </c>
      <c r="Z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6">
        <v>45765</v>
      </c>
      <c r="B2516" t="s">
        <v>31</v>
      </c>
      <c r="C2516" t="s">
        <v>32</v>
      </c>
      <c r="D2516" t="s">
        <v>33</v>
      </c>
      <c r="E2516" t="s">
        <v>34</v>
      </c>
      <c r="F2516">
        <v>140</v>
      </c>
      <c r="G2516">
        <v>360</v>
      </c>
      <c r="H2516">
        <v>187</v>
      </c>
      <c r="I2516">
        <v>78</v>
      </c>
      <c r="J2516" s="8">
        <v>0.55714285714285716</v>
      </c>
      <c r="K2516">
        <v>25</v>
      </c>
      <c r="L2516">
        <v>18</v>
      </c>
      <c r="M2516">
        <v>154</v>
      </c>
      <c r="N2516" s="10">
        <v>415.51</v>
      </c>
      <c r="O2516" s="7">
        <v>15.7</v>
      </c>
      <c r="P2516" s="7">
        <v>25.4</v>
      </c>
      <c r="Q2516">
        <v>4</v>
      </c>
      <c r="R2516" t="s">
        <v>66</v>
      </c>
      <c r="S2516">
        <v>4</v>
      </c>
      <c r="T2516">
        <v>108</v>
      </c>
      <c r="U2516" s="11">
        <v>-0.43388373911755801</v>
      </c>
      <c r="V2516" s="11">
        <v>-0.90096886790241915</v>
      </c>
      <c r="W2516" s="11">
        <v>0.96380742313673073</v>
      </c>
      <c r="X2516" s="11">
        <v>-0.26659942067929354</v>
      </c>
      <c r="Y2516">
        <v>0</v>
      </c>
      <c r="Z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6">
        <v>45765</v>
      </c>
      <c r="B2517" t="s">
        <v>36</v>
      </c>
      <c r="C2517" t="s">
        <v>37</v>
      </c>
      <c r="D2517" t="s">
        <v>38</v>
      </c>
      <c r="E2517" t="s">
        <v>39</v>
      </c>
      <c r="F2517">
        <v>125</v>
      </c>
      <c r="G2517">
        <v>320</v>
      </c>
      <c r="H2517">
        <v>172</v>
      </c>
      <c r="I2517">
        <v>70</v>
      </c>
      <c r="J2517" s="8">
        <v>0.56000000000000005</v>
      </c>
      <c r="K2517">
        <v>26</v>
      </c>
      <c r="L2517">
        <v>21</v>
      </c>
      <c r="M2517">
        <v>142</v>
      </c>
      <c r="N2517" s="10">
        <v>622.42999999999995</v>
      </c>
      <c r="O2517" s="7">
        <v>15.7</v>
      </c>
      <c r="P2517" s="7">
        <v>25.4</v>
      </c>
      <c r="Q2517">
        <v>4</v>
      </c>
      <c r="R2517" t="s">
        <v>66</v>
      </c>
      <c r="S2517">
        <v>4</v>
      </c>
      <c r="T2517">
        <v>108</v>
      </c>
      <c r="U2517" s="11">
        <v>-0.43388373911755801</v>
      </c>
      <c r="V2517" s="11">
        <v>-0.90096886790241915</v>
      </c>
      <c r="W2517" s="11">
        <v>0.96380742313673073</v>
      </c>
      <c r="X2517" s="11">
        <v>-0.26659942067929354</v>
      </c>
      <c r="Y2517">
        <v>0</v>
      </c>
      <c r="Z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6">
        <v>45765</v>
      </c>
      <c r="B2518" t="s">
        <v>41</v>
      </c>
      <c r="C2518" t="s">
        <v>42</v>
      </c>
      <c r="D2518" t="s">
        <v>43</v>
      </c>
      <c r="E2518" t="s">
        <v>44</v>
      </c>
      <c r="F2518">
        <v>85</v>
      </c>
      <c r="G2518">
        <v>210</v>
      </c>
      <c r="H2518">
        <v>101</v>
      </c>
      <c r="I2518">
        <v>49</v>
      </c>
      <c r="J2518" s="8">
        <v>0.57647058823529407</v>
      </c>
      <c r="K2518">
        <v>19</v>
      </c>
      <c r="L2518">
        <v>28</v>
      </c>
      <c r="M2518">
        <v>84</v>
      </c>
      <c r="N2518" s="10">
        <v>490.88</v>
      </c>
      <c r="O2518" s="7">
        <v>15.7</v>
      </c>
      <c r="P2518" s="7">
        <v>25.4</v>
      </c>
      <c r="Q2518">
        <v>4</v>
      </c>
      <c r="R2518" t="s">
        <v>66</v>
      </c>
      <c r="S2518">
        <v>4</v>
      </c>
      <c r="T2518">
        <v>108</v>
      </c>
      <c r="U2518" s="11">
        <v>-0.43388373911755801</v>
      </c>
      <c r="V2518" s="11">
        <v>-0.90096886790241915</v>
      </c>
      <c r="W2518" s="11">
        <v>0.96380742313673073</v>
      </c>
      <c r="X2518" s="11">
        <v>-0.26659942067929354</v>
      </c>
      <c r="Y2518">
        <v>0</v>
      </c>
      <c r="Z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6">
        <v>45766</v>
      </c>
      <c r="B2519" t="s">
        <v>31</v>
      </c>
      <c r="C2519" t="s">
        <v>32</v>
      </c>
      <c r="D2519" t="s">
        <v>33</v>
      </c>
      <c r="E2519" t="s">
        <v>34</v>
      </c>
      <c r="F2519">
        <v>140</v>
      </c>
      <c r="G2519">
        <v>360</v>
      </c>
      <c r="H2519">
        <v>218</v>
      </c>
      <c r="I2519">
        <v>92</v>
      </c>
      <c r="J2519" s="8">
        <v>0.65714285714285714</v>
      </c>
      <c r="K2519">
        <v>48</v>
      </c>
      <c r="L2519">
        <v>24</v>
      </c>
      <c r="M2519">
        <v>185</v>
      </c>
      <c r="N2519" s="10">
        <v>513.08000000000004</v>
      </c>
      <c r="O2519" s="7">
        <v>17</v>
      </c>
      <c r="P2519" s="7">
        <v>27.3</v>
      </c>
      <c r="Q2519">
        <v>5</v>
      </c>
      <c r="R2519" t="s">
        <v>67</v>
      </c>
      <c r="S2519">
        <v>4</v>
      </c>
      <c r="T2519">
        <v>109</v>
      </c>
      <c r="U2519" s="11">
        <v>-0.97492791218182362</v>
      </c>
      <c r="V2519" s="11">
        <v>-0.22252093395631459</v>
      </c>
      <c r="W2519" s="11">
        <v>0.95907889003411306</v>
      </c>
      <c r="X2519" s="11">
        <v>-0.28313898122818354</v>
      </c>
      <c r="Y2519">
        <v>1</v>
      </c>
      <c r="Z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6">
        <v>45766</v>
      </c>
      <c r="B2520" t="s">
        <v>36</v>
      </c>
      <c r="C2520" t="s">
        <v>37</v>
      </c>
      <c r="D2520" t="s">
        <v>38</v>
      </c>
      <c r="E2520" t="s">
        <v>39</v>
      </c>
      <c r="F2520">
        <v>125</v>
      </c>
      <c r="G2520">
        <v>320</v>
      </c>
      <c r="H2520">
        <v>206</v>
      </c>
      <c r="I2520">
        <v>82</v>
      </c>
      <c r="J2520" s="8">
        <v>0.65600000000000003</v>
      </c>
      <c r="K2520">
        <v>52</v>
      </c>
      <c r="L2520">
        <v>37</v>
      </c>
      <c r="M2520">
        <v>172</v>
      </c>
      <c r="N2520" s="10">
        <v>659.38</v>
      </c>
      <c r="O2520" s="7">
        <v>17</v>
      </c>
      <c r="P2520" s="7">
        <v>27.3</v>
      </c>
      <c r="Q2520">
        <v>5</v>
      </c>
      <c r="R2520" t="s">
        <v>67</v>
      </c>
      <c r="S2520">
        <v>4</v>
      </c>
      <c r="T2520">
        <v>109</v>
      </c>
      <c r="U2520" s="11">
        <v>-0.97492791218182362</v>
      </c>
      <c r="V2520" s="11">
        <v>-0.22252093395631459</v>
      </c>
      <c r="W2520" s="11">
        <v>0.95907889003411306</v>
      </c>
      <c r="X2520" s="11">
        <v>-0.28313898122818354</v>
      </c>
      <c r="Y2520">
        <v>1</v>
      </c>
      <c r="Z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6">
        <v>45766</v>
      </c>
      <c r="B2521" t="s">
        <v>41</v>
      </c>
      <c r="C2521" t="s">
        <v>42</v>
      </c>
      <c r="D2521" t="s">
        <v>43</v>
      </c>
      <c r="E2521" t="s">
        <v>44</v>
      </c>
      <c r="F2521">
        <v>85</v>
      </c>
      <c r="G2521">
        <v>210</v>
      </c>
      <c r="H2521">
        <v>150</v>
      </c>
      <c r="I2521">
        <v>64</v>
      </c>
      <c r="J2521" s="8">
        <v>0.75294117647058822</v>
      </c>
      <c r="K2521">
        <v>26</v>
      </c>
      <c r="L2521">
        <v>19</v>
      </c>
      <c r="M2521">
        <v>128</v>
      </c>
      <c r="N2521" s="10">
        <v>547.13</v>
      </c>
      <c r="O2521" s="7">
        <v>17</v>
      </c>
      <c r="P2521" s="7">
        <v>27.3</v>
      </c>
      <c r="Q2521">
        <v>5</v>
      </c>
      <c r="R2521" t="s">
        <v>67</v>
      </c>
      <c r="S2521">
        <v>4</v>
      </c>
      <c r="T2521">
        <v>109</v>
      </c>
      <c r="U2521" s="11">
        <v>-0.97492791218182362</v>
      </c>
      <c r="V2521" s="11">
        <v>-0.22252093395631459</v>
      </c>
      <c r="W2521" s="11">
        <v>0.95907889003411306</v>
      </c>
      <c r="X2521" s="11">
        <v>-0.28313898122818354</v>
      </c>
      <c r="Y2521">
        <v>1</v>
      </c>
      <c r="Z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6">
        <v>45767</v>
      </c>
      <c r="B2522" t="s">
        <v>31</v>
      </c>
      <c r="C2522" t="s">
        <v>32</v>
      </c>
      <c r="D2522" t="s">
        <v>33</v>
      </c>
      <c r="E2522" t="s">
        <v>34</v>
      </c>
      <c r="F2522">
        <v>140</v>
      </c>
      <c r="G2522">
        <v>360</v>
      </c>
      <c r="H2522">
        <v>223</v>
      </c>
      <c r="I2522">
        <v>97</v>
      </c>
      <c r="J2522" s="8">
        <v>0.69285714285714284</v>
      </c>
      <c r="K2522">
        <v>42</v>
      </c>
      <c r="L2522">
        <v>37</v>
      </c>
      <c r="M2522">
        <v>199</v>
      </c>
      <c r="N2522" s="10">
        <v>454.07</v>
      </c>
      <c r="O2522" s="7">
        <v>14.3</v>
      </c>
      <c r="P2522" s="7">
        <v>25.9</v>
      </c>
      <c r="Q2522">
        <v>6</v>
      </c>
      <c r="R2522" t="s">
        <v>60</v>
      </c>
      <c r="S2522">
        <v>4</v>
      </c>
      <c r="T2522">
        <v>110</v>
      </c>
      <c r="U2522" s="11">
        <v>-0.78183148246802991</v>
      </c>
      <c r="V2522" s="11">
        <v>0.62348980185873337</v>
      </c>
      <c r="W2522" s="11">
        <v>0.95406655005783869</v>
      </c>
      <c r="X2522" s="11">
        <v>-0.29959475639726019</v>
      </c>
      <c r="Y2522">
        <v>1</v>
      </c>
      <c r="Z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6">
        <v>45767</v>
      </c>
      <c r="B2523" t="s">
        <v>36</v>
      </c>
      <c r="C2523" t="s">
        <v>37</v>
      </c>
      <c r="D2523" t="s">
        <v>38</v>
      </c>
      <c r="E2523" t="s">
        <v>39</v>
      </c>
      <c r="F2523">
        <v>125</v>
      </c>
      <c r="G2523">
        <v>320</v>
      </c>
      <c r="H2523">
        <v>192</v>
      </c>
      <c r="I2523">
        <v>79</v>
      </c>
      <c r="J2523" s="8">
        <v>0.63200000000000001</v>
      </c>
      <c r="K2523">
        <v>37</v>
      </c>
      <c r="L2523">
        <v>51</v>
      </c>
      <c r="M2523">
        <v>155</v>
      </c>
      <c r="N2523" s="10">
        <v>635.36</v>
      </c>
      <c r="O2523" s="7">
        <v>14.3</v>
      </c>
      <c r="P2523" s="7">
        <v>25.9</v>
      </c>
      <c r="Q2523">
        <v>6</v>
      </c>
      <c r="R2523" t="s">
        <v>60</v>
      </c>
      <c r="S2523">
        <v>4</v>
      </c>
      <c r="T2523">
        <v>110</v>
      </c>
      <c r="U2523" s="11">
        <v>-0.78183148246802991</v>
      </c>
      <c r="V2523" s="11">
        <v>0.62348980185873337</v>
      </c>
      <c r="W2523" s="11">
        <v>0.95406655005783869</v>
      </c>
      <c r="X2523" s="11">
        <v>-0.29959475639726019</v>
      </c>
      <c r="Y2523">
        <v>1</v>
      </c>
      <c r="Z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6">
        <v>45767</v>
      </c>
      <c r="B2524" t="s">
        <v>41</v>
      </c>
      <c r="C2524" t="s">
        <v>42</v>
      </c>
      <c r="D2524" t="s">
        <v>43</v>
      </c>
      <c r="E2524" t="s">
        <v>44</v>
      </c>
      <c r="F2524">
        <v>85</v>
      </c>
      <c r="G2524">
        <v>210</v>
      </c>
      <c r="H2524">
        <v>135</v>
      </c>
      <c r="I2524">
        <v>60</v>
      </c>
      <c r="J2524" s="8">
        <v>0.70588235294117652</v>
      </c>
      <c r="K2524">
        <v>18</v>
      </c>
      <c r="L2524">
        <v>22</v>
      </c>
      <c r="M2524">
        <v>120</v>
      </c>
      <c r="N2524" s="10">
        <v>563.15</v>
      </c>
      <c r="O2524" s="7">
        <v>14.3</v>
      </c>
      <c r="P2524" s="7">
        <v>25.9</v>
      </c>
      <c r="Q2524">
        <v>6</v>
      </c>
      <c r="R2524" t="s">
        <v>60</v>
      </c>
      <c r="S2524">
        <v>4</v>
      </c>
      <c r="T2524">
        <v>110</v>
      </c>
      <c r="U2524" s="11">
        <v>-0.78183148246802991</v>
      </c>
      <c r="V2524" s="11">
        <v>0.62348980185873337</v>
      </c>
      <c r="W2524" s="11">
        <v>0.95406655005783869</v>
      </c>
      <c r="X2524" s="11">
        <v>-0.29959475639726019</v>
      </c>
      <c r="Y2524">
        <v>1</v>
      </c>
      <c r="Z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6">
        <v>45768</v>
      </c>
      <c r="B2525" t="s">
        <v>31</v>
      </c>
      <c r="C2525" t="s">
        <v>32</v>
      </c>
      <c r="D2525" t="s">
        <v>33</v>
      </c>
      <c r="E2525" t="s">
        <v>34</v>
      </c>
      <c r="F2525">
        <v>140</v>
      </c>
      <c r="G2525">
        <v>360</v>
      </c>
      <c r="H2525">
        <v>194</v>
      </c>
      <c r="I2525">
        <v>83</v>
      </c>
      <c r="J2525" s="8">
        <v>0.59285714285714286</v>
      </c>
      <c r="K2525">
        <v>23</v>
      </c>
      <c r="L2525">
        <v>38</v>
      </c>
      <c r="M2525">
        <v>168</v>
      </c>
      <c r="N2525" s="10">
        <v>441.8</v>
      </c>
      <c r="O2525" s="7">
        <v>10.7</v>
      </c>
      <c r="P2525" s="7">
        <v>26.4</v>
      </c>
      <c r="Q2525">
        <v>0</v>
      </c>
      <c r="R2525" t="s">
        <v>62</v>
      </c>
      <c r="S2525">
        <v>4</v>
      </c>
      <c r="T2525">
        <v>111</v>
      </c>
      <c r="U2525" s="11">
        <v>0</v>
      </c>
      <c r="V2525" s="11">
        <v>1</v>
      </c>
      <c r="W2525" s="11">
        <v>0.94877188643994725</v>
      </c>
      <c r="X2525" s="11">
        <v>-0.31596187665790293</v>
      </c>
      <c r="Y2525">
        <v>0</v>
      </c>
      <c r="Z2525">
        <v>1</v>
      </c>
      <c r="AA2525" t="s">
        <v>70</v>
      </c>
      <c r="AB2525">
        <v>0</v>
      </c>
      <c r="AC2525">
        <v>0</v>
      </c>
      <c r="AD2525">
        <v>0</v>
      </c>
      <c r="AE2525">
        <v>0</v>
      </c>
    </row>
    <row r="2526" spans="1:31">
      <c r="A2526" s="6">
        <v>45768</v>
      </c>
      <c r="B2526" t="s">
        <v>36</v>
      </c>
      <c r="C2526" t="s">
        <v>37</v>
      </c>
      <c r="D2526" t="s">
        <v>38</v>
      </c>
      <c r="E2526" t="s">
        <v>39</v>
      </c>
      <c r="F2526">
        <v>125</v>
      </c>
      <c r="G2526">
        <v>320</v>
      </c>
      <c r="H2526">
        <v>178</v>
      </c>
      <c r="I2526">
        <v>74</v>
      </c>
      <c r="J2526" s="8">
        <v>0.59199999999999997</v>
      </c>
      <c r="K2526">
        <v>35</v>
      </c>
      <c r="L2526">
        <v>27</v>
      </c>
      <c r="M2526">
        <v>152</v>
      </c>
      <c r="N2526" s="10">
        <v>643.65</v>
      </c>
      <c r="O2526" s="7">
        <v>10.7</v>
      </c>
      <c r="P2526" s="7">
        <v>26.4</v>
      </c>
      <c r="Q2526">
        <v>0</v>
      </c>
      <c r="R2526" t="s">
        <v>62</v>
      </c>
      <c r="S2526">
        <v>4</v>
      </c>
      <c r="T2526">
        <v>111</v>
      </c>
      <c r="U2526" s="11">
        <v>0</v>
      </c>
      <c r="V2526" s="11">
        <v>1</v>
      </c>
      <c r="W2526" s="11">
        <v>0.94877188643994725</v>
      </c>
      <c r="X2526" s="11">
        <v>-0.31596187665790293</v>
      </c>
      <c r="Y2526">
        <v>0</v>
      </c>
      <c r="Z2526">
        <v>1</v>
      </c>
      <c r="AA2526" t="s">
        <v>70</v>
      </c>
      <c r="AB2526">
        <v>0</v>
      </c>
      <c r="AC2526">
        <v>0</v>
      </c>
      <c r="AD2526">
        <v>0</v>
      </c>
      <c r="AE2526">
        <v>0</v>
      </c>
    </row>
    <row r="2527" spans="1:31">
      <c r="A2527" s="6">
        <v>45768</v>
      </c>
      <c r="B2527" t="s">
        <v>41</v>
      </c>
      <c r="C2527" t="s">
        <v>42</v>
      </c>
      <c r="D2527" t="s">
        <v>43</v>
      </c>
      <c r="E2527" t="s">
        <v>44</v>
      </c>
      <c r="F2527">
        <v>85</v>
      </c>
      <c r="G2527">
        <v>210</v>
      </c>
      <c r="H2527">
        <v>124</v>
      </c>
      <c r="I2527">
        <v>56</v>
      </c>
      <c r="J2527" s="8">
        <v>0.6588235294117647</v>
      </c>
      <c r="K2527">
        <v>11</v>
      </c>
      <c r="L2527">
        <v>15</v>
      </c>
      <c r="M2527">
        <v>109</v>
      </c>
      <c r="N2527" s="10">
        <v>516.88</v>
      </c>
      <c r="O2527" s="7">
        <v>10.7</v>
      </c>
      <c r="P2527" s="7">
        <v>26.4</v>
      </c>
      <c r="Q2527">
        <v>0</v>
      </c>
      <c r="R2527" t="s">
        <v>62</v>
      </c>
      <c r="S2527">
        <v>4</v>
      </c>
      <c r="T2527">
        <v>111</v>
      </c>
      <c r="U2527" s="11">
        <v>0</v>
      </c>
      <c r="V2527" s="11">
        <v>1</v>
      </c>
      <c r="W2527" s="11">
        <v>0.94877188643994725</v>
      </c>
      <c r="X2527" s="11">
        <v>-0.31596187665790293</v>
      </c>
      <c r="Y2527">
        <v>0</v>
      </c>
      <c r="Z2527">
        <v>1</v>
      </c>
      <c r="AA2527" t="s">
        <v>70</v>
      </c>
      <c r="AB2527">
        <v>0</v>
      </c>
      <c r="AC2527">
        <v>0</v>
      </c>
      <c r="AD2527">
        <v>0</v>
      </c>
      <c r="AE2527">
        <v>0</v>
      </c>
    </row>
    <row r="2528" spans="1:31">
      <c r="A2528" s="6">
        <v>45769</v>
      </c>
      <c r="B2528" t="s">
        <v>31</v>
      </c>
      <c r="C2528" t="s">
        <v>32</v>
      </c>
      <c r="D2528" t="s">
        <v>33</v>
      </c>
      <c r="E2528" t="s">
        <v>34</v>
      </c>
      <c r="F2528">
        <v>140</v>
      </c>
      <c r="G2528">
        <v>360</v>
      </c>
      <c r="H2528">
        <v>200</v>
      </c>
      <c r="I2528">
        <v>85</v>
      </c>
      <c r="J2528" s="8">
        <v>0.6071428571428571</v>
      </c>
      <c r="K2528">
        <v>28</v>
      </c>
      <c r="L2528">
        <v>29</v>
      </c>
      <c r="M2528">
        <v>182</v>
      </c>
      <c r="N2528" s="10">
        <v>452.9</v>
      </c>
      <c r="O2528" s="7">
        <v>9.4</v>
      </c>
      <c r="P2528" s="7">
        <v>27.1</v>
      </c>
      <c r="Q2528">
        <v>1</v>
      </c>
      <c r="R2528" t="s">
        <v>63</v>
      </c>
      <c r="S2528">
        <v>4</v>
      </c>
      <c r="T2528">
        <v>112</v>
      </c>
      <c r="U2528" s="11">
        <v>0.7818314824680298</v>
      </c>
      <c r="V2528" s="11">
        <v>0.62348980185873359</v>
      </c>
      <c r="W2528" s="11">
        <v>0.94319646595658657</v>
      </c>
      <c r="X2528" s="11">
        <v>-0.33223549871590435</v>
      </c>
      <c r="Y2528">
        <v>0</v>
      </c>
      <c r="Z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6">
        <v>45769</v>
      </c>
      <c r="B2529" t="s">
        <v>36</v>
      </c>
      <c r="C2529" t="s">
        <v>37</v>
      </c>
      <c r="D2529" t="s">
        <v>38</v>
      </c>
      <c r="E2529" t="s">
        <v>39</v>
      </c>
      <c r="F2529">
        <v>125</v>
      </c>
      <c r="G2529">
        <v>320</v>
      </c>
      <c r="H2529">
        <v>168</v>
      </c>
      <c r="I2529">
        <v>70</v>
      </c>
      <c r="J2529" s="8">
        <v>0.56000000000000005</v>
      </c>
      <c r="K2529">
        <v>40</v>
      </c>
      <c r="L2529">
        <v>31</v>
      </c>
      <c r="M2529">
        <v>139</v>
      </c>
      <c r="N2529" s="10">
        <v>678.82</v>
      </c>
      <c r="O2529" s="7">
        <v>9.4</v>
      </c>
      <c r="P2529" s="7">
        <v>27.1</v>
      </c>
      <c r="Q2529">
        <v>1</v>
      </c>
      <c r="R2529" t="s">
        <v>63</v>
      </c>
      <c r="S2529">
        <v>4</v>
      </c>
      <c r="T2529">
        <v>112</v>
      </c>
      <c r="U2529" s="11">
        <v>0.7818314824680298</v>
      </c>
      <c r="V2529" s="11">
        <v>0.62348980185873359</v>
      </c>
      <c r="W2529" s="11">
        <v>0.94319646595658657</v>
      </c>
      <c r="X2529" s="11">
        <v>-0.33223549871590435</v>
      </c>
      <c r="Y2529">
        <v>0</v>
      </c>
      <c r="Z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6">
        <v>45769</v>
      </c>
      <c r="B2530" t="s">
        <v>41</v>
      </c>
      <c r="C2530" t="s">
        <v>42</v>
      </c>
      <c r="D2530" t="s">
        <v>43</v>
      </c>
      <c r="E2530" t="s">
        <v>44</v>
      </c>
      <c r="F2530">
        <v>85</v>
      </c>
      <c r="G2530">
        <v>210</v>
      </c>
      <c r="H2530">
        <v>114</v>
      </c>
      <c r="I2530">
        <v>50</v>
      </c>
      <c r="J2530" s="8">
        <v>0.58823529411764708</v>
      </c>
      <c r="K2530">
        <v>20</v>
      </c>
      <c r="L2530">
        <v>24</v>
      </c>
      <c r="M2530">
        <v>103</v>
      </c>
      <c r="N2530" s="10">
        <v>502.29</v>
      </c>
      <c r="O2530" s="7">
        <v>9.4</v>
      </c>
      <c r="P2530" s="7">
        <v>27.1</v>
      </c>
      <c r="Q2530">
        <v>1</v>
      </c>
      <c r="R2530" t="s">
        <v>63</v>
      </c>
      <c r="S2530">
        <v>4</v>
      </c>
      <c r="T2530">
        <v>112</v>
      </c>
      <c r="U2530" s="11">
        <v>0.7818314824680298</v>
      </c>
      <c r="V2530" s="11">
        <v>0.62348980185873359</v>
      </c>
      <c r="W2530" s="11">
        <v>0.94319646595658657</v>
      </c>
      <c r="X2530" s="11">
        <v>-0.33223549871590435</v>
      </c>
      <c r="Y2530">
        <v>0</v>
      </c>
      <c r="Z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6">
        <v>45770</v>
      </c>
      <c r="B2531" t="s">
        <v>31</v>
      </c>
      <c r="C2531" t="s">
        <v>32</v>
      </c>
      <c r="D2531" t="s">
        <v>33</v>
      </c>
      <c r="E2531" t="s">
        <v>34</v>
      </c>
      <c r="F2531">
        <v>140</v>
      </c>
      <c r="G2531">
        <v>360</v>
      </c>
      <c r="H2531">
        <v>189</v>
      </c>
      <c r="I2531">
        <v>81</v>
      </c>
      <c r="J2531" s="8">
        <v>0.57857142857142863</v>
      </c>
      <c r="K2531">
        <v>46</v>
      </c>
      <c r="L2531">
        <v>35</v>
      </c>
      <c r="M2531">
        <v>171</v>
      </c>
      <c r="N2531" s="10">
        <v>420.45</v>
      </c>
      <c r="O2531" s="7">
        <v>9.1999999999999993</v>
      </c>
      <c r="P2531" s="7">
        <v>28.9</v>
      </c>
      <c r="Q2531">
        <v>2</v>
      </c>
      <c r="R2531" t="s">
        <v>64</v>
      </c>
      <c r="S2531">
        <v>4</v>
      </c>
      <c r="T2531">
        <v>113</v>
      </c>
      <c r="U2531" s="11">
        <v>0.97492791218182362</v>
      </c>
      <c r="V2531" s="11">
        <v>-0.22252093395631434</v>
      </c>
      <c r="W2531" s="11">
        <v>0.93734193846437719</v>
      </c>
      <c r="X2531" s="11">
        <v>-0.3484108069446808</v>
      </c>
      <c r="Y2531">
        <v>0</v>
      </c>
      <c r="Z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6">
        <v>45770</v>
      </c>
      <c r="B2532" t="s">
        <v>36</v>
      </c>
      <c r="C2532" t="s">
        <v>37</v>
      </c>
      <c r="D2532" t="s">
        <v>38</v>
      </c>
      <c r="E2532" t="s">
        <v>39</v>
      </c>
      <c r="F2532">
        <v>125</v>
      </c>
      <c r="G2532">
        <v>320</v>
      </c>
      <c r="H2532">
        <v>173</v>
      </c>
      <c r="I2532">
        <v>71</v>
      </c>
      <c r="J2532" s="8">
        <v>0.56799999999999995</v>
      </c>
      <c r="K2532">
        <v>28</v>
      </c>
      <c r="L2532">
        <v>40</v>
      </c>
      <c r="M2532">
        <v>151</v>
      </c>
      <c r="N2532" s="10">
        <v>631.24</v>
      </c>
      <c r="O2532" s="7">
        <v>9.1999999999999993</v>
      </c>
      <c r="P2532" s="7">
        <v>28.9</v>
      </c>
      <c r="Q2532">
        <v>2</v>
      </c>
      <c r="R2532" t="s">
        <v>64</v>
      </c>
      <c r="S2532">
        <v>4</v>
      </c>
      <c r="T2532">
        <v>113</v>
      </c>
      <c r="U2532" s="11">
        <v>0.97492791218182362</v>
      </c>
      <c r="V2532" s="11">
        <v>-0.22252093395631434</v>
      </c>
      <c r="W2532" s="11">
        <v>0.93734193846437719</v>
      </c>
      <c r="X2532" s="11">
        <v>-0.3484108069446808</v>
      </c>
      <c r="Y2532">
        <v>0</v>
      </c>
      <c r="Z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6">
        <v>45770</v>
      </c>
      <c r="B2533" t="s">
        <v>41</v>
      </c>
      <c r="C2533" t="s">
        <v>42</v>
      </c>
      <c r="D2533" t="s">
        <v>43</v>
      </c>
      <c r="E2533" t="s">
        <v>44</v>
      </c>
      <c r="F2533">
        <v>85</v>
      </c>
      <c r="G2533">
        <v>210</v>
      </c>
      <c r="H2533">
        <v>114</v>
      </c>
      <c r="I2533">
        <v>49</v>
      </c>
      <c r="J2533" s="8">
        <v>0.57647058823529407</v>
      </c>
      <c r="K2533">
        <v>25</v>
      </c>
      <c r="L2533">
        <v>16</v>
      </c>
      <c r="M2533">
        <v>93</v>
      </c>
      <c r="N2533" s="10">
        <v>549.36</v>
      </c>
      <c r="O2533" s="7">
        <v>9.1999999999999993</v>
      </c>
      <c r="P2533" s="7">
        <v>28.9</v>
      </c>
      <c r="Q2533">
        <v>2</v>
      </c>
      <c r="R2533" t="s">
        <v>64</v>
      </c>
      <c r="S2533">
        <v>4</v>
      </c>
      <c r="T2533">
        <v>113</v>
      </c>
      <c r="U2533" s="11">
        <v>0.97492791218182362</v>
      </c>
      <c r="V2533" s="11">
        <v>-0.22252093395631434</v>
      </c>
      <c r="W2533" s="11">
        <v>0.93734193846437719</v>
      </c>
      <c r="X2533" s="11">
        <v>-0.3484108069446808</v>
      </c>
      <c r="Y2533">
        <v>0</v>
      </c>
      <c r="Z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6">
        <v>45771</v>
      </c>
      <c r="B2534" t="s">
        <v>31</v>
      </c>
      <c r="C2534" t="s">
        <v>32</v>
      </c>
      <c r="D2534" t="s">
        <v>33</v>
      </c>
      <c r="E2534" t="s">
        <v>34</v>
      </c>
      <c r="F2534">
        <v>140</v>
      </c>
      <c r="G2534">
        <v>360</v>
      </c>
      <c r="H2534">
        <v>174</v>
      </c>
      <c r="I2534">
        <v>74</v>
      </c>
      <c r="J2534" s="8">
        <v>0.52857142857142858</v>
      </c>
      <c r="K2534">
        <v>25</v>
      </c>
      <c r="L2534">
        <v>41</v>
      </c>
      <c r="M2534">
        <v>145</v>
      </c>
      <c r="N2534" s="10">
        <v>451.36</v>
      </c>
      <c r="O2534" s="7">
        <v>14.7</v>
      </c>
      <c r="P2534" s="7">
        <v>26.9</v>
      </c>
      <c r="Q2534">
        <v>3</v>
      </c>
      <c r="R2534" t="s">
        <v>65</v>
      </c>
      <c r="S2534">
        <v>4</v>
      </c>
      <c r="T2534">
        <v>114</v>
      </c>
      <c r="U2534" s="11">
        <v>0.43388373911755823</v>
      </c>
      <c r="V2534" s="11">
        <v>-0.90096886790241903</v>
      </c>
      <c r="W2534" s="11">
        <v>0.93121003641219469</v>
      </c>
      <c r="X2534" s="11">
        <v>-0.36448301481029122</v>
      </c>
      <c r="Y2534">
        <v>0</v>
      </c>
      <c r="Z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6">
        <v>45771</v>
      </c>
      <c r="B2535" t="s">
        <v>36</v>
      </c>
      <c r="C2535" t="s">
        <v>37</v>
      </c>
      <c r="D2535" t="s">
        <v>38</v>
      </c>
      <c r="E2535" t="s">
        <v>39</v>
      </c>
      <c r="F2535">
        <v>125</v>
      </c>
      <c r="G2535">
        <v>320</v>
      </c>
      <c r="H2535">
        <v>171</v>
      </c>
      <c r="I2535">
        <v>72</v>
      </c>
      <c r="J2535" s="8">
        <v>0.57599999999999996</v>
      </c>
      <c r="K2535">
        <v>38</v>
      </c>
      <c r="L2535">
        <v>21</v>
      </c>
      <c r="M2535">
        <v>143</v>
      </c>
      <c r="N2535" s="10">
        <v>663.85</v>
      </c>
      <c r="O2535" s="7">
        <v>14.7</v>
      </c>
      <c r="P2535" s="7">
        <v>26.9</v>
      </c>
      <c r="Q2535">
        <v>3</v>
      </c>
      <c r="R2535" t="s">
        <v>65</v>
      </c>
      <c r="S2535">
        <v>4</v>
      </c>
      <c r="T2535">
        <v>114</v>
      </c>
      <c r="U2535" s="11">
        <v>0.43388373911755823</v>
      </c>
      <c r="V2535" s="11">
        <v>-0.90096886790241903</v>
      </c>
      <c r="W2535" s="11">
        <v>0.93121003641219469</v>
      </c>
      <c r="X2535" s="11">
        <v>-0.36448301481029122</v>
      </c>
      <c r="Y2535">
        <v>0</v>
      </c>
      <c r="Z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6">
        <v>45771</v>
      </c>
      <c r="B2536" t="s">
        <v>41</v>
      </c>
      <c r="C2536" t="s">
        <v>42</v>
      </c>
      <c r="D2536" t="s">
        <v>43</v>
      </c>
      <c r="E2536" t="s">
        <v>44</v>
      </c>
      <c r="F2536">
        <v>85</v>
      </c>
      <c r="G2536">
        <v>210</v>
      </c>
      <c r="H2536">
        <v>116</v>
      </c>
      <c r="I2536">
        <v>51</v>
      </c>
      <c r="J2536" s="8">
        <v>0.6</v>
      </c>
      <c r="K2536">
        <v>14</v>
      </c>
      <c r="L2536">
        <v>18</v>
      </c>
      <c r="M2536">
        <v>105</v>
      </c>
      <c r="N2536" s="10">
        <v>493.31</v>
      </c>
      <c r="O2536" s="7">
        <v>14.7</v>
      </c>
      <c r="P2536" s="7">
        <v>26.9</v>
      </c>
      <c r="Q2536">
        <v>3</v>
      </c>
      <c r="R2536" t="s">
        <v>65</v>
      </c>
      <c r="S2536">
        <v>4</v>
      </c>
      <c r="T2536">
        <v>114</v>
      </c>
      <c r="U2536" s="11">
        <v>0.43388373911755823</v>
      </c>
      <c r="V2536" s="11">
        <v>-0.90096886790241903</v>
      </c>
      <c r="W2536" s="11">
        <v>0.93121003641219469</v>
      </c>
      <c r="X2536" s="11">
        <v>-0.36448301481029122</v>
      </c>
      <c r="Y2536">
        <v>0</v>
      </c>
      <c r="Z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6">
        <v>45772</v>
      </c>
      <c r="B2537" t="s">
        <v>31</v>
      </c>
      <c r="C2537" t="s">
        <v>32</v>
      </c>
      <c r="D2537" t="s">
        <v>33</v>
      </c>
      <c r="E2537" t="s">
        <v>34</v>
      </c>
      <c r="F2537">
        <v>140</v>
      </c>
      <c r="G2537">
        <v>360</v>
      </c>
      <c r="H2537">
        <v>168</v>
      </c>
      <c r="I2537">
        <v>71</v>
      </c>
      <c r="J2537" s="8">
        <v>0.50714285714285712</v>
      </c>
      <c r="K2537">
        <v>45</v>
      </c>
      <c r="L2537">
        <v>21</v>
      </c>
      <c r="M2537">
        <v>153</v>
      </c>
      <c r="N2537" s="10">
        <v>393.56</v>
      </c>
      <c r="O2537" s="7">
        <v>5.9</v>
      </c>
      <c r="P2537" s="7">
        <v>28</v>
      </c>
      <c r="Q2537">
        <v>4</v>
      </c>
      <c r="R2537" t="s">
        <v>66</v>
      </c>
      <c r="S2537">
        <v>4</v>
      </c>
      <c r="T2537">
        <v>115</v>
      </c>
      <c r="U2537" s="11">
        <v>-0.43388373911755801</v>
      </c>
      <c r="V2537" s="11">
        <v>-0.90096886790241915</v>
      </c>
      <c r="W2537" s="11">
        <v>0.92480257432850888</v>
      </c>
      <c r="X2537" s="11">
        <v>-0.38044736628785164</v>
      </c>
      <c r="Y2537">
        <v>0</v>
      </c>
      <c r="Z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6">
        <v>45772</v>
      </c>
      <c r="B2538" t="s">
        <v>36</v>
      </c>
      <c r="C2538" t="s">
        <v>37</v>
      </c>
      <c r="D2538" t="s">
        <v>38</v>
      </c>
      <c r="E2538" t="s">
        <v>39</v>
      </c>
      <c r="F2538">
        <v>125</v>
      </c>
      <c r="G2538">
        <v>320</v>
      </c>
      <c r="H2538">
        <v>158</v>
      </c>
      <c r="I2538">
        <v>66</v>
      </c>
      <c r="J2538" s="8">
        <v>0.52800000000000002</v>
      </c>
      <c r="K2538">
        <v>26</v>
      </c>
      <c r="L2538">
        <v>25</v>
      </c>
      <c r="M2538">
        <v>148</v>
      </c>
      <c r="N2538" s="10">
        <v>681.11</v>
      </c>
      <c r="O2538" s="7">
        <v>5.9</v>
      </c>
      <c r="P2538" s="7">
        <v>28</v>
      </c>
      <c r="Q2538">
        <v>4</v>
      </c>
      <c r="R2538" t="s">
        <v>66</v>
      </c>
      <c r="S2538">
        <v>4</v>
      </c>
      <c r="T2538">
        <v>115</v>
      </c>
      <c r="U2538" s="11">
        <v>-0.43388373911755801</v>
      </c>
      <c r="V2538" s="11">
        <v>-0.90096886790241915</v>
      </c>
      <c r="W2538" s="11">
        <v>0.92480257432850888</v>
      </c>
      <c r="X2538" s="11">
        <v>-0.38044736628785164</v>
      </c>
      <c r="Y2538">
        <v>0</v>
      </c>
      <c r="Z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6">
        <v>45772</v>
      </c>
      <c r="B2539" t="s">
        <v>41</v>
      </c>
      <c r="C2539" t="s">
        <v>42</v>
      </c>
      <c r="D2539" t="s">
        <v>43</v>
      </c>
      <c r="E2539" t="s">
        <v>44</v>
      </c>
      <c r="F2539">
        <v>85</v>
      </c>
      <c r="G2539">
        <v>210</v>
      </c>
      <c r="H2539">
        <v>123</v>
      </c>
      <c r="I2539">
        <v>54</v>
      </c>
      <c r="J2539" s="8">
        <v>0.63529411764705879</v>
      </c>
      <c r="K2539">
        <v>22</v>
      </c>
      <c r="L2539">
        <v>18</v>
      </c>
      <c r="M2539">
        <v>103</v>
      </c>
      <c r="N2539" s="10">
        <v>545.72</v>
      </c>
      <c r="O2539" s="7">
        <v>5.9</v>
      </c>
      <c r="P2539" s="7">
        <v>28</v>
      </c>
      <c r="Q2539">
        <v>4</v>
      </c>
      <c r="R2539" t="s">
        <v>66</v>
      </c>
      <c r="S2539">
        <v>4</v>
      </c>
      <c r="T2539">
        <v>115</v>
      </c>
      <c r="U2539" s="11">
        <v>-0.43388373911755801</v>
      </c>
      <c r="V2539" s="11">
        <v>-0.90096886790241915</v>
      </c>
      <c r="W2539" s="11">
        <v>0.92480257432850888</v>
      </c>
      <c r="X2539" s="11">
        <v>-0.38044736628785164</v>
      </c>
      <c r="Y2539">
        <v>0</v>
      </c>
      <c r="Z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6">
        <v>45773</v>
      </c>
      <c r="B2540" t="s">
        <v>31</v>
      </c>
      <c r="C2540" t="s">
        <v>32</v>
      </c>
      <c r="D2540" t="s">
        <v>33</v>
      </c>
      <c r="E2540" t="s">
        <v>34</v>
      </c>
      <c r="F2540">
        <v>140</v>
      </c>
      <c r="G2540">
        <v>360</v>
      </c>
      <c r="H2540">
        <v>193</v>
      </c>
      <c r="I2540">
        <v>84</v>
      </c>
      <c r="J2540" s="8">
        <v>0.6</v>
      </c>
      <c r="K2540">
        <v>44</v>
      </c>
      <c r="L2540">
        <v>33</v>
      </c>
      <c r="M2540">
        <v>160</v>
      </c>
      <c r="N2540" s="10">
        <v>520.51</v>
      </c>
      <c r="O2540" s="7">
        <v>13.9</v>
      </c>
      <c r="P2540" s="7">
        <v>27.4</v>
      </c>
      <c r="Q2540">
        <v>5</v>
      </c>
      <c r="R2540" t="s">
        <v>67</v>
      </c>
      <c r="S2540">
        <v>4</v>
      </c>
      <c r="T2540">
        <v>116</v>
      </c>
      <c r="U2540" s="11">
        <v>-0.97492791218182362</v>
      </c>
      <c r="V2540" s="11">
        <v>-0.22252093395631459</v>
      </c>
      <c r="W2540" s="11">
        <v>0.91812144828443654</v>
      </c>
      <c r="X2540" s="11">
        <v>-0.39629913726891813</v>
      </c>
      <c r="Y2540">
        <v>1</v>
      </c>
      <c r="Z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6">
        <v>45773</v>
      </c>
      <c r="B2541" t="s">
        <v>36</v>
      </c>
      <c r="C2541" t="s">
        <v>37</v>
      </c>
      <c r="D2541" t="s">
        <v>38</v>
      </c>
      <c r="E2541" t="s">
        <v>39</v>
      </c>
      <c r="F2541">
        <v>125</v>
      </c>
      <c r="G2541">
        <v>320</v>
      </c>
      <c r="H2541">
        <v>188</v>
      </c>
      <c r="I2541">
        <v>79</v>
      </c>
      <c r="J2541" s="8">
        <v>0.63200000000000001</v>
      </c>
      <c r="K2541">
        <v>37</v>
      </c>
      <c r="L2541">
        <v>21</v>
      </c>
      <c r="M2541">
        <v>157</v>
      </c>
      <c r="N2541" s="10">
        <v>647.99</v>
      </c>
      <c r="O2541" s="7">
        <v>13.9</v>
      </c>
      <c r="P2541" s="7">
        <v>27.4</v>
      </c>
      <c r="Q2541">
        <v>5</v>
      </c>
      <c r="R2541" t="s">
        <v>67</v>
      </c>
      <c r="S2541">
        <v>4</v>
      </c>
      <c r="T2541">
        <v>116</v>
      </c>
      <c r="U2541" s="11">
        <v>-0.97492791218182362</v>
      </c>
      <c r="V2541" s="11">
        <v>-0.22252093395631459</v>
      </c>
      <c r="W2541" s="11">
        <v>0.91812144828443654</v>
      </c>
      <c r="X2541" s="11">
        <v>-0.39629913726891813</v>
      </c>
      <c r="Y2541">
        <v>1</v>
      </c>
      <c r="Z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6">
        <v>45773</v>
      </c>
      <c r="B2542" t="s">
        <v>41</v>
      </c>
      <c r="C2542" t="s">
        <v>42</v>
      </c>
      <c r="D2542" t="s">
        <v>43</v>
      </c>
      <c r="E2542" t="s">
        <v>44</v>
      </c>
      <c r="F2542">
        <v>85</v>
      </c>
      <c r="G2542">
        <v>210</v>
      </c>
      <c r="H2542">
        <v>135</v>
      </c>
      <c r="I2542">
        <v>61</v>
      </c>
      <c r="J2542" s="8">
        <v>0.71764705882352942</v>
      </c>
      <c r="K2542">
        <v>29</v>
      </c>
      <c r="L2542">
        <v>16</v>
      </c>
      <c r="M2542">
        <v>116</v>
      </c>
      <c r="N2542" s="10">
        <v>541.67999999999995</v>
      </c>
      <c r="O2542" s="7">
        <v>13.9</v>
      </c>
      <c r="P2542" s="7">
        <v>27.4</v>
      </c>
      <c r="Q2542">
        <v>5</v>
      </c>
      <c r="R2542" t="s">
        <v>67</v>
      </c>
      <c r="S2542">
        <v>4</v>
      </c>
      <c r="T2542">
        <v>116</v>
      </c>
      <c r="U2542" s="11">
        <v>-0.97492791218182362</v>
      </c>
      <c r="V2542" s="11">
        <v>-0.22252093395631459</v>
      </c>
      <c r="W2542" s="11">
        <v>0.91812144828443654</v>
      </c>
      <c r="X2542" s="11">
        <v>-0.39629913726891813</v>
      </c>
      <c r="Y2542">
        <v>1</v>
      </c>
      <c r="Z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6">
        <v>45774</v>
      </c>
      <c r="B2543" t="s">
        <v>31</v>
      </c>
      <c r="C2543" t="s">
        <v>32</v>
      </c>
      <c r="D2543" t="s">
        <v>33</v>
      </c>
      <c r="E2543" t="s">
        <v>34</v>
      </c>
      <c r="F2543">
        <v>140</v>
      </c>
      <c r="G2543">
        <v>360</v>
      </c>
      <c r="H2543">
        <v>192</v>
      </c>
      <c r="I2543">
        <v>82</v>
      </c>
      <c r="J2543" s="8">
        <v>0.58571428571428574</v>
      </c>
      <c r="K2543">
        <v>53</v>
      </c>
      <c r="L2543">
        <v>48</v>
      </c>
      <c r="M2543">
        <v>176</v>
      </c>
      <c r="N2543" s="10">
        <v>510.93</v>
      </c>
      <c r="O2543" s="7">
        <v>8.8000000000000007</v>
      </c>
      <c r="P2543" s="7">
        <v>26.8</v>
      </c>
      <c r="Q2543">
        <v>6</v>
      </c>
      <c r="R2543" t="s">
        <v>60</v>
      </c>
      <c r="S2543">
        <v>4</v>
      </c>
      <c r="T2543">
        <v>117</v>
      </c>
      <c r="U2543" s="11">
        <v>-0.78183148246802991</v>
      </c>
      <c r="V2543" s="11">
        <v>0.62348980185873337</v>
      </c>
      <c r="W2543" s="11">
        <v>0.91116863533266312</v>
      </c>
      <c r="X2543" s="11">
        <v>-0.41203363695942635</v>
      </c>
      <c r="Y2543">
        <v>1</v>
      </c>
      <c r="Z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6">
        <v>45774</v>
      </c>
      <c r="B2544" t="s">
        <v>36</v>
      </c>
      <c r="C2544" t="s">
        <v>37</v>
      </c>
      <c r="D2544" t="s">
        <v>38</v>
      </c>
      <c r="E2544" t="s">
        <v>39</v>
      </c>
      <c r="F2544">
        <v>125</v>
      </c>
      <c r="G2544">
        <v>320</v>
      </c>
      <c r="H2544">
        <v>195</v>
      </c>
      <c r="I2544">
        <v>79</v>
      </c>
      <c r="J2544" s="8">
        <v>0.63200000000000001</v>
      </c>
      <c r="K2544">
        <v>55</v>
      </c>
      <c r="L2544">
        <v>33</v>
      </c>
      <c r="M2544">
        <v>173</v>
      </c>
      <c r="N2544" s="10">
        <v>733.84</v>
      </c>
      <c r="O2544" s="7">
        <v>8.8000000000000007</v>
      </c>
      <c r="P2544" s="7">
        <v>26.8</v>
      </c>
      <c r="Q2544">
        <v>6</v>
      </c>
      <c r="R2544" t="s">
        <v>60</v>
      </c>
      <c r="S2544">
        <v>4</v>
      </c>
      <c r="T2544">
        <v>117</v>
      </c>
      <c r="U2544" s="11">
        <v>-0.78183148246802991</v>
      </c>
      <c r="V2544" s="11">
        <v>0.62348980185873337</v>
      </c>
      <c r="W2544" s="11">
        <v>0.91116863533266312</v>
      </c>
      <c r="X2544" s="11">
        <v>-0.41203363695942635</v>
      </c>
      <c r="Y2544">
        <v>1</v>
      </c>
      <c r="Z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6">
        <v>45774</v>
      </c>
      <c r="B2545" t="s">
        <v>41</v>
      </c>
      <c r="C2545" t="s">
        <v>42</v>
      </c>
      <c r="D2545" t="s">
        <v>43</v>
      </c>
      <c r="E2545" t="s">
        <v>44</v>
      </c>
      <c r="F2545">
        <v>85</v>
      </c>
      <c r="G2545">
        <v>210</v>
      </c>
      <c r="H2545">
        <v>129</v>
      </c>
      <c r="I2545">
        <v>59</v>
      </c>
      <c r="J2545" s="8">
        <v>0.69411764705882351</v>
      </c>
      <c r="K2545">
        <v>21</v>
      </c>
      <c r="L2545">
        <v>28</v>
      </c>
      <c r="M2545">
        <v>120</v>
      </c>
      <c r="N2545" s="10">
        <v>566.70000000000005</v>
      </c>
      <c r="O2545" s="7">
        <v>8.8000000000000007</v>
      </c>
      <c r="P2545" s="7">
        <v>26.8</v>
      </c>
      <c r="Q2545">
        <v>6</v>
      </c>
      <c r="R2545" t="s">
        <v>60</v>
      </c>
      <c r="S2545">
        <v>4</v>
      </c>
      <c r="T2545">
        <v>117</v>
      </c>
      <c r="U2545" s="11">
        <v>-0.78183148246802991</v>
      </c>
      <c r="V2545" s="11">
        <v>0.62348980185873337</v>
      </c>
      <c r="W2545" s="11">
        <v>0.91116863533266312</v>
      </c>
      <c r="X2545" s="11">
        <v>-0.41203363695942635</v>
      </c>
      <c r="Y2545">
        <v>1</v>
      </c>
      <c r="Z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6">
        <v>45775</v>
      </c>
      <c r="B2546" t="s">
        <v>31</v>
      </c>
      <c r="C2546" t="s">
        <v>32</v>
      </c>
      <c r="D2546" t="s">
        <v>33</v>
      </c>
      <c r="E2546" t="s">
        <v>34</v>
      </c>
      <c r="F2546">
        <v>140</v>
      </c>
      <c r="G2546">
        <v>360</v>
      </c>
      <c r="H2546">
        <v>151</v>
      </c>
      <c r="I2546">
        <v>67</v>
      </c>
      <c r="J2546" s="8">
        <v>0.47857142857142859</v>
      </c>
      <c r="K2546">
        <v>41</v>
      </c>
      <c r="L2546">
        <v>16</v>
      </c>
      <c r="M2546">
        <v>130</v>
      </c>
      <c r="N2546" s="10">
        <v>468.44</v>
      </c>
      <c r="O2546" s="7">
        <v>21.2</v>
      </c>
      <c r="P2546" s="7">
        <v>25.7</v>
      </c>
      <c r="Q2546">
        <v>0</v>
      </c>
      <c r="R2546" t="s">
        <v>62</v>
      </c>
      <c r="S2546">
        <v>4</v>
      </c>
      <c r="T2546">
        <v>118</v>
      </c>
      <c r="U2546" s="11">
        <v>0</v>
      </c>
      <c r="V2546" s="11">
        <v>1</v>
      </c>
      <c r="W2546" s="11">
        <v>0.90394619292240108</v>
      </c>
      <c r="X2546" s="11">
        <v>-0.42764620926777464</v>
      </c>
      <c r="Y2546">
        <v>0</v>
      </c>
      <c r="Z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6">
        <v>45775</v>
      </c>
      <c r="B2547" t="s">
        <v>36</v>
      </c>
      <c r="C2547" t="s">
        <v>37</v>
      </c>
      <c r="D2547" t="s">
        <v>38</v>
      </c>
      <c r="E2547" t="s">
        <v>39</v>
      </c>
      <c r="F2547">
        <v>125</v>
      </c>
      <c r="G2547">
        <v>320</v>
      </c>
      <c r="H2547">
        <v>158</v>
      </c>
      <c r="I2547">
        <v>66</v>
      </c>
      <c r="J2547" s="8">
        <v>0.52800000000000002</v>
      </c>
      <c r="K2547">
        <v>38</v>
      </c>
      <c r="L2547">
        <v>25</v>
      </c>
      <c r="M2547">
        <v>132</v>
      </c>
      <c r="N2547" s="10">
        <v>617.88</v>
      </c>
      <c r="O2547" s="7">
        <v>21.2</v>
      </c>
      <c r="P2547" s="7">
        <v>25.7</v>
      </c>
      <c r="Q2547">
        <v>0</v>
      </c>
      <c r="R2547" t="s">
        <v>62</v>
      </c>
      <c r="S2547">
        <v>4</v>
      </c>
      <c r="T2547">
        <v>118</v>
      </c>
      <c r="U2547" s="11">
        <v>0</v>
      </c>
      <c r="V2547" s="11">
        <v>1</v>
      </c>
      <c r="W2547" s="11">
        <v>0.90394619292240108</v>
      </c>
      <c r="X2547" s="11">
        <v>-0.42764620926777464</v>
      </c>
      <c r="Y2547">
        <v>0</v>
      </c>
      <c r="Z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6">
        <v>45775</v>
      </c>
      <c r="B2548" t="s">
        <v>41</v>
      </c>
      <c r="C2548" t="s">
        <v>42</v>
      </c>
      <c r="D2548" t="s">
        <v>43</v>
      </c>
      <c r="E2548" t="s">
        <v>44</v>
      </c>
      <c r="F2548">
        <v>85</v>
      </c>
      <c r="G2548">
        <v>210</v>
      </c>
      <c r="H2548">
        <v>104</v>
      </c>
      <c r="I2548">
        <v>47</v>
      </c>
      <c r="J2548" s="8">
        <v>0.55294117647058827</v>
      </c>
      <c r="K2548">
        <v>17</v>
      </c>
      <c r="L2548">
        <v>18</v>
      </c>
      <c r="M2548">
        <v>84</v>
      </c>
      <c r="N2548" s="10">
        <v>515.66</v>
      </c>
      <c r="O2548" s="7">
        <v>21.2</v>
      </c>
      <c r="P2548" s="7">
        <v>25.7</v>
      </c>
      <c r="Q2548">
        <v>0</v>
      </c>
      <c r="R2548" t="s">
        <v>62</v>
      </c>
      <c r="S2548">
        <v>4</v>
      </c>
      <c r="T2548">
        <v>118</v>
      </c>
      <c r="U2548" s="11">
        <v>0</v>
      </c>
      <c r="V2548" s="11">
        <v>1</v>
      </c>
      <c r="W2548" s="11">
        <v>0.90394619292240108</v>
      </c>
      <c r="X2548" s="11">
        <v>-0.42764620926777464</v>
      </c>
      <c r="Y2548">
        <v>0</v>
      </c>
      <c r="Z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6">
        <v>45776</v>
      </c>
      <c r="B2549" t="s">
        <v>31</v>
      </c>
      <c r="C2549" t="s">
        <v>32</v>
      </c>
      <c r="D2549" t="s">
        <v>33</v>
      </c>
      <c r="E2549" t="s">
        <v>34</v>
      </c>
      <c r="F2549">
        <v>140</v>
      </c>
      <c r="G2549">
        <v>360</v>
      </c>
      <c r="H2549">
        <v>171</v>
      </c>
      <c r="I2549">
        <v>74</v>
      </c>
      <c r="J2549" s="8">
        <v>0.52857142857142858</v>
      </c>
      <c r="K2549">
        <v>25</v>
      </c>
      <c r="L2549">
        <v>38</v>
      </c>
      <c r="M2549">
        <v>152</v>
      </c>
      <c r="N2549" s="10">
        <v>444.67</v>
      </c>
      <c r="O2549" s="7">
        <v>2.5</v>
      </c>
      <c r="P2549" s="7">
        <v>27</v>
      </c>
      <c r="Q2549">
        <v>1</v>
      </c>
      <c r="R2549" t="s">
        <v>63</v>
      </c>
      <c r="S2549">
        <v>4</v>
      </c>
      <c r="T2549">
        <v>119</v>
      </c>
      <c r="U2549" s="11">
        <v>0.7818314824680298</v>
      </c>
      <c r="V2549" s="11">
        <v>0.62348980185873359</v>
      </c>
      <c r="W2549" s="11">
        <v>0.89645625829055753</v>
      </c>
      <c r="X2549" s="11">
        <v>-0.44313223418263453</v>
      </c>
      <c r="Y2549">
        <v>0</v>
      </c>
      <c r="Z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6">
        <v>45776</v>
      </c>
      <c r="B2550" t="s">
        <v>36</v>
      </c>
      <c r="C2550" t="s">
        <v>37</v>
      </c>
      <c r="D2550" t="s">
        <v>38</v>
      </c>
      <c r="E2550" t="s">
        <v>39</v>
      </c>
      <c r="F2550">
        <v>125</v>
      </c>
      <c r="G2550">
        <v>320</v>
      </c>
      <c r="H2550">
        <v>167</v>
      </c>
      <c r="I2550">
        <v>68</v>
      </c>
      <c r="J2550" s="8">
        <v>0.54400000000000004</v>
      </c>
      <c r="K2550">
        <v>38</v>
      </c>
      <c r="L2550">
        <v>27</v>
      </c>
      <c r="M2550">
        <v>156</v>
      </c>
      <c r="N2550" s="10">
        <v>661.19</v>
      </c>
      <c r="O2550" s="7">
        <v>2.5</v>
      </c>
      <c r="P2550" s="7">
        <v>27</v>
      </c>
      <c r="Q2550">
        <v>1</v>
      </c>
      <c r="R2550" t="s">
        <v>63</v>
      </c>
      <c r="S2550">
        <v>4</v>
      </c>
      <c r="T2550">
        <v>119</v>
      </c>
      <c r="U2550" s="11">
        <v>0.7818314824680298</v>
      </c>
      <c r="V2550" s="11">
        <v>0.62348980185873359</v>
      </c>
      <c r="W2550" s="11">
        <v>0.89645625829055753</v>
      </c>
      <c r="X2550" s="11">
        <v>-0.44313223418263453</v>
      </c>
      <c r="Y2550">
        <v>0</v>
      </c>
      <c r="Z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6">
        <v>45776</v>
      </c>
      <c r="B2551" t="s">
        <v>41</v>
      </c>
      <c r="C2551" t="s">
        <v>42</v>
      </c>
      <c r="D2551" t="s">
        <v>43</v>
      </c>
      <c r="E2551" t="s">
        <v>44</v>
      </c>
      <c r="F2551">
        <v>85</v>
      </c>
      <c r="G2551">
        <v>210</v>
      </c>
      <c r="H2551">
        <v>123</v>
      </c>
      <c r="I2551">
        <v>56</v>
      </c>
      <c r="J2551" s="8">
        <v>0.6588235294117647</v>
      </c>
      <c r="K2551">
        <v>27</v>
      </c>
      <c r="L2551">
        <v>17</v>
      </c>
      <c r="M2551">
        <v>110</v>
      </c>
      <c r="N2551" s="10">
        <v>501.14</v>
      </c>
      <c r="O2551" s="7">
        <v>2.5</v>
      </c>
      <c r="P2551" s="7">
        <v>27</v>
      </c>
      <c r="Q2551">
        <v>1</v>
      </c>
      <c r="R2551" t="s">
        <v>63</v>
      </c>
      <c r="S2551">
        <v>4</v>
      </c>
      <c r="T2551">
        <v>119</v>
      </c>
      <c r="U2551" s="11">
        <v>0.7818314824680298</v>
      </c>
      <c r="V2551" s="11">
        <v>0.62348980185873359</v>
      </c>
      <c r="W2551" s="11">
        <v>0.89645625829055753</v>
      </c>
      <c r="X2551" s="11">
        <v>-0.44313223418263453</v>
      </c>
      <c r="Y2551">
        <v>0</v>
      </c>
      <c r="Z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6">
        <v>45777</v>
      </c>
      <c r="B2552" t="s">
        <v>31</v>
      </c>
      <c r="C2552" t="s">
        <v>32</v>
      </c>
      <c r="D2552" t="s">
        <v>33</v>
      </c>
      <c r="E2552" t="s">
        <v>34</v>
      </c>
      <c r="F2552">
        <v>140</v>
      </c>
      <c r="G2552">
        <v>360</v>
      </c>
      <c r="H2552">
        <v>171</v>
      </c>
      <c r="I2552">
        <v>74</v>
      </c>
      <c r="J2552" s="8">
        <v>0.52857142857142858</v>
      </c>
      <c r="K2552">
        <v>32</v>
      </c>
      <c r="L2552">
        <v>30</v>
      </c>
      <c r="M2552">
        <v>153</v>
      </c>
      <c r="N2552" s="10">
        <v>458.1</v>
      </c>
      <c r="O2552" s="7">
        <v>10.9</v>
      </c>
      <c r="P2552" s="7">
        <v>27.9</v>
      </c>
      <c r="Q2552">
        <v>2</v>
      </c>
      <c r="R2552" t="s">
        <v>64</v>
      </c>
      <c r="S2552">
        <v>4</v>
      </c>
      <c r="T2552">
        <v>120</v>
      </c>
      <c r="U2552" s="11">
        <v>0.97492791218182362</v>
      </c>
      <c r="V2552" s="11">
        <v>-0.22252093395631434</v>
      </c>
      <c r="W2552" s="11">
        <v>0.88870104782929149</v>
      </c>
      <c r="X2552" s="11">
        <v>-0.45848712914008766</v>
      </c>
      <c r="Y2552">
        <v>0</v>
      </c>
      <c r="Z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6">
        <v>45777</v>
      </c>
      <c r="B2553" t="s">
        <v>36</v>
      </c>
      <c r="C2553" t="s">
        <v>37</v>
      </c>
      <c r="D2553" t="s">
        <v>38</v>
      </c>
      <c r="E2553" t="s">
        <v>39</v>
      </c>
      <c r="F2553">
        <v>125</v>
      </c>
      <c r="G2553">
        <v>320</v>
      </c>
      <c r="H2553">
        <v>148</v>
      </c>
      <c r="I2553">
        <v>65</v>
      </c>
      <c r="J2553" s="8">
        <v>0.52</v>
      </c>
      <c r="K2553">
        <v>37</v>
      </c>
      <c r="L2553">
        <v>40</v>
      </c>
      <c r="M2553">
        <v>120</v>
      </c>
      <c r="N2553" s="10">
        <v>677.92</v>
      </c>
      <c r="O2553" s="7">
        <v>10.9</v>
      </c>
      <c r="P2553" s="7">
        <v>27.9</v>
      </c>
      <c r="Q2553">
        <v>2</v>
      </c>
      <c r="R2553" t="s">
        <v>64</v>
      </c>
      <c r="S2553">
        <v>4</v>
      </c>
      <c r="T2553">
        <v>120</v>
      </c>
      <c r="U2553" s="11">
        <v>0.97492791218182362</v>
      </c>
      <c r="V2553" s="11">
        <v>-0.22252093395631434</v>
      </c>
      <c r="W2553" s="11">
        <v>0.88870104782929149</v>
      </c>
      <c r="X2553" s="11">
        <v>-0.45848712914008766</v>
      </c>
      <c r="Y2553">
        <v>0</v>
      </c>
      <c r="Z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6">
        <v>45777</v>
      </c>
      <c r="B2554" t="s">
        <v>41</v>
      </c>
      <c r="C2554" t="s">
        <v>42</v>
      </c>
      <c r="D2554" t="s">
        <v>43</v>
      </c>
      <c r="E2554" t="s">
        <v>44</v>
      </c>
      <c r="F2554">
        <v>85</v>
      </c>
      <c r="G2554">
        <v>210</v>
      </c>
      <c r="H2554">
        <v>107</v>
      </c>
      <c r="I2554">
        <v>47</v>
      </c>
      <c r="J2554" s="8">
        <v>0.55294117647058827</v>
      </c>
      <c r="K2554">
        <v>19</v>
      </c>
      <c r="L2554">
        <v>27</v>
      </c>
      <c r="M2554">
        <v>87</v>
      </c>
      <c r="N2554" s="10">
        <v>484.76</v>
      </c>
      <c r="O2554" s="7">
        <v>10.9</v>
      </c>
      <c r="P2554" s="7">
        <v>27.9</v>
      </c>
      <c r="Q2554">
        <v>2</v>
      </c>
      <c r="R2554" t="s">
        <v>64</v>
      </c>
      <c r="S2554">
        <v>4</v>
      </c>
      <c r="T2554">
        <v>120</v>
      </c>
      <c r="U2554" s="11">
        <v>0.97492791218182362</v>
      </c>
      <c r="V2554" s="11">
        <v>-0.22252093395631434</v>
      </c>
      <c r="W2554" s="11">
        <v>0.88870104782929149</v>
      </c>
      <c r="X2554" s="11">
        <v>-0.45848712914008766</v>
      </c>
      <c r="Y2554">
        <v>0</v>
      </c>
      <c r="Z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6">
        <v>45778</v>
      </c>
      <c r="B2555" t="s">
        <v>31</v>
      </c>
      <c r="C2555" t="s">
        <v>32</v>
      </c>
      <c r="D2555" t="s">
        <v>33</v>
      </c>
      <c r="E2555" t="s">
        <v>34</v>
      </c>
      <c r="F2555">
        <v>140</v>
      </c>
      <c r="G2555">
        <v>360</v>
      </c>
      <c r="H2555">
        <v>187</v>
      </c>
      <c r="I2555">
        <v>80</v>
      </c>
      <c r="J2555" s="8">
        <v>0.5714285714285714</v>
      </c>
      <c r="K2555">
        <v>37</v>
      </c>
      <c r="L2555">
        <v>51</v>
      </c>
      <c r="M2555">
        <v>157</v>
      </c>
      <c r="N2555" s="10">
        <v>396.2</v>
      </c>
      <c r="O2555" s="7">
        <v>5.6</v>
      </c>
      <c r="P2555" s="7">
        <v>27.3</v>
      </c>
      <c r="Q2555">
        <v>3</v>
      </c>
      <c r="R2555" t="s">
        <v>65</v>
      </c>
      <c r="S2555">
        <v>5</v>
      </c>
      <c r="T2555">
        <v>121</v>
      </c>
      <c r="U2555" s="11">
        <v>0.43388373911755823</v>
      </c>
      <c r="V2555" s="11">
        <v>-0.90096886790241903</v>
      </c>
      <c r="W2555" s="11">
        <v>0.88068285643014754</v>
      </c>
      <c r="X2555" s="11">
        <v>-0.47370635037968001</v>
      </c>
      <c r="Y2555">
        <v>0</v>
      </c>
      <c r="Z2555">
        <v>1</v>
      </c>
      <c r="AA2555" t="s">
        <v>71</v>
      </c>
      <c r="AB2555">
        <v>0</v>
      </c>
      <c r="AC2555">
        <v>0</v>
      </c>
      <c r="AD2555">
        <v>0</v>
      </c>
      <c r="AE2555">
        <v>0</v>
      </c>
    </row>
    <row r="2556" spans="1:31">
      <c r="A2556" s="6">
        <v>45778</v>
      </c>
      <c r="B2556" t="s">
        <v>36</v>
      </c>
      <c r="C2556" t="s">
        <v>37</v>
      </c>
      <c r="D2556" t="s">
        <v>38</v>
      </c>
      <c r="E2556" t="s">
        <v>39</v>
      </c>
      <c r="F2556">
        <v>125</v>
      </c>
      <c r="G2556">
        <v>320</v>
      </c>
      <c r="H2556">
        <v>198</v>
      </c>
      <c r="I2556">
        <v>84</v>
      </c>
      <c r="J2556" s="8">
        <v>0.67200000000000004</v>
      </c>
      <c r="K2556">
        <v>24</v>
      </c>
      <c r="L2556">
        <v>39</v>
      </c>
      <c r="M2556">
        <v>167</v>
      </c>
      <c r="N2556" s="10">
        <v>674.89</v>
      </c>
      <c r="O2556" s="7">
        <v>5.6</v>
      </c>
      <c r="P2556" s="7">
        <v>27.3</v>
      </c>
      <c r="Q2556">
        <v>3</v>
      </c>
      <c r="R2556" t="s">
        <v>65</v>
      </c>
      <c r="S2556">
        <v>5</v>
      </c>
      <c r="T2556">
        <v>121</v>
      </c>
      <c r="U2556" s="11">
        <v>0.43388373911755823</v>
      </c>
      <c r="V2556" s="11">
        <v>-0.90096886790241903</v>
      </c>
      <c r="W2556" s="11">
        <v>0.88068285643014754</v>
      </c>
      <c r="X2556" s="11">
        <v>-0.47370635037968001</v>
      </c>
      <c r="Y2556">
        <v>0</v>
      </c>
      <c r="Z2556">
        <v>1</v>
      </c>
      <c r="AA2556" t="s">
        <v>71</v>
      </c>
      <c r="AB2556">
        <v>0</v>
      </c>
      <c r="AC2556">
        <v>0</v>
      </c>
      <c r="AD2556">
        <v>0</v>
      </c>
      <c r="AE2556">
        <v>0</v>
      </c>
    </row>
    <row r="2557" spans="1:31">
      <c r="A2557" s="6">
        <v>45778</v>
      </c>
      <c r="B2557" t="s">
        <v>41</v>
      </c>
      <c r="C2557" t="s">
        <v>42</v>
      </c>
      <c r="D2557" t="s">
        <v>43</v>
      </c>
      <c r="E2557" t="s">
        <v>44</v>
      </c>
      <c r="F2557">
        <v>85</v>
      </c>
      <c r="G2557">
        <v>210</v>
      </c>
      <c r="H2557">
        <v>141</v>
      </c>
      <c r="I2557">
        <v>62</v>
      </c>
      <c r="J2557" s="8">
        <v>0.72941176470588232</v>
      </c>
      <c r="K2557">
        <v>31</v>
      </c>
      <c r="L2557">
        <v>30</v>
      </c>
      <c r="M2557">
        <v>127</v>
      </c>
      <c r="N2557" s="10">
        <v>531.55999999999995</v>
      </c>
      <c r="O2557" s="7">
        <v>5.6</v>
      </c>
      <c r="P2557" s="7">
        <v>27.3</v>
      </c>
      <c r="Q2557">
        <v>3</v>
      </c>
      <c r="R2557" t="s">
        <v>65</v>
      </c>
      <c r="S2557">
        <v>5</v>
      </c>
      <c r="T2557">
        <v>121</v>
      </c>
      <c r="U2557" s="11">
        <v>0.43388373911755823</v>
      </c>
      <c r="V2557" s="11">
        <v>-0.90096886790241903</v>
      </c>
      <c r="W2557" s="11">
        <v>0.88068285643014754</v>
      </c>
      <c r="X2557" s="11">
        <v>-0.47370635037968001</v>
      </c>
      <c r="Y2557">
        <v>0</v>
      </c>
      <c r="Z2557">
        <v>1</v>
      </c>
      <c r="AA2557" t="s">
        <v>71</v>
      </c>
      <c r="AB2557">
        <v>0</v>
      </c>
      <c r="AC2557">
        <v>0</v>
      </c>
      <c r="AD2557">
        <v>0</v>
      </c>
      <c r="AE2557">
        <v>0</v>
      </c>
    </row>
    <row r="2558" spans="1:31">
      <c r="A2558" s="6">
        <v>45779</v>
      </c>
      <c r="B2558" t="s">
        <v>31</v>
      </c>
      <c r="C2558" t="s">
        <v>32</v>
      </c>
      <c r="D2558" t="s">
        <v>33</v>
      </c>
      <c r="E2558" t="s">
        <v>34</v>
      </c>
      <c r="F2558">
        <v>140</v>
      </c>
      <c r="G2558">
        <v>360</v>
      </c>
      <c r="H2558">
        <v>161</v>
      </c>
      <c r="I2558">
        <v>69</v>
      </c>
      <c r="J2558" s="8">
        <v>0.49285714285714288</v>
      </c>
      <c r="K2558">
        <v>43</v>
      </c>
      <c r="L2558">
        <v>26</v>
      </c>
      <c r="M2558">
        <v>133</v>
      </c>
      <c r="N2558" s="10">
        <v>417.68</v>
      </c>
      <c r="O2558" s="7">
        <v>3.6</v>
      </c>
      <c r="P2558" s="7">
        <v>28.8</v>
      </c>
      <c r="Q2558">
        <v>4</v>
      </c>
      <c r="R2558" t="s">
        <v>66</v>
      </c>
      <c r="S2558">
        <v>5</v>
      </c>
      <c r="T2558">
        <v>122</v>
      </c>
      <c r="U2558" s="11">
        <v>-0.43388373911755801</v>
      </c>
      <c r="V2558" s="11">
        <v>-0.90096886790241915</v>
      </c>
      <c r="W2558" s="11">
        <v>0.87240405680496125</v>
      </c>
      <c r="X2558" s="11">
        <v>-0.48878539428899265</v>
      </c>
      <c r="Y2558">
        <v>0</v>
      </c>
      <c r="Z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6">
        <v>45779</v>
      </c>
      <c r="B2559" t="s">
        <v>36</v>
      </c>
      <c r="C2559" t="s">
        <v>37</v>
      </c>
      <c r="D2559" t="s">
        <v>38</v>
      </c>
      <c r="E2559" t="s">
        <v>39</v>
      </c>
      <c r="F2559">
        <v>125</v>
      </c>
      <c r="G2559">
        <v>320</v>
      </c>
      <c r="H2559">
        <v>150</v>
      </c>
      <c r="I2559">
        <v>63</v>
      </c>
      <c r="J2559" s="8">
        <v>0.504</v>
      </c>
      <c r="K2559">
        <v>22</v>
      </c>
      <c r="L2559">
        <v>31</v>
      </c>
      <c r="M2559">
        <v>125</v>
      </c>
      <c r="N2559" s="10">
        <v>657.66</v>
      </c>
      <c r="O2559" s="7">
        <v>3.6</v>
      </c>
      <c r="P2559" s="7">
        <v>28.8</v>
      </c>
      <c r="Q2559">
        <v>4</v>
      </c>
      <c r="R2559" t="s">
        <v>66</v>
      </c>
      <c r="S2559">
        <v>5</v>
      </c>
      <c r="T2559">
        <v>122</v>
      </c>
      <c r="U2559" s="11">
        <v>-0.43388373911755801</v>
      </c>
      <c r="V2559" s="11">
        <v>-0.90096886790241915</v>
      </c>
      <c r="W2559" s="11">
        <v>0.87240405680496125</v>
      </c>
      <c r="X2559" s="11">
        <v>-0.48878539428899265</v>
      </c>
      <c r="Y2559">
        <v>0</v>
      </c>
      <c r="Z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6">
        <v>45779</v>
      </c>
      <c r="B2560" t="s">
        <v>41</v>
      </c>
      <c r="C2560" t="s">
        <v>42</v>
      </c>
      <c r="D2560" t="s">
        <v>43</v>
      </c>
      <c r="E2560" t="s">
        <v>44</v>
      </c>
      <c r="F2560">
        <v>85</v>
      </c>
      <c r="G2560">
        <v>210</v>
      </c>
      <c r="H2560">
        <v>104</v>
      </c>
      <c r="I2560">
        <v>46</v>
      </c>
      <c r="J2560" s="8">
        <v>0.54117647058823526</v>
      </c>
      <c r="K2560">
        <v>29</v>
      </c>
      <c r="L2560">
        <v>28</v>
      </c>
      <c r="M2560">
        <v>86</v>
      </c>
      <c r="N2560" s="10">
        <v>497.29</v>
      </c>
      <c r="O2560" s="7">
        <v>3.6</v>
      </c>
      <c r="P2560" s="7">
        <v>28.8</v>
      </c>
      <c r="Q2560">
        <v>4</v>
      </c>
      <c r="R2560" t="s">
        <v>66</v>
      </c>
      <c r="S2560">
        <v>5</v>
      </c>
      <c r="T2560">
        <v>122</v>
      </c>
      <c r="U2560" s="11">
        <v>-0.43388373911755801</v>
      </c>
      <c r="V2560" s="11">
        <v>-0.90096886790241915</v>
      </c>
      <c r="W2560" s="11">
        <v>0.87240405680496125</v>
      </c>
      <c r="X2560" s="11">
        <v>-0.48878539428899265</v>
      </c>
      <c r="Y2560">
        <v>0</v>
      </c>
      <c r="Z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6">
        <v>45780</v>
      </c>
      <c r="B2561" t="s">
        <v>31</v>
      </c>
      <c r="C2561" t="s">
        <v>32</v>
      </c>
      <c r="D2561" t="s">
        <v>33</v>
      </c>
      <c r="E2561" t="s">
        <v>34</v>
      </c>
      <c r="F2561">
        <v>140</v>
      </c>
      <c r="G2561">
        <v>360</v>
      </c>
      <c r="H2561">
        <v>205</v>
      </c>
      <c r="I2561">
        <v>87</v>
      </c>
      <c r="J2561" s="8">
        <v>0.62142857142857144</v>
      </c>
      <c r="K2561">
        <v>21</v>
      </c>
      <c r="L2561">
        <v>34</v>
      </c>
      <c r="M2561">
        <v>190</v>
      </c>
      <c r="N2561" s="10">
        <v>500.55</v>
      </c>
      <c r="O2561" s="7">
        <v>4.4000000000000004</v>
      </c>
      <c r="P2561" s="7">
        <v>28.5</v>
      </c>
      <c r="Q2561">
        <v>5</v>
      </c>
      <c r="R2561" t="s">
        <v>67</v>
      </c>
      <c r="S2561">
        <v>5</v>
      </c>
      <c r="T2561">
        <v>123</v>
      </c>
      <c r="U2561" s="11">
        <v>-0.97492791218182362</v>
      </c>
      <c r="V2561" s="11">
        <v>-0.22252093395631459</v>
      </c>
      <c r="W2561" s="11">
        <v>0.86386709878373491</v>
      </c>
      <c r="X2561" s="11">
        <v>-0.50371979873633399</v>
      </c>
      <c r="Y2561">
        <v>1</v>
      </c>
      <c r="Z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6">
        <v>45780</v>
      </c>
      <c r="B2562" t="s">
        <v>36</v>
      </c>
      <c r="C2562" t="s">
        <v>37</v>
      </c>
      <c r="D2562" t="s">
        <v>38</v>
      </c>
      <c r="E2562" t="s">
        <v>39</v>
      </c>
      <c r="F2562">
        <v>125</v>
      </c>
      <c r="G2562">
        <v>320</v>
      </c>
      <c r="H2562">
        <v>187</v>
      </c>
      <c r="I2562">
        <v>77</v>
      </c>
      <c r="J2562" s="8">
        <v>0.61599999999999999</v>
      </c>
      <c r="K2562">
        <v>49</v>
      </c>
      <c r="L2562">
        <v>43</v>
      </c>
      <c r="M2562">
        <v>156</v>
      </c>
      <c r="N2562" s="10">
        <v>676.07</v>
      </c>
      <c r="O2562" s="7">
        <v>4.4000000000000004</v>
      </c>
      <c r="P2562" s="7">
        <v>28.5</v>
      </c>
      <c r="Q2562">
        <v>5</v>
      </c>
      <c r="R2562" t="s">
        <v>67</v>
      </c>
      <c r="S2562">
        <v>5</v>
      </c>
      <c r="T2562">
        <v>123</v>
      </c>
      <c r="U2562" s="11">
        <v>-0.97492791218182362</v>
      </c>
      <c r="V2562" s="11">
        <v>-0.22252093395631459</v>
      </c>
      <c r="W2562" s="11">
        <v>0.86386709878373491</v>
      </c>
      <c r="X2562" s="11">
        <v>-0.50371979873633399</v>
      </c>
      <c r="Y2562">
        <v>1</v>
      </c>
      <c r="Z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6">
        <v>45780</v>
      </c>
      <c r="B2563" t="s">
        <v>41</v>
      </c>
      <c r="C2563" t="s">
        <v>42</v>
      </c>
      <c r="D2563" t="s">
        <v>43</v>
      </c>
      <c r="E2563" t="s">
        <v>44</v>
      </c>
      <c r="F2563">
        <v>85</v>
      </c>
      <c r="G2563">
        <v>210</v>
      </c>
      <c r="H2563">
        <v>144</v>
      </c>
      <c r="I2563">
        <v>62</v>
      </c>
      <c r="J2563" s="8">
        <v>0.72941176470588232</v>
      </c>
      <c r="K2563">
        <v>27</v>
      </c>
      <c r="L2563">
        <v>41</v>
      </c>
      <c r="M2563">
        <v>124</v>
      </c>
      <c r="N2563" s="10">
        <v>559.42999999999995</v>
      </c>
      <c r="O2563" s="7">
        <v>4.4000000000000004</v>
      </c>
      <c r="P2563" s="7">
        <v>28.5</v>
      </c>
      <c r="Q2563">
        <v>5</v>
      </c>
      <c r="R2563" t="s">
        <v>67</v>
      </c>
      <c r="S2563">
        <v>5</v>
      </c>
      <c r="T2563">
        <v>123</v>
      </c>
      <c r="U2563" s="11">
        <v>-0.97492791218182362</v>
      </c>
      <c r="V2563" s="11">
        <v>-0.22252093395631459</v>
      </c>
      <c r="W2563" s="11">
        <v>0.86386709878373491</v>
      </c>
      <c r="X2563" s="11">
        <v>-0.50371979873633399</v>
      </c>
      <c r="Y2563">
        <v>1</v>
      </c>
      <c r="Z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6">
        <v>45781</v>
      </c>
      <c r="B2564" t="s">
        <v>31</v>
      </c>
      <c r="C2564" t="s">
        <v>32</v>
      </c>
      <c r="D2564" t="s">
        <v>33</v>
      </c>
      <c r="E2564" t="s">
        <v>34</v>
      </c>
      <c r="F2564">
        <v>140</v>
      </c>
      <c r="G2564">
        <v>360</v>
      </c>
      <c r="H2564">
        <v>207</v>
      </c>
      <c r="I2564">
        <v>89</v>
      </c>
      <c r="J2564" s="8">
        <v>0.63571428571428568</v>
      </c>
      <c r="K2564">
        <v>46</v>
      </c>
      <c r="L2564">
        <v>28</v>
      </c>
      <c r="M2564">
        <v>166</v>
      </c>
      <c r="N2564" s="10">
        <v>464.85</v>
      </c>
      <c r="O2564" s="7">
        <v>13.8</v>
      </c>
      <c r="P2564" s="7">
        <v>26.2</v>
      </c>
      <c r="Q2564">
        <v>6</v>
      </c>
      <c r="R2564" t="s">
        <v>60</v>
      </c>
      <c r="S2564">
        <v>5</v>
      </c>
      <c r="T2564">
        <v>124</v>
      </c>
      <c r="U2564" s="11">
        <v>-0.78183148246802991</v>
      </c>
      <c r="V2564" s="11">
        <v>0.62348980185873337</v>
      </c>
      <c r="W2564" s="11">
        <v>0.85507450858969325</v>
      </c>
      <c r="X2564" s="11">
        <v>-0.51850514439115702</v>
      </c>
      <c r="Y2564">
        <v>1</v>
      </c>
      <c r="Z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6">
        <v>45781</v>
      </c>
      <c r="B2565" t="s">
        <v>36</v>
      </c>
      <c r="C2565" t="s">
        <v>37</v>
      </c>
      <c r="D2565" t="s">
        <v>38</v>
      </c>
      <c r="E2565" t="s">
        <v>39</v>
      </c>
      <c r="F2565">
        <v>125</v>
      </c>
      <c r="G2565">
        <v>320</v>
      </c>
      <c r="H2565">
        <v>187</v>
      </c>
      <c r="I2565">
        <v>79</v>
      </c>
      <c r="J2565" s="8">
        <v>0.63200000000000001</v>
      </c>
      <c r="K2565">
        <v>26</v>
      </c>
      <c r="L2565">
        <v>27</v>
      </c>
      <c r="M2565">
        <v>164</v>
      </c>
      <c r="N2565" s="10">
        <v>722.99</v>
      </c>
      <c r="O2565" s="7">
        <v>13.8</v>
      </c>
      <c r="P2565" s="7">
        <v>26.2</v>
      </c>
      <c r="Q2565">
        <v>6</v>
      </c>
      <c r="R2565" t="s">
        <v>60</v>
      </c>
      <c r="S2565">
        <v>5</v>
      </c>
      <c r="T2565">
        <v>124</v>
      </c>
      <c r="U2565" s="11">
        <v>-0.78183148246802991</v>
      </c>
      <c r="V2565" s="11">
        <v>0.62348980185873337</v>
      </c>
      <c r="W2565" s="11">
        <v>0.85507450858969325</v>
      </c>
      <c r="X2565" s="11">
        <v>-0.51850514439115702</v>
      </c>
      <c r="Y2565">
        <v>1</v>
      </c>
      <c r="Z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6">
        <v>45781</v>
      </c>
      <c r="B2566" t="s">
        <v>41</v>
      </c>
      <c r="C2566" t="s">
        <v>42</v>
      </c>
      <c r="D2566" t="s">
        <v>43</v>
      </c>
      <c r="E2566" t="s">
        <v>44</v>
      </c>
      <c r="F2566">
        <v>85</v>
      </c>
      <c r="G2566">
        <v>210</v>
      </c>
      <c r="H2566">
        <v>142</v>
      </c>
      <c r="I2566">
        <v>62</v>
      </c>
      <c r="J2566" s="8">
        <v>0.72941176470588232</v>
      </c>
      <c r="K2566">
        <v>40</v>
      </c>
      <c r="L2566">
        <v>20</v>
      </c>
      <c r="M2566">
        <v>126</v>
      </c>
      <c r="N2566" s="10">
        <v>547.58000000000004</v>
      </c>
      <c r="O2566" s="7">
        <v>13.8</v>
      </c>
      <c r="P2566" s="7">
        <v>26.2</v>
      </c>
      <c r="Q2566">
        <v>6</v>
      </c>
      <c r="R2566" t="s">
        <v>60</v>
      </c>
      <c r="S2566">
        <v>5</v>
      </c>
      <c r="T2566">
        <v>124</v>
      </c>
      <c r="U2566" s="11">
        <v>-0.78183148246802991</v>
      </c>
      <c r="V2566" s="11">
        <v>0.62348980185873337</v>
      </c>
      <c r="W2566" s="11">
        <v>0.85507450858969325</v>
      </c>
      <c r="X2566" s="11">
        <v>-0.51850514439115702</v>
      </c>
      <c r="Y2566">
        <v>1</v>
      </c>
      <c r="Z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6">
        <v>45782</v>
      </c>
      <c r="B2567" t="s">
        <v>31</v>
      </c>
      <c r="C2567" t="s">
        <v>32</v>
      </c>
      <c r="D2567" t="s">
        <v>33</v>
      </c>
      <c r="E2567" t="s">
        <v>34</v>
      </c>
      <c r="F2567">
        <v>140</v>
      </c>
      <c r="G2567">
        <v>360</v>
      </c>
      <c r="H2567">
        <v>176</v>
      </c>
      <c r="I2567">
        <v>73</v>
      </c>
      <c r="J2567" s="8">
        <v>0.52142857142857146</v>
      </c>
      <c r="K2567">
        <v>44</v>
      </c>
      <c r="L2567">
        <v>17</v>
      </c>
      <c r="M2567">
        <v>152</v>
      </c>
      <c r="N2567" s="10">
        <v>401.68</v>
      </c>
      <c r="O2567" s="7">
        <v>16.8</v>
      </c>
      <c r="P2567" s="7">
        <v>27</v>
      </c>
      <c r="Q2567">
        <v>0</v>
      </c>
      <c r="R2567" t="s">
        <v>62</v>
      </c>
      <c r="S2567">
        <v>5</v>
      </c>
      <c r="T2567">
        <v>125</v>
      </c>
      <c r="U2567" s="11">
        <v>0</v>
      </c>
      <c r="V2567" s="11">
        <v>1</v>
      </c>
      <c r="W2567" s="11">
        <v>0.84602888809173393</v>
      </c>
      <c r="X2567" s="11">
        <v>-0.53313705603180905</v>
      </c>
      <c r="Y2567">
        <v>0</v>
      </c>
      <c r="Z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6">
        <v>45782</v>
      </c>
      <c r="B2568" t="s">
        <v>36</v>
      </c>
      <c r="C2568" t="s">
        <v>37</v>
      </c>
      <c r="D2568" t="s">
        <v>38</v>
      </c>
      <c r="E2568" t="s">
        <v>39</v>
      </c>
      <c r="F2568">
        <v>125</v>
      </c>
      <c r="G2568">
        <v>320</v>
      </c>
      <c r="H2568">
        <v>155</v>
      </c>
      <c r="I2568">
        <v>68</v>
      </c>
      <c r="J2568" s="8">
        <v>0.54400000000000004</v>
      </c>
      <c r="K2568">
        <v>38</v>
      </c>
      <c r="L2568">
        <v>24</v>
      </c>
      <c r="M2568">
        <v>144</v>
      </c>
      <c r="N2568" s="10">
        <v>614.15</v>
      </c>
      <c r="O2568" s="7">
        <v>16.8</v>
      </c>
      <c r="P2568" s="7">
        <v>27</v>
      </c>
      <c r="Q2568">
        <v>0</v>
      </c>
      <c r="R2568" t="s">
        <v>62</v>
      </c>
      <c r="S2568">
        <v>5</v>
      </c>
      <c r="T2568">
        <v>125</v>
      </c>
      <c r="U2568" s="11">
        <v>0</v>
      </c>
      <c r="V2568" s="11">
        <v>1</v>
      </c>
      <c r="W2568" s="11">
        <v>0.84602888809173393</v>
      </c>
      <c r="X2568" s="11">
        <v>-0.53313705603180905</v>
      </c>
      <c r="Y2568">
        <v>0</v>
      </c>
      <c r="Z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6">
        <v>45782</v>
      </c>
      <c r="B2569" t="s">
        <v>41</v>
      </c>
      <c r="C2569" t="s">
        <v>42</v>
      </c>
      <c r="D2569" t="s">
        <v>43</v>
      </c>
      <c r="E2569" t="s">
        <v>44</v>
      </c>
      <c r="F2569">
        <v>85</v>
      </c>
      <c r="G2569">
        <v>210</v>
      </c>
      <c r="H2569">
        <v>104</v>
      </c>
      <c r="I2569">
        <v>45</v>
      </c>
      <c r="J2569" s="8">
        <v>0.52941176470588236</v>
      </c>
      <c r="K2569">
        <v>17</v>
      </c>
      <c r="L2569">
        <v>19</v>
      </c>
      <c r="M2569">
        <v>84</v>
      </c>
      <c r="N2569" s="10">
        <v>549.79999999999995</v>
      </c>
      <c r="O2569" s="7">
        <v>16.8</v>
      </c>
      <c r="P2569" s="7">
        <v>27</v>
      </c>
      <c r="Q2569">
        <v>0</v>
      </c>
      <c r="R2569" t="s">
        <v>62</v>
      </c>
      <c r="S2569">
        <v>5</v>
      </c>
      <c r="T2569">
        <v>125</v>
      </c>
      <c r="U2569" s="11">
        <v>0</v>
      </c>
      <c r="V2569" s="11">
        <v>1</v>
      </c>
      <c r="W2569" s="11">
        <v>0.84602888809173393</v>
      </c>
      <c r="X2569" s="11">
        <v>-0.53313705603180905</v>
      </c>
      <c r="Y2569">
        <v>0</v>
      </c>
      <c r="Z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6">
        <v>45783</v>
      </c>
      <c r="B2570" t="s">
        <v>31</v>
      </c>
      <c r="C2570" t="s">
        <v>32</v>
      </c>
      <c r="D2570" t="s">
        <v>33</v>
      </c>
      <c r="E2570" t="s">
        <v>34</v>
      </c>
      <c r="F2570">
        <v>140</v>
      </c>
      <c r="G2570">
        <v>360</v>
      </c>
      <c r="H2570">
        <v>170</v>
      </c>
      <c r="I2570">
        <v>73</v>
      </c>
      <c r="J2570" s="8">
        <v>0.52142857142857146</v>
      </c>
      <c r="K2570">
        <v>23</v>
      </c>
      <c r="L2570">
        <v>46</v>
      </c>
      <c r="M2570">
        <v>145</v>
      </c>
      <c r="N2570" s="10">
        <v>444.21</v>
      </c>
      <c r="O2570" s="7">
        <v>23.1</v>
      </c>
      <c r="P2570" s="7">
        <v>26.7</v>
      </c>
      <c r="Q2570">
        <v>1</v>
      </c>
      <c r="R2570" t="s">
        <v>63</v>
      </c>
      <c r="S2570">
        <v>5</v>
      </c>
      <c r="T2570">
        <v>126</v>
      </c>
      <c r="U2570" s="11">
        <v>0.7818314824680298</v>
      </c>
      <c r="V2570" s="11">
        <v>0.62348980185873359</v>
      </c>
      <c r="W2570" s="11">
        <v>0.83673291403449213</v>
      </c>
      <c r="X2570" s="11">
        <v>-0.54761120384023121</v>
      </c>
      <c r="Y2570">
        <v>0</v>
      </c>
      <c r="Z2570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s="6">
        <v>45783</v>
      </c>
      <c r="B2571" t="s">
        <v>36</v>
      </c>
      <c r="C2571" t="s">
        <v>37</v>
      </c>
      <c r="D2571" t="s">
        <v>38</v>
      </c>
      <c r="E2571" t="s">
        <v>39</v>
      </c>
      <c r="F2571">
        <v>125</v>
      </c>
      <c r="G2571">
        <v>320</v>
      </c>
      <c r="H2571">
        <v>163</v>
      </c>
      <c r="I2571">
        <v>66</v>
      </c>
      <c r="J2571" s="8">
        <v>0.52800000000000002</v>
      </c>
      <c r="K2571">
        <v>35</v>
      </c>
      <c r="L2571">
        <v>27</v>
      </c>
      <c r="M2571">
        <v>149</v>
      </c>
      <c r="N2571" s="10">
        <v>663.57</v>
      </c>
      <c r="O2571" s="7">
        <v>23.1</v>
      </c>
      <c r="P2571" s="7">
        <v>26.7</v>
      </c>
      <c r="Q2571">
        <v>1</v>
      </c>
      <c r="R2571" t="s">
        <v>63</v>
      </c>
      <c r="S2571">
        <v>5</v>
      </c>
      <c r="T2571">
        <v>126</v>
      </c>
      <c r="U2571" s="11">
        <v>0.7818314824680298</v>
      </c>
      <c r="V2571" s="11">
        <v>0.62348980185873359</v>
      </c>
      <c r="W2571" s="11">
        <v>0.83673291403449213</v>
      </c>
      <c r="X2571" s="11">
        <v>-0.54761120384023121</v>
      </c>
      <c r="Y2571">
        <v>0</v>
      </c>
      <c r="Z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6">
        <v>45783</v>
      </c>
      <c r="B2572" t="s">
        <v>41</v>
      </c>
      <c r="C2572" t="s">
        <v>42</v>
      </c>
      <c r="D2572" t="s">
        <v>43</v>
      </c>
      <c r="E2572" t="s">
        <v>44</v>
      </c>
      <c r="F2572">
        <v>85</v>
      </c>
      <c r="G2572">
        <v>210</v>
      </c>
      <c r="H2572">
        <v>116</v>
      </c>
      <c r="I2572">
        <v>53</v>
      </c>
      <c r="J2572" s="8">
        <v>0.62352941176470589</v>
      </c>
      <c r="K2572">
        <v>21</v>
      </c>
      <c r="L2572">
        <v>16</v>
      </c>
      <c r="M2572">
        <v>107</v>
      </c>
      <c r="N2572" s="10">
        <v>487.52</v>
      </c>
      <c r="O2572" s="7">
        <v>23.1</v>
      </c>
      <c r="P2572" s="7">
        <v>26.7</v>
      </c>
      <c r="Q2572">
        <v>1</v>
      </c>
      <c r="R2572" t="s">
        <v>63</v>
      </c>
      <c r="S2572">
        <v>5</v>
      </c>
      <c r="T2572">
        <v>126</v>
      </c>
      <c r="U2572" s="11">
        <v>0.7818314824680298</v>
      </c>
      <c r="V2572" s="11">
        <v>0.62348980185873359</v>
      </c>
      <c r="W2572" s="11">
        <v>0.83673291403449213</v>
      </c>
      <c r="X2572" s="11">
        <v>-0.54761120384023121</v>
      </c>
      <c r="Y2572">
        <v>0</v>
      </c>
      <c r="Z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6">
        <v>45784</v>
      </c>
      <c r="B2573" t="s">
        <v>31</v>
      </c>
      <c r="C2573" t="s">
        <v>32</v>
      </c>
      <c r="D2573" t="s">
        <v>33</v>
      </c>
      <c r="E2573" t="s">
        <v>34</v>
      </c>
      <c r="F2573">
        <v>140</v>
      </c>
      <c r="G2573">
        <v>360</v>
      </c>
      <c r="H2573">
        <v>161</v>
      </c>
      <c r="I2573">
        <v>68</v>
      </c>
      <c r="J2573" s="8">
        <v>0.48571428571428571</v>
      </c>
      <c r="K2573">
        <v>25</v>
      </c>
      <c r="L2573">
        <v>24</v>
      </c>
      <c r="M2573">
        <v>131</v>
      </c>
      <c r="N2573" s="10">
        <v>401.04</v>
      </c>
      <c r="O2573" s="7">
        <v>21.1</v>
      </c>
      <c r="P2573" s="7">
        <v>26</v>
      </c>
      <c r="Q2573">
        <v>2</v>
      </c>
      <c r="R2573" t="s">
        <v>64</v>
      </c>
      <c r="S2573">
        <v>5</v>
      </c>
      <c r="T2573">
        <v>127</v>
      </c>
      <c r="U2573" s="11">
        <v>0.97492791218182362</v>
      </c>
      <c r="V2573" s="11">
        <v>-0.22252093395631434</v>
      </c>
      <c r="W2573" s="11">
        <v>0.82718933724624966</v>
      </c>
      <c r="X2573" s="11">
        <v>-0.56192330468321949</v>
      </c>
      <c r="Y2573">
        <v>0</v>
      </c>
      <c r="Z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6">
        <v>45784</v>
      </c>
      <c r="B2574" t="s">
        <v>36</v>
      </c>
      <c r="C2574" t="s">
        <v>37</v>
      </c>
      <c r="D2574" t="s">
        <v>38</v>
      </c>
      <c r="E2574" t="s">
        <v>39</v>
      </c>
      <c r="F2574">
        <v>125</v>
      </c>
      <c r="G2574">
        <v>320</v>
      </c>
      <c r="H2574">
        <v>155</v>
      </c>
      <c r="I2574">
        <v>65</v>
      </c>
      <c r="J2574" s="8">
        <v>0.52</v>
      </c>
      <c r="K2574">
        <v>22</v>
      </c>
      <c r="L2574">
        <v>35</v>
      </c>
      <c r="M2574">
        <v>133</v>
      </c>
      <c r="N2574" s="10">
        <v>624.47</v>
      </c>
      <c r="O2574" s="7">
        <v>21.1</v>
      </c>
      <c r="P2574" s="7">
        <v>26</v>
      </c>
      <c r="Q2574">
        <v>2</v>
      </c>
      <c r="R2574" t="s">
        <v>64</v>
      </c>
      <c r="S2574">
        <v>5</v>
      </c>
      <c r="T2574">
        <v>127</v>
      </c>
      <c r="U2574" s="11">
        <v>0.97492791218182362</v>
      </c>
      <c r="V2574" s="11">
        <v>-0.22252093395631434</v>
      </c>
      <c r="W2574" s="11">
        <v>0.82718933724624966</v>
      </c>
      <c r="X2574" s="11">
        <v>-0.56192330468321949</v>
      </c>
      <c r="Y2574">
        <v>0</v>
      </c>
      <c r="Z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6">
        <v>45784</v>
      </c>
      <c r="B2575" t="s">
        <v>41</v>
      </c>
      <c r="C2575" t="s">
        <v>42</v>
      </c>
      <c r="D2575" t="s">
        <v>43</v>
      </c>
      <c r="E2575" t="s">
        <v>44</v>
      </c>
      <c r="F2575">
        <v>85</v>
      </c>
      <c r="G2575">
        <v>210</v>
      </c>
      <c r="H2575">
        <v>116</v>
      </c>
      <c r="I2575">
        <v>51</v>
      </c>
      <c r="J2575" s="8">
        <v>0.6</v>
      </c>
      <c r="K2575">
        <v>17</v>
      </c>
      <c r="L2575">
        <v>23</v>
      </c>
      <c r="M2575">
        <v>108</v>
      </c>
      <c r="N2575" s="10">
        <v>493.5</v>
      </c>
      <c r="O2575" s="7">
        <v>21.1</v>
      </c>
      <c r="P2575" s="7">
        <v>26</v>
      </c>
      <c r="Q2575">
        <v>2</v>
      </c>
      <c r="R2575" t="s">
        <v>64</v>
      </c>
      <c r="S2575">
        <v>5</v>
      </c>
      <c r="T2575">
        <v>127</v>
      </c>
      <c r="U2575" s="11">
        <v>0.97492791218182362</v>
      </c>
      <c r="V2575" s="11">
        <v>-0.22252093395631434</v>
      </c>
      <c r="W2575" s="11">
        <v>0.82718933724624966</v>
      </c>
      <c r="X2575" s="11">
        <v>-0.56192330468321949</v>
      </c>
      <c r="Y2575">
        <v>0</v>
      </c>
      <c r="Z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6">
        <v>45785</v>
      </c>
      <c r="B2576" t="s">
        <v>31</v>
      </c>
      <c r="C2576" t="s">
        <v>32</v>
      </c>
      <c r="D2576" t="s">
        <v>33</v>
      </c>
      <c r="E2576" t="s">
        <v>34</v>
      </c>
      <c r="F2576">
        <v>140</v>
      </c>
      <c r="G2576">
        <v>360</v>
      </c>
      <c r="H2576">
        <v>188</v>
      </c>
      <c r="I2576">
        <v>81</v>
      </c>
      <c r="J2576" s="8">
        <v>0.57857142857142863</v>
      </c>
      <c r="K2576">
        <v>45</v>
      </c>
      <c r="L2576">
        <v>37</v>
      </c>
      <c r="M2576">
        <v>171</v>
      </c>
      <c r="N2576" s="10">
        <v>413.82</v>
      </c>
      <c r="O2576" s="7">
        <v>23</v>
      </c>
      <c r="P2576" s="7">
        <v>28.2</v>
      </c>
      <c r="Q2576">
        <v>3</v>
      </c>
      <c r="R2576" t="s">
        <v>65</v>
      </c>
      <c r="S2576">
        <v>5</v>
      </c>
      <c r="T2576">
        <v>128</v>
      </c>
      <c r="U2576" s="11">
        <v>0.43388373911755823</v>
      </c>
      <c r="V2576" s="11">
        <v>-0.90096886790241903</v>
      </c>
      <c r="W2576" s="11">
        <v>0.81740098182491894</v>
      </c>
      <c r="X2576" s="11">
        <v>-0.57606912337987581</v>
      </c>
      <c r="Y2576">
        <v>0</v>
      </c>
      <c r="Z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6">
        <v>45785</v>
      </c>
      <c r="B2577" t="s">
        <v>36</v>
      </c>
      <c r="C2577" t="s">
        <v>37</v>
      </c>
      <c r="D2577" t="s">
        <v>38</v>
      </c>
      <c r="E2577" t="s">
        <v>39</v>
      </c>
      <c r="F2577">
        <v>125</v>
      </c>
      <c r="G2577">
        <v>320</v>
      </c>
      <c r="H2577">
        <v>157</v>
      </c>
      <c r="I2577">
        <v>65</v>
      </c>
      <c r="J2577" s="8">
        <v>0.52</v>
      </c>
      <c r="K2577">
        <v>19</v>
      </c>
      <c r="L2577">
        <v>26</v>
      </c>
      <c r="M2577">
        <v>136</v>
      </c>
      <c r="N2577" s="10">
        <v>590.23</v>
      </c>
      <c r="O2577" s="7">
        <v>23</v>
      </c>
      <c r="P2577" s="7">
        <v>28.2</v>
      </c>
      <c r="Q2577">
        <v>3</v>
      </c>
      <c r="R2577" t="s">
        <v>65</v>
      </c>
      <c r="S2577">
        <v>5</v>
      </c>
      <c r="T2577">
        <v>128</v>
      </c>
      <c r="U2577" s="11">
        <v>0.43388373911755823</v>
      </c>
      <c r="V2577" s="11">
        <v>-0.90096886790241903</v>
      </c>
      <c r="W2577" s="11">
        <v>0.81740098182491894</v>
      </c>
      <c r="X2577" s="11">
        <v>-0.57606912337987581</v>
      </c>
      <c r="Y2577">
        <v>0</v>
      </c>
      <c r="Z2577">
        <v>0</v>
      </c>
      <c r="AB2577">
        <v>0</v>
      </c>
      <c r="AC2577">
        <v>0</v>
      </c>
      <c r="AD2577">
        <v>0</v>
      </c>
      <c r="AE2577">
        <v>0</v>
      </c>
    </row>
    <row r="2578" spans="1:31">
      <c r="A2578" s="6">
        <v>45785</v>
      </c>
      <c r="B2578" t="s">
        <v>41</v>
      </c>
      <c r="C2578" t="s">
        <v>42</v>
      </c>
      <c r="D2578" t="s">
        <v>43</v>
      </c>
      <c r="E2578" t="s">
        <v>44</v>
      </c>
      <c r="F2578">
        <v>85</v>
      </c>
      <c r="G2578">
        <v>210</v>
      </c>
      <c r="H2578">
        <v>108</v>
      </c>
      <c r="I2578">
        <v>50</v>
      </c>
      <c r="J2578" s="8">
        <v>0.58823529411764708</v>
      </c>
      <c r="K2578">
        <v>28</v>
      </c>
      <c r="L2578">
        <v>11</v>
      </c>
      <c r="M2578">
        <v>98</v>
      </c>
      <c r="N2578" s="10">
        <v>552.57000000000005</v>
      </c>
      <c r="O2578" s="7">
        <v>23</v>
      </c>
      <c r="P2578" s="7">
        <v>28.2</v>
      </c>
      <c r="Q2578">
        <v>3</v>
      </c>
      <c r="R2578" t="s">
        <v>65</v>
      </c>
      <c r="S2578">
        <v>5</v>
      </c>
      <c r="T2578">
        <v>128</v>
      </c>
      <c r="U2578" s="11">
        <v>0.43388373911755823</v>
      </c>
      <c r="V2578" s="11">
        <v>-0.90096886790241903</v>
      </c>
      <c r="W2578" s="11">
        <v>0.81740098182491894</v>
      </c>
      <c r="X2578" s="11">
        <v>-0.57606912337987581</v>
      </c>
      <c r="Y2578">
        <v>0</v>
      </c>
      <c r="Z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6">
        <v>45786</v>
      </c>
      <c r="B2579" t="s">
        <v>31</v>
      </c>
      <c r="C2579" t="s">
        <v>32</v>
      </c>
      <c r="D2579" t="s">
        <v>33</v>
      </c>
      <c r="E2579" t="s">
        <v>34</v>
      </c>
      <c r="F2579">
        <v>140</v>
      </c>
      <c r="G2579">
        <v>360</v>
      </c>
      <c r="H2579">
        <v>183</v>
      </c>
      <c r="I2579">
        <v>79</v>
      </c>
      <c r="J2579" s="8">
        <v>0.56428571428571428</v>
      </c>
      <c r="K2579">
        <v>39</v>
      </c>
      <c r="L2579">
        <v>13</v>
      </c>
      <c r="M2579">
        <v>147</v>
      </c>
      <c r="N2579" s="10">
        <v>455.4</v>
      </c>
      <c r="O2579" s="7">
        <v>0</v>
      </c>
      <c r="P2579" s="7">
        <v>27</v>
      </c>
      <c r="Q2579">
        <v>4</v>
      </c>
      <c r="R2579" t="s">
        <v>66</v>
      </c>
      <c r="S2579">
        <v>5</v>
      </c>
      <c r="T2579">
        <v>129</v>
      </c>
      <c r="U2579" s="11">
        <v>-0.43388373911755801</v>
      </c>
      <c r="V2579" s="11">
        <v>-0.90096886790241915</v>
      </c>
      <c r="W2579" s="11">
        <v>0.80737074430234923</v>
      </c>
      <c r="X2579" s="11">
        <v>-0.5900444739548627</v>
      </c>
      <c r="Y2579">
        <v>0</v>
      </c>
      <c r="Z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6">
        <v>45786</v>
      </c>
      <c r="B2580" t="s">
        <v>36</v>
      </c>
      <c r="C2580" t="s">
        <v>37</v>
      </c>
      <c r="D2580" t="s">
        <v>38</v>
      </c>
      <c r="E2580" t="s">
        <v>39</v>
      </c>
      <c r="F2580">
        <v>125</v>
      </c>
      <c r="G2580">
        <v>320</v>
      </c>
      <c r="H2580">
        <v>167</v>
      </c>
      <c r="I2580">
        <v>69</v>
      </c>
      <c r="J2580" s="8">
        <v>0.55200000000000005</v>
      </c>
      <c r="K2580">
        <v>46</v>
      </c>
      <c r="L2580">
        <v>37</v>
      </c>
      <c r="M2580">
        <v>144</v>
      </c>
      <c r="N2580" s="10">
        <v>563.55999999999995</v>
      </c>
      <c r="O2580" s="7">
        <v>0</v>
      </c>
      <c r="P2580" s="7">
        <v>27</v>
      </c>
      <c r="Q2580">
        <v>4</v>
      </c>
      <c r="R2580" t="s">
        <v>66</v>
      </c>
      <c r="S2580">
        <v>5</v>
      </c>
      <c r="T2580">
        <v>129</v>
      </c>
      <c r="U2580" s="11">
        <v>-0.43388373911755801</v>
      </c>
      <c r="V2580" s="11">
        <v>-0.90096886790241915</v>
      </c>
      <c r="W2580" s="11">
        <v>0.80737074430234923</v>
      </c>
      <c r="X2580" s="11">
        <v>-0.5900444739548627</v>
      </c>
      <c r="Y2580">
        <v>0</v>
      </c>
      <c r="Z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6">
        <v>45786</v>
      </c>
      <c r="B2581" t="s">
        <v>41</v>
      </c>
      <c r="C2581" t="s">
        <v>42</v>
      </c>
      <c r="D2581" t="s">
        <v>43</v>
      </c>
      <c r="E2581" t="s">
        <v>44</v>
      </c>
      <c r="F2581">
        <v>85</v>
      </c>
      <c r="G2581">
        <v>210</v>
      </c>
      <c r="H2581">
        <v>118</v>
      </c>
      <c r="I2581">
        <v>56</v>
      </c>
      <c r="J2581" s="8">
        <v>0.6588235294117647</v>
      </c>
      <c r="K2581">
        <v>26</v>
      </c>
      <c r="L2581">
        <v>16</v>
      </c>
      <c r="M2581">
        <v>97</v>
      </c>
      <c r="N2581" s="10">
        <v>535.64</v>
      </c>
      <c r="O2581" s="7">
        <v>0</v>
      </c>
      <c r="P2581" s="7">
        <v>27</v>
      </c>
      <c r="Q2581">
        <v>4</v>
      </c>
      <c r="R2581" t="s">
        <v>66</v>
      </c>
      <c r="S2581">
        <v>5</v>
      </c>
      <c r="T2581">
        <v>129</v>
      </c>
      <c r="U2581" s="11">
        <v>-0.43388373911755801</v>
      </c>
      <c r="V2581" s="11">
        <v>-0.90096886790241915</v>
      </c>
      <c r="W2581" s="11">
        <v>0.80737074430234923</v>
      </c>
      <c r="X2581" s="11">
        <v>-0.5900444739548627</v>
      </c>
      <c r="Y2581">
        <v>0</v>
      </c>
      <c r="Z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6">
        <v>45787</v>
      </c>
      <c r="B2582" t="s">
        <v>31</v>
      </c>
      <c r="C2582" t="s">
        <v>32</v>
      </c>
      <c r="D2582" t="s">
        <v>33</v>
      </c>
      <c r="E2582" t="s">
        <v>34</v>
      </c>
      <c r="F2582">
        <v>140</v>
      </c>
      <c r="G2582">
        <v>360</v>
      </c>
      <c r="H2582">
        <v>199</v>
      </c>
      <c r="I2582">
        <v>84</v>
      </c>
      <c r="J2582" s="8">
        <v>0.6</v>
      </c>
      <c r="K2582">
        <v>38</v>
      </c>
      <c r="L2582">
        <v>32</v>
      </c>
      <c r="M2582">
        <v>162</v>
      </c>
      <c r="N2582" s="10">
        <v>436.28</v>
      </c>
      <c r="O2582" s="7">
        <v>2.1</v>
      </c>
      <c r="P2582" s="7">
        <v>27.8</v>
      </c>
      <c r="Q2582">
        <v>5</v>
      </c>
      <c r="R2582" t="s">
        <v>67</v>
      </c>
      <c r="S2582">
        <v>5</v>
      </c>
      <c r="T2582">
        <v>130</v>
      </c>
      <c r="U2582" s="11">
        <v>-0.97492791218182362</v>
      </c>
      <c r="V2582" s="11">
        <v>-0.22252093395631459</v>
      </c>
      <c r="W2582" s="11">
        <v>0.79710159278719428</v>
      </c>
      <c r="X2582" s="11">
        <v>-0.60384522087710346</v>
      </c>
      <c r="Y2582">
        <v>1</v>
      </c>
      <c r="Z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6">
        <v>45787</v>
      </c>
      <c r="B2583" t="s">
        <v>36</v>
      </c>
      <c r="C2583" t="s">
        <v>37</v>
      </c>
      <c r="D2583" t="s">
        <v>38</v>
      </c>
      <c r="E2583" t="s">
        <v>39</v>
      </c>
      <c r="F2583">
        <v>125</v>
      </c>
      <c r="G2583">
        <v>320</v>
      </c>
      <c r="H2583">
        <v>205</v>
      </c>
      <c r="I2583">
        <v>85</v>
      </c>
      <c r="J2583" s="8">
        <v>0.68</v>
      </c>
      <c r="K2583">
        <v>53</v>
      </c>
      <c r="L2583">
        <v>45</v>
      </c>
      <c r="M2583">
        <v>191</v>
      </c>
      <c r="N2583" s="10">
        <v>659.06</v>
      </c>
      <c r="O2583" s="7">
        <v>2.1</v>
      </c>
      <c r="P2583" s="7">
        <v>27.8</v>
      </c>
      <c r="Q2583">
        <v>5</v>
      </c>
      <c r="R2583" t="s">
        <v>67</v>
      </c>
      <c r="S2583">
        <v>5</v>
      </c>
      <c r="T2583">
        <v>130</v>
      </c>
      <c r="U2583" s="11">
        <v>-0.97492791218182362</v>
      </c>
      <c r="V2583" s="11">
        <v>-0.22252093395631459</v>
      </c>
      <c r="W2583" s="11">
        <v>0.79710159278719428</v>
      </c>
      <c r="X2583" s="11">
        <v>-0.60384522087710346</v>
      </c>
      <c r="Y2583">
        <v>1</v>
      </c>
      <c r="Z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6">
        <v>45787</v>
      </c>
      <c r="B2584" t="s">
        <v>41</v>
      </c>
      <c r="C2584" t="s">
        <v>42</v>
      </c>
      <c r="D2584" t="s">
        <v>43</v>
      </c>
      <c r="E2584" t="s">
        <v>44</v>
      </c>
      <c r="F2584">
        <v>85</v>
      </c>
      <c r="G2584">
        <v>210</v>
      </c>
      <c r="H2584">
        <v>138</v>
      </c>
      <c r="I2584">
        <v>62</v>
      </c>
      <c r="J2584" s="8">
        <v>0.72941176470588232</v>
      </c>
      <c r="K2584">
        <v>21</v>
      </c>
      <c r="L2584">
        <v>38</v>
      </c>
      <c r="M2584">
        <v>117</v>
      </c>
      <c r="N2584" s="10">
        <v>598.71</v>
      </c>
      <c r="O2584" s="7">
        <v>2.1</v>
      </c>
      <c r="P2584" s="7">
        <v>27.8</v>
      </c>
      <c r="Q2584">
        <v>5</v>
      </c>
      <c r="R2584" t="s">
        <v>67</v>
      </c>
      <c r="S2584">
        <v>5</v>
      </c>
      <c r="T2584">
        <v>130</v>
      </c>
      <c r="U2584" s="11">
        <v>-0.97492791218182362</v>
      </c>
      <c r="V2584" s="11">
        <v>-0.22252093395631459</v>
      </c>
      <c r="W2584" s="11">
        <v>0.79710159278719428</v>
      </c>
      <c r="X2584" s="11">
        <v>-0.60384522087710346</v>
      </c>
      <c r="Y2584">
        <v>1</v>
      </c>
      <c r="Z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6">
        <v>45788</v>
      </c>
      <c r="B2585" t="s">
        <v>31</v>
      </c>
      <c r="C2585" t="s">
        <v>32</v>
      </c>
      <c r="D2585" t="s">
        <v>33</v>
      </c>
      <c r="E2585" t="s">
        <v>34</v>
      </c>
      <c r="F2585">
        <v>140</v>
      </c>
      <c r="G2585">
        <v>360</v>
      </c>
      <c r="H2585">
        <v>224</v>
      </c>
      <c r="I2585">
        <v>93</v>
      </c>
      <c r="J2585" s="8">
        <v>0.66428571428571426</v>
      </c>
      <c r="K2585">
        <v>58</v>
      </c>
      <c r="L2585">
        <v>25</v>
      </c>
      <c r="M2585">
        <v>189</v>
      </c>
      <c r="N2585" s="10">
        <v>469.91</v>
      </c>
      <c r="O2585" s="7">
        <v>18.3</v>
      </c>
      <c r="P2585" s="7">
        <v>27.2</v>
      </c>
      <c r="Q2585">
        <v>6</v>
      </c>
      <c r="R2585" t="s">
        <v>60</v>
      </c>
      <c r="S2585">
        <v>5</v>
      </c>
      <c r="T2585">
        <v>131</v>
      </c>
      <c r="U2585" s="11">
        <v>-0.78183148246802991</v>
      </c>
      <c r="V2585" s="11">
        <v>0.62348980185873337</v>
      </c>
      <c r="W2585" s="11">
        <v>0.78659656608660211</v>
      </c>
      <c r="X2585" s="11">
        <v>-0.61746728028355136</v>
      </c>
      <c r="Y2585">
        <v>1</v>
      </c>
      <c r="Z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6">
        <v>45788</v>
      </c>
      <c r="B2586" t="s">
        <v>36</v>
      </c>
      <c r="C2586" t="s">
        <v>37</v>
      </c>
      <c r="D2586" t="s">
        <v>38</v>
      </c>
      <c r="E2586" t="s">
        <v>39</v>
      </c>
      <c r="F2586">
        <v>125</v>
      </c>
      <c r="G2586">
        <v>320</v>
      </c>
      <c r="H2586">
        <v>206</v>
      </c>
      <c r="I2586">
        <v>84</v>
      </c>
      <c r="J2586" s="8">
        <v>0.67200000000000004</v>
      </c>
      <c r="K2586">
        <v>51</v>
      </c>
      <c r="L2586">
        <v>30</v>
      </c>
      <c r="M2586">
        <v>187</v>
      </c>
      <c r="N2586" s="10">
        <v>728.05</v>
      </c>
      <c r="O2586" s="7">
        <v>18.3</v>
      </c>
      <c r="P2586" s="7">
        <v>27.2</v>
      </c>
      <c r="Q2586">
        <v>6</v>
      </c>
      <c r="R2586" t="s">
        <v>60</v>
      </c>
      <c r="S2586">
        <v>5</v>
      </c>
      <c r="T2586">
        <v>131</v>
      </c>
      <c r="U2586" s="11">
        <v>-0.78183148246802991</v>
      </c>
      <c r="V2586" s="11">
        <v>0.62348980185873337</v>
      </c>
      <c r="W2586" s="11">
        <v>0.78659656608660211</v>
      </c>
      <c r="X2586" s="11">
        <v>-0.61746728028355136</v>
      </c>
      <c r="Y2586">
        <v>1</v>
      </c>
      <c r="Z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6">
        <v>45788</v>
      </c>
      <c r="B2587" t="s">
        <v>41</v>
      </c>
      <c r="C2587" t="s">
        <v>42</v>
      </c>
      <c r="D2587" t="s">
        <v>43</v>
      </c>
      <c r="E2587" t="s">
        <v>44</v>
      </c>
      <c r="F2587">
        <v>85</v>
      </c>
      <c r="G2587">
        <v>210</v>
      </c>
      <c r="H2587">
        <v>130</v>
      </c>
      <c r="I2587">
        <v>59</v>
      </c>
      <c r="J2587" s="8">
        <v>0.69411764705882351</v>
      </c>
      <c r="K2587">
        <v>32</v>
      </c>
      <c r="L2587">
        <v>30</v>
      </c>
      <c r="M2587">
        <v>117</v>
      </c>
      <c r="N2587" s="10">
        <v>568.96</v>
      </c>
      <c r="O2587" s="7">
        <v>18.3</v>
      </c>
      <c r="P2587" s="7">
        <v>27.2</v>
      </c>
      <c r="Q2587">
        <v>6</v>
      </c>
      <c r="R2587" t="s">
        <v>60</v>
      </c>
      <c r="S2587">
        <v>5</v>
      </c>
      <c r="T2587">
        <v>131</v>
      </c>
      <c r="U2587" s="11">
        <v>-0.78183148246802991</v>
      </c>
      <c r="V2587" s="11">
        <v>0.62348980185873337</v>
      </c>
      <c r="W2587" s="11">
        <v>0.78659656608660211</v>
      </c>
      <c r="X2587" s="11">
        <v>-0.61746728028355136</v>
      </c>
      <c r="Y2587">
        <v>1</v>
      </c>
      <c r="Z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6">
        <v>45789</v>
      </c>
      <c r="B2588" t="s">
        <v>31</v>
      </c>
      <c r="C2588" t="s">
        <v>32</v>
      </c>
      <c r="D2588" t="s">
        <v>33</v>
      </c>
      <c r="E2588" t="s">
        <v>34</v>
      </c>
      <c r="F2588">
        <v>140</v>
      </c>
      <c r="G2588">
        <v>360</v>
      </c>
      <c r="H2588">
        <v>192</v>
      </c>
      <c r="I2588">
        <v>82</v>
      </c>
      <c r="J2588" s="8">
        <v>0.58571428571428574</v>
      </c>
      <c r="K2588">
        <v>39</v>
      </c>
      <c r="L2588">
        <v>34</v>
      </c>
      <c r="M2588">
        <v>167</v>
      </c>
      <c r="N2588" s="10">
        <v>457.38</v>
      </c>
      <c r="O2588" s="7">
        <v>10.7</v>
      </c>
      <c r="P2588" s="7">
        <v>25.8</v>
      </c>
      <c r="Q2588">
        <v>0</v>
      </c>
      <c r="R2588" t="s">
        <v>62</v>
      </c>
      <c r="S2588">
        <v>5</v>
      </c>
      <c r="T2588">
        <v>132</v>
      </c>
      <c r="U2588" s="11">
        <v>0</v>
      </c>
      <c r="V2588" s="11">
        <v>1</v>
      </c>
      <c r="W2588" s="11">
        <v>0.77585877280698279</v>
      </c>
      <c r="X2588" s="11">
        <v>-0.63090662118767038</v>
      </c>
      <c r="Y2588">
        <v>0</v>
      </c>
      <c r="Z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6">
        <v>45789</v>
      </c>
      <c r="B2589" t="s">
        <v>36</v>
      </c>
      <c r="C2589" t="s">
        <v>37</v>
      </c>
      <c r="D2589" t="s">
        <v>38</v>
      </c>
      <c r="E2589" t="s">
        <v>39</v>
      </c>
      <c r="F2589">
        <v>125</v>
      </c>
      <c r="G2589">
        <v>320</v>
      </c>
      <c r="H2589">
        <v>152</v>
      </c>
      <c r="I2589">
        <v>63</v>
      </c>
      <c r="J2589" s="8">
        <v>0.504</v>
      </c>
      <c r="K2589">
        <v>39</v>
      </c>
      <c r="L2589">
        <v>33</v>
      </c>
      <c r="M2589">
        <v>123</v>
      </c>
      <c r="N2589" s="10">
        <v>626.58000000000004</v>
      </c>
      <c r="O2589" s="7">
        <v>10.7</v>
      </c>
      <c r="P2589" s="7">
        <v>25.8</v>
      </c>
      <c r="Q2589">
        <v>0</v>
      </c>
      <c r="R2589" t="s">
        <v>62</v>
      </c>
      <c r="S2589">
        <v>5</v>
      </c>
      <c r="T2589">
        <v>132</v>
      </c>
      <c r="U2589" s="11">
        <v>0</v>
      </c>
      <c r="V2589" s="11">
        <v>1</v>
      </c>
      <c r="W2589" s="11">
        <v>0.77585877280698279</v>
      </c>
      <c r="X2589" s="11">
        <v>-0.63090662118767038</v>
      </c>
      <c r="Y2589">
        <v>0</v>
      </c>
      <c r="Z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6">
        <v>45789</v>
      </c>
      <c r="B2590" t="s">
        <v>41</v>
      </c>
      <c r="C2590" t="s">
        <v>42</v>
      </c>
      <c r="D2590" t="s">
        <v>43</v>
      </c>
      <c r="E2590" t="s">
        <v>44</v>
      </c>
      <c r="F2590">
        <v>85</v>
      </c>
      <c r="G2590">
        <v>210</v>
      </c>
      <c r="H2590">
        <v>117</v>
      </c>
      <c r="I2590">
        <v>53</v>
      </c>
      <c r="J2590" s="8">
        <v>0.62352941176470589</v>
      </c>
      <c r="K2590">
        <v>24</v>
      </c>
      <c r="L2590">
        <v>17</v>
      </c>
      <c r="M2590">
        <v>99</v>
      </c>
      <c r="N2590" s="10">
        <v>544.59</v>
      </c>
      <c r="O2590" s="7">
        <v>10.7</v>
      </c>
      <c r="P2590" s="7">
        <v>25.8</v>
      </c>
      <c r="Q2590">
        <v>0</v>
      </c>
      <c r="R2590" t="s">
        <v>62</v>
      </c>
      <c r="S2590">
        <v>5</v>
      </c>
      <c r="T2590">
        <v>132</v>
      </c>
      <c r="U2590" s="11">
        <v>0</v>
      </c>
      <c r="V2590" s="11">
        <v>1</v>
      </c>
      <c r="W2590" s="11">
        <v>0.77585877280698279</v>
      </c>
      <c r="X2590" s="11">
        <v>-0.63090662118767038</v>
      </c>
      <c r="Y2590">
        <v>0</v>
      </c>
      <c r="Z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6">
        <v>45790</v>
      </c>
      <c r="B2591" t="s">
        <v>31</v>
      </c>
      <c r="C2591" t="s">
        <v>32</v>
      </c>
      <c r="D2591" t="s">
        <v>33</v>
      </c>
      <c r="E2591" t="s">
        <v>34</v>
      </c>
      <c r="F2591">
        <v>140</v>
      </c>
      <c r="G2591">
        <v>360</v>
      </c>
      <c r="H2591">
        <v>167</v>
      </c>
      <c r="I2591">
        <v>75</v>
      </c>
      <c r="J2591" s="8">
        <v>0.5357142857142857</v>
      </c>
      <c r="K2591">
        <v>33</v>
      </c>
      <c r="L2591">
        <v>26</v>
      </c>
      <c r="M2591">
        <v>146</v>
      </c>
      <c r="N2591" s="10">
        <v>406.73</v>
      </c>
      <c r="O2591" s="7">
        <v>7</v>
      </c>
      <c r="P2591" s="7">
        <v>27.2</v>
      </c>
      <c r="Q2591">
        <v>1</v>
      </c>
      <c r="R2591" t="s">
        <v>63</v>
      </c>
      <c r="S2591">
        <v>5</v>
      </c>
      <c r="T2591">
        <v>133</v>
      </c>
      <c r="U2591" s="11">
        <v>0.7818314824680298</v>
      </c>
      <c r="V2591" s="11">
        <v>0.62348980185873359</v>
      </c>
      <c r="W2591" s="11">
        <v>0.76489139043412258</v>
      </c>
      <c r="X2591" s="11">
        <v>-0.64415926667226853</v>
      </c>
      <c r="Y2591">
        <v>0</v>
      </c>
      <c r="Z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6">
        <v>45790</v>
      </c>
      <c r="B2592" t="s">
        <v>36</v>
      </c>
      <c r="C2592" t="s">
        <v>37</v>
      </c>
      <c r="D2592" t="s">
        <v>38</v>
      </c>
      <c r="E2592" t="s">
        <v>39</v>
      </c>
      <c r="F2592">
        <v>125</v>
      </c>
      <c r="G2592">
        <v>320</v>
      </c>
      <c r="H2592">
        <v>165</v>
      </c>
      <c r="I2592">
        <v>71</v>
      </c>
      <c r="J2592" s="8">
        <v>0.56799999999999995</v>
      </c>
      <c r="K2592">
        <v>43</v>
      </c>
      <c r="L2592">
        <v>18</v>
      </c>
      <c r="M2592">
        <v>139</v>
      </c>
      <c r="N2592" s="10">
        <v>614.09</v>
      </c>
      <c r="O2592" s="7">
        <v>7</v>
      </c>
      <c r="P2592" s="7">
        <v>27.2</v>
      </c>
      <c r="Q2592">
        <v>1</v>
      </c>
      <c r="R2592" t="s">
        <v>63</v>
      </c>
      <c r="S2592">
        <v>5</v>
      </c>
      <c r="T2592">
        <v>133</v>
      </c>
      <c r="U2592" s="11">
        <v>0.7818314824680298</v>
      </c>
      <c r="V2592" s="11">
        <v>0.62348980185873359</v>
      </c>
      <c r="W2592" s="11">
        <v>0.76489139043412258</v>
      </c>
      <c r="X2592" s="11">
        <v>-0.64415926667226853</v>
      </c>
      <c r="Y2592">
        <v>0</v>
      </c>
      <c r="Z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6">
        <v>45790</v>
      </c>
      <c r="B2593" t="s">
        <v>41</v>
      </c>
      <c r="C2593" t="s">
        <v>42</v>
      </c>
      <c r="D2593" t="s">
        <v>43</v>
      </c>
      <c r="E2593" t="s">
        <v>44</v>
      </c>
      <c r="F2593">
        <v>85</v>
      </c>
      <c r="G2593">
        <v>210</v>
      </c>
      <c r="H2593">
        <v>116</v>
      </c>
      <c r="I2593">
        <v>54</v>
      </c>
      <c r="J2593" s="8">
        <v>0.63529411764705879</v>
      </c>
      <c r="K2593">
        <v>15</v>
      </c>
      <c r="L2593">
        <v>19</v>
      </c>
      <c r="M2593">
        <v>105</v>
      </c>
      <c r="N2593" s="10">
        <v>481.6</v>
      </c>
      <c r="O2593" s="7">
        <v>7</v>
      </c>
      <c r="P2593" s="7">
        <v>27.2</v>
      </c>
      <c r="Q2593">
        <v>1</v>
      </c>
      <c r="R2593" t="s">
        <v>63</v>
      </c>
      <c r="S2593">
        <v>5</v>
      </c>
      <c r="T2593">
        <v>133</v>
      </c>
      <c r="U2593" s="11">
        <v>0.7818314824680298</v>
      </c>
      <c r="V2593" s="11">
        <v>0.62348980185873359</v>
      </c>
      <c r="W2593" s="11">
        <v>0.76489139043412258</v>
      </c>
      <c r="X2593" s="11">
        <v>-0.64415926667226853</v>
      </c>
      <c r="Y2593">
        <v>0</v>
      </c>
      <c r="Z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6">
        <v>45791</v>
      </c>
      <c r="B2594" t="s">
        <v>31</v>
      </c>
      <c r="C2594" t="s">
        <v>32</v>
      </c>
      <c r="D2594" t="s">
        <v>33</v>
      </c>
      <c r="E2594" t="s">
        <v>34</v>
      </c>
      <c r="F2594">
        <v>140</v>
      </c>
      <c r="G2594">
        <v>360</v>
      </c>
      <c r="H2594">
        <v>170</v>
      </c>
      <c r="I2594">
        <v>74</v>
      </c>
      <c r="J2594" s="8">
        <v>0.52857142857142858</v>
      </c>
      <c r="K2594">
        <v>33</v>
      </c>
      <c r="L2594">
        <v>21</v>
      </c>
      <c r="M2594">
        <v>145</v>
      </c>
      <c r="N2594" s="10">
        <v>443.6</v>
      </c>
      <c r="O2594" s="7">
        <v>16.899999999999999</v>
      </c>
      <c r="P2594" s="7">
        <v>27.5</v>
      </c>
      <c r="Q2594">
        <v>2</v>
      </c>
      <c r="R2594" t="s">
        <v>64</v>
      </c>
      <c r="S2594">
        <v>5</v>
      </c>
      <c r="T2594">
        <v>134</v>
      </c>
      <c r="U2594" s="11">
        <v>0.97492791218182362</v>
      </c>
      <c r="V2594" s="11">
        <v>-0.22252093395631434</v>
      </c>
      <c r="W2594" s="11">
        <v>0.75369766439291397</v>
      </c>
      <c r="X2594" s="11">
        <v>-0.65722129506633187</v>
      </c>
      <c r="Y2594">
        <v>0</v>
      </c>
      <c r="Z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6">
        <v>45791</v>
      </c>
      <c r="B2595" t="s">
        <v>36</v>
      </c>
      <c r="C2595" t="s">
        <v>37</v>
      </c>
      <c r="D2595" t="s">
        <v>38</v>
      </c>
      <c r="E2595" t="s">
        <v>39</v>
      </c>
      <c r="F2595">
        <v>125</v>
      </c>
      <c r="G2595">
        <v>320</v>
      </c>
      <c r="H2595">
        <v>170</v>
      </c>
      <c r="I2595">
        <v>68</v>
      </c>
      <c r="J2595" s="8">
        <v>0.54400000000000004</v>
      </c>
      <c r="K2595">
        <v>43</v>
      </c>
      <c r="L2595">
        <v>23</v>
      </c>
      <c r="M2595">
        <v>147</v>
      </c>
      <c r="N2595" s="10">
        <v>671.19</v>
      </c>
      <c r="O2595" s="7">
        <v>16.899999999999999</v>
      </c>
      <c r="P2595" s="7">
        <v>27.5</v>
      </c>
      <c r="Q2595">
        <v>2</v>
      </c>
      <c r="R2595" t="s">
        <v>64</v>
      </c>
      <c r="S2595">
        <v>5</v>
      </c>
      <c r="T2595">
        <v>134</v>
      </c>
      <c r="U2595" s="11">
        <v>0.97492791218182362</v>
      </c>
      <c r="V2595" s="11">
        <v>-0.22252093395631434</v>
      </c>
      <c r="W2595" s="11">
        <v>0.75369766439291397</v>
      </c>
      <c r="X2595" s="11">
        <v>-0.65722129506633187</v>
      </c>
      <c r="Y2595">
        <v>0</v>
      </c>
      <c r="Z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6">
        <v>45791</v>
      </c>
      <c r="B2596" t="s">
        <v>41</v>
      </c>
      <c r="C2596" t="s">
        <v>42</v>
      </c>
      <c r="D2596" t="s">
        <v>43</v>
      </c>
      <c r="E2596" t="s">
        <v>44</v>
      </c>
      <c r="F2596">
        <v>85</v>
      </c>
      <c r="G2596">
        <v>210</v>
      </c>
      <c r="H2596">
        <v>112</v>
      </c>
      <c r="I2596">
        <v>51</v>
      </c>
      <c r="J2596" s="8">
        <v>0.6</v>
      </c>
      <c r="K2596">
        <v>24</v>
      </c>
      <c r="L2596">
        <v>17</v>
      </c>
      <c r="M2596">
        <v>96</v>
      </c>
      <c r="N2596" s="10">
        <v>558.38</v>
      </c>
      <c r="O2596" s="7">
        <v>16.899999999999999</v>
      </c>
      <c r="P2596" s="7">
        <v>27.5</v>
      </c>
      <c r="Q2596">
        <v>2</v>
      </c>
      <c r="R2596" t="s">
        <v>64</v>
      </c>
      <c r="S2596">
        <v>5</v>
      </c>
      <c r="T2596">
        <v>134</v>
      </c>
      <c r="U2596" s="11">
        <v>0.97492791218182362</v>
      </c>
      <c r="V2596" s="11">
        <v>-0.22252093395631434</v>
      </c>
      <c r="W2596" s="11">
        <v>0.75369766439291397</v>
      </c>
      <c r="X2596" s="11">
        <v>-0.65722129506633187</v>
      </c>
      <c r="Y2596">
        <v>0</v>
      </c>
      <c r="Z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6">
        <v>45792</v>
      </c>
      <c r="B2597" t="s">
        <v>31</v>
      </c>
      <c r="C2597" t="s">
        <v>32</v>
      </c>
      <c r="D2597" t="s">
        <v>33</v>
      </c>
      <c r="E2597" t="s">
        <v>34</v>
      </c>
      <c r="F2597">
        <v>140</v>
      </c>
      <c r="G2597">
        <v>360</v>
      </c>
      <c r="H2597">
        <v>195</v>
      </c>
      <c r="I2597">
        <v>83</v>
      </c>
      <c r="J2597" s="8">
        <v>0.59285714285714286</v>
      </c>
      <c r="K2597">
        <v>35</v>
      </c>
      <c r="L2597">
        <v>22</v>
      </c>
      <c r="M2597">
        <v>172</v>
      </c>
      <c r="N2597" s="10">
        <v>455.34</v>
      </c>
      <c r="O2597" s="7">
        <v>20.2</v>
      </c>
      <c r="P2597" s="7">
        <v>26.5</v>
      </c>
      <c r="Q2597">
        <v>3</v>
      </c>
      <c r="R2597" t="s">
        <v>65</v>
      </c>
      <c r="S2597">
        <v>5</v>
      </c>
      <c r="T2597">
        <v>135</v>
      </c>
      <c r="U2597" s="11">
        <v>0.43388373911755823</v>
      </c>
      <c r="V2597" s="11">
        <v>-0.90096886790241903</v>
      </c>
      <c r="W2597" s="11">
        <v>0.74228090708698202</v>
      </c>
      <c r="X2597" s="11">
        <v>-0.67008884110551126</v>
      </c>
      <c r="Y2597">
        <v>0</v>
      </c>
      <c r="Z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6">
        <v>45792</v>
      </c>
      <c r="B2598" t="s">
        <v>36</v>
      </c>
      <c r="C2598" t="s">
        <v>37</v>
      </c>
      <c r="D2598" t="s">
        <v>38</v>
      </c>
      <c r="E2598" t="s">
        <v>39</v>
      </c>
      <c r="F2598">
        <v>125</v>
      </c>
      <c r="G2598">
        <v>320</v>
      </c>
      <c r="H2598">
        <v>163</v>
      </c>
      <c r="I2598">
        <v>70</v>
      </c>
      <c r="J2598" s="8">
        <v>0.56000000000000005</v>
      </c>
      <c r="K2598">
        <v>16</v>
      </c>
      <c r="L2598">
        <v>11</v>
      </c>
      <c r="M2598">
        <v>131</v>
      </c>
      <c r="N2598" s="10">
        <v>565.44000000000005</v>
      </c>
      <c r="O2598" s="7">
        <v>20.2</v>
      </c>
      <c r="P2598" s="7">
        <v>26.5</v>
      </c>
      <c r="Q2598">
        <v>3</v>
      </c>
      <c r="R2598" t="s">
        <v>65</v>
      </c>
      <c r="S2598">
        <v>5</v>
      </c>
      <c r="T2598">
        <v>135</v>
      </c>
      <c r="U2598" s="11">
        <v>0.43388373911755823</v>
      </c>
      <c r="V2598" s="11">
        <v>-0.90096886790241903</v>
      </c>
      <c r="W2598" s="11">
        <v>0.74228090708698202</v>
      </c>
      <c r="X2598" s="11">
        <v>-0.67008884110551126</v>
      </c>
      <c r="Y2598">
        <v>0</v>
      </c>
      <c r="Z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6">
        <v>45792</v>
      </c>
      <c r="B2599" t="s">
        <v>41</v>
      </c>
      <c r="C2599" t="s">
        <v>42</v>
      </c>
      <c r="D2599" t="s">
        <v>43</v>
      </c>
      <c r="E2599" t="s">
        <v>44</v>
      </c>
      <c r="F2599">
        <v>85</v>
      </c>
      <c r="G2599">
        <v>210</v>
      </c>
      <c r="H2599">
        <v>117</v>
      </c>
      <c r="I2599">
        <v>52</v>
      </c>
      <c r="J2599" s="8">
        <v>0.61176470588235299</v>
      </c>
      <c r="K2599">
        <v>22</v>
      </c>
      <c r="L2599">
        <v>26</v>
      </c>
      <c r="M2599">
        <v>102</v>
      </c>
      <c r="N2599" s="10">
        <v>512.20000000000005</v>
      </c>
      <c r="O2599" s="7">
        <v>20.2</v>
      </c>
      <c r="P2599" s="7">
        <v>26.5</v>
      </c>
      <c r="Q2599">
        <v>3</v>
      </c>
      <c r="R2599" t="s">
        <v>65</v>
      </c>
      <c r="S2599">
        <v>5</v>
      </c>
      <c r="T2599">
        <v>135</v>
      </c>
      <c r="U2599" s="11">
        <v>0.43388373911755823</v>
      </c>
      <c r="V2599" s="11">
        <v>-0.90096886790241903</v>
      </c>
      <c r="W2599" s="11">
        <v>0.74228090708698202</v>
      </c>
      <c r="X2599" s="11">
        <v>-0.67008884110551126</v>
      </c>
      <c r="Y2599">
        <v>0</v>
      </c>
      <c r="Z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6">
        <v>45793</v>
      </c>
      <c r="B2600" t="s">
        <v>31</v>
      </c>
      <c r="C2600" t="s">
        <v>32</v>
      </c>
      <c r="D2600" t="s">
        <v>33</v>
      </c>
      <c r="E2600" t="s">
        <v>34</v>
      </c>
      <c r="F2600">
        <v>140</v>
      </c>
      <c r="G2600">
        <v>360</v>
      </c>
      <c r="H2600">
        <v>187</v>
      </c>
      <c r="I2600">
        <v>79</v>
      </c>
      <c r="J2600" s="8">
        <v>0.56428571428571428</v>
      </c>
      <c r="K2600">
        <v>38</v>
      </c>
      <c r="L2600">
        <v>25</v>
      </c>
      <c r="M2600">
        <v>160</v>
      </c>
      <c r="N2600" s="10">
        <v>438.36</v>
      </c>
      <c r="O2600" s="7">
        <v>0</v>
      </c>
      <c r="P2600" s="7">
        <v>26.5</v>
      </c>
      <c r="Q2600">
        <v>4</v>
      </c>
      <c r="R2600" t="s">
        <v>66</v>
      </c>
      <c r="S2600">
        <v>5</v>
      </c>
      <c r="T2600">
        <v>136</v>
      </c>
      <c r="U2600" s="11">
        <v>-0.43388373911755801</v>
      </c>
      <c r="V2600" s="11">
        <v>-0.90096886790241915</v>
      </c>
      <c r="W2600" s="11">
        <v>0.73064449691849165</v>
      </c>
      <c r="X2600" s="11">
        <v>-0.68275809707591473</v>
      </c>
      <c r="Y2600">
        <v>0</v>
      </c>
      <c r="Z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6">
        <v>45793</v>
      </c>
      <c r="B2601" t="s">
        <v>36</v>
      </c>
      <c r="C2601" t="s">
        <v>37</v>
      </c>
      <c r="D2601" t="s">
        <v>38</v>
      </c>
      <c r="E2601" t="s">
        <v>39</v>
      </c>
      <c r="F2601">
        <v>125</v>
      </c>
      <c r="G2601">
        <v>320</v>
      </c>
      <c r="H2601">
        <v>166</v>
      </c>
      <c r="I2601">
        <v>69</v>
      </c>
      <c r="J2601" s="8">
        <v>0.55200000000000005</v>
      </c>
      <c r="K2601">
        <v>37</v>
      </c>
      <c r="L2601">
        <v>24</v>
      </c>
      <c r="M2601">
        <v>138</v>
      </c>
      <c r="N2601" s="10">
        <v>638.53</v>
      </c>
      <c r="O2601" s="7">
        <v>0</v>
      </c>
      <c r="P2601" s="7">
        <v>26.5</v>
      </c>
      <c r="Q2601">
        <v>4</v>
      </c>
      <c r="R2601" t="s">
        <v>66</v>
      </c>
      <c r="S2601">
        <v>5</v>
      </c>
      <c r="T2601">
        <v>136</v>
      </c>
      <c r="U2601" s="11">
        <v>-0.43388373911755801</v>
      </c>
      <c r="V2601" s="11">
        <v>-0.90096886790241915</v>
      </c>
      <c r="W2601" s="11">
        <v>0.73064449691849165</v>
      </c>
      <c r="X2601" s="11">
        <v>-0.68275809707591473</v>
      </c>
      <c r="Y2601">
        <v>0</v>
      </c>
      <c r="Z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6">
        <v>45793</v>
      </c>
      <c r="B2602" t="s">
        <v>41</v>
      </c>
      <c r="C2602" t="s">
        <v>42</v>
      </c>
      <c r="D2602" t="s">
        <v>43</v>
      </c>
      <c r="E2602" t="s">
        <v>44</v>
      </c>
      <c r="F2602">
        <v>85</v>
      </c>
      <c r="G2602">
        <v>210</v>
      </c>
      <c r="H2602">
        <v>120</v>
      </c>
      <c r="I2602">
        <v>54</v>
      </c>
      <c r="J2602" s="8">
        <v>0.63529411764705879</v>
      </c>
      <c r="K2602">
        <v>27</v>
      </c>
      <c r="L2602">
        <v>28</v>
      </c>
      <c r="M2602">
        <v>97</v>
      </c>
      <c r="N2602" s="10">
        <v>562.39</v>
      </c>
      <c r="O2602" s="7">
        <v>0</v>
      </c>
      <c r="P2602" s="7">
        <v>26.5</v>
      </c>
      <c r="Q2602">
        <v>4</v>
      </c>
      <c r="R2602" t="s">
        <v>66</v>
      </c>
      <c r="S2602">
        <v>5</v>
      </c>
      <c r="T2602">
        <v>136</v>
      </c>
      <c r="U2602" s="11">
        <v>-0.43388373911755801</v>
      </c>
      <c r="V2602" s="11">
        <v>-0.90096886790241915</v>
      </c>
      <c r="W2602" s="11">
        <v>0.73064449691849165</v>
      </c>
      <c r="X2602" s="11">
        <v>-0.68275809707591473</v>
      </c>
      <c r="Y2602">
        <v>0</v>
      </c>
      <c r="Z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6">
        <v>45794</v>
      </c>
      <c r="B2603" t="s">
        <v>31</v>
      </c>
      <c r="C2603" t="s">
        <v>32</v>
      </c>
      <c r="D2603" t="s">
        <v>33</v>
      </c>
      <c r="E2603" t="s">
        <v>34</v>
      </c>
      <c r="F2603">
        <v>140</v>
      </c>
      <c r="G2603">
        <v>360</v>
      </c>
      <c r="H2603">
        <v>219</v>
      </c>
      <c r="I2603">
        <v>93</v>
      </c>
      <c r="J2603" s="8">
        <v>0.66428571428571426</v>
      </c>
      <c r="K2603">
        <v>50</v>
      </c>
      <c r="L2603">
        <v>33</v>
      </c>
      <c r="M2603">
        <v>189</v>
      </c>
      <c r="N2603" s="10">
        <v>515.70000000000005</v>
      </c>
      <c r="O2603" s="7">
        <v>9.4</v>
      </c>
      <c r="P2603" s="7">
        <v>27.7</v>
      </c>
      <c r="Q2603">
        <v>5</v>
      </c>
      <c r="R2603" t="s">
        <v>67</v>
      </c>
      <c r="S2603">
        <v>5</v>
      </c>
      <c r="T2603">
        <v>137</v>
      </c>
      <c r="U2603" s="11">
        <v>-0.97492791218182362</v>
      </c>
      <c r="V2603" s="11">
        <v>-0.22252093395631459</v>
      </c>
      <c r="W2603" s="11">
        <v>0.7187918772884232</v>
      </c>
      <c r="X2603" s="11">
        <v>-0.69522531394087217</v>
      </c>
      <c r="Y2603">
        <v>1</v>
      </c>
      <c r="Z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6">
        <v>45794</v>
      </c>
      <c r="B2604" t="s">
        <v>36</v>
      </c>
      <c r="C2604" t="s">
        <v>37</v>
      </c>
      <c r="D2604" t="s">
        <v>38</v>
      </c>
      <c r="E2604" t="s">
        <v>39</v>
      </c>
      <c r="F2604">
        <v>125</v>
      </c>
      <c r="G2604">
        <v>320</v>
      </c>
      <c r="H2604">
        <v>204</v>
      </c>
      <c r="I2604">
        <v>86</v>
      </c>
      <c r="J2604" s="8">
        <v>0.68799999999999994</v>
      </c>
      <c r="K2604">
        <v>31</v>
      </c>
      <c r="L2604">
        <v>31</v>
      </c>
      <c r="M2604">
        <v>179</v>
      </c>
      <c r="N2604" s="10">
        <v>742.27</v>
      </c>
      <c r="O2604" s="7">
        <v>9.4</v>
      </c>
      <c r="P2604" s="7">
        <v>27.7</v>
      </c>
      <c r="Q2604">
        <v>5</v>
      </c>
      <c r="R2604" t="s">
        <v>67</v>
      </c>
      <c r="S2604">
        <v>5</v>
      </c>
      <c r="T2604">
        <v>137</v>
      </c>
      <c r="U2604" s="11">
        <v>-0.97492791218182362</v>
      </c>
      <c r="V2604" s="11">
        <v>-0.22252093395631459</v>
      </c>
      <c r="W2604" s="11">
        <v>0.7187918772884232</v>
      </c>
      <c r="X2604" s="11">
        <v>-0.69522531394087217</v>
      </c>
      <c r="Y2604">
        <v>1</v>
      </c>
      <c r="Z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6">
        <v>45794</v>
      </c>
      <c r="B2605" t="s">
        <v>41</v>
      </c>
      <c r="C2605" t="s">
        <v>42</v>
      </c>
      <c r="D2605" t="s">
        <v>43</v>
      </c>
      <c r="E2605" t="s">
        <v>44</v>
      </c>
      <c r="F2605">
        <v>85</v>
      </c>
      <c r="G2605">
        <v>210</v>
      </c>
      <c r="H2605">
        <v>140</v>
      </c>
      <c r="I2605">
        <v>63</v>
      </c>
      <c r="J2605" s="8">
        <v>0.74117647058823533</v>
      </c>
      <c r="K2605">
        <v>12</v>
      </c>
      <c r="L2605">
        <v>25</v>
      </c>
      <c r="M2605">
        <v>113</v>
      </c>
      <c r="N2605" s="10">
        <v>545.28</v>
      </c>
      <c r="O2605" s="7">
        <v>9.4</v>
      </c>
      <c r="P2605" s="7">
        <v>27.7</v>
      </c>
      <c r="Q2605">
        <v>5</v>
      </c>
      <c r="R2605" t="s">
        <v>67</v>
      </c>
      <c r="S2605">
        <v>5</v>
      </c>
      <c r="T2605">
        <v>137</v>
      </c>
      <c r="U2605" s="11">
        <v>-0.97492791218182362</v>
      </c>
      <c r="V2605" s="11">
        <v>-0.22252093395631459</v>
      </c>
      <c r="W2605" s="11">
        <v>0.7187918772884232</v>
      </c>
      <c r="X2605" s="11">
        <v>-0.69522531394087217</v>
      </c>
      <c r="Y2605">
        <v>1</v>
      </c>
      <c r="Z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6">
        <v>45795</v>
      </c>
      <c r="B2606" t="s">
        <v>31</v>
      </c>
      <c r="C2606" t="s">
        <v>32</v>
      </c>
      <c r="D2606" t="s">
        <v>33</v>
      </c>
      <c r="E2606" t="s">
        <v>34</v>
      </c>
      <c r="F2606">
        <v>140</v>
      </c>
      <c r="G2606">
        <v>360</v>
      </c>
      <c r="H2606">
        <v>202</v>
      </c>
      <c r="I2606">
        <v>83</v>
      </c>
      <c r="J2606" s="8">
        <v>0.59285714285714286</v>
      </c>
      <c r="K2606">
        <v>47</v>
      </c>
      <c r="L2606">
        <v>28</v>
      </c>
      <c r="M2606">
        <v>180</v>
      </c>
      <c r="N2606" s="10">
        <v>498.04</v>
      </c>
      <c r="O2606" s="7">
        <v>8.8000000000000007</v>
      </c>
      <c r="P2606" s="7">
        <v>27.3</v>
      </c>
      <c r="Q2606">
        <v>6</v>
      </c>
      <c r="R2606" t="s">
        <v>60</v>
      </c>
      <c r="S2606">
        <v>5</v>
      </c>
      <c r="T2606">
        <v>138</v>
      </c>
      <c r="U2606" s="11">
        <v>-0.78183148246802991</v>
      </c>
      <c r="V2606" s="11">
        <v>0.62348980185873337</v>
      </c>
      <c r="W2606" s="11">
        <v>0.70672655557761577</v>
      </c>
      <c r="X2606" s="11">
        <v>-0.7074868024503348</v>
      </c>
      <c r="Y2606">
        <v>1</v>
      </c>
      <c r="Z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6">
        <v>45795</v>
      </c>
      <c r="B2607" t="s">
        <v>36</v>
      </c>
      <c r="C2607" t="s">
        <v>37</v>
      </c>
      <c r="D2607" t="s">
        <v>38</v>
      </c>
      <c r="E2607" t="s">
        <v>39</v>
      </c>
      <c r="F2607">
        <v>125</v>
      </c>
      <c r="G2607">
        <v>320</v>
      </c>
      <c r="H2607">
        <v>198</v>
      </c>
      <c r="I2607">
        <v>81</v>
      </c>
      <c r="J2607" s="8">
        <v>0.64800000000000002</v>
      </c>
      <c r="K2607">
        <v>40</v>
      </c>
      <c r="L2607">
        <v>52</v>
      </c>
      <c r="M2607">
        <v>177</v>
      </c>
      <c r="N2607" s="10">
        <v>748.18</v>
      </c>
      <c r="O2607" s="7">
        <v>8.8000000000000007</v>
      </c>
      <c r="P2607" s="7">
        <v>27.3</v>
      </c>
      <c r="Q2607">
        <v>6</v>
      </c>
      <c r="R2607" t="s">
        <v>60</v>
      </c>
      <c r="S2607">
        <v>5</v>
      </c>
      <c r="T2607">
        <v>138</v>
      </c>
      <c r="U2607" s="11">
        <v>-0.78183148246802991</v>
      </c>
      <c r="V2607" s="11">
        <v>0.62348980185873337</v>
      </c>
      <c r="W2607" s="11">
        <v>0.70672655557761577</v>
      </c>
      <c r="X2607" s="11">
        <v>-0.7074868024503348</v>
      </c>
      <c r="Y2607">
        <v>1</v>
      </c>
      <c r="Z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6">
        <v>45795</v>
      </c>
      <c r="B2608" t="s">
        <v>41</v>
      </c>
      <c r="C2608" t="s">
        <v>42</v>
      </c>
      <c r="D2608" t="s">
        <v>43</v>
      </c>
      <c r="E2608" t="s">
        <v>44</v>
      </c>
      <c r="F2608">
        <v>85</v>
      </c>
      <c r="G2608">
        <v>210</v>
      </c>
      <c r="H2608">
        <v>139</v>
      </c>
      <c r="I2608">
        <v>61</v>
      </c>
      <c r="J2608" s="8">
        <v>0.71764705882352942</v>
      </c>
      <c r="K2608">
        <v>29</v>
      </c>
      <c r="L2608">
        <v>28</v>
      </c>
      <c r="M2608">
        <v>127</v>
      </c>
      <c r="N2608" s="10">
        <v>543.44000000000005</v>
      </c>
      <c r="O2608" s="7">
        <v>8.8000000000000007</v>
      </c>
      <c r="P2608" s="7">
        <v>27.3</v>
      </c>
      <c r="Q2608">
        <v>6</v>
      </c>
      <c r="R2608" t="s">
        <v>60</v>
      </c>
      <c r="S2608">
        <v>5</v>
      </c>
      <c r="T2608">
        <v>138</v>
      </c>
      <c r="U2608" s="11">
        <v>-0.78183148246802991</v>
      </c>
      <c r="V2608" s="11">
        <v>0.62348980185873337</v>
      </c>
      <c r="W2608" s="11">
        <v>0.70672655557761577</v>
      </c>
      <c r="X2608" s="11">
        <v>-0.7074868024503348</v>
      </c>
      <c r="Y2608">
        <v>1</v>
      </c>
      <c r="Z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6">
        <v>45796</v>
      </c>
      <c r="B2609" t="s">
        <v>31</v>
      </c>
      <c r="C2609" t="s">
        <v>32</v>
      </c>
      <c r="D2609" t="s">
        <v>33</v>
      </c>
      <c r="E2609" t="s">
        <v>34</v>
      </c>
      <c r="F2609">
        <v>140</v>
      </c>
      <c r="G2609">
        <v>360</v>
      </c>
      <c r="H2609">
        <v>172</v>
      </c>
      <c r="I2609">
        <v>71</v>
      </c>
      <c r="J2609" s="8">
        <v>0.50714285714285712</v>
      </c>
      <c r="K2609">
        <v>32</v>
      </c>
      <c r="L2609">
        <v>28</v>
      </c>
      <c r="M2609">
        <v>147</v>
      </c>
      <c r="N2609" s="10">
        <v>397.81</v>
      </c>
      <c r="O2609" s="7">
        <v>9.1</v>
      </c>
      <c r="P2609" s="7">
        <v>25.2</v>
      </c>
      <c r="Q2609">
        <v>0</v>
      </c>
      <c r="R2609" t="s">
        <v>62</v>
      </c>
      <c r="S2609">
        <v>5</v>
      </c>
      <c r="T2609">
        <v>139</v>
      </c>
      <c r="U2609" s="11">
        <v>0</v>
      </c>
      <c r="V2609" s="11">
        <v>1</v>
      </c>
      <c r="W2609" s="11">
        <v>0.69445210210887631</v>
      </c>
      <c r="X2609" s="11">
        <v>-0.71953893423258397</v>
      </c>
      <c r="Y2609">
        <v>0</v>
      </c>
      <c r="Z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6">
        <v>45796</v>
      </c>
      <c r="B2610" t="s">
        <v>36</v>
      </c>
      <c r="C2610" t="s">
        <v>37</v>
      </c>
      <c r="D2610" t="s">
        <v>38</v>
      </c>
      <c r="E2610" t="s">
        <v>39</v>
      </c>
      <c r="F2610">
        <v>125</v>
      </c>
      <c r="G2610">
        <v>320</v>
      </c>
      <c r="H2610">
        <v>142</v>
      </c>
      <c r="I2610">
        <v>61</v>
      </c>
      <c r="J2610" s="8">
        <v>0.48799999999999999</v>
      </c>
      <c r="K2610">
        <v>19</v>
      </c>
      <c r="L2610">
        <v>20</v>
      </c>
      <c r="M2610">
        <v>129</v>
      </c>
      <c r="N2610" s="10">
        <v>659.59</v>
      </c>
      <c r="O2610" s="7">
        <v>9.1</v>
      </c>
      <c r="P2610" s="7">
        <v>25.2</v>
      </c>
      <c r="Q2610">
        <v>0</v>
      </c>
      <c r="R2610" t="s">
        <v>62</v>
      </c>
      <c r="S2610">
        <v>5</v>
      </c>
      <c r="T2610">
        <v>139</v>
      </c>
      <c r="U2610" s="11">
        <v>0</v>
      </c>
      <c r="V2610" s="11">
        <v>1</v>
      </c>
      <c r="W2610" s="11">
        <v>0.69445210210887631</v>
      </c>
      <c r="X2610" s="11">
        <v>-0.71953893423258397</v>
      </c>
      <c r="Y2610">
        <v>0</v>
      </c>
      <c r="Z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6">
        <v>45796</v>
      </c>
      <c r="B2611" t="s">
        <v>41</v>
      </c>
      <c r="C2611" t="s">
        <v>42</v>
      </c>
      <c r="D2611" t="s">
        <v>43</v>
      </c>
      <c r="E2611" t="s">
        <v>44</v>
      </c>
      <c r="F2611">
        <v>85</v>
      </c>
      <c r="G2611">
        <v>210</v>
      </c>
      <c r="H2611">
        <v>115</v>
      </c>
      <c r="I2611">
        <v>52</v>
      </c>
      <c r="J2611" s="8">
        <v>0.61176470588235299</v>
      </c>
      <c r="K2611">
        <v>22</v>
      </c>
      <c r="L2611">
        <v>16</v>
      </c>
      <c r="M2611">
        <v>107</v>
      </c>
      <c r="N2611" s="10">
        <v>485.93</v>
      </c>
      <c r="O2611" s="7">
        <v>9.1</v>
      </c>
      <c r="P2611" s="7">
        <v>25.2</v>
      </c>
      <c r="Q2611">
        <v>0</v>
      </c>
      <c r="R2611" t="s">
        <v>62</v>
      </c>
      <c r="S2611">
        <v>5</v>
      </c>
      <c r="T2611">
        <v>139</v>
      </c>
      <c r="U2611" s="11">
        <v>0</v>
      </c>
      <c r="V2611" s="11">
        <v>1</v>
      </c>
      <c r="W2611" s="11">
        <v>0.69445210210887631</v>
      </c>
      <c r="X2611" s="11">
        <v>-0.71953893423258397</v>
      </c>
      <c r="Y2611">
        <v>0</v>
      </c>
      <c r="Z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6">
        <v>45797</v>
      </c>
      <c r="B2612" t="s">
        <v>31</v>
      </c>
      <c r="C2612" t="s">
        <v>32</v>
      </c>
      <c r="D2612" t="s">
        <v>33</v>
      </c>
      <c r="E2612" t="s">
        <v>34</v>
      </c>
      <c r="F2612">
        <v>140</v>
      </c>
      <c r="G2612">
        <v>360</v>
      </c>
      <c r="H2612">
        <v>185</v>
      </c>
      <c r="I2612">
        <v>79</v>
      </c>
      <c r="J2612" s="8">
        <v>0.56428571428571428</v>
      </c>
      <c r="K2612">
        <v>41</v>
      </c>
      <c r="L2612">
        <v>44</v>
      </c>
      <c r="M2612">
        <v>155</v>
      </c>
      <c r="N2612" s="10">
        <v>394.31</v>
      </c>
      <c r="O2612" s="7">
        <v>0</v>
      </c>
      <c r="P2612" s="7">
        <v>28.1</v>
      </c>
      <c r="Q2612">
        <v>1</v>
      </c>
      <c r="R2612" t="s">
        <v>63</v>
      </c>
      <c r="S2612">
        <v>5</v>
      </c>
      <c r="T2612">
        <v>140</v>
      </c>
      <c r="U2612" s="11">
        <v>0.7818314824680298</v>
      </c>
      <c r="V2612" s="11">
        <v>0.62348980185873359</v>
      </c>
      <c r="W2612" s="11">
        <v>0.68197214909046289</v>
      </c>
      <c r="X2612" s="11">
        <v>-0.73137814286792535</v>
      </c>
      <c r="Y2612">
        <v>0</v>
      </c>
      <c r="Z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6">
        <v>45797</v>
      </c>
      <c r="B2613" t="s">
        <v>36</v>
      </c>
      <c r="C2613" t="s">
        <v>37</v>
      </c>
      <c r="D2613" t="s">
        <v>38</v>
      </c>
      <c r="E2613" t="s">
        <v>39</v>
      </c>
      <c r="F2613">
        <v>125</v>
      </c>
      <c r="G2613">
        <v>320</v>
      </c>
      <c r="H2613">
        <v>161</v>
      </c>
      <c r="I2613">
        <v>68</v>
      </c>
      <c r="J2613" s="8">
        <v>0.54400000000000004</v>
      </c>
      <c r="K2613">
        <v>28</v>
      </c>
      <c r="L2613">
        <v>30</v>
      </c>
      <c r="M2613">
        <v>139</v>
      </c>
      <c r="N2613" s="10">
        <v>637.32000000000005</v>
      </c>
      <c r="O2613" s="7">
        <v>0</v>
      </c>
      <c r="P2613" s="7">
        <v>28.1</v>
      </c>
      <c r="Q2613">
        <v>1</v>
      </c>
      <c r="R2613" t="s">
        <v>63</v>
      </c>
      <c r="S2613">
        <v>5</v>
      </c>
      <c r="T2613">
        <v>140</v>
      </c>
      <c r="U2613" s="11">
        <v>0.7818314824680298</v>
      </c>
      <c r="V2613" s="11">
        <v>0.62348980185873359</v>
      </c>
      <c r="W2613" s="11">
        <v>0.68197214909046289</v>
      </c>
      <c r="X2613" s="11">
        <v>-0.73137814286792535</v>
      </c>
      <c r="Y2613">
        <v>0</v>
      </c>
      <c r="Z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6">
        <v>45797</v>
      </c>
      <c r="B2614" t="s">
        <v>41</v>
      </c>
      <c r="C2614" t="s">
        <v>42</v>
      </c>
      <c r="D2614" t="s">
        <v>43</v>
      </c>
      <c r="E2614" t="s">
        <v>44</v>
      </c>
      <c r="F2614">
        <v>85</v>
      </c>
      <c r="G2614">
        <v>210</v>
      </c>
      <c r="H2614">
        <v>106</v>
      </c>
      <c r="I2614">
        <v>48</v>
      </c>
      <c r="J2614" s="8">
        <v>0.56470588235294117</v>
      </c>
      <c r="K2614">
        <v>20</v>
      </c>
      <c r="L2614">
        <v>9</v>
      </c>
      <c r="M2614">
        <v>94</v>
      </c>
      <c r="N2614" s="10">
        <v>522.1</v>
      </c>
      <c r="O2614" s="7">
        <v>0</v>
      </c>
      <c r="P2614" s="7">
        <v>28.1</v>
      </c>
      <c r="Q2614">
        <v>1</v>
      </c>
      <c r="R2614" t="s">
        <v>63</v>
      </c>
      <c r="S2614">
        <v>5</v>
      </c>
      <c r="T2614">
        <v>140</v>
      </c>
      <c r="U2614" s="11">
        <v>0.7818314824680298</v>
      </c>
      <c r="V2614" s="11">
        <v>0.62348980185873359</v>
      </c>
      <c r="W2614" s="11">
        <v>0.68197214909046289</v>
      </c>
      <c r="X2614" s="11">
        <v>-0.73137814286792535</v>
      </c>
      <c r="Y2614">
        <v>0</v>
      </c>
      <c r="Z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6">
        <v>45798</v>
      </c>
      <c r="B2615" t="s">
        <v>31</v>
      </c>
      <c r="C2615" t="s">
        <v>32</v>
      </c>
      <c r="D2615" t="s">
        <v>33</v>
      </c>
      <c r="E2615" t="s">
        <v>34</v>
      </c>
      <c r="F2615">
        <v>140</v>
      </c>
      <c r="G2615">
        <v>360</v>
      </c>
      <c r="H2615">
        <v>183</v>
      </c>
      <c r="I2615">
        <v>79</v>
      </c>
      <c r="J2615" s="8">
        <v>0.56428571428571428</v>
      </c>
      <c r="K2615">
        <v>34</v>
      </c>
      <c r="L2615">
        <v>18</v>
      </c>
      <c r="M2615">
        <v>149</v>
      </c>
      <c r="N2615" s="10">
        <v>401.08</v>
      </c>
      <c r="O2615" s="7">
        <v>12.6</v>
      </c>
      <c r="P2615" s="7">
        <v>27.9</v>
      </c>
      <c r="Q2615">
        <v>2</v>
      </c>
      <c r="R2615" t="s">
        <v>64</v>
      </c>
      <c r="S2615">
        <v>5</v>
      </c>
      <c r="T2615">
        <v>141</v>
      </c>
      <c r="U2615" s="11">
        <v>0.97492791218182362</v>
      </c>
      <c r="V2615" s="11">
        <v>-0.22252093395631434</v>
      </c>
      <c r="W2615" s="11">
        <v>0.66929038954125675</v>
      </c>
      <c r="X2615" s="11">
        <v>-0.74300092494404935</v>
      </c>
      <c r="Y2615">
        <v>0</v>
      </c>
      <c r="Z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6">
        <v>45798</v>
      </c>
      <c r="B2616" t="s">
        <v>36</v>
      </c>
      <c r="C2616" t="s">
        <v>37</v>
      </c>
      <c r="D2616" t="s">
        <v>38</v>
      </c>
      <c r="E2616" t="s">
        <v>39</v>
      </c>
      <c r="F2616">
        <v>125</v>
      </c>
      <c r="G2616">
        <v>320</v>
      </c>
      <c r="H2616">
        <v>161</v>
      </c>
      <c r="I2616">
        <v>69</v>
      </c>
      <c r="J2616" s="8">
        <v>0.55200000000000005</v>
      </c>
      <c r="K2616">
        <v>23</v>
      </c>
      <c r="L2616">
        <v>16</v>
      </c>
      <c r="M2616">
        <v>148</v>
      </c>
      <c r="N2616" s="10">
        <v>659.03</v>
      </c>
      <c r="O2616" s="7">
        <v>12.6</v>
      </c>
      <c r="P2616" s="7">
        <v>27.9</v>
      </c>
      <c r="Q2616">
        <v>2</v>
      </c>
      <c r="R2616" t="s">
        <v>64</v>
      </c>
      <c r="S2616">
        <v>5</v>
      </c>
      <c r="T2616">
        <v>141</v>
      </c>
      <c r="U2616" s="11">
        <v>0.97492791218182362</v>
      </c>
      <c r="V2616" s="11">
        <v>-0.22252093395631434</v>
      </c>
      <c r="W2616" s="11">
        <v>0.66929038954125675</v>
      </c>
      <c r="X2616" s="11">
        <v>-0.74300092494404935</v>
      </c>
      <c r="Y2616">
        <v>0</v>
      </c>
      <c r="Z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6">
        <v>45798</v>
      </c>
      <c r="B2617" t="s">
        <v>41</v>
      </c>
      <c r="C2617" t="s">
        <v>42</v>
      </c>
      <c r="D2617" t="s">
        <v>43</v>
      </c>
      <c r="E2617" t="s">
        <v>44</v>
      </c>
      <c r="F2617">
        <v>85</v>
      </c>
      <c r="G2617">
        <v>210</v>
      </c>
      <c r="H2617">
        <v>112</v>
      </c>
      <c r="I2617">
        <v>48</v>
      </c>
      <c r="J2617" s="8">
        <v>0.56470588235294117</v>
      </c>
      <c r="K2617">
        <v>18</v>
      </c>
      <c r="L2617">
        <v>28</v>
      </c>
      <c r="M2617">
        <v>97</v>
      </c>
      <c r="N2617" s="10">
        <v>541.11</v>
      </c>
      <c r="O2617" s="7">
        <v>12.6</v>
      </c>
      <c r="P2617" s="7">
        <v>27.9</v>
      </c>
      <c r="Q2617">
        <v>2</v>
      </c>
      <c r="R2617" t="s">
        <v>64</v>
      </c>
      <c r="S2617">
        <v>5</v>
      </c>
      <c r="T2617">
        <v>141</v>
      </c>
      <c r="U2617" s="11">
        <v>0.97492791218182362</v>
      </c>
      <c r="V2617" s="11">
        <v>-0.22252093395631434</v>
      </c>
      <c r="W2617" s="11">
        <v>0.66929038954125675</v>
      </c>
      <c r="X2617" s="11">
        <v>-0.74300092494404935</v>
      </c>
      <c r="Y2617">
        <v>0</v>
      </c>
      <c r="Z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6">
        <v>45799</v>
      </c>
      <c r="B2618" t="s">
        <v>31</v>
      </c>
      <c r="C2618" t="s">
        <v>32</v>
      </c>
      <c r="D2618" t="s">
        <v>33</v>
      </c>
      <c r="E2618" t="s">
        <v>34</v>
      </c>
      <c r="F2618">
        <v>140</v>
      </c>
      <c r="G2618">
        <v>360</v>
      </c>
      <c r="H2618">
        <v>197</v>
      </c>
      <c r="I2618">
        <v>86</v>
      </c>
      <c r="J2618" s="8">
        <v>0.61428571428571432</v>
      </c>
      <c r="K2618">
        <v>53</v>
      </c>
      <c r="L2618">
        <v>56</v>
      </c>
      <c r="M2618">
        <v>164</v>
      </c>
      <c r="N2618" s="10">
        <v>424.31</v>
      </c>
      <c r="O2618" s="7">
        <v>7.1</v>
      </c>
      <c r="P2618" s="7">
        <v>27</v>
      </c>
      <c r="Q2618">
        <v>3</v>
      </c>
      <c r="R2618" t="s">
        <v>65</v>
      </c>
      <c r="S2618">
        <v>5</v>
      </c>
      <c r="T2618">
        <v>142</v>
      </c>
      <c r="U2618" s="11">
        <v>0.43388373911755823</v>
      </c>
      <c r="V2618" s="11">
        <v>-0.90096886790241903</v>
      </c>
      <c r="W2618" s="11">
        <v>0.65641057619793808</v>
      </c>
      <c r="X2618" s="11">
        <v>-0.75440384109274716</v>
      </c>
      <c r="Y2618">
        <v>0</v>
      </c>
      <c r="Z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6">
        <v>45799</v>
      </c>
      <c r="B2619" t="s">
        <v>36</v>
      </c>
      <c r="C2619" t="s">
        <v>37</v>
      </c>
      <c r="D2619" t="s">
        <v>38</v>
      </c>
      <c r="E2619" t="s">
        <v>39</v>
      </c>
      <c r="F2619">
        <v>125</v>
      </c>
      <c r="G2619">
        <v>320</v>
      </c>
      <c r="H2619">
        <v>148</v>
      </c>
      <c r="I2619">
        <v>64</v>
      </c>
      <c r="J2619" s="8">
        <v>0.51200000000000001</v>
      </c>
      <c r="K2619">
        <v>15</v>
      </c>
      <c r="L2619">
        <v>40</v>
      </c>
      <c r="M2619">
        <v>132</v>
      </c>
      <c r="N2619" s="10">
        <v>654.59</v>
      </c>
      <c r="O2619" s="7">
        <v>7.1</v>
      </c>
      <c r="P2619" s="7">
        <v>27</v>
      </c>
      <c r="Q2619">
        <v>3</v>
      </c>
      <c r="R2619" t="s">
        <v>65</v>
      </c>
      <c r="S2619">
        <v>5</v>
      </c>
      <c r="T2619">
        <v>142</v>
      </c>
      <c r="U2619" s="11">
        <v>0.43388373911755823</v>
      </c>
      <c r="V2619" s="11">
        <v>-0.90096886790241903</v>
      </c>
      <c r="W2619" s="11">
        <v>0.65641057619793808</v>
      </c>
      <c r="X2619" s="11">
        <v>-0.75440384109274716</v>
      </c>
      <c r="Y2619">
        <v>0</v>
      </c>
      <c r="Z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6">
        <v>45799</v>
      </c>
      <c r="B2620" t="s">
        <v>41</v>
      </c>
      <c r="C2620" t="s">
        <v>42</v>
      </c>
      <c r="D2620" t="s">
        <v>43</v>
      </c>
      <c r="E2620" t="s">
        <v>44</v>
      </c>
      <c r="F2620">
        <v>85</v>
      </c>
      <c r="G2620">
        <v>210</v>
      </c>
      <c r="H2620">
        <v>104</v>
      </c>
      <c r="I2620">
        <v>48</v>
      </c>
      <c r="J2620" s="8">
        <v>0.56470588235294117</v>
      </c>
      <c r="K2620">
        <v>22</v>
      </c>
      <c r="L2620">
        <v>20</v>
      </c>
      <c r="M2620">
        <v>85</v>
      </c>
      <c r="N2620" s="10">
        <v>538.16999999999996</v>
      </c>
      <c r="O2620" s="7">
        <v>7.1</v>
      </c>
      <c r="P2620" s="7">
        <v>27</v>
      </c>
      <c r="Q2620">
        <v>3</v>
      </c>
      <c r="R2620" t="s">
        <v>65</v>
      </c>
      <c r="S2620">
        <v>5</v>
      </c>
      <c r="T2620">
        <v>142</v>
      </c>
      <c r="U2620" s="11">
        <v>0.43388373911755823</v>
      </c>
      <c r="V2620" s="11">
        <v>-0.90096886790241903</v>
      </c>
      <c r="W2620" s="11">
        <v>0.65641057619793808</v>
      </c>
      <c r="X2620" s="11">
        <v>-0.75440384109274716</v>
      </c>
      <c r="Y2620">
        <v>0</v>
      </c>
      <c r="Z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6">
        <v>45800</v>
      </c>
      <c r="B2621" t="s">
        <v>31</v>
      </c>
      <c r="C2621" t="s">
        <v>32</v>
      </c>
      <c r="D2621" t="s">
        <v>33</v>
      </c>
      <c r="E2621" t="s">
        <v>34</v>
      </c>
      <c r="F2621">
        <v>140</v>
      </c>
      <c r="G2621">
        <v>360</v>
      </c>
      <c r="H2621">
        <v>179</v>
      </c>
      <c r="I2621">
        <v>78</v>
      </c>
      <c r="J2621" s="8">
        <v>0.55714285714285716</v>
      </c>
      <c r="K2621">
        <v>32</v>
      </c>
      <c r="L2621">
        <v>22</v>
      </c>
      <c r="M2621">
        <v>160</v>
      </c>
      <c r="N2621" s="10">
        <v>446.19</v>
      </c>
      <c r="O2621" s="7">
        <v>0</v>
      </c>
      <c r="P2621" s="7">
        <v>26.1</v>
      </c>
      <c r="Q2621">
        <v>4</v>
      </c>
      <c r="R2621" t="s">
        <v>66</v>
      </c>
      <c r="S2621">
        <v>5</v>
      </c>
      <c r="T2621">
        <v>143</v>
      </c>
      <c r="U2621" s="11">
        <v>-0.43388373911755801</v>
      </c>
      <c r="V2621" s="11">
        <v>-0.90096886790241915</v>
      </c>
      <c r="W2621" s="11">
        <v>0.64333652040449174</v>
      </c>
      <c r="X2621" s="11">
        <v>-0.76558351700767502</v>
      </c>
      <c r="Y2621">
        <v>0</v>
      </c>
      <c r="Z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6">
        <v>45800</v>
      </c>
      <c r="B2622" t="s">
        <v>36</v>
      </c>
      <c r="C2622" t="s">
        <v>37</v>
      </c>
      <c r="D2622" t="s">
        <v>38</v>
      </c>
      <c r="E2622" t="s">
        <v>39</v>
      </c>
      <c r="F2622">
        <v>125</v>
      </c>
      <c r="G2622">
        <v>320</v>
      </c>
      <c r="H2622">
        <v>153</v>
      </c>
      <c r="I2622">
        <v>63</v>
      </c>
      <c r="J2622" s="8">
        <v>0.504</v>
      </c>
      <c r="K2622">
        <v>42</v>
      </c>
      <c r="L2622">
        <v>28</v>
      </c>
      <c r="M2622">
        <v>139</v>
      </c>
      <c r="N2622" s="10">
        <v>627.05999999999995</v>
      </c>
      <c r="O2622" s="7">
        <v>0</v>
      </c>
      <c r="P2622" s="7">
        <v>26.1</v>
      </c>
      <c r="Q2622">
        <v>4</v>
      </c>
      <c r="R2622" t="s">
        <v>66</v>
      </c>
      <c r="S2622">
        <v>5</v>
      </c>
      <c r="T2622">
        <v>143</v>
      </c>
      <c r="U2622" s="11">
        <v>-0.43388373911755801</v>
      </c>
      <c r="V2622" s="11">
        <v>-0.90096886790241915</v>
      </c>
      <c r="W2622" s="11">
        <v>0.64333652040449174</v>
      </c>
      <c r="X2622" s="11">
        <v>-0.76558351700767502</v>
      </c>
      <c r="Y2622">
        <v>0</v>
      </c>
      <c r="Z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6">
        <v>45800</v>
      </c>
      <c r="B2623" t="s">
        <v>41</v>
      </c>
      <c r="C2623" t="s">
        <v>42</v>
      </c>
      <c r="D2623" t="s">
        <v>43</v>
      </c>
      <c r="E2623" t="s">
        <v>44</v>
      </c>
      <c r="F2623">
        <v>85</v>
      </c>
      <c r="G2623">
        <v>210</v>
      </c>
      <c r="H2623">
        <v>126</v>
      </c>
      <c r="I2623">
        <v>52</v>
      </c>
      <c r="J2623" s="8">
        <v>0.61176470588235299</v>
      </c>
      <c r="K2623">
        <v>26</v>
      </c>
      <c r="L2623">
        <v>28</v>
      </c>
      <c r="M2623">
        <v>116</v>
      </c>
      <c r="N2623" s="10">
        <v>508.11</v>
      </c>
      <c r="O2623" s="7">
        <v>0</v>
      </c>
      <c r="P2623" s="7">
        <v>26.1</v>
      </c>
      <c r="Q2623">
        <v>4</v>
      </c>
      <c r="R2623" t="s">
        <v>66</v>
      </c>
      <c r="S2623">
        <v>5</v>
      </c>
      <c r="T2623">
        <v>143</v>
      </c>
      <c r="U2623" s="11">
        <v>-0.43388373911755801</v>
      </c>
      <c r="V2623" s="11">
        <v>-0.90096886790241915</v>
      </c>
      <c r="W2623" s="11">
        <v>0.64333652040449174</v>
      </c>
      <c r="X2623" s="11">
        <v>-0.76558351700767502</v>
      </c>
      <c r="Y2623">
        <v>0</v>
      </c>
      <c r="Z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6">
        <v>45801</v>
      </c>
      <c r="B2624" t="s">
        <v>31</v>
      </c>
      <c r="C2624" t="s">
        <v>32</v>
      </c>
      <c r="D2624" t="s">
        <v>33</v>
      </c>
      <c r="E2624" t="s">
        <v>34</v>
      </c>
      <c r="F2624">
        <v>140</v>
      </c>
      <c r="G2624">
        <v>360</v>
      </c>
      <c r="H2624">
        <v>218</v>
      </c>
      <c r="I2624">
        <v>94</v>
      </c>
      <c r="J2624" s="8">
        <v>0.67142857142857137</v>
      </c>
      <c r="K2624">
        <v>59</v>
      </c>
      <c r="L2624">
        <v>56</v>
      </c>
      <c r="M2624">
        <v>182</v>
      </c>
      <c r="N2624" s="10">
        <v>438.02</v>
      </c>
      <c r="O2624" s="7">
        <v>6.4</v>
      </c>
      <c r="P2624" s="7">
        <v>26.2</v>
      </c>
      <c r="Q2624">
        <v>5</v>
      </c>
      <c r="R2624" t="s">
        <v>67</v>
      </c>
      <c r="S2624">
        <v>5</v>
      </c>
      <c r="T2624">
        <v>144</v>
      </c>
      <c r="U2624" s="11">
        <v>-0.97492791218182362</v>
      </c>
      <c r="V2624" s="11">
        <v>-0.22252093395631459</v>
      </c>
      <c r="W2624" s="11">
        <v>0.63007209098436867</v>
      </c>
      <c r="X2624" s="11">
        <v>-0.77653664444286552</v>
      </c>
      <c r="Y2624">
        <v>1</v>
      </c>
      <c r="Z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6">
        <v>45801</v>
      </c>
      <c r="B2625" t="s">
        <v>36</v>
      </c>
      <c r="C2625" t="s">
        <v>37</v>
      </c>
      <c r="D2625" t="s">
        <v>38</v>
      </c>
      <c r="E2625" t="s">
        <v>39</v>
      </c>
      <c r="F2625">
        <v>125</v>
      </c>
      <c r="G2625">
        <v>320</v>
      </c>
      <c r="H2625">
        <v>173</v>
      </c>
      <c r="I2625">
        <v>77</v>
      </c>
      <c r="J2625" s="8">
        <v>0.61599999999999999</v>
      </c>
      <c r="K2625">
        <v>25</v>
      </c>
      <c r="L2625">
        <v>44</v>
      </c>
      <c r="M2625">
        <v>145</v>
      </c>
      <c r="N2625" s="10">
        <v>732.96</v>
      </c>
      <c r="O2625" s="7">
        <v>6.4</v>
      </c>
      <c r="P2625" s="7">
        <v>26.2</v>
      </c>
      <c r="Q2625">
        <v>5</v>
      </c>
      <c r="R2625" t="s">
        <v>67</v>
      </c>
      <c r="S2625">
        <v>5</v>
      </c>
      <c r="T2625">
        <v>144</v>
      </c>
      <c r="U2625" s="11">
        <v>-0.97492791218182362</v>
      </c>
      <c r="V2625" s="11">
        <v>-0.22252093395631459</v>
      </c>
      <c r="W2625" s="11">
        <v>0.63007209098436867</v>
      </c>
      <c r="X2625" s="11">
        <v>-0.77653664444286552</v>
      </c>
      <c r="Y2625">
        <v>1</v>
      </c>
      <c r="Z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6">
        <v>45801</v>
      </c>
      <c r="B2626" t="s">
        <v>41</v>
      </c>
      <c r="C2626" t="s">
        <v>42</v>
      </c>
      <c r="D2626" t="s">
        <v>43</v>
      </c>
      <c r="E2626" t="s">
        <v>44</v>
      </c>
      <c r="F2626">
        <v>85</v>
      </c>
      <c r="G2626">
        <v>210</v>
      </c>
      <c r="H2626">
        <v>141</v>
      </c>
      <c r="I2626">
        <v>62</v>
      </c>
      <c r="J2626" s="8">
        <v>0.72941176470588232</v>
      </c>
      <c r="K2626">
        <v>20</v>
      </c>
      <c r="L2626">
        <v>13</v>
      </c>
      <c r="M2626">
        <v>130</v>
      </c>
      <c r="N2626" s="10">
        <v>615.32000000000005</v>
      </c>
      <c r="O2626" s="7">
        <v>6.4</v>
      </c>
      <c r="P2626" s="7">
        <v>26.2</v>
      </c>
      <c r="Q2626">
        <v>5</v>
      </c>
      <c r="R2626" t="s">
        <v>67</v>
      </c>
      <c r="S2626">
        <v>5</v>
      </c>
      <c r="T2626">
        <v>144</v>
      </c>
      <c r="U2626" s="11">
        <v>-0.97492791218182362</v>
      </c>
      <c r="V2626" s="11">
        <v>-0.22252093395631459</v>
      </c>
      <c r="W2626" s="11">
        <v>0.63007209098436867</v>
      </c>
      <c r="X2626" s="11">
        <v>-0.77653664444286552</v>
      </c>
      <c r="Y2626">
        <v>1</v>
      </c>
      <c r="Z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6">
        <v>45802</v>
      </c>
      <c r="B2627" t="s">
        <v>31</v>
      </c>
      <c r="C2627" t="s">
        <v>32</v>
      </c>
      <c r="D2627" t="s">
        <v>33</v>
      </c>
      <c r="E2627" t="s">
        <v>34</v>
      </c>
      <c r="F2627">
        <v>140</v>
      </c>
      <c r="G2627">
        <v>360</v>
      </c>
      <c r="H2627">
        <v>209</v>
      </c>
      <c r="I2627">
        <v>86</v>
      </c>
      <c r="J2627" s="8">
        <v>0.61428571428571432</v>
      </c>
      <c r="K2627">
        <v>36</v>
      </c>
      <c r="L2627">
        <v>38</v>
      </c>
      <c r="M2627">
        <v>193</v>
      </c>
      <c r="N2627" s="10">
        <v>490.56</v>
      </c>
      <c r="O2627" s="7">
        <v>23.3</v>
      </c>
      <c r="P2627" s="7">
        <v>27.2</v>
      </c>
      <c r="Q2627">
        <v>6</v>
      </c>
      <c r="R2627" t="s">
        <v>60</v>
      </c>
      <c r="S2627">
        <v>5</v>
      </c>
      <c r="T2627">
        <v>145</v>
      </c>
      <c r="U2627" s="11">
        <v>-0.78183148246802991</v>
      </c>
      <c r="V2627" s="11">
        <v>0.62348980185873337</v>
      </c>
      <c r="W2627" s="11">
        <v>0.61662121309563822</v>
      </c>
      <c r="X2627" s="11">
        <v>-0.78725998219169224</v>
      </c>
      <c r="Y2627">
        <v>1</v>
      </c>
      <c r="Z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6">
        <v>45802</v>
      </c>
      <c r="B2628" t="s">
        <v>36</v>
      </c>
      <c r="C2628" t="s">
        <v>37</v>
      </c>
      <c r="D2628" t="s">
        <v>38</v>
      </c>
      <c r="E2628" t="s">
        <v>39</v>
      </c>
      <c r="F2628">
        <v>125</v>
      </c>
      <c r="G2628">
        <v>320</v>
      </c>
      <c r="H2628">
        <v>195</v>
      </c>
      <c r="I2628">
        <v>81</v>
      </c>
      <c r="J2628" s="8">
        <v>0.64800000000000002</v>
      </c>
      <c r="K2628">
        <v>34</v>
      </c>
      <c r="L2628">
        <v>34</v>
      </c>
      <c r="M2628">
        <v>172</v>
      </c>
      <c r="N2628" s="10">
        <v>757.94</v>
      </c>
      <c r="O2628" s="7">
        <v>23.3</v>
      </c>
      <c r="P2628" s="7">
        <v>27.2</v>
      </c>
      <c r="Q2628">
        <v>6</v>
      </c>
      <c r="R2628" t="s">
        <v>60</v>
      </c>
      <c r="S2628">
        <v>5</v>
      </c>
      <c r="T2628">
        <v>145</v>
      </c>
      <c r="U2628" s="11">
        <v>-0.78183148246802991</v>
      </c>
      <c r="V2628" s="11">
        <v>0.62348980185873337</v>
      </c>
      <c r="W2628" s="11">
        <v>0.61662121309563822</v>
      </c>
      <c r="X2628" s="11">
        <v>-0.78725998219169224</v>
      </c>
      <c r="Y2628">
        <v>1</v>
      </c>
      <c r="Z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6">
        <v>45802</v>
      </c>
      <c r="B2629" t="s">
        <v>41</v>
      </c>
      <c r="C2629" t="s">
        <v>42</v>
      </c>
      <c r="D2629" t="s">
        <v>43</v>
      </c>
      <c r="E2629" t="s">
        <v>44</v>
      </c>
      <c r="F2629">
        <v>85</v>
      </c>
      <c r="G2629">
        <v>210</v>
      </c>
      <c r="H2629">
        <v>136</v>
      </c>
      <c r="I2629">
        <v>60</v>
      </c>
      <c r="J2629" s="8">
        <v>0.70588235294117652</v>
      </c>
      <c r="K2629">
        <v>19</v>
      </c>
      <c r="L2629">
        <v>26</v>
      </c>
      <c r="M2629">
        <v>114</v>
      </c>
      <c r="N2629" s="10">
        <v>616.5</v>
      </c>
      <c r="O2629" s="7">
        <v>23.3</v>
      </c>
      <c r="P2629" s="7">
        <v>27.2</v>
      </c>
      <c r="Q2629">
        <v>6</v>
      </c>
      <c r="R2629" t="s">
        <v>60</v>
      </c>
      <c r="S2629">
        <v>5</v>
      </c>
      <c r="T2629">
        <v>145</v>
      </c>
      <c r="U2629" s="11">
        <v>-0.78183148246802991</v>
      </c>
      <c r="V2629" s="11">
        <v>0.62348980185873337</v>
      </c>
      <c r="W2629" s="11">
        <v>0.61662121309563822</v>
      </c>
      <c r="X2629" s="11">
        <v>-0.78725998219169224</v>
      </c>
      <c r="Y2629">
        <v>1</v>
      </c>
      <c r="Z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6">
        <v>45803</v>
      </c>
      <c r="B2630" t="s">
        <v>31</v>
      </c>
      <c r="C2630" t="s">
        <v>32</v>
      </c>
      <c r="D2630" t="s">
        <v>33</v>
      </c>
      <c r="E2630" t="s">
        <v>34</v>
      </c>
      <c r="F2630">
        <v>140</v>
      </c>
      <c r="G2630">
        <v>360</v>
      </c>
      <c r="H2630">
        <v>204</v>
      </c>
      <c r="I2630">
        <v>83</v>
      </c>
      <c r="J2630" s="8">
        <v>0.59285714285714286</v>
      </c>
      <c r="K2630">
        <v>29</v>
      </c>
      <c r="L2630">
        <v>33</v>
      </c>
      <c r="M2630">
        <v>168</v>
      </c>
      <c r="N2630" s="10">
        <v>465.55</v>
      </c>
      <c r="O2630" s="7">
        <v>18.5</v>
      </c>
      <c r="P2630" s="7">
        <v>26.4</v>
      </c>
      <c r="Q2630">
        <v>0</v>
      </c>
      <c r="R2630" t="s">
        <v>62</v>
      </c>
      <c r="S2630">
        <v>5</v>
      </c>
      <c r="T2630">
        <v>146</v>
      </c>
      <c r="U2630" s="11">
        <v>0</v>
      </c>
      <c r="V2630" s="11">
        <v>1</v>
      </c>
      <c r="W2630" s="11">
        <v>0.60298786706947138</v>
      </c>
      <c r="X2630" s="11">
        <v>-0.79775035704599317</v>
      </c>
      <c r="Y2630">
        <v>0</v>
      </c>
      <c r="Z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6">
        <v>45803</v>
      </c>
      <c r="B2631" t="s">
        <v>36</v>
      </c>
      <c r="C2631" t="s">
        <v>37</v>
      </c>
      <c r="D2631" t="s">
        <v>38</v>
      </c>
      <c r="E2631" t="s">
        <v>39</v>
      </c>
      <c r="F2631">
        <v>125</v>
      </c>
      <c r="G2631">
        <v>320</v>
      </c>
      <c r="H2631">
        <v>176</v>
      </c>
      <c r="I2631">
        <v>73</v>
      </c>
      <c r="J2631" s="8">
        <v>0.58399999999999996</v>
      </c>
      <c r="K2631">
        <v>46</v>
      </c>
      <c r="L2631">
        <v>41</v>
      </c>
      <c r="M2631">
        <v>163</v>
      </c>
      <c r="N2631" s="10">
        <v>627.87</v>
      </c>
      <c r="O2631" s="7">
        <v>18.5</v>
      </c>
      <c r="P2631" s="7">
        <v>26.4</v>
      </c>
      <c r="Q2631">
        <v>0</v>
      </c>
      <c r="R2631" t="s">
        <v>62</v>
      </c>
      <c r="S2631">
        <v>5</v>
      </c>
      <c r="T2631">
        <v>146</v>
      </c>
      <c r="U2631" s="11">
        <v>0</v>
      </c>
      <c r="V2631" s="11">
        <v>1</v>
      </c>
      <c r="W2631" s="11">
        <v>0.60298786706947138</v>
      </c>
      <c r="X2631" s="11">
        <v>-0.79775035704599317</v>
      </c>
      <c r="Y2631">
        <v>0</v>
      </c>
      <c r="Z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6">
        <v>45803</v>
      </c>
      <c r="B2632" t="s">
        <v>41</v>
      </c>
      <c r="C2632" t="s">
        <v>42</v>
      </c>
      <c r="D2632" t="s">
        <v>43</v>
      </c>
      <c r="E2632" t="s">
        <v>44</v>
      </c>
      <c r="F2632">
        <v>85</v>
      </c>
      <c r="G2632">
        <v>210</v>
      </c>
      <c r="H2632">
        <v>120</v>
      </c>
      <c r="I2632">
        <v>55</v>
      </c>
      <c r="J2632" s="8">
        <v>0.6470588235294118</v>
      </c>
      <c r="K2632">
        <v>23</v>
      </c>
      <c r="L2632">
        <v>24</v>
      </c>
      <c r="M2632">
        <v>110</v>
      </c>
      <c r="N2632" s="10">
        <v>504.84</v>
      </c>
      <c r="O2632" s="7">
        <v>18.5</v>
      </c>
      <c r="P2632" s="7">
        <v>26.4</v>
      </c>
      <c r="Q2632">
        <v>0</v>
      </c>
      <c r="R2632" t="s">
        <v>62</v>
      </c>
      <c r="S2632">
        <v>5</v>
      </c>
      <c r="T2632">
        <v>146</v>
      </c>
      <c r="U2632" s="11">
        <v>0</v>
      </c>
      <c r="V2632" s="11">
        <v>1</v>
      </c>
      <c r="W2632" s="11">
        <v>0.60298786706947138</v>
      </c>
      <c r="X2632" s="11">
        <v>-0.79775035704599317</v>
      </c>
      <c r="Y2632">
        <v>0</v>
      </c>
      <c r="Z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6">
        <v>45804</v>
      </c>
      <c r="B2633" t="s">
        <v>31</v>
      </c>
      <c r="C2633" t="s">
        <v>32</v>
      </c>
      <c r="D2633" t="s">
        <v>33</v>
      </c>
      <c r="E2633" t="s">
        <v>34</v>
      </c>
      <c r="F2633">
        <v>140</v>
      </c>
      <c r="G2633">
        <v>360</v>
      </c>
      <c r="H2633">
        <v>185</v>
      </c>
      <c r="I2633">
        <v>79</v>
      </c>
      <c r="J2633" s="8">
        <v>0.56428571428571428</v>
      </c>
      <c r="K2633">
        <v>34</v>
      </c>
      <c r="L2633">
        <v>30</v>
      </c>
      <c r="M2633">
        <v>172</v>
      </c>
      <c r="N2633" s="10">
        <v>451.77</v>
      </c>
      <c r="O2633" s="7">
        <v>7.1</v>
      </c>
      <c r="P2633" s="7">
        <v>27.2</v>
      </c>
      <c r="Q2633">
        <v>1</v>
      </c>
      <c r="R2633" t="s">
        <v>63</v>
      </c>
      <c r="S2633">
        <v>5</v>
      </c>
      <c r="T2633">
        <v>147</v>
      </c>
      <c r="U2633" s="11">
        <v>0.7818314824680298</v>
      </c>
      <c r="V2633" s="11">
        <v>0.62348980185873359</v>
      </c>
      <c r="W2633" s="11">
        <v>0.58917608723229631</v>
      </c>
      <c r="X2633" s="11">
        <v>-0.80800466473507537</v>
      </c>
      <c r="Y2633">
        <v>0</v>
      </c>
      <c r="Z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6">
        <v>45804</v>
      </c>
      <c r="B2634" t="s">
        <v>36</v>
      </c>
      <c r="C2634" t="s">
        <v>37</v>
      </c>
      <c r="D2634" t="s">
        <v>38</v>
      </c>
      <c r="E2634" t="s">
        <v>39</v>
      </c>
      <c r="F2634">
        <v>125</v>
      </c>
      <c r="G2634">
        <v>320</v>
      </c>
      <c r="H2634">
        <v>169</v>
      </c>
      <c r="I2634">
        <v>70</v>
      </c>
      <c r="J2634" s="8">
        <v>0.56000000000000005</v>
      </c>
      <c r="K2634">
        <v>32</v>
      </c>
      <c r="L2634">
        <v>35</v>
      </c>
      <c r="M2634">
        <v>144</v>
      </c>
      <c r="N2634" s="10">
        <v>573.62</v>
      </c>
      <c r="O2634" s="7">
        <v>7.1</v>
      </c>
      <c r="P2634" s="7">
        <v>27.2</v>
      </c>
      <c r="Q2634">
        <v>1</v>
      </c>
      <c r="R2634" t="s">
        <v>63</v>
      </c>
      <c r="S2634">
        <v>5</v>
      </c>
      <c r="T2634">
        <v>147</v>
      </c>
      <c r="U2634" s="11">
        <v>0.7818314824680298</v>
      </c>
      <c r="V2634" s="11">
        <v>0.62348980185873359</v>
      </c>
      <c r="W2634" s="11">
        <v>0.58917608723229631</v>
      </c>
      <c r="X2634" s="11">
        <v>-0.80800466473507537</v>
      </c>
      <c r="Y2634">
        <v>0</v>
      </c>
      <c r="Z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6">
        <v>45804</v>
      </c>
      <c r="B2635" t="s">
        <v>41</v>
      </c>
      <c r="C2635" t="s">
        <v>42</v>
      </c>
      <c r="D2635" t="s">
        <v>43</v>
      </c>
      <c r="E2635" t="s">
        <v>44</v>
      </c>
      <c r="F2635">
        <v>85</v>
      </c>
      <c r="G2635">
        <v>210</v>
      </c>
      <c r="H2635">
        <v>109</v>
      </c>
      <c r="I2635">
        <v>48</v>
      </c>
      <c r="J2635" s="8">
        <v>0.56470588235294117</v>
      </c>
      <c r="K2635">
        <v>31</v>
      </c>
      <c r="L2635">
        <v>25</v>
      </c>
      <c r="M2635">
        <v>93</v>
      </c>
      <c r="N2635" s="10">
        <v>541.95000000000005</v>
      </c>
      <c r="O2635" s="7">
        <v>7.1</v>
      </c>
      <c r="P2635" s="7">
        <v>27.2</v>
      </c>
      <c r="Q2635">
        <v>1</v>
      </c>
      <c r="R2635" t="s">
        <v>63</v>
      </c>
      <c r="S2635">
        <v>5</v>
      </c>
      <c r="T2635">
        <v>147</v>
      </c>
      <c r="U2635" s="11">
        <v>0.7818314824680298</v>
      </c>
      <c r="V2635" s="11">
        <v>0.62348980185873359</v>
      </c>
      <c r="W2635" s="11">
        <v>0.58917608723229631</v>
      </c>
      <c r="X2635" s="11">
        <v>-0.80800466473507537</v>
      </c>
      <c r="Y2635">
        <v>0</v>
      </c>
      <c r="Z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6">
        <v>45805</v>
      </c>
      <c r="B2636" t="s">
        <v>31</v>
      </c>
      <c r="C2636" t="s">
        <v>32</v>
      </c>
      <c r="D2636" t="s">
        <v>33</v>
      </c>
      <c r="E2636" t="s">
        <v>34</v>
      </c>
      <c r="F2636">
        <v>140</v>
      </c>
      <c r="G2636">
        <v>360</v>
      </c>
      <c r="H2636">
        <v>189</v>
      </c>
      <c r="I2636">
        <v>81</v>
      </c>
      <c r="J2636" s="8">
        <v>0.57857142857142863</v>
      </c>
      <c r="K2636">
        <v>41</v>
      </c>
      <c r="L2636">
        <v>44</v>
      </c>
      <c r="M2636">
        <v>165</v>
      </c>
      <c r="N2636" s="10">
        <v>399.44</v>
      </c>
      <c r="O2636" s="7">
        <v>11.5</v>
      </c>
      <c r="P2636" s="7">
        <v>27.3</v>
      </c>
      <c r="Q2636">
        <v>2</v>
      </c>
      <c r="R2636" t="s">
        <v>64</v>
      </c>
      <c r="S2636">
        <v>5</v>
      </c>
      <c r="T2636">
        <v>148</v>
      </c>
      <c r="U2636" s="11">
        <v>0.97492791218182362</v>
      </c>
      <c r="V2636" s="11">
        <v>-0.22252093395631434</v>
      </c>
      <c r="W2636" s="11">
        <v>0.57518996071197748</v>
      </c>
      <c r="X2636" s="11">
        <v>-0.81801987084431749</v>
      </c>
      <c r="Y2636">
        <v>0</v>
      </c>
      <c r="Z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6">
        <v>45805</v>
      </c>
      <c r="B2637" t="s">
        <v>36</v>
      </c>
      <c r="C2637" t="s">
        <v>37</v>
      </c>
      <c r="D2637" t="s">
        <v>38</v>
      </c>
      <c r="E2637" t="s">
        <v>39</v>
      </c>
      <c r="F2637">
        <v>125</v>
      </c>
      <c r="G2637">
        <v>320</v>
      </c>
      <c r="H2637">
        <v>170</v>
      </c>
      <c r="I2637">
        <v>72</v>
      </c>
      <c r="J2637" s="8">
        <v>0.57599999999999996</v>
      </c>
      <c r="K2637">
        <v>41</v>
      </c>
      <c r="L2637">
        <v>34</v>
      </c>
      <c r="M2637">
        <v>141</v>
      </c>
      <c r="N2637" s="10">
        <v>619.62</v>
      </c>
      <c r="O2637" s="7">
        <v>11.5</v>
      </c>
      <c r="P2637" s="7">
        <v>27.3</v>
      </c>
      <c r="Q2637">
        <v>2</v>
      </c>
      <c r="R2637" t="s">
        <v>64</v>
      </c>
      <c r="S2637">
        <v>5</v>
      </c>
      <c r="T2637">
        <v>148</v>
      </c>
      <c r="U2637" s="11">
        <v>0.97492791218182362</v>
      </c>
      <c r="V2637" s="11">
        <v>-0.22252093395631434</v>
      </c>
      <c r="W2637" s="11">
        <v>0.57518996071197748</v>
      </c>
      <c r="X2637" s="11">
        <v>-0.81801987084431749</v>
      </c>
      <c r="Y2637">
        <v>0</v>
      </c>
      <c r="Z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6">
        <v>45805</v>
      </c>
      <c r="B2638" t="s">
        <v>41</v>
      </c>
      <c r="C2638" t="s">
        <v>42</v>
      </c>
      <c r="D2638" t="s">
        <v>43</v>
      </c>
      <c r="E2638" t="s">
        <v>44</v>
      </c>
      <c r="F2638">
        <v>85</v>
      </c>
      <c r="G2638">
        <v>210</v>
      </c>
      <c r="H2638">
        <v>131</v>
      </c>
      <c r="I2638">
        <v>55</v>
      </c>
      <c r="J2638" s="8">
        <v>0.6470588235294118</v>
      </c>
      <c r="K2638">
        <v>25</v>
      </c>
      <c r="L2638">
        <v>23</v>
      </c>
      <c r="M2638">
        <v>120</v>
      </c>
      <c r="N2638" s="10">
        <v>523.30999999999995</v>
      </c>
      <c r="O2638" s="7">
        <v>11.5</v>
      </c>
      <c r="P2638" s="7">
        <v>27.3</v>
      </c>
      <c r="Q2638">
        <v>2</v>
      </c>
      <c r="R2638" t="s">
        <v>64</v>
      </c>
      <c r="S2638">
        <v>5</v>
      </c>
      <c r="T2638">
        <v>148</v>
      </c>
      <c r="U2638" s="11">
        <v>0.97492791218182362</v>
      </c>
      <c r="V2638" s="11">
        <v>-0.22252093395631434</v>
      </c>
      <c r="W2638" s="11">
        <v>0.57518996071197748</v>
      </c>
      <c r="X2638" s="11">
        <v>-0.81801987084431749</v>
      </c>
      <c r="Y2638">
        <v>0</v>
      </c>
      <c r="Z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6">
        <v>45806</v>
      </c>
      <c r="B2639" t="s">
        <v>31</v>
      </c>
      <c r="C2639" t="s">
        <v>32</v>
      </c>
      <c r="D2639" t="s">
        <v>33</v>
      </c>
      <c r="E2639" t="s">
        <v>34</v>
      </c>
      <c r="F2639">
        <v>140</v>
      </c>
      <c r="G2639">
        <v>360</v>
      </c>
      <c r="H2639">
        <v>185</v>
      </c>
      <c r="I2639">
        <v>80</v>
      </c>
      <c r="J2639" s="8">
        <v>0.5714285714285714</v>
      </c>
      <c r="K2639">
        <v>27</v>
      </c>
      <c r="L2639">
        <v>20</v>
      </c>
      <c r="M2639">
        <v>163</v>
      </c>
      <c r="N2639" s="10">
        <v>421.98</v>
      </c>
      <c r="O2639" s="7">
        <v>18.2</v>
      </c>
      <c r="P2639" s="7">
        <v>27.7</v>
      </c>
      <c r="Q2639">
        <v>3</v>
      </c>
      <c r="R2639" t="s">
        <v>65</v>
      </c>
      <c r="S2639">
        <v>5</v>
      </c>
      <c r="T2639">
        <v>149</v>
      </c>
      <c r="U2639" s="11">
        <v>0.43388373911755823</v>
      </c>
      <c r="V2639" s="11">
        <v>-0.90096886790241903</v>
      </c>
      <c r="W2639" s="11">
        <v>0.56103362622836772</v>
      </c>
      <c r="X2639" s="11">
        <v>-0.82779301171310216</v>
      </c>
      <c r="Y2639">
        <v>0</v>
      </c>
      <c r="Z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6">
        <v>45806</v>
      </c>
      <c r="B2640" t="s">
        <v>36</v>
      </c>
      <c r="C2640" t="s">
        <v>37</v>
      </c>
      <c r="D2640" t="s">
        <v>38</v>
      </c>
      <c r="E2640" t="s">
        <v>39</v>
      </c>
      <c r="F2640">
        <v>125</v>
      </c>
      <c r="G2640">
        <v>320</v>
      </c>
      <c r="H2640">
        <v>158</v>
      </c>
      <c r="I2640">
        <v>65</v>
      </c>
      <c r="J2640" s="8">
        <v>0.52</v>
      </c>
      <c r="K2640">
        <v>30</v>
      </c>
      <c r="L2640">
        <v>29</v>
      </c>
      <c r="M2640">
        <v>142</v>
      </c>
      <c r="N2640" s="10">
        <v>564.04999999999995</v>
      </c>
      <c r="O2640" s="7">
        <v>18.2</v>
      </c>
      <c r="P2640" s="7">
        <v>27.7</v>
      </c>
      <c r="Q2640">
        <v>3</v>
      </c>
      <c r="R2640" t="s">
        <v>65</v>
      </c>
      <c r="S2640">
        <v>5</v>
      </c>
      <c r="T2640">
        <v>149</v>
      </c>
      <c r="U2640" s="11">
        <v>0.43388373911755823</v>
      </c>
      <c r="V2640" s="11">
        <v>-0.90096886790241903</v>
      </c>
      <c r="W2640" s="11">
        <v>0.56103362622836772</v>
      </c>
      <c r="X2640" s="11">
        <v>-0.82779301171310216</v>
      </c>
      <c r="Y2640">
        <v>0</v>
      </c>
      <c r="Z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6">
        <v>45806</v>
      </c>
      <c r="B2641" t="s">
        <v>41</v>
      </c>
      <c r="C2641" t="s">
        <v>42</v>
      </c>
      <c r="D2641" t="s">
        <v>43</v>
      </c>
      <c r="E2641" t="s">
        <v>44</v>
      </c>
      <c r="F2641">
        <v>85</v>
      </c>
      <c r="G2641">
        <v>210</v>
      </c>
      <c r="H2641">
        <v>111</v>
      </c>
      <c r="I2641">
        <v>47</v>
      </c>
      <c r="J2641" s="8">
        <v>0.55294117647058827</v>
      </c>
      <c r="K2641">
        <v>21</v>
      </c>
      <c r="L2641">
        <v>19</v>
      </c>
      <c r="M2641">
        <v>89</v>
      </c>
      <c r="N2641" s="10">
        <v>507.4</v>
      </c>
      <c r="O2641" s="7">
        <v>18.2</v>
      </c>
      <c r="P2641" s="7">
        <v>27.7</v>
      </c>
      <c r="Q2641">
        <v>3</v>
      </c>
      <c r="R2641" t="s">
        <v>65</v>
      </c>
      <c r="S2641">
        <v>5</v>
      </c>
      <c r="T2641">
        <v>149</v>
      </c>
      <c r="U2641" s="11">
        <v>0.43388373911755823</v>
      </c>
      <c r="V2641" s="11">
        <v>-0.90096886790241903</v>
      </c>
      <c r="W2641" s="11">
        <v>0.56103362622836772</v>
      </c>
      <c r="X2641" s="11">
        <v>-0.82779301171310216</v>
      </c>
      <c r="Y2641">
        <v>0</v>
      </c>
      <c r="Z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6">
        <v>45807</v>
      </c>
      <c r="B2642" t="s">
        <v>31</v>
      </c>
      <c r="C2642" t="s">
        <v>32</v>
      </c>
      <c r="D2642" t="s">
        <v>33</v>
      </c>
      <c r="E2642" t="s">
        <v>34</v>
      </c>
      <c r="F2642">
        <v>140</v>
      </c>
      <c r="G2642">
        <v>360</v>
      </c>
      <c r="H2642">
        <v>176</v>
      </c>
      <c r="I2642">
        <v>76</v>
      </c>
      <c r="J2642" s="8">
        <v>0.54285714285714282</v>
      </c>
      <c r="K2642">
        <v>50</v>
      </c>
      <c r="L2642">
        <v>33</v>
      </c>
      <c r="M2642">
        <v>153</v>
      </c>
      <c r="N2642" s="10">
        <v>431.63</v>
      </c>
      <c r="O2642" s="7">
        <v>3.6</v>
      </c>
      <c r="P2642" s="7">
        <v>25.9</v>
      </c>
      <c r="Q2642">
        <v>4</v>
      </c>
      <c r="R2642" t="s">
        <v>66</v>
      </c>
      <c r="S2642">
        <v>5</v>
      </c>
      <c r="T2642">
        <v>150</v>
      </c>
      <c r="U2642" s="11">
        <v>-0.43388373911755801</v>
      </c>
      <c r="V2642" s="11">
        <v>-0.90096886790241915</v>
      </c>
      <c r="W2642" s="11">
        <v>0.54671127286859389</v>
      </c>
      <c r="X2642" s="11">
        <v>-0.83732119531181215</v>
      </c>
      <c r="Y2642">
        <v>0</v>
      </c>
      <c r="Z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6">
        <v>45807</v>
      </c>
      <c r="B2643" t="s">
        <v>36</v>
      </c>
      <c r="C2643" t="s">
        <v>37</v>
      </c>
      <c r="D2643" t="s">
        <v>38</v>
      </c>
      <c r="E2643" t="s">
        <v>39</v>
      </c>
      <c r="F2643">
        <v>125</v>
      </c>
      <c r="G2643">
        <v>320</v>
      </c>
      <c r="H2643">
        <v>181</v>
      </c>
      <c r="I2643">
        <v>75</v>
      </c>
      <c r="J2643" s="8">
        <v>0.6</v>
      </c>
      <c r="K2643">
        <v>45</v>
      </c>
      <c r="L2643">
        <v>43</v>
      </c>
      <c r="M2643">
        <v>164</v>
      </c>
      <c r="N2643" s="10">
        <v>658.21</v>
      </c>
      <c r="O2643" s="7">
        <v>3.6</v>
      </c>
      <c r="P2643" s="7">
        <v>25.9</v>
      </c>
      <c r="Q2643">
        <v>4</v>
      </c>
      <c r="R2643" t="s">
        <v>66</v>
      </c>
      <c r="S2643">
        <v>5</v>
      </c>
      <c r="T2643">
        <v>150</v>
      </c>
      <c r="U2643" s="11">
        <v>-0.43388373911755801</v>
      </c>
      <c r="V2643" s="11">
        <v>-0.90096886790241915</v>
      </c>
      <c r="W2643" s="11">
        <v>0.54671127286859389</v>
      </c>
      <c r="X2643" s="11">
        <v>-0.83732119531181215</v>
      </c>
      <c r="Y2643">
        <v>0</v>
      </c>
      <c r="Z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6">
        <v>45807</v>
      </c>
      <c r="B2644" t="s">
        <v>41</v>
      </c>
      <c r="C2644" t="s">
        <v>42</v>
      </c>
      <c r="D2644" t="s">
        <v>43</v>
      </c>
      <c r="E2644" t="s">
        <v>44</v>
      </c>
      <c r="F2644">
        <v>85</v>
      </c>
      <c r="G2644">
        <v>210</v>
      </c>
      <c r="H2644">
        <v>131</v>
      </c>
      <c r="I2644">
        <v>54</v>
      </c>
      <c r="J2644" s="8">
        <v>0.63529411764705879</v>
      </c>
      <c r="K2644">
        <v>26</v>
      </c>
      <c r="L2644">
        <v>29</v>
      </c>
      <c r="M2644">
        <v>109</v>
      </c>
      <c r="N2644" s="10">
        <v>505.49</v>
      </c>
      <c r="O2644" s="7">
        <v>3.6</v>
      </c>
      <c r="P2644" s="7">
        <v>25.9</v>
      </c>
      <c r="Q2644">
        <v>4</v>
      </c>
      <c r="R2644" t="s">
        <v>66</v>
      </c>
      <c r="S2644">
        <v>5</v>
      </c>
      <c r="T2644">
        <v>150</v>
      </c>
      <c r="U2644" s="11">
        <v>-0.43388373911755801</v>
      </c>
      <c r="V2644" s="11">
        <v>-0.90096886790241915</v>
      </c>
      <c r="W2644" s="11">
        <v>0.54671127286859389</v>
      </c>
      <c r="X2644" s="11">
        <v>-0.83732119531181215</v>
      </c>
      <c r="Y2644">
        <v>0</v>
      </c>
      <c r="Z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6">
        <v>45808</v>
      </c>
      <c r="B2645" t="s">
        <v>31</v>
      </c>
      <c r="C2645" t="s">
        <v>32</v>
      </c>
      <c r="D2645" t="s">
        <v>33</v>
      </c>
      <c r="E2645" t="s">
        <v>34</v>
      </c>
      <c r="F2645">
        <v>140</v>
      </c>
      <c r="G2645">
        <v>360</v>
      </c>
      <c r="H2645">
        <v>214</v>
      </c>
      <c r="I2645">
        <v>92</v>
      </c>
      <c r="J2645" s="8">
        <v>0.65714285714285714</v>
      </c>
      <c r="K2645">
        <v>28</v>
      </c>
      <c r="L2645">
        <v>44</v>
      </c>
      <c r="M2645">
        <v>181</v>
      </c>
      <c r="N2645" s="10">
        <v>447.76</v>
      </c>
      <c r="O2645" s="7">
        <v>4.7</v>
      </c>
      <c r="P2645" s="7">
        <v>27.5</v>
      </c>
      <c r="Q2645">
        <v>5</v>
      </c>
      <c r="R2645" t="s">
        <v>67</v>
      </c>
      <c r="S2645">
        <v>5</v>
      </c>
      <c r="T2645">
        <v>151</v>
      </c>
      <c r="U2645" s="11">
        <v>-0.97492791218182362</v>
      </c>
      <c r="V2645" s="11">
        <v>-0.22252093395631459</v>
      </c>
      <c r="W2645" s="11">
        <v>0.53222713884743966</v>
      </c>
      <c r="X2645" s="11">
        <v>-0.84660160209762669</v>
      </c>
      <c r="Y2645">
        <v>1</v>
      </c>
      <c r="Z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6">
        <v>45808</v>
      </c>
      <c r="B2646" t="s">
        <v>36</v>
      </c>
      <c r="C2646" t="s">
        <v>37</v>
      </c>
      <c r="D2646" t="s">
        <v>38</v>
      </c>
      <c r="E2646" t="s">
        <v>39</v>
      </c>
      <c r="F2646">
        <v>125</v>
      </c>
      <c r="G2646">
        <v>320</v>
      </c>
      <c r="H2646">
        <v>187</v>
      </c>
      <c r="I2646">
        <v>77</v>
      </c>
      <c r="J2646" s="8">
        <v>0.61599999999999999</v>
      </c>
      <c r="K2646">
        <v>38</v>
      </c>
      <c r="L2646">
        <v>18</v>
      </c>
      <c r="M2646">
        <v>163</v>
      </c>
      <c r="N2646" s="10">
        <v>755.18</v>
      </c>
      <c r="O2646" s="7">
        <v>4.7</v>
      </c>
      <c r="P2646" s="7">
        <v>27.5</v>
      </c>
      <c r="Q2646">
        <v>5</v>
      </c>
      <c r="R2646" t="s">
        <v>67</v>
      </c>
      <c r="S2646">
        <v>5</v>
      </c>
      <c r="T2646">
        <v>151</v>
      </c>
      <c r="U2646" s="11">
        <v>-0.97492791218182362</v>
      </c>
      <c r="V2646" s="11">
        <v>-0.22252093395631459</v>
      </c>
      <c r="W2646" s="11">
        <v>0.53222713884743966</v>
      </c>
      <c r="X2646" s="11">
        <v>-0.84660160209762669</v>
      </c>
      <c r="Y2646">
        <v>1</v>
      </c>
      <c r="Z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6">
        <v>45808</v>
      </c>
      <c r="B2647" t="s">
        <v>41</v>
      </c>
      <c r="C2647" t="s">
        <v>42</v>
      </c>
      <c r="D2647" t="s">
        <v>43</v>
      </c>
      <c r="E2647" t="s">
        <v>44</v>
      </c>
      <c r="F2647">
        <v>85</v>
      </c>
      <c r="G2647">
        <v>210</v>
      </c>
      <c r="H2647">
        <v>126</v>
      </c>
      <c r="I2647">
        <v>60</v>
      </c>
      <c r="J2647" s="8">
        <v>0.70588235294117652</v>
      </c>
      <c r="K2647">
        <v>22</v>
      </c>
      <c r="L2647">
        <v>22</v>
      </c>
      <c r="M2647">
        <v>114</v>
      </c>
      <c r="N2647" s="10">
        <v>618.89</v>
      </c>
      <c r="O2647" s="7">
        <v>4.7</v>
      </c>
      <c r="P2647" s="7">
        <v>27.5</v>
      </c>
      <c r="Q2647">
        <v>5</v>
      </c>
      <c r="R2647" t="s">
        <v>67</v>
      </c>
      <c r="S2647">
        <v>5</v>
      </c>
      <c r="T2647">
        <v>151</v>
      </c>
      <c r="U2647" s="11">
        <v>-0.97492791218182362</v>
      </c>
      <c r="V2647" s="11">
        <v>-0.22252093395631459</v>
      </c>
      <c r="W2647" s="11">
        <v>0.53222713884743966</v>
      </c>
      <c r="X2647" s="11">
        <v>-0.84660160209762669</v>
      </c>
      <c r="Y2647">
        <v>1</v>
      </c>
      <c r="Z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6">
        <v>45809</v>
      </c>
      <c r="B2648" t="s">
        <v>31</v>
      </c>
      <c r="C2648" t="s">
        <v>32</v>
      </c>
      <c r="D2648" t="s">
        <v>33</v>
      </c>
      <c r="E2648" t="s">
        <v>34</v>
      </c>
      <c r="F2648">
        <v>140</v>
      </c>
      <c r="G2648">
        <v>360</v>
      </c>
      <c r="H2648">
        <v>206</v>
      </c>
      <c r="I2648">
        <v>89</v>
      </c>
      <c r="J2648" s="8">
        <v>0.63571428571428568</v>
      </c>
      <c r="K2648">
        <v>50</v>
      </c>
      <c r="L2648">
        <v>51</v>
      </c>
      <c r="M2648">
        <v>189</v>
      </c>
      <c r="N2648" s="10">
        <v>440.69</v>
      </c>
      <c r="O2648" s="7">
        <v>15.2</v>
      </c>
      <c r="P2648" s="7">
        <v>27.9</v>
      </c>
      <c r="Q2648">
        <v>6</v>
      </c>
      <c r="R2648" t="s">
        <v>60</v>
      </c>
      <c r="S2648">
        <v>6</v>
      </c>
      <c r="T2648">
        <v>152</v>
      </c>
      <c r="U2648" s="11">
        <v>-0.78183148246802991</v>
      </c>
      <c r="V2648" s="11">
        <v>0.62348980185873337</v>
      </c>
      <c r="W2648" s="11">
        <v>0.51758551025318889</v>
      </c>
      <c r="X2648" s="11">
        <v>-0.85563148584887061</v>
      </c>
      <c r="Y2648">
        <v>1</v>
      </c>
      <c r="Z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6">
        <v>45809</v>
      </c>
      <c r="B2649" t="s">
        <v>36</v>
      </c>
      <c r="C2649" t="s">
        <v>37</v>
      </c>
      <c r="D2649" t="s">
        <v>38</v>
      </c>
      <c r="E2649" t="s">
        <v>39</v>
      </c>
      <c r="F2649">
        <v>125</v>
      </c>
      <c r="G2649">
        <v>320</v>
      </c>
      <c r="H2649">
        <v>206</v>
      </c>
      <c r="I2649">
        <v>85</v>
      </c>
      <c r="J2649" s="8">
        <v>0.68</v>
      </c>
      <c r="K2649">
        <v>50</v>
      </c>
      <c r="L2649">
        <v>37</v>
      </c>
      <c r="M2649">
        <v>174</v>
      </c>
      <c r="N2649" s="10">
        <v>760.61</v>
      </c>
      <c r="O2649" s="7">
        <v>15.2</v>
      </c>
      <c r="P2649" s="7">
        <v>27.9</v>
      </c>
      <c r="Q2649">
        <v>6</v>
      </c>
      <c r="R2649" t="s">
        <v>60</v>
      </c>
      <c r="S2649">
        <v>6</v>
      </c>
      <c r="T2649">
        <v>152</v>
      </c>
      <c r="U2649" s="11">
        <v>-0.78183148246802991</v>
      </c>
      <c r="V2649" s="11">
        <v>0.62348980185873337</v>
      </c>
      <c r="W2649" s="11">
        <v>0.51758551025318889</v>
      </c>
      <c r="X2649" s="11">
        <v>-0.85563148584887061</v>
      </c>
      <c r="Y2649">
        <v>1</v>
      </c>
      <c r="Z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6">
        <v>45809</v>
      </c>
      <c r="B2650" t="s">
        <v>41</v>
      </c>
      <c r="C2650" t="s">
        <v>42</v>
      </c>
      <c r="D2650" t="s">
        <v>43</v>
      </c>
      <c r="E2650" t="s">
        <v>44</v>
      </c>
      <c r="F2650">
        <v>85</v>
      </c>
      <c r="G2650">
        <v>210</v>
      </c>
      <c r="H2650">
        <v>134</v>
      </c>
      <c r="I2650">
        <v>63</v>
      </c>
      <c r="J2650" s="8">
        <v>0.74117647058823533</v>
      </c>
      <c r="K2650">
        <v>29</v>
      </c>
      <c r="L2650">
        <v>23</v>
      </c>
      <c r="M2650">
        <v>125</v>
      </c>
      <c r="N2650" s="10">
        <v>642.72</v>
      </c>
      <c r="O2650" s="7">
        <v>15.2</v>
      </c>
      <c r="P2650" s="7">
        <v>27.9</v>
      </c>
      <c r="Q2650">
        <v>6</v>
      </c>
      <c r="R2650" t="s">
        <v>60</v>
      </c>
      <c r="S2650">
        <v>6</v>
      </c>
      <c r="T2650">
        <v>152</v>
      </c>
      <c r="U2650" s="11">
        <v>-0.78183148246802991</v>
      </c>
      <c r="V2650" s="11">
        <v>0.62348980185873337</v>
      </c>
      <c r="W2650" s="11">
        <v>0.51758551025318889</v>
      </c>
      <c r="X2650" s="11">
        <v>-0.85563148584887061</v>
      </c>
      <c r="Y2650">
        <v>1</v>
      </c>
      <c r="Z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6">
        <v>45810</v>
      </c>
      <c r="B2651" t="s">
        <v>31</v>
      </c>
      <c r="C2651" t="s">
        <v>32</v>
      </c>
      <c r="D2651" t="s">
        <v>33</v>
      </c>
      <c r="E2651" t="s">
        <v>34</v>
      </c>
      <c r="F2651">
        <v>140</v>
      </c>
      <c r="G2651">
        <v>360</v>
      </c>
      <c r="H2651">
        <v>166</v>
      </c>
      <c r="I2651">
        <v>72</v>
      </c>
      <c r="J2651" s="8">
        <v>0.51428571428571423</v>
      </c>
      <c r="K2651">
        <v>36</v>
      </c>
      <c r="L2651">
        <v>32</v>
      </c>
      <c r="M2651">
        <v>146</v>
      </c>
      <c r="N2651" s="10">
        <v>420.05</v>
      </c>
      <c r="O2651" s="7">
        <v>6</v>
      </c>
      <c r="P2651" s="7">
        <v>27.1</v>
      </c>
      <c r="Q2651">
        <v>0</v>
      </c>
      <c r="R2651" t="s">
        <v>62</v>
      </c>
      <c r="S2651">
        <v>6</v>
      </c>
      <c r="T2651">
        <v>153</v>
      </c>
      <c r="U2651" s="11">
        <v>0</v>
      </c>
      <c r="V2651" s="11">
        <v>1</v>
      </c>
      <c r="W2651" s="11">
        <v>0.50279071977930434</v>
      </c>
      <c r="X2651" s="11">
        <v>-0.86440817447766483</v>
      </c>
      <c r="Y2651">
        <v>0</v>
      </c>
      <c r="Z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6">
        <v>45810</v>
      </c>
      <c r="B2652" t="s">
        <v>36</v>
      </c>
      <c r="C2652" t="s">
        <v>37</v>
      </c>
      <c r="D2652" t="s">
        <v>38</v>
      </c>
      <c r="E2652" t="s">
        <v>39</v>
      </c>
      <c r="F2652">
        <v>125</v>
      </c>
      <c r="G2652">
        <v>320</v>
      </c>
      <c r="H2652">
        <v>171</v>
      </c>
      <c r="I2652">
        <v>72</v>
      </c>
      <c r="J2652" s="8">
        <v>0.57599999999999996</v>
      </c>
      <c r="K2652">
        <v>21</v>
      </c>
      <c r="L2652">
        <v>25</v>
      </c>
      <c r="M2652">
        <v>139</v>
      </c>
      <c r="N2652" s="10">
        <v>640.35</v>
      </c>
      <c r="O2652" s="7">
        <v>6</v>
      </c>
      <c r="P2652" s="7">
        <v>27.1</v>
      </c>
      <c r="Q2652">
        <v>0</v>
      </c>
      <c r="R2652" t="s">
        <v>62</v>
      </c>
      <c r="S2652">
        <v>6</v>
      </c>
      <c r="T2652">
        <v>153</v>
      </c>
      <c r="U2652" s="11">
        <v>0</v>
      </c>
      <c r="V2652" s="11">
        <v>1</v>
      </c>
      <c r="W2652" s="11">
        <v>0.50279071977930434</v>
      </c>
      <c r="X2652" s="11">
        <v>-0.86440817447766483</v>
      </c>
      <c r="Y2652">
        <v>0</v>
      </c>
      <c r="Z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6">
        <v>45810</v>
      </c>
      <c r="B2653" t="s">
        <v>41</v>
      </c>
      <c r="C2653" t="s">
        <v>42</v>
      </c>
      <c r="D2653" t="s">
        <v>43</v>
      </c>
      <c r="E2653" t="s">
        <v>44</v>
      </c>
      <c r="F2653">
        <v>85</v>
      </c>
      <c r="G2653">
        <v>210</v>
      </c>
      <c r="H2653">
        <v>115</v>
      </c>
      <c r="I2653">
        <v>52</v>
      </c>
      <c r="J2653" s="8">
        <v>0.61176470588235299</v>
      </c>
      <c r="K2653">
        <v>12</v>
      </c>
      <c r="L2653">
        <v>29</v>
      </c>
      <c r="M2653">
        <v>93</v>
      </c>
      <c r="N2653" s="10">
        <v>559.84</v>
      </c>
      <c r="O2653" s="7">
        <v>6</v>
      </c>
      <c r="P2653" s="7">
        <v>27.1</v>
      </c>
      <c r="Q2653">
        <v>0</v>
      </c>
      <c r="R2653" t="s">
        <v>62</v>
      </c>
      <c r="S2653">
        <v>6</v>
      </c>
      <c r="T2653">
        <v>153</v>
      </c>
      <c r="U2653" s="11">
        <v>0</v>
      </c>
      <c r="V2653" s="11">
        <v>1</v>
      </c>
      <c r="W2653" s="11">
        <v>0.50279071977930434</v>
      </c>
      <c r="X2653" s="11">
        <v>-0.86440817447766483</v>
      </c>
      <c r="Y2653">
        <v>0</v>
      </c>
      <c r="Z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6">
        <v>45811</v>
      </c>
      <c r="B2654" t="s">
        <v>31</v>
      </c>
      <c r="C2654" t="s">
        <v>32</v>
      </c>
      <c r="D2654" t="s">
        <v>33</v>
      </c>
      <c r="E2654" t="s">
        <v>34</v>
      </c>
      <c r="F2654">
        <v>140</v>
      </c>
      <c r="G2654">
        <v>360</v>
      </c>
      <c r="H2654">
        <v>189</v>
      </c>
      <c r="I2654">
        <v>81</v>
      </c>
      <c r="J2654" s="8">
        <v>0.57857142857142863</v>
      </c>
      <c r="K2654">
        <v>34</v>
      </c>
      <c r="L2654">
        <v>41</v>
      </c>
      <c r="M2654">
        <v>155</v>
      </c>
      <c r="N2654" s="10">
        <v>441.19</v>
      </c>
      <c r="O2654" s="7">
        <v>0</v>
      </c>
      <c r="P2654" s="7">
        <v>29.1</v>
      </c>
      <c r="Q2654">
        <v>1</v>
      </c>
      <c r="R2654" t="s">
        <v>63</v>
      </c>
      <c r="S2654">
        <v>6</v>
      </c>
      <c r="T2654">
        <v>154</v>
      </c>
      <c r="U2654" s="11">
        <v>0.7818314824680298</v>
      </c>
      <c r="V2654" s="11">
        <v>0.62348980185873359</v>
      </c>
      <c r="W2654" s="11">
        <v>0.48784714544231189</v>
      </c>
      <c r="X2654" s="11">
        <v>-0.87292907082064108</v>
      </c>
      <c r="Y2654">
        <v>0</v>
      </c>
      <c r="Z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6">
        <v>45811</v>
      </c>
      <c r="B2655" t="s">
        <v>36</v>
      </c>
      <c r="C2655" t="s">
        <v>37</v>
      </c>
      <c r="D2655" t="s">
        <v>38</v>
      </c>
      <c r="E2655" t="s">
        <v>39</v>
      </c>
      <c r="F2655">
        <v>125</v>
      </c>
      <c r="G2655">
        <v>320</v>
      </c>
      <c r="H2655">
        <v>143</v>
      </c>
      <c r="I2655">
        <v>62</v>
      </c>
      <c r="J2655" s="8">
        <v>0.496</v>
      </c>
      <c r="K2655">
        <v>33</v>
      </c>
      <c r="L2655">
        <v>17</v>
      </c>
      <c r="M2655">
        <v>128</v>
      </c>
      <c r="N2655" s="10">
        <v>612.91</v>
      </c>
      <c r="O2655" s="7">
        <v>0</v>
      </c>
      <c r="P2655" s="7">
        <v>29.1</v>
      </c>
      <c r="Q2655">
        <v>1</v>
      </c>
      <c r="R2655" t="s">
        <v>63</v>
      </c>
      <c r="S2655">
        <v>6</v>
      </c>
      <c r="T2655">
        <v>154</v>
      </c>
      <c r="U2655" s="11">
        <v>0.7818314824680298</v>
      </c>
      <c r="V2655" s="11">
        <v>0.62348980185873359</v>
      </c>
      <c r="W2655" s="11">
        <v>0.48784714544231189</v>
      </c>
      <c r="X2655" s="11">
        <v>-0.87292907082064108</v>
      </c>
      <c r="Y2655">
        <v>0</v>
      </c>
      <c r="Z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6">
        <v>45811</v>
      </c>
      <c r="B2656" t="s">
        <v>41</v>
      </c>
      <c r="C2656" t="s">
        <v>42</v>
      </c>
      <c r="D2656" t="s">
        <v>43</v>
      </c>
      <c r="E2656" t="s">
        <v>44</v>
      </c>
      <c r="F2656">
        <v>85</v>
      </c>
      <c r="G2656">
        <v>210</v>
      </c>
      <c r="H2656">
        <v>121</v>
      </c>
      <c r="I2656">
        <v>53</v>
      </c>
      <c r="J2656" s="8">
        <v>0.62352941176470589</v>
      </c>
      <c r="K2656">
        <v>27</v>
      </c>
      <c r="L2656">
        <v>16</v>
      </c>
      <c r="M2656">
        <v>108</v>
      </c>
      <c r="N2656" s="10">
        <v>539.84</v>
      </c>
      <c r="O2656" s="7">
        <v>0</v>
      </c>
      <c r="P2656" s="7">
        <v>29.1</v>
      </c>
      <c r="Q2656">
        <v>1</v>
      </c>
      <c r="R2656" t="s">
        <v>63</v>
      </c>
      <c r="S2656">
        <v>6</v>
      </c>
      <c r="T2656">
        <v>154</v>
      </c>
      <c r="U2656" s="11">
        <v>0.7818314824680298</v>
      </c>
      <c r="V2656" s="11">
        <v>0.62348980185873359</v>
      </c>
      <c r="W2656" s="11">
        <v>0.48784714544231189</v>
      </c>
      <c r="X2656" s="11">
        <v>-0.87292907082064108</v>
      </c>
      <c r="Y2656">
        <v>0</v>
      </c>
      <c r="Z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6">
        <v>45812</v>
      </c>
      <c r="B2657" t="s">
        <v>31</v>
      </c>
      <c r="C2657" t="s">
        <v>32</v>
      </c>
      <c r="D2657" t="s">
        <v>33</v>
      </c>
      <c r="E2657" t="s">
        <v>34</v>
      </c>
      <c r="F2657">
        <v>140</v>
      </c>
      <c r="G2657">
        <v>360</v>
      </c>
      <c r="H2657">
        <v>222</v>
      </c>
      <c r="I2657">
        <v>93</v>
      </c>
      <c r="J2657" s="8">
        <v>0.66428571428571426</v>
      </c>
      <c r="K2657">
        <v>36</v>
      </c>
      <c r="L2657">
        <v>50</v>
      </c>
      <c r="M2657">
        <v>199</v>
      </c>
      <c r="N2657" s="10">
        <v>422.38</v>
      </c>
      <c r="O2657" s="7">
        <v>12.9</v>
      </c>
      <c r="P2657" s="7">
        <v>28.3</v>
      </c>
      <c r="Q2657">
        <v>2</v>
      </c>
      <c r="R2657" t="s">
        <v>64</v>
      </c>
      <c r="S2657">
        <v>6</v>
      </c>
      <c r="T2657">
        <v>155</v>
      </c>
      <c r="U2657" s="11">
        <v>0.97492791218182362</v>
      </c>
      <c r="V2657" s="11">
        <v>-0.22252093395631434</v>
      </c>
      <c r="W2657" s="11">
        <v>0.47275920928627757</v>
      </c>
      <c r="X2657" s="11">
        <v>-0.88119165340748296</v>
      </c>
      <c r="Y2657">
        <v>0</v>
      </c>
      <c r="Z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6">
        <v>45812</v>
      </c>
      <c r="B2658" t="s">
        <v>36</v>
      </c>
      <c r="C2658" t="s">
        <v>37</v>
      </c>
      <c r="D2658" t="s">
        <v>38</v>
      </c>
      <c r="E2658" t="s">
        <v>39</v>
      </c>
      <c r="F2658">
        <v>125</v>
      </c>
      <c r="G2658">
        <v>320</v>
      </c>
      <c r="H2658">
        <v>169</v>
      </c>
      <c r="I2658">
        <v>71</v>
      </c>
      <c r="J2658" s="8">
        <v>0.56799999999999995</v>
      </c>
      <c r="K2658">
        <v>34</v>
      </c>
      <c r="L2658">
        <v>37</v>
      </c>
      <c r="M2658">
        <v>143</v>
      </c>
      <c r="N2658" s="10">
        <v>679.3</v>
      </c>
      <c r="O2658" s="7">
        <v>12.9</v>
      </c>
      <c r="P2658" s="7">
        <v>28.3</v>
      </c>
      <c r="Q2658">
        <v>2</v>
      </c>
      <c r="R2658" t="s">
        <v>64</v>
      </c>
      <c r="S2658">
        <v>6</v>
      </c>
      <c r="T2658">
        <v>155</v>
      </c>
      <c r="U2658" s="11">
        <v>0.97492791218182362</v>
      </c>
      <c r="V2658" s="11">
        <v>-0.22252093395631434</v>
      </c>
      <c r="W2658" s="11">
        <v>0.47275920928627757</v>
      </c>
      <c r="X2658" s="11">
        <v>-0.88119165340748296</v>
      </c>
      <c r="Y2658">
        <v>0</v>
      </c>
      <c r="Z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6">
        <v>45812</v>
      </c>
      <c r="B2659" t="s">
        <v>41</v>
      </c>
      <c r="C2659" t="s">
        <v>42</v>
      </c>
      <c r="D2659" t="s">
        <v>43</v>
      </c>
      <c r="E2659" t="s">
        <v>44</v>
      </c>
      <c r="F2659">
        <v>85</v>
      </c>
      <c r="G2659">
        <v>210</v>
      </c>
      <c r="H2659">
        <v>117</v>
      </c>
      <c r="I2659">
        <v>51</v>
      </c>
      <c r="J2659" s="8">
        <v>0.6</v>
      </c>
      <c r="K2659">
        <v>19</v>
      </c>
      <c r="L2659">
        <v>9</v>
      </c>
      <c r="M2659">
        <v>110</v>
      </c>
      <c r="N2659" s="10">
        <v>575.62</v>
      </c>
      <c r="O2659" s="7">
        <v>12.9</v>
      </c>
      <c r="P2659" s="7">
        <v>28.3</v>
      </c>
      <c r="Q2659">
        <v>2</v>
      </c>
      <c r="R2659" t="s">
        <v>64</v>
      </c>
      <c r="S2659">
        <v>6</v>
      </c>
      <c r="T2659">
        <v>155</v>
      </c>
      <c r="U2659" s="11">
        <v>0.97492791218182362</v>
      </c>
      <c r="V2659" s="11">
        <v>-0.22252093395631434</v>
      </c>
      <c r="W2659" s="11">
        <v>0.47275920928627757</v>
      </c>
      <c r="X2659" s="11">
        <v>-0.88119165340748296</v>
      </c>
      <c r="Y2659">
        <v>0</v>
      </c>
      <c r="Z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6">
        <v>45813</v>
      </c>
      <c r="B2660" t="s">
        <v>31</v>
      </c>
      <c r="C2660" t="s">
        <v>32</v>
      </c>
      <c r="D2660" t="s">
        <v>33</v>
      </c>
      <c r="E2660" t="s">
        <v>34</v>
      </c>
      <c r="F2660">
        <v>140</v>
      </c>
      <c r="G2660">
        <v>360</v>
      </c>
      <c r="H2660">
        <v>187</v>
      </c>
      <c r="I2660">
        <v>82</v>
      </c>
      <c r="J2660" s="8">
        <v>0.58571428571428574</v>
      </c>
      <c r="K2660">
        <v>21</v>
      </c>
      <c r="L2660">
        <v>36</v>
      </c>
      <c r="M2660">
        <v>165</v>
      </c>
      <c r="N2660" s="10">
        <v>391.41</v>
      </c>
      <c r="O2660" s="7">
        <v>16.899999999999999</v>
      </c>
      <c r="P2660" s="7">
        <v>27.5</v>
      </c>
      <c r="Q2660">
        <v>3</v>
      </c>
      <c r="R2660" t="s">
        <v>65</v>
      </c>
      <c r="S2660">
        <v>6</v>
      </c>
      <c r="T2660">
        <v>156</v>
      </c>
      <c r="U2660" s="11">
        <v>0.43388373911755823</v>
      </c>
      <c r="V2660" s="11">
        <v>-0.90096886790241903</v>
      </c>
      <c r="W2660" s="11">
        <v>0.45753137607425121</v>
      </c>
      <c r="X2660" s="11">
        <v>-0.88919347720707109</v>
      </c>
      <c r="Y2660">
        <v>0</v>
      </c>
      <c r="Z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6">
        <v>45813</v>
      </c>
      <c r="B2661" t="s">
        <v>36</v>
      </c>
      <c r="C2661" t="s">
        <v>37</v>
      </c>
      <c r="D2661" t="s">
        <v>38</v>
      </c>
      <c r="E2661" t="s">
        <v>39</v>
      </c>
      <c r="F2661">
        <v>125</v>
      </c>
      <c r="G2661">
        <v>320</v>
      </c>
      <c r="H2661">
        <v>175</v>
      </c>
      <c r="I2661">
        <v>72</v>
      </c>
      <c r="J2661" s="8">
        <v>0.57599999999999996</v>
      </c>
      <c r="K2661">
        <v>44</v>
      </c>
      <c r="L2661">
        <v>21</v>
      </c>
      <c r="M2661">
        <v>160</v>
      </c>
      <c r="N2661" s="10">
        <v>576.1</v>
      </c>
      <c r="O2661" s="7">
        <v>16.899999999999999</v>
      </c>
      <c r="P2661" s="7">
        <v>27.5</v>
      </c>
      <c r="Q2661">
        <v>3</v>
      </c>
      <c r="R2661" t="s">
        <v>65</v>
      </c>
      <c r="S2661">
        <v>6</v>
      </c>
      <c r="T2661">
        <v>156</v>
      </c>
      <c r="U2661" s="11">
        <v>0.43388373911755823</v>
      </c>
      <c r="V2661" s="11">
        <v>-0.90096886790241903</v>
      </c>
      <c r="W2661" s="11">
        <v>0.45753137607425121</v>
      </c>
      <c r="X2661" s="11">
        <v>-0.88919347720707109</v>
      </c>
      <c r="Y2661">
        <v>0</v>
      </c>
      <c r="Z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6">
        <v>45813</v>
      </c>
      <c r="B2662" t="s">
        <v>41</v>
      </c>
      <c r="C2662" t="s">
        <v>42</v>
      </c>
      <c r="D2662" t="s">
        <v>43</v>
      </c>
      <c r="E2662" t="s">
        <v>44</v>
      </c>
      <c r="F2662">
        <v>85</v>
      </c>
      <c r="G2662">
        <v>210</v>
      </c>
      <c r="H2662">
        <v>120</v>
      </c>
      <c r="I2662">
        <v>54</v>
      </c>
      <c r="J2662" s="8">
        <v>0.63529411764705879</v>
      </c>
      <c r="K2662">
        <v>14</v>
      </c>
      <c r="L2662">
        <v>25</v>
      </c>
      <c r="M2662">
        <v>112</v>
      </c>
      <c r="N2662" s="10">
        <v>573.28</v>
      </c>
      <c r="O2662" s="7">
        <v>16.899999999999999</v>
      </c>
      <c r="P2662" s="7">
        <v>27.5</v>
      </c>
      <c r="Q2662">
        <v>3</v>
      </c>
      <c r="R2662" t="s">
        <v>65</v>
      </c>
      <c r="S2662">
        <v>6</v>
      </c>
      <c r="T2662">
        <v>156</v>
      </c>
      <c r="U2662" s="11">
        <v>0.43388373911755823</v>
      </c>
      <c r="V2662" s="11">
        <v>-0.90096886790241903</v>
      </c>
      <c r="W2662" s="11">
        <v>0.45753137607425121</v>
      </c>
      <c r="X2662" s="11">
        <v>-0.88919347720707109</v>
      </c>
      <c r="Y2662">
        <v>0</v>
      </c>
      <c r="Z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6">
        <v>45814</v>
      </c>
      <c r="B2663" t="s">
        <v>31</v>
      </c>
      <c r="C2663" t="s">
        <v>32</v>
      </c>
      <c r="D2663" t="s">
        <v>33</v>
      </c>
      <c r="E2663" t="s">
        <v>34</v>
      </c>
      <c r="F2663">
        <v>140</v>
      </c>
      <c r="G2663">
        <v>360</v>
      </c>
      <c r="H2663">
        <v>201</v>
      </c>
      <c r="I2663">
        <v>84</v>
      </c>
      <c r="J2663" s="8">
        <v>0.6</v>
      </c>
      <c r="K2663">
        <v>22</v>
      </c>
      <c r="L2663">
        <v>42</v>
      </c>
      <c r="M2663">
        <v>181</v>
      </c>
      <c r="N2663" s="10">
        <v>434.42</v>
      </c>
      <c r="O2663" s="7">
        <v>15.6</v>
      </c>
      <c r="P2663" s="7">
        <v>28.6</v>
      </c>
      <c r="Q2663">
        <v>4</v>
      </c>
      <c r="R2663" t="s">
        <v>66</v>
      </c>
      <c r="S2663">
        <v>6</v>
      </c>
      <c r="T2663">
        <v>157</v>
      </c>
      <c r="U2663" s="11">
        <v>-0.43388373911755801</v>
      </c>
      <c r="V2663" s="11">
        <v>-0.90096886790241915</v>
      </c>
      <c r="W2663" s="11">
        <v>0.44216815196707204</v>
      </c>
      <c r="X2663" s="11">
        <v>-0.89693217435100647</v>
      </c>
      <c r="Y2663">
        <v>0</v>
      </c>
      <c r="Z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6">
        <v>45814</v>
      </c>
      <c r="B2664" t="s">
        <v>36</v>
      </c>
      <c r="C2664" t="s">
        <v>37</v>
      </c>
      <c r="D2664" t="s">
        <v>38</v>
      </c>
      <c r="E2664" t="s">
        <v>39</v>
      </c>
      <c r="F2664">
        <v>125</v>
      </c>
      <c r="G2664">
        <v>320</v>
      </c>
      <c r="H2664">
        <v>181</v>
      </c>
      <c r="I2664">
        <v>75</v>
      </c>
      <c r="J2664" s="8">
        <v>0.6</v>
      </c>
      <c r="K2664">
        <v>45</v>
      </c>
      <c r="L2664">
        <v>51</v>
      </c>
      <c r="M2664">
        <v>169</v>
      </c>
      <c r="N2664" s="10">
        <v>642.30999999999995</v>
      </c>
      <c r="O2664" s="7">
        <v>15.6</v>
      </c>
      <c r="P2664" s="7">
        <v>28.6</v>
      </c>
      <c r="Q2664">
        <v>4</v>
      </c>
      <c r="R2664" t="s">
        <v>66</v>
      </c>
      <c r="S2664">
        <v>6</v>
      </c>
      <c r="T2664">
        <v>157</v>
      </c>
      <c r="U2664" s="11">
        <v>-0.43388373911755801</v>
      </c>
      <c r="V2664" s="11">
        <v>-0.90096886790241915</v>
      </c>
      <c r="W2664" s="11">
        <v>0.44216815196707204</v>
      </c>
      <c r="X2664" s="11">
        <v>-0.89693217435100647</v>
      </c>
      <c r="Y2664">
        <v>0</v>
      </c>
      <c r="Z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6">
        <v>45814</v>
      </c>
      <c r="B2665" t="s">
        <v>41</v>
      </c>
      <c r="C2665" t="s">
        <v>42</v>
      </c>
      <c r="D2665" t="s">
        <v>43</v>
      </c>
      <c r="E2665" t="s">
        <v>44</v>
      </c>
      <c r="F2665">
        <v>85</v>
      </c>
      <c r="G2665">
        <v>210</v>
      </c>
      <c r="H2665">
        <v>112</v>
      </c>
      <c r="I2665">
        <v>52</v>
      </c>
      <c r="J2665" s="8">
        <v>0.61176470588235299</v>
      </c>
      <c r="K2665">
        <v>33</v>
      </c>
      <c r="L2665">
        <v>23</v>
      </c>
      <c r="M2665">
        <v>95</v>
      </c>
      <c r="N2665" s="10">
        <v>532.41</v>
      </c>
      <c r="O2665" s="7">
        <v>15.6</v>
      </c>
      <c r="P2665" s="7">
        <v>28.6</v>
      </c>
      <c r="Q2665">
        <v>4</v>
      </c>
      <c r="R2665" t="s">
        <v>66</v>
      </c>
      <c r="S2665">
        <v>6</v>
      </c>
      <c r="T2665">
        <v>157</v>
      </c>
      <c r="U2665" s="11">
        <v>-0.43388373911755801</v>
      </c>
      <c r="V2665" s="11">
        <v>-0.90096886790241915</v>
      </c>
      <c r="W2665" s="11">
        <v>0.44216815196707204</v>
      </c>
      <c r="X2665" s="11">
        <v>-0.89693217435100647</v>
      </c>
      <c r="Y2665">
        <v>0</v>
      </c>
      <c r="Z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6">
        <v>45815</v>
      </c>
      <c r="B2666" t="s">
        <v>31</v>
      </c>
      <c r="C2666" t="s">
        <v>32</v>
      </c>
      <c r="D2666" t="s">
        <v>33</v>
      </c>
      <c r="E2666" t="s">
        <v>34</v>
      </c>
      <c r="F2666">
        <v>140</v>
      </c>
      <c r="G2666">
        <v>360</v>
      </c>
      <c r="H2666">
        <v>193</v>
      </c>
      <c r="I2666">
        <v>81</v>
      </c>
      <c r="J2666" s="8">
        <v>0.57857142857142863</v>
      </c>
      <c r="K2666">
        <v>26</v>
      </c>
      <c r="L2666">
        <v>45</v>
      </c>
      <c r="M2666">
        <v>181</v>
      </c>
      <c r="N2666" s="10">
        <v>483.61</v>
      </c>
      <c r="O2666" s="7">
        <v>11.1</v>
      </c>
      <c r="P2666" s="7">
        <v>26.8</v>
      </c>
      <c r="Q2666">
        <v>5</v>
      </c>
      <c r="R2666" t="s">
        <v>67</v>
      </c>
      <c r="S2666">
        <v>6</v>
      </c>
      <c r="T2666">
        <v>158</v>
      </c>
      <c r="U2666" s="11">
        <v>-0.97492791218182362</v>
      </c>
      <c r="V2666" s="11">
        <v>-0.22252093395631459</v>
      </c>
      <c r="W2666" s="11">
        <v>0.42667408318992467</v>
      </c>
      <c r="X2666" s="11">
        <v>-0.90440545483430013</v>
      </c>
      <c r="Y2666">
        <v>1</v>
      </c>
      <c r="Z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6">
        <v>45815</v>
      </c>
      <c r="B2667" t="s">
        <v>36</v>
      </c>
      <c r="C2667" t="s">
        <v>37</v>
      </c>
      <c r="D2667" t="s">
        <v>38</v>
      </c>
      <c r="E2667" t="s">
        <v>39</v>
      </c>
      <c r="F2667">
        <v>125</v>
      </c>
      <c r="G2667">
        <v>320</v>
      </c>
      <c r="H2667">
        <v>182</v>
      </c>
      <c r="I2667">
        <v>76</v>
      </c>
      <c r="J2667" s="8">
        <v>0.60799999999999998</v>
      </c>
      <c r="K2667">
        <v>34</v>
      </c>
      <c r="L2667">
        <v>40</v>
      </c>
      <c r="M2667">
        <v>162</v>
      </c>
      <c r="N2667" s="10">
        <v>665.01</v>
      </c>
      <c r="O2667" s="7">
        <v>11.1</v>
      </c>
      <c r="P2667" s="7">
        <v>26.8</v>
      </c>
      <c r="Q2667">
        <v>5</v>
      </c>
      <c r="R2667" t="s">
        <v>67</v>
      </c>
      <c r="S2667">
        <v>6</v>
      </c>
      <c r="T2667">
        <v>158</v>
      </c>
      <c r="U2667" s="11">
        <v>-0.97492791218182362</v>
      </c>
      <c r="V2667" s="11">
        <v>-0.22252093395631459</v>
      </c>
      <c r="W2667" s="11">
        <v>0.42667408318992467</v>
      </c>
      <c r="X2667" s="11">
        <v>-0.90440545483430013</v>
      </c>
      <c r="Y2667">
        <v>1</v>
      </c>
      <c r="Z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6">
        <v>45815</v>
      </c>
      <c r="B2668" t="s">
        <v>41</v>
      </c>
      <c r="C2668" t="s">
        <v>42</v>
      </c>
      <c r="D2668" t="s">
        <v>43</v>
      </c>
      <c r="E2668" t="s">
        <v>44</v>
      </c>
      <c r="F2668">
        <v>85</v>
      </c>
      <c r="G2668">
        <v>210</v>
      </c>
      <c r="H2668">
        <v>136</v>
      </c>
      <c r="I2668">
        <v>60</v>
      </c>
      <c r="J2668" s="8">
        <v>0.70588235294117652</v>
      </c>
      <c r="K2668">
        <v>32</v>
      </c>
      <c r="L2668">
        <v>14</v>
      </c>
      <c r="M2668">
        <v>116</v>
      </c>
      <c r="N2668" s="10">
        <v>542.82000000000005</v>
      </c>
      <c r="O2668" s="7">
        <v>11.1</v>
      </c>
      <c r="P2668" s="7">
        <v>26.8</v>
      </c>
      <c r="Q2668">
        <v>5</v>
      </c>
      <c r="R2668" t="s">
        <v>67</v>
      </c>
      <c r="S2668">
        <v>6</v>
      </c>
      <c r="T2668">
        <v>158</v>
      </c>
      <c r="U2668" s="11">
        <v>-0.97492791218182362</v>
      </c>
      <c r="V2668" s="11">
        <v>-0.22252093395631459</v>
      </c>
      <c r="W2668" s="11">
        <v>0.42667408318992467</v>
      </c>
      <c r="X2668" s="11">
        <v>-0.90440545483430013</v>
      </c>
      <c r="Y2668">
        <v>1</v>
      </c>
      <c r="Z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6">
        <v>45816</v>
      </c>
      <c r="B2669" t="s">
        <v>31</v>
      </c>
      <c r="C2669" t="s">
        <v>32</v>
      </c>
      <c r="D2669" t="s">
        <v>33</v>
      </c>
      <c r="E2669" t="s">
        <v>34</v>
      </c>
      <c r="F2669">
        <v>140</v>
      </c>
      <c r="G2669">
        <v>360</v>
      </c>
      <c r="H2669">
        <v>205</v>
      </c>
      <c r="I2669">
        <v>85</v>
      </c>
      <c r="J2669" s="8">
        <v>0.6071428571428571</v>
      </c>
      <c r="K2669">
        <v>38</v>
      </c>
      <c r="L2669">
        <v>37</v>
      </c>
      <c r="M2669">
        <v>169</v>
      </c>
      <c r="N2669" s="10">
        <v>511.25</v>
      </c>
      <c r="O2669" s="7">
        <v>11.8</v>
      </c>
      <c r="P2669" s="7">
        <v>28</v>
      </c>
      <c r="Q2669">
        <v>6</v>
      </c>
      <c r="R2669" t="s">
        <v>60</v>
      </c>
      <c r="S2669">
        <v>6</v>
      </c>
      <c r="T2669">
        <v>159</v>
      </c>
      <c r="U2669" s="11">
        <v>-0.78183148246802991</v>
      </c>
      <c r="V2669" s="11">
        <v>0.62348980185873337</v>
      </c>
      <c r="W2669" s="11">
        <v>0.41105375468703509</v>
      </c>
      <c r="X2669" s="11">
        <v>-0.91161110719302385</v>
      </c>
      <c r="Y2669">
        <v>1</v>
      </c>
      <c r="Z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6">
        <v>45816</v>
      </c>
      <c r="B2670" t="s">
        <v>36</v>
      </c>
      <c r="C2670" t="s">
        <v>37</v>
      </c>
      <c r="D2670" t="s">
        <v>38</v>
      </c>
      <c r="E2670" t="s">
        <v>39</v>
      </c>
      <c r="F2670">
        <v>125</v>
      </c>
      <c r="G2670">
        <v>320</v>
      </c>
      <c r="H2670">
        <v>214</v>
      </c>
      <c r="I2670">
        <v>87</v>
      </c>
      <c r="J2670" s="8">
        <v>0.69599999999999995</v>
      </c>
      <c r="K2670">
        <v>52</v>
      </c>
      <c r="L2670">
        <v>21</v>
      </c>
      <c r="M2670">
        <v>196</v>
      </c>
      <c r="N2670" s="10">
        <v>742.46</v>
      </c>
      <c r="O2670" s="7">
        <v>11.8</v>
      </c>
      <c r="P2670" s="7">
        <v>28</v>
      </c>
      <c r="Q2670">
        <v>6</v>
      </c>
      <c r="R2670" t="s">
        <v>60</v>
      </c>
      <c r="S2670">
        <v>6</v>
      </c>
      <c r="T2670">
        <v>159</v>
      </c>
      <c r="U2670" s="11">
        <v>-0.78183148246802991</v>
      </c>
      <c r="V2670" s="11">
        <v>0.62348980185873337</v>
      </c>
      <c r="W2670" s="11">
        <v>0.41105375468703509</v>
      </c>
      <c r="X2670" s="11">
        <v>-0.91161110719302385</v>
      </c>
      <c r="Y2670">
        <v>1</v>
      </c>
      <c r="Z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6">
        <v>45816</v>
      </c>
      <c r="B2671" t="s">
        <v>41</v>
      </c>
      <c r="C2671" t="s">
        <v>42</v>
      </c>
      <c r="D2671" t="s">
        <v>43</v>
      </c>
      <c r="E2671" t="s">
        <v>44</v>
      </c>
      <c r="F2671">
        <v>85</v>
      </c>
      <c r="G2671">
        <v>210</v>
      </c>
      <c r="H2671">
        <v>141</v>
      </c>
      <c r="I2671">
        <v>62</v>
      </c>
      <c r="J2671" s="8">
        <v>0.72941176470588232</v>
      </c>
      <c r="K2671">
        <v>27</v>
      </c>
      <c r="L2671">
        <v>17</v>
      </c>
      <c r="M2671">
        <v>117</v>
      </c>
      <c r="N2671" s="10">
        <v>633.79</v>
      </c>
      <c r="O2671" s="7">
        <v>11.8</v>
      </c>
      <c r="P2671" s="7">
        <v>28</v>
      </c>
      <c r="Q2671">
        <v>6</v>
      </c>
      <c r="R2671" t="s">
        <v>60</v>
      </c>
      <c r="S2671">
        <v>6</v>
      </c>
      <c r="T2671">
        <v>159</v>
      </c>
      <c r="U2671" s="11">
        <v>-0.78183148246802991</v>
      </c>
      <c r="V2671" s="11">
        <v>0.62348980185873337</v>
      </c>
      <c r="W2671" s="11">
        <v>0.41105375468703509</v>
      </c>
      <c r="X2671" s="11">
        <v>-0.91161110719302385</v>
      </c>
      <c r="Y2671">
        <v>1</v>
      </c>
      <c r="Z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6">
        <v>45817</v>
      </c>
      <c r="B2672" t="s">
        <v>31</v>
      </c>
      <c r="C2672" t="s">
        <v>32</v>
      </c>
      <c r="D2672" t="s">
        <v>33</v>
      </c>
      <c r="E2672" t="s">
        <v>34</v>
      </c>
      <c r="F2672">
        <v>140</v>
      </c>
      <c r="G2672">
        <v>360</v>
      </c>
      <c r="H2672">
        <v>184</v>
      </c>
      <c r="I2672">
        <v>78</v>
      </c>
      <c r="J2672" s="8">
        <v>0.55714285714285716</v>
      </c>
      <c r="K2672">
        <v>42</v>
      </c>
      <c r="L2672">
        <v>38</v>
      </c>
      <c r="M2672">
        <v>171</v>
      </c>
      <c r="N2672" s="10">
        <v>405.41</v>
      </c>
      <c r="O2672" s="7">
        <v>8</v>
      </c>
      <c r="P2672" s="7">
        <v>28.1</v>
      </c>
      <c r="Q2672">
        <v>0</v>
      </c>
      <c r="R2672" t="s">
        <v>62</v>
      </c>
      <c r="S2672">
        <v>6</v>
      </c>
      <c r="T2672">
        <v>160</v>
      </c>
      <c r="U2672" s="11">
        <v>0</v>
      </c>
      <c r="V2672" s="11">
        <v>1</v>
      </c>
      <c r="W2672" s="11">
        <v>0.39531178876491507</v>
      </c>
      <c r="X2672" s="11">
        <v>-0.91854699915871652</v>
      </c>
      <c r="Y2672">
        <v>0</v>
      </c>
      <c r="Z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6">
        <v>45817</v>
      </c>
      <c r="B2673" t="s">
        <v>36</v>
      </c>
      <c r="C2673" t="s">
        <v>37</v>
      </c>
      <c r="D2673" t="s">
        <v>38</v>
      </c>
      <c r="E2673" t="s">
        <v>39</v>
      </c>
      <c r="F2673">
        <v>125</v>
      </c>
      <c r="G2673">
        <v>320</v>
      </c>
      <c r="H2673">
        <v>155</v>
      </c>
      <c r="I2673">
        <v>63</v>
      </c>
      <c r="J2673" s="8">
        <v>0.504</v>
      </c>
      <c r="K2673">
        <v>40</v>
      </c>
      <c r="L2673">
        <v>43</v>
      </c>
      <c r="M2673">
        <v>140</v>
      </c>
      <c r="N2673" s="10">
        <v>577.14</v>
      </c>
      <c r="O2673" s="7">
        <v>8</v>
      </c>
      <c r="P2673" s="7">
        <v>28.1</v>
      </c>
      <c r="Q2673">
        <v>0</v>
      </c>
      <c r="R2673" t="s">
        <v>62</v>
      </c>
      <c r="S2673">
        <v>6</v>
      </c>
      <c r="T2673">
        <v>160</v>
      </c>
      <c r="U2673" s="11">
        <v>0</v>
      </c>
      <c r="V2673" s="11">
        <v>1</v>
      </c>
      <c r="W2673" s="11">
        <v>0.39531178876491507</v>
      </c>
      <c r="X2673" s="11">
        <v>-0.91854699915871652</v>
      </c>
      <c r="Y2673">
        <v>0</v>
      </c>
      <c r="Z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6">
        <v>45817</v>
      </c>
      <c r="B2674" t="s">
        <v>41</v>
      </c>
      <c r="C2674" t="s">
        <v>42</v>
      </c>
      <c r="D2674" t="s">
        <v>43</v>
      </c>
      <c r="E2674" t="s">
        <v>44</v>
      </c>
      <c r="F2674">
        <v>85</v>
      </c>
      <c r="G2674">
        <v>210</v>
      </c>
      <c r="H2674">
        <v>127</v>
      </c>
      <c r="I2674">
        <v>55</v>
      </c>
      <c r="J2674" s="8">
        <v>0.6470588235294118</v>
      </c>
      <c r="K2674">
        <v>37</v>
      </c>
      <c r="L2674">
        <v>23</v>
      </c>
      <c r="M2674">
        <v>103</v>
      </c>
      <c r="N2674" s="10">
        <v>540.74</v>
      </c>
      <c r="O2674" s="7">
        <v>8</v>
      </c>
      <c r="P2674" s="7">
        <v>28.1</v>
      </c>
      <c r="Q2674">
        <v>0</v>
      </c>
      <c r="R2674" t="s">
        <v>62</v>
      </c>
      <c r="S2674">
        <v>6</v>
      </c>
      <c r="T2674">
        <v>160</v>
      </c>
      <c r="U2674" s="11">
        <v>0</v>
      </c>
      <c r="V2674" s="11">
        <v>1</v>
      </c>
      <c r="W2674" s="11">
        <v>0.39531178876491507</v>
      </c>
      <c r="X2674" s="11">
        <v>-0.91854699915871652</v>
      </c>
      <c r="Y2674">
        <v>0</v>
      </c>
      <c r="Z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6">
        <v>45818</v>
      </c>
      <c r="B2675" t="s">
        <v>31</v>
      </c>
      <c r="C2675" t="s">
        <v>32</v>
      </c>
      <c r="D2675" t="s">
        <v>33</v>
      </c>
      <c r="E2675" t="s">
        <v>34</v>
      </c>
      <c r="F2675">
        <v>140</v>
      </c>
      <c r="G2675">
        <v>360</v>
      </c>
      <c r="H2675">
        <v>199</v>
      </c>
      <c r="I2675">
        <v>87</v>
      </c>
      <c r="J2675" s="8">
        <v>0.62142857142857144</v>
      </c>
      <c r="K2675">
        <v>49</v>
      </c>
      <c r="L2675">
        <v>21</v>
      </c>
      <c r="M2675">
        <v>167</v>
      </c>
      <c r="N2675" s="10">
        <v>419.62</v>
      </c>
      <c r="O2675" s="7">
        <v>13.1</v>
      </c>
      <c r="P2675" s="7">
        <v>28.8</v>
      </c>
      <c r="Q2675">
        <v>1</v>
      </c>
      <c r="R2675" t="s">
        <v>63</v>
      </c>
      <c r="S2675">
        <v>6</v>
      </c>
      <c r="T2675">
        <v>161</v>
      </c>
      <c r="U2675" s="11">
        <v>0.7818314824680298</v>
      </c>
      <c r="V2675" s="11">
        <v>0.62348980185873359</v>
      </c>
      <c r="W2675" s="11">
        <v>0.37945284372454435</v>
      </c>
      <c r="X2675" s="11">
        <v>-0.925211078289358</v>
      </c>
      <c r="Y2675">
        <v>0</v>
      </c>
      <c r="Z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6">
        <v>45818</v>
      </c>
      <c r="B2676" t="s">
        <v>36</v>
      </c>
      <c r="C2676" t="s">
        <v>37</v>
      </c>
      <c r="D2676" t="s">
        <v>38</v>
      </c>
      <c r="E2676" t="s">
        <v>39</v>
      </c>
      <c r="F2676">
        <v>125</v>
      </c>
      <c r="G2676">
        <v>320</v>
      </c>
      <c r="H2676">
        <v>171</v>
      </c>
      <c r="I2676">
        <v>71</v>
      </c>
      <c r="J2676" s="8">
        <v>0.56799999999999995</v>
      </c>
      <c r="K2676">
        <v>48</v>
      </c>
      <c r="L2676">
        <v>35</v>
      </c>
      <c r="M2676">
        <v>140</v>
      </c>
      <c r="N2676" s="10">
        <v>673.16</v>
      </c>
      <c r="O2676" s="7">
        <v>13.1</v>
      </c>
      <c r="P2676" s="7">
        <v>28.8</v>
      </c>
      <c r="Q2676">
        <v>1</v>
      </c>
      <c r="R2676" t="s">
        <v>63</v>
      </c>
      <c r="S2676">
        <v>6</v>
      </c>
      <c r="T2676">
        <v>161</v>
      </c>
      <c r="U2676" s="11">
        <v>0.7818314824680298</v>
      </c>
      <c r="V2676" s="11">
        <v>0.62348980185873359</v>
      </c>
      <c r="W2676" s="11">
        <v>0.37945284372454435</v>
      </c>
      <c r="X2676" s="11">
        <v>-0.925211078289358</v>
      </c>
      <c r="Y2676">
        <v>0</v>
      </c>
      <c r="Z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6">
        <v>45818</v>
      </c>
      <c r="B2677" t="s">
        <v>41</v>
      </c>
      <c r="C2677" t="s">
        <v>42</v>
      </c>
      <c r="D2677" t="s">
        <v>43</v>
      </c>
      <c r="E2677" t="s">
        <v>44</v>
      </c>
      <c r="F2677">
        <v>85</v>
      </c>
      <c r="G2677">
        <v>210</v>
      </c>
      <c r="H2677">
        <v>124</v>
      </c>
      <c r="I2677">
        <v>54</v>
      </c>
      <c r="J2677" s="8">
        <v>0.63529411764705879</v>
      </c>
      <c r="K2677">
        <v>29</v>
      </c>
      <c r="L2677">
        <v>15</v>
      </c>
      <c r="M2677">
        <v>116</v>
      </c>
      <c r="N2677" s="10">
        <v>542.37</v>
      </c>
      <c r="O2677" s="7">
        <v>13.1</v>
      </c>
      <c r="P2677" s="7">
        <v>28.8</v>
      </c>
      <c r="Q2677">
        <v>1</v>
      </c>
      <c r="R2677" t="s">
        <v>63</v>
      </c>
      <c r="S2677">
        <v>6</v>
      </c>
      <c r="T2677">
        <v>161</v>
      </c>
      <c r="U2677" s="11">
        <v>0.7818314824680298</v>
      </c>
      <c r="V2677" s="11">
        <v>0.62348980185873359</v>
      </c>
      <c r="W2677" s="11">
        <v>0.37945284372454435</v>
      </c>
      <c r="X2677" s="11">
        <v>-0.925211078289358</v>
      </c>
      <c r="Y2677">
        <v>0</v>
      </c>
      <c r="Z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6">
        <v>45819</v>
      </c>
      <c r="B2678" t="s">
        <v>31</v>
      </c>
      <c r="C2678" t="s">
        <v>32</v>
      </c>
      <c r="D2678" t="s">
        <v>33</v>
      </c>
      <c r="E2678" t="s">
        <v>34</v>
      </c>
      <c r="F2678">
        <v>140</v>
      </c>
      <c r="G2678">
        <v>360</v>
      </c>
      <c r="H2678">
        <v>182</v>
      </c>
      <c r="I2678">
        <v>77</v>
      </c>
      <c r="J2678" s="8">
        <v>0.55000000000000004</v>
      </c>
      <c r="K2678">
        <v>23</v>
      </c>
      <c r="L2678">
        <v>34</v>
      </c>
      <c r="M2678">
        <v>146</v>
      </c>
      <c r="N2678" s="10">
        <v>452.24</v>
      </c>
      <c r="O2678" s="7">
        <v>5.9</v>
      </c>
      <c r="P2678" s="7">
        <v>28.7</v>
      </c>
      <c r="Q2678">
        <v>2</v>
      </c>
      <c r="R2678" t="s">
        <v>64</v>
      </c>
      <c r="S2678">
        <v>6</v>
      </c>
      <c r="T2678">
        <v>162</v>
      </c>
      <c r="U2678" s="11">
        <v>0.97492791218182362</v>
      </c>
      <c r="V2678" s="11">
        <v>-0.22252093395631434</v>
      </c>
      <c r="W2678" s="11">
        <v>0.36348161248290634</v>
      </c>
      <c r="X2678" s="11">
        <v>-0.93160137257671871</v>
      </c>
      <c r="Y2678">
        <v>0</v>
      </c>
      <c r="Z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6">
        <v>45819</v>
      </c>
      <c r="B2679" t="s">
        <v>36</v>
      </c>
      <c r="C2679" t="s">
        <v>37</v>
      </c>
      <c r="D2679" t="s">
        <v>38</v>
      </c>
      <c r="E2679" t="s">
        <v>39</v>
      </c>
      <c r="F2679">
        <v>125</v>
      </c>
      <c r="G2679">
        <v>320</v>
      </c>
      <c r="H2679">
        <v>170</v>
      </c>
      <c r="I2679">
        <v>70</v>
      </c>
      <c r="J2679" s="8">
        <v>0.56000000000000005</v>
      </c>
      <c r="K2679">
        <v>34</v>
      </c>
      <c r="L2679">
        <v>22</v>
      </c>
      <c r="M2679">
        <v>152</v>
      </c>
      <c r="N2679" s="10">
        <v>672.54</v>
      </c>
      <c r="O2679" s="7">
        <v>5.9</v>
      </c>
      <c r="P2679" s="7">
        <v>28.7</v>
      </c>
      <c r="Q2679">
        <v>2</v>
      </c>
      <c r="R2679" t="s">
        <v>64</v>
      </c>
      <c r="S2679">
        <v>6</v>
      </c>
      <c r="T2679">
        <v>162</v>
      </c>
      <c r="U2679" s="11">
        <v>0.97492791218182362</v>
      </c>
      <c r="V2679" s="11">
        <v>-0.22252093395631434</v>
      </c>
      <c r="W2679" s="11">
        <v>0.36348161248290634</v>
      </c>
      <c r="X2679" s="11">
        <v>-0.93160137257671871</v>
      </c>
      <c r="Y2679">
        <v>0</v>
      </c>
      <c r="Z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6">
        <v>45819</v>
      </c>
      <c r="B2680" t="s">
        <v>41</v>
      </c>
      <c r="C2680" t="s">
        <v>42</v>
      </c>
      <c r="D2680" t="s">
        <v>43</v>
      </c>
      <c r="E2680" t="s">
        <v>44</v>
      </c>
      <c r="F2680">
        <v>85</v>
      </c>
      <c r="G2680">
        <v>210</v>
      </c>
      <c r="H2680">
        <v>116</v>
      </c>
      <c r="I2680">
        <v>54</v>
      </c>
      <c r="J2680" s="8">
        <v>0.63529411764705879</v>
      </c>
      <c r="K2680">
        <v>32</v>
      </c>
      <c r="L2680">
        <v>21</v>
      </c>
      <c r="M2680">
        <v>95</v>
      </c>
      <c r="N2680" s="10">
        <v>502.96</v>
      </c>
      <c r="O2680" s="7">
        <v>5.9</v>
      </c>
      <c r="P2680" s="7">
        <v>28.7</v>
      </c>
      <c r="Q2680">
        <v>2</v>
      </c>
      <c r="R2680" t="s">
        <v>64</v>
      </c>
      <c r="S2680">
        <v>6</v>
      </c>
      <c r="T2680">
        <v>162</v>
      </c>
      <c r="U2680" s="11">
        <v>0.97492791218182362</v>
      </c>
      <c r="V2680" s="11">
        <v>-0.22252093395631434</v>
      </c>
      <c r="W2680" s="11">
        <v>0.36348161248290634</v>
      </c>
      <c r="X2680" s="11">
        <v>-0.93160137257671871</v>
      </c>
      <c r="Y2680">
        <v>0</v>
      </c>
      <c r="Z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6">
        <v>45820</v>
      </c>
      <c r="B2681" t="s">
        <v>31</v>
      </c>
      <c r="C2681" t="s">
        <v>32</v>
      </c>
      <c r="D2681" t="s">
        <v>33</v>
      </c>
      <c r="E2681" t="s">
        <v>34</v>
      </c>
      <c r="F2681">
        <v>140</v>
      </c>
      <c r="G2681">
        <v>360</v>
      </c>
      <c r="H2681">
        <v>212</v>
      </c>
      <c r="I2681">
        <v>91</v>
      </c>
      <c r="J2681" s="8">
        <v>0.65</v>
      </c>
      <c r="K2681">
        <v>52</v>
      </c>
      <c r="L2681">
        <v>47</v>
      </c>
      <c r="M2681">
        <v>179</v>
      </c>
      <c r="N2681" s="10">
        <v>461.9</v>
      </c>
      <c r="O2681" s="7">
        <v>20</v>
      </c>
      <c r="P2681" s="7">
        <v>25.6</v>
      </c>
      <c r="Q2681">
        <v>3</v>
      </c>
      <c r="R2681" t="s">
        <v>65</v>
      </c>
      <c r="S2681">
        <v>6</v>
      </c>
      <c r="T2681">
        <v>163</v>
      </c>
      <c r="U2681" s="11">
        <v>0.43388373911755823</v>
      </c>
      <c r="V2681" s="11">
        <v>-0.90096886790241903</v>
      </c>
      <c r="W2681" s="11">
        <v>0.3474028211842774</v>
      </c>
      <c r="X2681" s="11">
        <v>-0.93771599102990932</v>
      </c>
      <c r="Y2681">
        <v>0</v>
      </c>
      <c r="Z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6">
        <v>45820</v>
      </c>
      <c r="B2682" t="s">
        <v>36</v>
      </c>
      <c r="C2682" t="s">
        <v>37</v>
      </c>
      <c r="D2682" t="s">
        <v>38</v>
      </c>
      <c r="E2682" t="s">
        <v>39</v>
      </c>
      <c r="F2682">
        <v>125</v>
      </c>
      <c r="G2682">
        <v>320</v>
      </c>
      <c r="H2682">
        <v>190</v>
      </c>
      <c r="I2682">
        <v>80</v>
      </c>
      <c r="J2682" s="8">
        <v>0.64</v>
      </c>
      <c r="K2682">
        <v>25</v>
      </c>
      <c r="L2682">
        <v>29</v>
      </c>
      <c r="M2682">
        <v>172</v>
      </c>
      <c r="N2682" s="10">
        <v>633.69000000000005</v>
      </c>
      <c r="O2682" s="7">
        <v>20</v>
      </c>
      <c r="P2682" s="7">
        <v>25.6</v>
      </c>
      <c r="Q2682">
        <v>3</v>
      </c>
      <c r="R2682" t="s">
        <v>65</v>
      </c>
      <c r="S2682">
        <v>6</v>
      </c>
      <c r="T2682">
        <v>163</v>
      </c>
      <c r="U2682" s="11">
        <v>0.43388373911755823</v>
      </c>
      <c r="V2682" s="11">
        <v>-0.90096886790241903</v>
      </c>
      <c r="W2682" s="11">
        <v>0.3474028211842774</v>
      </c>
      <c r="X2682" s="11">
        <v>-0.93771599102990932</v>
      </c>
      <c r="Y2682">
        <v>0</v>
      </c>
      <c r="Z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6">
        <v>45820</v>
      </c>
      <c r="B2683" t="s">
        <v>41</v>
      </c>
      <c r="C2683" t="s">
        <v>42</v>
      </c>
      <c r="D2683" t="s">
        <v>43</v>
      </c>
      <c r="E2683" t="s">
        <v>44</v>
      </c>
      <c r="F2683">
        <v>85</v>
      </c>
      <c r="G2683">
        <v>210</v>
      </c>
      <c r="H2683">
        <v>120</v>
      </c>
      <c r="I2683">
        <v>53</v>
      </c>
      <c r="J2683" s="8">
        <v>0.62352941176470589</v>
      </c>
      <c r="K2683">
        <v>24</v>
      </c>
      <c r="L2683">
        <v>26</v>
      </c>
      <c r="M2683">
        <v>112</v>
      </c>
      <c r="N2683" s="10">
        <v>551.92999999999995</v>
      </c>
      <c r="O2683" s="7">
        <v>20</v>
      </c>
      <c r="P2683" s="7">
        <v>25.6</v>
      </c>
      <c r="Q2683">
        <v>3</v>
      </c>
      <c r="R2683" t="s">
        <v>65</v>
      </c>
      <c r="S2683">
        <v>6</v>
      </c>
      <c r="T2683">
        <v>163</v>
      </c>
      <c r="U2683" s="11">
        <v>0.43388373911755823</v>
      </c>
      <c r="V2683" s="11">
        <v>-0.90096886790241903</v>
      </c>
      <c r="W2683" s="11">
        <v>0.3474028211842774</v>
      </c>
      <c r="X2683" s="11">
        <v>-0.93771599102990932</v>
      </c>
      <c r="Y2683">
        <v>0</v>
      </c>
      <c r="Z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6">
        <v>45821</v>
      </c>
      <c r="B2684" t="s">
        <v>31</v>
      </c>
      <c r="C2684" t="s">
        <v>32</v>
      </c>
      <c r="D2684" t="s">
        <v>33</v>
      </c>
      <c r="E2684" t="s">
        <v>34</v>
      </c>
      <c r="F2684">
        <v>140</v>
      </c>
      <c r="G2684">
        <v>360</v>
      </c>
      <c r="H2684">
        <v>190</v>
      </c>
      <c r="I2684">
        <v>80</v>
      </c>
      <c r="J2684" s="8">
        <v>0.5714285714285714</v>
      </c>
      <c r="K2684">
        <v>49</v>
      </c>
      <c r="L2684">
        <v>42</v>
      </c>
      <c r="M2684">
        <v>175</v>
      </c>
      <c r="N2684" s="10">
        <v>394.5</v>
      </c>
      <c r="O2684" s="7">
        <v>12.2</v>
      </c>
      <c r="P2684" s="7">
        <v>27.2</v>
      </c>
      <c r="Q2684">
        <v>4</v>
      </c>
      <c r="R2684" t="s">
        <v>66</v>
      </c>
      <c r="S2684">
        <v>6</v>
      </c>
      <c r="T2684">
        <v>164</v>
      </c>
      <c r="U2684" s="11">
        <v>-0.43388373911755801</v>
      </c>
      <c r="V2684" s="11">
        <v>-0.90096886790241915</v>
      </c>
      <c r="W2684" s="11">
        <v>0.3312212278016865</v>
      </c>
      <c r="X2684" s="11">
        <v>-0.94355312423495441</v>
      </c>
      <c r="Y2684">
        <v>0</v>
      </c>
      <c r="Z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6">
        <v>45821</v>
      </c>
      <c r="B2685" t="s">
        <v>36</v>
      </c>
      <c r="C2685" t="s">
        <v>37</v>
      </c>
      <c r="D2685" t="s">
        <v>38</v>
      </c>
      <c r="E2685" t="s">
        <v>39</v>
      </c>
      <c r="F2685">
        <v>125</v>
      </c>
      <c r="G2685">
        <v>320</v>
      </c>
      <c r="H2685">
        <v>180</v>
      </c>
      <c r="I2685">
        <v>74</v>
      </c>
      <c r="J2685" s="8">
        <v>0.59199999999999997</v>
      </c>
      <c r="K2685">
        <v>45</v>
      </c>
      <c r="L2685">
        <v>30</v>
      </c>
      <c r="M2685">
        <v>149</v>
      </c>
      <c r="N2685" s="10">
        <v>571.15</v>
      </c>
      <c r="O2685" s="7">
        <v>12.2</v>
      </c>
      <c r="P2685" s="7">
        <v>27.2</v>
      </c>
      <c r="Q2685">
        <v>4</v>
      </c>
      <c r="R2685" t="s">
        <v>66</v>
      </c>
      <c r="S2685">
        <v>6</v>
      </c>
      <c r="T2685">
        <v>164</v>
      </c>
      <c r="U2685" s="11">
        <v>-0.43388373911755801</v>
      </c>
      <c r="V2685" s="11">
        <v>-0.90096886790241915</v>
      </c>
      <c r="W2685" s="11">
        <v>0.3312212278016865</v>
      </c>
      <c r="X2685" s="11">
        <v>-0.94355312423495441</v>
      </c>
      <c r="Y2685">
        <v>0</v>
      </c>
      <c r="Z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6">
        <v>45821</v>
      </c>
      <c r="B2686" t="s">
        <v>41</v>
      </c>
      <c r="C2686" t="s">
        <v>42</v>
      </c>
      <c r="D2686" t="s">
        <v>43</v>
      </c>
      <c r="E2686" t="s">
        <v>44</v>
      </c>
      <c r="F2686">
        <v>85</v>
      </c>
      <c r="G2686">
        <v>210</v>
      </c>
      <c r="H2686">
        <v>130</v>
      </c>
      <c r="I2686">
        <v>56</v>
      </c>
      <c r="J2686" s="8">
        <v>0.6588235294117647</v>
      </c>
      <c r="K2686">
        <v>30</v>
      </c>
      <c r="L2686">
        <v>19</v>
      </c>
      <c r="M2686">
        <v>111</v>
      </c>
      <c r="N2686" s="10">
        <v>496.28</v>
      </c>
      <c r="O2686" s="7">
        <v>12.2</v>
      </c>
      <c r="P2686" s="7">
        <v>27.2</v>
      </c>
      <c r="Q2686">
        <v>4</v>
      </c>
      <c r="R2686" t="s">
        <v>66</v>
      </c>
      <c r="S2686">
        <v>6</v>
      </c>
      <c r="T2686">
        <v>164</v>
      </c>
      <c r="U2686" s="11">
        <v>-0.43388373911755801</v>
      </c>
      <c r="V2686" s="11">
        <v>-0.90096886790241915</v>
      </c>
      <c r="W2686" s="11">
        <v>0.3312212278016865</v>
      </c>
      <c r="X2686" s="11">
        <v>-0.94355312423495441</v>
      </c>
      <c r="Y2686">
        <v>0</v>
      </c>
      <c r="Z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6">
        <v>45822</v>
      </c>
      <c r="B2687" t="s">
        <v>31</v>
      </c>
      <c r="C2687" t="s">
        <v>32</v>
      </c>
      <c r="D2687" t="s">
        <v>33</v>
      </c>
      <c r="E2687" t="s">
        <v>34</v>
      </c>
      <c r="F2687">
        <v>140</v>
      </c>
      <c r="G2687">
        <v>360</v>
      </c>
      <c r="H2687">
        <v>215</v>
      </c>
      <c r="I2687">
        <v>91</v>
      </c>
      <c r="J2687" s="8">
        <v>0.65</v>
      </c>
      <c r="K2687">
        <v>56</v>
      </c>
      <c r="L2687">
        <v>43</v>
      </c>
      <c r="M2687">
        <v>184</v>
      </c>
      <c r="N2687" s="10">
        <v>495.46</v>
      </c>
      <c r="O2687" s="7">
        <v>14.5</v>
      </c>
      <c r="P2687" s="7">
        <v>28</v>
      </c>
      <c r="Q2687">
        <v>5</v>
      </c>
      <c r="R2687" t="s">
        <v>67</v>
      </c>
      <c r="S2687">
        <v>6</v>
      </c>
      <c r="T2687">
        <v>165</v>
      </c>
      <c r="U2687" s="11">
        <v>-0.97492791218182362</v>
      </c>
      <c r="V2687" s="11">
        <v>-0.22252093395631459</v>
      </c>
      <c r="W2687" s="11">
        <v>0.31494162072895193</v>
      </c>
      <c r="X2687" s="11">
        <v>-0.94911104489022835</v>
      </c>
      <c r="Y2687">
        <v>1</v>
      </c>
      <c r="Z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6">
        <v>45822</v>
      </c>
      <c r="B2688" t="s">
        <v>36</v>
      </c>
      <c r="C2688" t="s">
        <v>37</v>
      </c>
      <c r="D2688" t="s">
        <v>38</v>
      </c>
      <c r="E2688" t="s">
        <v>39</v>
      </c>
      <c r="F2688">
        <v>125</v>
      </c>
      <c r="G2688">
        <v>320</v>
      </c>
      <c r="H2688">
        <v>188</v>
      </c>
      <c r="I2688">
        <v>80</v>
      </c>
      <c r="J2688" s="8">
        <v>0.64</v>
      </c>
      <c r="K2688">
        <v>25</v>
      </c>
      <c r="L2688">
        <v>27</v>
      </c>
      <c r="M2688">
        <v>161</v>
      </c>
      <c r="N2688" s="10">
        <v>722.44</v>
      </c>
      <c r="O2688" s="7">
        <v>14.5</v>
      </c>
      <c r="P2688" s="7">
        <v>28</v>
      </c>
      <c r="Q2688">
        <v>5</v>
      </c>
      <c r="R2688" t="s">
        <v>67</v>
      </c>
      <c r="S2688">
        <v>6</v>
      </c>
      <c r="T2688">
        <v>165</v>
      </c>
      <c r="U2688" s="11">
        <v>-0.97492791218182362</v>
      </c>
      <c r="V2688" s="11">
        <v>-0.22252093395631459</v>
      </c>
      <c r="W2688" s="11">
        <v>0.31494162072895193</v>
      </c>
      <c r="X2688" s="11">
        <v>-0.94911104489022835</v>
      </c>
      <c r="Y2688">
        <v>1</v>
      </c>
      <c r="Z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6">
        <v>45822</v>
      </c>
      <c r="B2689" t="s">
        <v>41</v>
      </c>
      <c r="C2689" t="s">
        <v>42</v>
      </c>
      <c r="D2689" t="s">
        <v>43</v>
      </c>
      <c r="E2689" t="s">
        <v>44</v>
      </c>
      <c r="F2689">
        <v>85</v>
      </c>
      <c r="G2689">
        <v>210</v>
      </c>
      <c r="H2689">
        <v>143</v>
      </c>
      <c r="I2689">
        <v>64</v>
      </c>
      <c r="J2689" s="8">
        <v>0.75294117647058822</v>
      </c>
      <c r="K2689">
        <v>20</v>
      </c>
      <c r="L2689">
        <v>33</v>
      </c>
      <c r="M2689">
        <v>126</v>
      </c>
      <c r="N2689" s="10">
        <v>637.72</v>
      </c>
      <c r="O2689" s="7">
        <v>14.5</v>
      </c>
      <c r="P2689" s="7">
        <v>28</v>
      </c>
      <c r="Q2689">
        <v>5</v>
      </c>
      <c r="R2689" t="s">
        <v>67</v>
      </c>
      <c r="S2689">
        <v>6</v>
      </c>
      <c r="T2689">
        <v>165</v>
      </c>
      <c r="U2689" s="11">
        <v>-0.97492791218182362</v>
      </c>
      <c r="V2689" s="11">
        <v>-0.22252093395631459</v>
      </c>
      <c r="W2689" s="11">
        <v>0.31494162072895193</v>
      </c>
      <c r="X2689" s="11">
        <v>-0.94911104489022835</v>
      </c>
      <c r="Y2689">
        <v>1</v>
      </c>
      <c r="Z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6">
        <v>45823</v>
      </c>
      <c r="B2690" t="s">
        <v>31</v>
      </c>
      <c r="C2690" t="s">
        <v>32</v>
      </c>
      <c r="D2690" t="s">
        <v>33</v>
      </c>
      <c r="E2690" t="s">
        <v>34</v>
      </c>
      <c r="F2690">
        <v>140</v>
      </c>
      <c r="G2690">
        <v>360</v>
      </c>
      <c r="H2690">
        <v>214</v>
      </c>
      <c r="I2690">
        <v>92</v>
      </c>
      <c r="J2690" s="8">
        <v>0.65714285714285714</v>
      </c>
      <c r="K2690">
        <v>56</v>
      </c>
      <c r="L2690">
        <v>46</v>
      </c>
      <c r="M2690">
        <v>176</v>
      </c>
      <c r="N2690" s="10">
        <v>469.02</v>
      </c>
      <c r="O2690" s="7">
        <v>7.8</v>
      </c>
      <c r="P2690" s="7">
        <v>27.4</v>
      </c>
      <c r="Q2690">
        <v>6</v>
      </c>
      <c r="R2690" t="s">
        <v>60</v>
      </c>
      <c r="S2690">
        <v>6</v>
      </c>
      <c r="T2690">
        <v>166</v>
      </c>
      <c r="U2690" s="11">
        <v>-0.78183148246802991</v>
      </c>
      <c r="V2690" s="11">
        <v>0.62348980185873337</v>
      </c>
      <c r="W2690" s="11">
        <v>0.29856881736372021</v>
      </c>
      <c r="X2690" s="11">
        <v>-0.9543881083175908</v>
      </c>
      <c r="Y2690">
        <v>1</v>
      </c>
      <c r="Z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6">
        <v>45823</v>
      </c>
      <c r="B2691" t="s">
        <v>36</v>
      </c>
      <c r="C2691" t="s">
        <v>37</v>
      </c>
      <c r="D2691" t="s">
        <v>38</v>
      </c>
      <c r="E2691" t="s">
        <v>39</v>
      </c>
      <c r="F2691">
        <v>125</v>
      </c>
      <c r="G2691">
        <v>320</v>
      </c>
      <c r="H2691">
        <v>211</v>
      </c>
      <c r="I2691">
        <v>89</v>
      </c>
      <c r="J2691" s="8">
        <v>0.71199999999999997</v>
      </c>
      <c r="K2691">
        <v>54</v>
      </c>
      <c r="L2691">
        <v>33</v>
      </c>
      <c r="M2691">
        <v>186</v>
      </c>
      <c r="N2691" s="10">
        <v>721.81</v>
      </c>
      <c r="O2691" s="7">
        <v>7.8</v>
      </c>
      <c r="P2691" s="7">
        <v>27.4</v>
      </c>
      <c r="Q2691">
        <v>6</v>
      </c>
      <c r="R2691" t="s">
        <v>60</v>
      </c>
      <c r="S2691">
        <v>6</v>
      </c>
      <c r="T2691">
        <v>166</v>
      </c>
      <c r="U2691" s="11">
        <v>-0.78183148246802991</v>
      </c>
      <c r="V2691" s="11">
        <v>0.62348980185873337</v>
      </c>
      <c r="W2691" s="11">
        <v>0.29856881736372021</v>
      </c>
      <c r="X2691" s="11">
        <v>-0.9543881083175908</v>
      </c>
      <c r="Y2691">
        <v>1</v>
      </c>
      <c r="Z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6">
        <v>45823</v>
      </c>
      <c r="B2692" t="s">
        <v>41</v>
      </c>
      <c r="C2692" t="s">
        <v>42</v>
      </c>
      <c r="D2692" t="s">
        <v>43</v>
      </c>
      <c r="E2692" t="s">
        <v>44</v>
      </c>
      <c r="F2692">
        <v>85</v>
      </c>
      <c r="G2692">
        <v>210</v>
      </c>
      <c r="H2692">
        <v>153</v>
      </c>
      <c r="I2692">
        <v>68</v>
      </c>
      <c r="J2692" s="8">
        <v>0.8</v>
      </c>
      <c r="K2692">
        <v>20</v>
      </c>
      <c r="L2692">
        <v>16</v>
      </c>
      <c r="M2692">
        <v>131</v>
      </c>
      <c r="N2692" s="10">
        <v>586.44000000000005</v>
      </c>
      <c r="O2692" s="7">
        <v>7.8</v>
      </c>
      <c r="P2692" s="7">
        <v>27.4</v>
      </c>
      <c r="Q2692">
        <v>6</v>
      </c>
      <c r="R2692" t="s">
        <v>60</v>
      </c>
      <c r="S2692">
        <v>6</v>
      </c>
      <c r="T2692">
        <v>166</v>
      </c>
      <c r="U2692" s="11">
        <v>-0.78183148246802991</v>
      </c>
      <c r="V2692" s="11">
        <v>0.62348980185873337</v>
      </c>
      <c r="W2692" s="11">
        <v>0.29856881736372021</v>
      </c>
      <c r="X2692" s="11">
        <v>-0.9543881083175908</v>
      </c>
      <c r="Y2692">
        <v>1</v>
      </c>
      <c r="Z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6">
        <v>45824</v>
      </c>
      <c r="B2693" t="s">
        <v>31</v>
      </c>
      <c r="C2693" t="s">
        <v>32</v>
      </c>
      <c r="D2693" t="s">
        <v>33</v>
      </c>
      <c r="E2693" t="s">
        <v>34</v>
      </c>
      <c r="F2693">
        <v>140</v>
      </c>
      <c r="G2693">
        <v>360</v>
      </c>
      <c r="H2693">
        <v>194</v>
      </c>
      <c r="I2693">
        <v>84</v>
      </c>
      <c r="J2693" s="8">
        <v>0.6</v>
      </c>
      <c r="K2693">
        <v>32</v>
      </c>
      <c r="L2693">
        <v>47</v>
      </c>
      <c r="M2693">
        <v>166</v>
      </c>
      <c r="N2693" s="10">
        <v>424.19</v>
      </c>
      <c r="O2693" s="7">
        <v>19.899999999999999</v>
      </c>
      <c r="P2693" s="7">
        <v>27.9</v>
      </c>
      <c r="Q2693">
        <v>0</v>
      </c>
      <c r="R2693" t="s">
        <v>62</v>
      </c>
      <c r="S2693">
        <v>6</v>
      </c>
      <c r="T2693">
        <v>167</v>
      </c>
      <c r="U2693" s="11">
        <v>0</v>
      </c>
      <c r="V2693" s="11">
        <v>1</v>
      </c>
      <c r="W2693" s="11">
        <v>0.28210766268191939</v>
      </c>
      <c r="X2693" s="11">
        <v>-0.95938275294907427</v>
      </c>
      <c r="Y2693">
        <v>0</v>
      </c>
      <c r="Z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6">
        <v>45824</v>
      </c>
      <c r="B2694" t="s">
        <v>36</v>
      </c>
      <c r="C2694" t="s">
        <v>37</v>
      </c>
      <c r="D2694" t="s">
        <v>38</v>
      </c>
      <c r="E2694" t="s">
        <v>39</v>
      </c>
      <c r="F2694">
        <v>125</v>
      </c>
      <c r="G2694">
        <v>320</v>
      </c>
      <c r="H2694">
        <v>168</v>
      </c>
      <c r="I2694">
        <v>70</v>
      </c>
      <c r="J2694" s="8">
        <v>0.56000000000000005</v>
      </c>
      <c r="K2694">
        <v>25</v>
      </c>
      <c r="L2694">
        <v>42</v>
      </c>
      <c r="M2694">
        <v>151</v>
      </c>
      <c r="N2694" s="10">
        <v>563.66999999999996</v>
      </c>
      <c r="O2694" s="7">
        <v>19.899999999999999</v>
      </c>
      <c r="P2694" s="7">
        <v>27.9</v>
      </c>
      <c r="Q2694">
        <v>0</v>
      </c>
      <c r="R2694" t="s">
        <v>62</v>
      </c>
      <c r="S2694">
        <v>6</v>
      </c>
      <c r="T2694">
        <v>167</v>
      </c>
      <c r="U2694" s="11">
        <v>0</v>
      </c>
      <c r="V2694" s="11">
        <v>1</v>
      </c>
      <c r="W2694" s="11">
        <v>0.28210766268191939</v>
      </c>
      <c r="X2694" s="11">
        <v>-0.95938275294907427</v>
      </c>
      <c r="Y2694">
        <v>0</v>
      </c>
      <c r="Z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6">
        <v>45824</v>
      </c>
      <c r="B2695" t="s">
        <v>41</v>
      </c>
      <c r="C2695" t="s">
        <v>42</v>
      </c>
      <c r="D2695" t="s">
        <v>43</v>
      </c>
      <c r="E2695" t="s">
        <v>44</v>
      </c>
      <c r="F2695">
        <v>85</v>
      </c>
      <c r="G2695">
        <v>210</v>
      </c>
      <c r="H2695">
        <v>127</v>
      </c>
      <c r="I2695">
        <v>56</v>
      </c>
      <c r="J2695" s="8">
        <v>0.6588235294117647</v>
      </c>
      <c r="K2695">
        <v>19</v>
      </c>
      <c r="L2695">
        <v>24</v>
      </c>
      <c r="M2695">
        <v>110</v>
      </c>
      <c r="N2695" s="10">
        <v>541.64</v>
      </c>
      <c r="O2695" s="7">
        <v>19.899999999999999</v>
      </c>
      <c r="P2695" s="7">
        <v>27.9</v>
      </c>
      <c r="Q2695">
        <v>0</v>
      </c>
      <c r="R2695" t="s">
        <v>62</v>
      </c>
      <c r="S2695">
        <v>6</v>
      </c>
      <c r="T2695">
        <v>167</v>
      </c>
      <c r="U2695" s="11">
        <v>0</v>
      </c>
      <c r="V2695" s="11">
        <v>1</v>
      </c>
      <c r="W2695" s="11">
        <v>0.28210766268191939</v>
      </c>
      <c r="X2695" s="11">
        <v>-0.95938275294907427</v>
      </c>
      <c r="Y2695">
        <v>0</v>
      </c>
      <c r="Z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6">
        <v>45825</v>
      </c>
      <c r="B2696" t="s">
        <v>31</v>
      </c>
      <c r="C2696" t="s">
        <v>32</v>
      </c>
      <c r="D2696" t="s">
        <v>33</v>
      </c>
      <c r="E2696" t="s">
        <v>34</v>
      </c>
      <c r="F2696">
        <v>140</v>
      </c>
      <c r="G2696">
        <v>360</v>
      </c>
      <c r="H2696">
        <v>197</v>
      </c>
      <c r="I2696">
        <v>83</v>
      </c>
      <c r="J2696" s="8">
        <v>0.59285714285714286</v>
      </c>
      <c r="K2696">
        <v>43</v>
      </c>
      <c r="L2696">
        <v>26</v>
      </c>
      <c r="M2696">
        <v>174</v>
      </c>
      <c r="N2696" s="10">
        <v>415.19</v>
      </c>
      <c r="O2696" s="7">
        <v>9.1999999999999993</v>
      </c>
      <c r="P2696" s="7">
        <v>28.1</v>
      </c>
      <c r="Q2696">
        <v>1</v>
      </c>
      <c r="R2696" t="s">
        <v>63</v>
      </c>
      <c r="S2696">
        <v>6</v>
      </c>
      <c r="T2696">
        <v>168</v>
      </c>
      <c r="U2696" s="11">
        <v>0.7818314824680298</v>
      </c>
      <c r="V2696" s="11">
        <v>0.62348980185873359</v>
      </c>
      <c r="W2696" s="11">
        <v>0.26556302780405594</v>
      </c>
      <c r="X2696" s="11">
        <v>-0.96409350078897549</v>
      </c>
      <c r="Y2696">
        <v>0</v>
      </c>
      <c r="Z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6">
        <v>45825</v>
      </c>
      <c r="B2697" t="s">
        <v>36</v>
      </c>
      <c r="C2697" t="s">
        <v>37</v>
      </c>
      <c r="D2697" t="s">
        <v>38</v>
      </c>
      <c r="E2697" t="s">
        <v>39</v>
      </c>
      <c r="F2697">
        <v>125</v>
      </c>
      <c r="G2697">
        <v>320</v>
      </c>
      <c r="H2697">
        <v>166</v>
      </c>
      <c r="I2697">
        <v>71</v>
      </c>
      <c r="J2697" s="8">
        <v>0.56799999999999995</v>
      </c>
      <c r="K2697">
        <v>24</v>
      </c>
      <c r="L2697">
        <v>39</v>
      </c>
      <c r="M2697">
        <v>149</v>
      </c>
      <c r="N2697" s="10">
        <v>675.22</v>
      </c>
      <c r="O2697" s="7">
        <v>9.1999999999999993</v>
      </c>
      <c r="P2697" s="7">
        <v>28.1</v>
      </c>
      <c r="Q2697">
        <v>1</v>
      </c>
      <c r="R2697" t="s">
        <v>63</v>
      </c>
      <c r="S2697">
        <v>6</v>
      </c>
      <c r="T2697">
        <v>168</v>
      </c>
      <c r="U2697" s="11">
        <v>0.7818314824680298</v>
      </c>
      <c r="V2697" s="11">
        <v>0.62348980185873359</v>
      </c>
      <c r="W2697" s="11">
        <v>0.26556302780405594</v>
      </c>
      <c r="X2697" s="11">
        <v>-0.96409350078897549</v>
      </c>
      <c r="Y2697">
        <v>0</v>
      </c>
      <c r="Z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6">
        <v>45825</v>
      </c>
      <c r="B2698" t="s">
        <v>41</v>
      </c>
      <c r="C2698" t="s">
        <v>42</v>
      </c>
      <c r="D2698" t="s">
        <v>43</v>
      </c>
      <c r="E2698" t="s">
        <v>44</v>
      </c>
      <c r="F2698">
        <v>85</v>
      </c>
      <c r="G2698">
        <v>210</v>
      </c>
      <c r="H2698">
        <v>136</v>
      </c>
      <c r="I2698">
        <v>58</v>
      </c>
      <c r="J2698" s="8">
        <v>0.68235294117647061</v>
      </c>
      <c r="K2698">
        <v>26</v>
      </c>
      <c r="L2698">
        <v>37</v>
      </c>
      <c r="M2698">
        <v>110</v>
      </c>
      <c r="N2698" s="10">
        <v>481.7</v>
      </c>
      <c r="O2698" s="7">
        <v>9.1999999999999993</v>
      </c>
      <c r="P2698" s="7">
        <v>28.1</v>
      </c>
      <c r="Q2698">
        <v>1</v>
      </c>
      <c r="R2698" t="s">
        <v>63</v>
      </c>
      <c r="S2698">
        <v>6</v>
      </c>
      <c r="T2698">
        <v>168</v>
      </c>
      <c r="U2698" s="11">
        <v>0.7818314824680298</v>
      </c>
      <c r="V2698" s="11">
        <v>0.62348980185873359</v>
      </c>
      <c r="W2698" s="11">
        <v>0.26556302780405594</v>
      </c>
      <c r="X2698" s="11">
        <v>-0.96409350078897549</v>
      </c>
      <c r="Y2698">
        <v>0</v>
      </c>
      <c r="Z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6">
        <v>45826</v>
      </c>
      <c r="B2699" t="s">
        <v>31</v>
      </c>
      <c r="C2699" t="s">
        <v>32</v>
      </c>
      <c r="D2699" t="s">
        <v>33</v>
      </c>
      <c r="E2699" t="s">
        <v>34</v>
      </c>
      <c r="F2699">
        <v>140</v>
      </c>
      <c r="G2699">
        <v>360</v>
      </c>
      <c r="H2699">
        <v>197</v>
      </c>
      <c r="I2699">
        <v>82</v>
      </c>
      <c r="J2699" s="8">
        <v>0.58571428571428574</v>
      </c>
      <c r="K2699">
        <v>21</v>
      </c>
      <c r="L2699">
        <v>52</v>
      </c>
      <c r="M2699">
        <v>173</v>
      </c>
      <c r="N2699" s="10">
        <v>436.61</v>
      </c>
      <c r="O2699" s="7">
        <v>8.8000000000000007</v>
      </c>
      <c r="P2699" s="7">
        <v>28.6</v>
      </c>
      <c r="Q2699">
        <v>2</v>
      </c>
      <c r="R2699" t="s">
        <v>64</v>
      </c>
      <c r="S2699">
        <v>6</v>
      </c>
      <c r="T2699">
        <v>169</v>
      </c>
      <c r="U2699" s="11">
        <v>0.97492791218182362</v>
      </c>
      <c r="V2699" s="11">
        <v>-0.22252093395631434</v>
      </c>
      <c r="W2699" s="11">
        <v>0.24893980855376657</v>
      </c>
      <c r="X2699" s="11">
        <v>-0.96851895785122044</v>
      </c>
      <c r="Y2699">
        <v>0</v>
      </c>
      <c r="Z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6">
        <v>45826</v>
      </c>
      <c r="B2700" t="s">
        <v>36</v>
      </c>
      <c r="C2700" t="s">
        <v>37</v>
      </c>
      <c r="D2700" t="s">
        <v>38</v>
      </c>
      <c r="E2700" t="s">
        <v>39</v>
      </c>
      <c r="F2700">
        <v>125</v>
      </c>
      <c r="G2700">
        <v>320</v>
      </c>
      <c r="H2700">
        <v>181</v>
      </c>
      <c r="I2700">
        <v>75</v>
      </c>
      <c r="J2700" s="8">
        <v>0.6</v>
      </c>
      <c r="K2700">
        <v>38</v>
      </c>
      <c r="L2700">
        <v>39</v>
      </c>
      <c r="M2700">
        <v>163</v>
      </c>
      <c r="N2700" s="10">
        <v>601.88</v>
      </c>
      <c r="O2700" s="7">
        <v>8.8000000000000007</v>
      </c>
      <c r="P2700" s="7">
        <v>28.6</v>
      </c>
      <c r="Q2700">
        <v>2</v>
      </c>
      <c r="R2700" t="s">
        <v>64</v>
      </c>
      <c r="S2700">
        <v>6</v>
      </c>
      <c r="T2700">
        <v>169</v>
      </c>
      <c r="U2700" s="11">
        <v>0.97492791218182362</v>
      </c>
      <c r="V2700" s="11">
        <v>-0.22252093395631434</v>
      </c>
      <c r="W2700" s="11">
        <v>0.24893980855376657</v>
      </c>
      <c r="X2700" s="11">
        <v>-0.96851895785122044</v>
      </c>
      <c r="Y2700">
        <v>0</v>
      </c>
      <c r="Z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6">
        <v>45826</v>
      </c>
      <c r="B2701" t="s">
        <v>41</v>
      </c>
      <c r="C2701" t="s">
        <v>42</v>
      </c>
      <c r="D2701" t="s">
        <v>43</v>
      </c>
      <c r="E2701" t="s">
        <v>44</v>
      </c>
      <c r="F2701">
        <v>85</v>
      </c>
      <c r="G2701">
        <v>210</v>
      </c>
      <c r="H2701">
        <v>120</v>
      </c>
      <c r="I2701">
        <v>56</v>
      </c>
      <c r="J2701" s="8">
        <v>0.6588235294117647</v>
      </c>
      <c r="K2701">
        <v>18</v>
      </c>
      <c r="L2701">
        <v>12</v>
      </c>
      <c r="M2701">
        <v>112</v>
      </c>
      <c r="N2701" s="10">
        <v>512.51</v>
      </c>
      <c r="O2701" s="7">
        <v>8.8000000000000007</v>
      </c>
      <c r="P2701" s="7">
        <v>28.6</v>
      </c>
      <c r="Q2701">
        <v>2</v>
      </c>
      <c r="R2701" t="s">
        <v>64</v>
      </c>
      <c r="S2701">
        <v>6</v>
      </c>
      <c r="T2701">
        <v>169</v>
      </c>
      <c r="U2701" s="11">
        <v>0.97492791218182362</v>
      </c>
      <c r="V2701" s="11">
        <v>-0.22252093395631434</v>
      </c>
      <c r="W2701" s="11">
        <v>0.24893980855376657</v>
      </c>
      <c r="X2701" s="11">
        <v>-0.96851895785122044</v>
      </c>
      <c r="Y2701">
        <v>0</v>
      </c>
      <c r="Z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6">
        <v>45827</v>
      </c>
      <c r="B2702" t="s">
        <v>31</v>
      </c>
      <c r="C2702" t="s">
        <v>32</v>
      </c>
      <c r="D2702" t="s">
        <v>33</v>
      </c>
      <c r="E2702" t="s">
        <v>34</v>
      </c>
      <c r="F2702">
        <v>140</v>
      </c>
      <c r="G2702">
        <v>360</v>
      </c>
      <c r="H2702">
        <v>214</v>
      </c>
      <c r="I2702">
        <v>90</v>
      </c>
      <c r="J2702" s="8">
        <v>0.6428571428571429</v>
      </c>
      <c r="K2702">
        <v>36</v>
      </c>
      <c r="L2702">
        <v>57</v>
      </c>
      <c r="M2702">
        <v>189</v>
      </c>
      <c r="N2702" s="10">
        <v>435.19</v>
      </c>
      <c r="O2702" s="7">
        <v>2.8</v>
      </c>
      <c r="P2702" s="7">
        <v>27</v>
      </c>
      <c r="Q2702">
        <v>3</v>
      </c>
      <c r="R2702" t="s">
        <v>65</v>
      </c>
      <c r="S2702">
        <v>6</v>
      </c>
      <c r="T2702">
        <v>170</v>
      </c>
      <c r="U2702" s="11">
        <v>0.43388373911755823</v>
      </c>
      <c r="V2702" s="11">
        <v>-0.90096886790241903</v>
      </c>
      <c r="W2702" s="11">
        <v>0.23224292400907015</v>
      </c>
      <c r="X2702" s="11">
        <v>-0.9726578145718654</v>
      </c>
      <c r="Y2702">
        <v>0</v>
      </c>
      <c r="Z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6">
        <v>45827</v>
      </c>
      <c r="B2703" t="s">
        <v>36</v>
      </c>
      <c r="C2703" t="s">
        <v>37</v>
      </c>
      <c r="D2703" t="s">
        <v>38</v>
      </c>
      <c r="E2703" t="s">
        <v>39</v>
      </c>
      <c r="F2703">
        <v>125</v>
      </c>
      <c r="G2703">
        <v>320</v>
      </c>
      <c r="H2703">
        <v>172</v>
      </c>
      <c r="I2703">
        <v>73</v>
      </c>
      <c r="J2703" s="8">
        <v>0.58399999999999996</v>
      </c>
      <c r="K2703">
        <v>21</v>
      </c>
      <c r="L2703">
        <v>44</v>
      </c>
      <c r="M2703">
        <v>158</v>
      </c>
      <c r="N2703" s="10">
        <v>671.54</v>
      </c>
      <c r="O2703" s="7">
        <v>2.8</v>
      </c>
      <c r="P2703" s="7">
        <v>27</v>
      </c>
      <c r="Q2703">
        <v>3</v>
      </c>
      <c r="R2703" t="s">
        <v>65</v>
      </c>
      <c r="S2703">
        <v>6</v>
      </c>
      <c r="T2703">
        <v>170</v>
      </c>
      <c r="U2703" s="11">
        <v>0.43388373911755823</v>
      </c>
      <c r="V2703" s="11">
        <v>-0.90096886790241903</v>
      </c>
      <c r="W2703" s="11">
        <v>0.23224292400907015</v>
      </c>
      <c r="X2703" s="11">
        <v>-0.9726578145718654</v>
      </c>
      <c r="Y2703">
        <v>0</v>
      </c>
      <c r="Z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6">
        <v>45827</v>
      </c>
      <c r="B2704" t="s">
        <v>41</v>
      </c>
      <c r="C2704" t="s">
        <v>42</v>
      </c>
      <c r="D2704" t="s">
        <v>43</v>
      </c>
      <c r="E2704" t="s">
        <v>44</v>
      </c>
      <c r="F2704">
        <v>85</v>
      </c>
      <c r="G2704">
        <v>210</v>
      </c>
      <c r="H2704">
        <v>137</v>
      </c>
      <c r="I2704">
        <v>60</v>
      </c>
      <c r="J2704" s="8">
        <v>0.70588235294117652</v>
      </c>
      <c r="K2704">
        <v>27</v>
      </c>
      <c r="L2704">
        <v>28</v>
      </c>
      <c r="M2704">
        <v>115</v>
      </c>
      <c r="N2704" s="10">
        <v>491.79</v>
      </c>
      <c r="O2704" s="7">
        <v>2.8</v>
      </c>
      <c r="P2704" s="7">
        <v>27</v>
      </c>
      <c r="Q2704">
        <v>3</v>
      </c>
      <c r="R2704" t="s">
        <v>65</v>
      </c>
      <c r="S2704">
        <v>6</v>
      </c>
      <c r="T2704">
        <v>170</v>
      </c>
      <c r="U2704" s="11">
        <v>0.43388373911755823</v>
      </c>
      <c r="V2704" s="11">
        <v>-0.90096886790241903</v>
      </c>
      <c r="W2704" s="11">
        <v>0.23224292400907015</v>
      </c>
      <c r="X2704" s="11">
        <v>-0.9726578145718654</v>
      </c>
      <c r="Y2704">
        <v>0</v>
      </c>
      <c r="Z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6">
        <v>45828</v>
      </c>
      <c r="B2705" t="s">
        <v>31</v>
      </c>
      <c r="C2705" t="s">
        <v>32</v>
      </c>
      <c r="D2705" t="s">
        <v>33</v>
      </c>
      <c r="E2705" t="s">
        <v>34</v>
      </c>
      <c r="F2705">
        <v>140</v>
      </c>
      <c r="G2705">
        <v>360</v>
      </c>
      <c r="H2705">
        <v>196</v>
      </c>
      <c r="I2705">
        <v>84</v>
      </c>
      <c r="J2705" s="8">
        <v>0.6</v>
      </c>
      <c r="K2705">
        <v>42</v>
      </c>
      <c r="L2705">
        <v>31</v>
      </c>
      <c r="M2705">
        <v>171</v>
      </c>
      <c r="N2705" s="10">
        <v>405.5</v>
      </c>
      <c r="O2705" s="7">
        <v>9.1999999999999993</v>
      </c>
      <c r="P2705" s="7">
        <v>27.1</v>
      </c>
      <c r="Q2705">
        <v>4</v>
      </c>
      <c r="R2705" t="s">
        <v>66</v>
      </c>
      <c r="S2705">
        <v>6</v>
      </c>
      <c r="T2705">
        <v>171</v>
      </c>
      <c r="U2705" s="11">
        <v>-0.43388373911755801</v>
      </c>
      <c r="V2705" s="11">
        <v>-0.90096886790241915</v>
      </c>
      <c r="W2705" s="11">
        <v>0.21547731504673012</v>
      </c>
      <c r="X2705" s="11">
        <v>-0.97650884619661904</v>
      </c>
      <c r="Y2705">
        <v>0</v>
      </c>
      <c r="Z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6">
        <v>45828</v>
      </c>
      <c r="B2706" t="s">
        <v>36</v>
      </c>
      <c r="C2706" t="s">
        <v>37</v>
      </c>
      <c r="D2706" t="s">
        <v>38</v>
      </c>
      <c r="E2706" t="s">
        <v>39</v>
      </c>
      <c r="F2706">
        <v>125</v>
      </c>
      <c r="G2706">
        <v>320</v>
      </c>
      <c r="H2706">
        <v>170</v>
      </c>
      <c r="I2706">
        <v>70</v>
      </c>
      <c r="J2706" s="8">
        <v>0.56000000000000005</v>
      </c>
      <c r="K2706">
        <v>33</v>
      </c>
      <c r="L2706">
        <v>22</v>
      </c>
      <c r="M2706">
        <v>148</v>
      </c>
      <c r="N2706" s="10">
        <v>653.45000000000005</v>
      </c>
      <c r="O2706" s="7">
        <v>9.1999999999999993</v>
      </c>
      <c r="P2706" s="7">
        <v>27.1</v>
      </c>
      <c r="Q2706">
        <v>4</v>
      </c>
      <c r="R2706" t="s">
        <v>66</v>
      </c>
      <c r="S2706">
        <v>6</v>
      </c>
      <c r="T2706">
        <v>171</v>
      </c>
      <c r="U2706" s="11">
        <v>-0.43388373911755801</v>
      </c>
      <c r="V2706" s="11">
        <v>-0.90096886790241915</v>
      </c>
      <c r="W2706" s="11">
        <v>0.21547731504673012</v>
      </c>
      <c r="X2706" s="11">
        <v>-0.97650884619661904</v>
      </c>
      <c r="Y2706">
        <v>0</v>
      </c>
      <c r="Z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6">
        <v>45828</v>
      </c>
      <c r="B2707" t="s">
        <v>41</v>
      </c>
      <c r="C2707" t="s">
        <v>42</v>
      </c>
      <c r="D2707" t="s">
        <v>43</v>
      </c>
      <c r="E2707" t="s">
        <v>44</v>
      </c>
      <c r="F2707">
        <v>85</v>
      </c>
      <c r="G2707">
        <v>210</v>
      </c>
      <c r="H2707">
        <v>127</v>
      </c>
      <c r="I2707">
        <v>58</v>
      </c>
      <c r="J2707" s="8">
        <v>0.68235294117647061</v>
      </c>
      <c r="K2707">
        <v>21</v>
      </c>
      <c r="L2707">
        <v>20</v>
      </c>
      <c r="M2707">
        <v>108</v>
      </c>
      <c r="N2707" s="10">
        <v>502.19</v>
      </c>
      <c r="O2707" s="7">
        <v>9.1999999999999993</v>
      </c>
      <c r="P2707" s="7">
        <v>27.1</v>
      </c>
      <c r="Q2707">
        <v>4</v>
      </c>
      <c r="R2707" t="s">
        <v>66</v>
      </c>
      <c r="S2707">
        <v>6</v>
      </c>
      <c r="T2707">
        <v>171</v>
      </c>
      <c r="U2707" s="11">
        <v>-0.43388373911755801</v>
      </c>
      <c r="V2707" s="11">
        <v>-0.90096886790241915</v>
      </c>
      <c r="W2707" s="11">
        <v>0.21547731504673012</v>
      </c>
      <c r="X2707" s="11">
        <v>-0.97650884619661904</v>
      </c>
      <c r="Y2707">
        <v>0</v>
      </c>
      <c r="Z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6">
        <v>45829</v>
      </c>
      <c r="B2708" t="s">
        <v>31</v>
      </c>
      <c r="C2708" t="s">
        <v>32</v>
      </c>
      <c r="D2708" t="s">
        <v>33</v>
      </c>
      <c r="E2708" t="s">
        <v>34</v>
      </c>
      <c r="F2708">
        <v>140</v>
      </c>
      <c r="G2708">
        <v>360</v>
      </c>
      <c r="H2708">
        <v>214</v>
      </c>
      <c r="I2708">
        <v>89</v>
      </c>
      <c r="J2708" s="8">
        <v>0.63571428571428568</v>
      </c>
      <c r="K2708">
        <v>55</v>
      </c>
      <c r="L2708">
        <v>46</v>
      </c>
      <c r="M2708">
        <v>189</v>
      </c>
      <c r="N2708" s="10">
        <v>474.79</v>
      </c>
      <c r="O2708" s="7">
        <v>4.0999999999999996</v>
      </c>
      <c r="P2708" s="7">
        <v>27.4</v>
      </c>
      <c r="Q2708">
        <v>5</v>
      </c>
      <c r="R2708" t="s">
        <v>67</v>
      </c>
      <c r="S2708">
        <v>6</v>
      </c>
      <c r="T2708">
        <v>172</v>
      </c>
      <c r="U2708" s="11">
        <v>-0.97492791218182362</v>
      </c>
      <c r="V2708" s="11">
        <v>-0.22252093395631459</v>
      </c>
      <c r="W2708" s="11">
        <v>0.19864794288017112</v>
      </c>
      <c r="X2708" s="11">
        <v>-0.98007091314326655</v>
      </c>
      <c r="Y2708">
        <v>1</v>
      </c>
      <c r="Z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6">
        <v>45829</v>
      </c>
      <c r="B2709" t="s">
        <v>36</v>
      </c>
      <c r="C2709" t="s">
        <v>37</v>
      </c>
      <c r="D2709" t="s">
        <v>38</v>
      </c>
      <c r="E2709" t="s">
        <v>39</v>
      </c>
      <c r="F2709">
        <v>125</v>
      </c>
      <c r="G2709">
        <v>320</v>
      </c>
      <c r="H2709">
        <v>191</v>
      </c>
      <c r="I2709">
        <v>82</v>
      </c>
      <c r="J2709" s="8">
        <v>0.65600000000000003</v>
      </c>
      <c r="K2709">
        <v>51</v>
      </c>
      <c r="L2709">
        <v>29</v>
      </c>
      <c r="M2709">
        <v>161</v>
      </c>
      <c r="N2709" s="10">
        <v>737.06</v>
      </c>
      <c r="O2709" s="7">
        <v>4.0999999999999996</v>
      </c>
      <c r="P2709" s="7">
        <v>27.4</v>
      </c>
      <c r="Q2709">
        <v>5</v>
      </c>
      <c r="R2709" t="s">
        <v>67</v>
      </c>
      <c r="S2709">
        <v>6</v>
      </c>
      <c r="T2709">
        <v>172</v>
      </c>
      <c r="U2709" s="11">
        <v>-0.97492791218182362</v>
      </c>
      <c r="V2709" s="11">
        <v>-0.22252093395631459</v>
      </c>
      <c r="W2709" s="11">
        <v>0.19864794288017112</v>
      </c>
      <c r="X2709" s="11">
        <v>-0.98007091314326655</v>
      </c>
      <c r="Y2709">
        <v>1</v>
      </c>
      <c r="Z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6">
        <v>45829</v>
      </c>
      <c r="B2710" t="s">
        <v>41</v>
      </c>
      <c r="C2710" t="s">
        <v>42</v>
      </c>
      <c r="D2710" t="s">
        <v>43</v>
      </c>
      <c r="E2710" t="s">
        <v>44</v>
      </c>
      <c r="F2710">
        <v>85</v>
      </c>
      <c r="G2710">
        <v>210</v>
      </c>
      <c r="H2710">
        <v>137</v>
      </c>
      <c r="I2710">
        <v>63</v>
      </c>
      <c r="J2710" s="8">
        <v>0.74117647058823533</v>
      </c>
      <c r="K2710">
        <v>35</v>
      </c>
      <c r="L2710">
        <v>16</v>
      </c>
      <c r="M2710">
        <v>111</v>
      </c>
      <c r="N2710" s="10">
        <v>618.91999999999996</v>
      </c>
      <c r="O2710" s="7">
        <v>4.0999999999999996</v>
      </c>
      <c r="P2710" s="7">
        <v>27.4</v>
      </c>
      <c r="Q2710">
        <v>5</v>
      </c>
      <c r="R2710" t="s">
        <v>67</v>
      </c>
      <c r="S2710">
        <v>6</v>
      </c>
      <c r="T2710">
        <v>172</v>
      </c>
      <c r="U2710" s="11">
        <v>-0.97492791218182362</v>
      </c>
      <c r="V2710" s="11">
        <v>-0.22252093395631459</v>
      </c>
      <c r="W2710" s="11">
        <v>0.19864794288017112</v>
      </c>
      <c r="X2710" s="11">
        <v>-0.98007091314326655</v>
      </c>
      <c r="Y2710">
        <v>1</v>
      </c>
      <c r="Z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6">
        <v>45830</v>
      </c>
      <c r="B2711" t="s">
        <v>31</v>
      </c>
      <c r="C2711" t="s">
        <v>32</v>
      </c>
      <c r="D2711" t="s">
        <v>33</v>
      </c>
      <c r="E2711" t="s">
        <v>34</v>
      </c>
      <c r="F2711">
        <v>140</v>
      </c>
      <c r="G2711">
        <v>360</v>
      </c>
      <c r="H2711">
        <v>214</v>
      </c>
      <c r="I2711">
        <v>89</v>
      </c>
      <c r="J2711" s="8">
        <v>0.63571428571428568</v>
      </c>
      <c r="K2711">
        <v>40</v>
      </c>
      <c r="L2711">
        <v>38</v>
      </c>
      <c r="M2711">
        <v>179</v>
      </c>
      <c r="N2711" s="10">
        <v>445.41</v>
      </c>
      <c r="O2711" s="7">
        <v>15.3</v>
      </c>
      <c r="P2711" s="7">
        <v>29.4</v>
      </c>
      <c r="Q2711">
        <v>6</v>
      </c>
      <c r="R2711" t="s">
        <v>60</v>
      </c>
      <c r="S2711">
        <v>6</v>
      </c>
      <c r="T2711">
        <v>173</v>
      </c>
      <c r="U2711" s="11">
        <v>-0.78183148246802991</v>
      </c>
      <c r="V2711" s="11">
        <v>0.62348980185873337</v>
      </c>
      <c r="W2711" s="11">
        <v>0.18175978759137534</v>
      </c>
      <c r="X2711" s="11">
        <v>-0.98334296133889021</v>
      </c>
      <c r="Y2711">
        <v>1</v>
      </c>
      <c r="Z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6">
        <v>45830</v>
      </c>
      <c r="B2712" t="s">
        <v>36</v>
      </c>
      <c r="C2712" t="s">
        <v>37</v>
      </c>
      <c r="D2712" t="s">
        <v>38</v>
      </c>
      <c r="E2712" t="s">
        <v>39</v>
      </c>
      <c r="F2712">
        <v>125</v>
      </c>
      <c r="G2712">
        <v>320</v>
      </c>
      <c r="H2712">
        <v>226</v>
      </c>
      <c r="I2712">
        <v>93</v>
      </c>
      <c r="J2712" s="8">
        <v>0.74399999999999999</v>
      </c>
      <c r="K2712">
        <v>55</v>
      </c>
      <c r="L2712">
        <v>46</v>
      </c>
      <c r="M2712">
        <v>189</v>
      </c>
      <c r="N2712" s="10">
        <v>738.6</v>
      </c>
      <c r="O2712" s="7">
        <v>15.3</v>
      </c>
      <c r="P2712" s="7">
        <v>29.4</v>
      </c>
      <c r="Q2712">
        <v>6</v>
      </c>
      <c r="R2712" t="s">
        <v>60</v>
      </c>
      <c r="S2712">
        <v>6</v>
      </c>
      <c r="T2712">
        <v>173</v>
      </c>
      <c r="U2712" s="11">
        <v>-0.78183148246802991</v>
      </c>
      <c r="V2712" s="11">
        <v>0.62348980185873337</v>
      </c>
      <c r="W2712" s="11">
        <v>0.18175978759137534</v>
      </c>
      <c r="X2712" s="11">
        <v>-0.98334296133889021</v>
      </c>
      <c r="Y2712">
        <v>1</v>
      </c>
      <c r="Z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6">
        <v>45830</v>
      </c>
      <c r="B2713" t="s">
        <v>41</v>
      </c>
      <c r="C2713" t="s">
        <v>42</v>
      </c>
      <c r="D2713" t="s">
        <v>43</v>
      </c>
      <c r="E2713" t="s">
        <v>44</v>
      </c>
      <c r="F2713">
        <v>85</v>
      </c>
      <c r="G2713">
        <v>210</v>
      </c>
      <c r="H2713">
        <v>156</v>
      </c>
      <c r="I2713">
        <v>66</v>
      </c>
      <c r="J2713" s="8">
        <v>0.77647058823529413</v>
      </c>
      <c r="K2713">
        <v>33</v>
      </c>
      <c r="L2713">
        <v>41</v>
      </c>
      <c r="M2713">
        <v>137</v>
      </c>
      <c r="N2713" s="10">
        <v>543.54</v>
      </c>
      <c r="O2713" s="7">
        <v>15.3</v>
      </c>
      <c r="P2713" s="7">
        <v>29.4</v>
      </c>
      <c r="Q2713">
        <v>6</v>
      </c>
      <c r="R2713" t="s">
        <v>60</v>
      </c>
      <c r="S2713">
        <v>6</v>
      </c>
      <c r="T2713">
        <v>173</v>
      </c>
      <c r="U2713" s="11">
        <v>-0.78183148246802991</v>
      </c>
      <c r="V2713" s="11">
        <v>0.62348980185873337</v>
      </c>
      <c r="W2713" s="11">
        <v>0.18175978759137534</v>
      </c>
      <c r="X2713" s="11">
        <v>-0.98334296133889021</v>
      </c>
      <c r="Y2713">
        <v>1</v>
      </c>
      <c r="Z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6">
        <v>45831</v>
      </c>
      <c r="B2714" t="s">
        <v>31</v>
      </c>
      <c r="C2714" t="s">
        <v>32</v>
      </c>
      <c r="D2714" t="s">
        <v>33</v>
      </c>
      <c r="E2714" t="s">
        <v>34</v>
      </c>
      <c r="F2714">
        <v>140</v>
      </c>
      <c r="G2714">
        <v>360</v>
      </c>
      <c r="H2714">
        <v>173</v>
      </c>
      <c r="I2714">
        <v>75</v>
      </c>
      <c r="J2714" s="8">
        <v>0.5357142857142857</v>
      </c>
      <c r="K2714">
        <v>24</v>
      </c>
      <c r="L2714">
        <v>19</v>
      </c>
      <c r="M2714">
        <v>148</v>
      </c>
      <c r="N2714" s="10">
        <v>449.98</v>
      </c>
      <c r="O2714" s="7">
        <v>8.8000000000000007</v>
      </c>
      <c r="P2714" s="7">
        <v>28.1</v>
      </c>
      <c r="Q2714">
        <v>0</v>
      </c>
      <c r="R2714" t="s">
        <v>62</v>
      </c>
      <c r="S2714">
        <v>6</v>
      </c>
      <c r="T2714">
        <v>174</v>
      </c>
      <c r="U2714" s="11">
        <v>0</v>
      </c>
      <c r="V2714" s="11">
        <v>1</v>
      </c>
      <c r="W2714" s="11">
        <v>0.16481784665719793</v>
      </c>
      <c r="X2714" s="11">
        <v>-0.98632402253178664</v>
      </c>
      <c r="Y2714">
        <v>0</v>
      </c>
      <c r="Z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6">
        <v>45831</v>
      </c>
      <c r="B2715" t="s">
        <v>36</v>
      </c>
      <c r="C2715" t="s">
        <v>37</v>
      </c>
      <c r="D2715" t="s">
        <v>38</v>
      </c>
      <c r="E2715" t="s">
        <v>39</v>
      </c>
      <c r="F2715">
        <v>125</v>
      </c>
      <c r="G2715">
        <v>320</v>
      </c>
      <c r="H2715">
        <v>182</v>
      </c>
      <c r="I2715">
        <v>76</v>
      </c>
      <c r="J2715" s="8">
        <v>0.60799999999999998</v>
      </c>
      <c r="K2715">
        <v>47</v>
      </c>
      <c r="L2715">
        <v>23</v>
      </c>
      <c r="M2715">
        <v>149</v>
      </c>
      <c r="N2715" s="10">
        <v>584.54999999999995</v>
      </c>
      <c r="O2715" s="7">
        <v>8.8000000000000007</v>
      </c>
      <c r="P2715" s="7">
        <v>28.1</v>
      </c>
      <c r="Q2715">
        <v>0</v>
      </c>
      <c r="R2715" t="s">
        <v>62</v>
      </c>
      <c r="S2715">
        <v>6</v>
      </c>
      <c r="T2715">
        <v>174</v>
      </c>
      <c r="U2715" s="11">
        <v>0</v>
      </c>
      <c r="V2715" s="11">
        <v>1</v>
      </c>
      <c r="W2715" s="11">
        <v>0.16481784665719793</v>
      </c>
      <c r="X2715" s="11">
        <v>-0.98632402253178664</v>
      </c>
      <c r="Y2715">
        <v>0</v>
      </c>
      <c r="Z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6">
        <v>45831</v>
      </c>
      <c r="B2716" t="s">
        <v>41</v>
      </c>
      <c r="C2716" t="s">
        <v>42</v>
      </c>
      <c r="D2716" t="s">
        <v>43</v>
      </c>
      <c r="E2716" t="s">
        <v>44</v>
      </c>
      <c r="F2716">
        <v>85</v>
      </c>
      <c r="G2716">
        <v>210</v>
      </c>
      <c r="H2716">
        <v>120</v>
      </c>
      <c r="I2716">
        <v>56</v>
      </c>
      <c r="J2716" s="8">
        <v>0.6588235294117647</v>
      </c>
      <c r="K2716">
        <v>29</v>
      </c>
      <c r="L2716">
        <v>22</v>
      </c>
      <c r="M2716">
        <v>103</v>
      </c>
      <c r="N2716" s="10">
        <v>537.01</v>
      </c>
      <c r="O2716" s="7">
        <v>8.8000000000000007</v>
      </c>
      <c r="P2716" s="7">
        <v>28.1</v>
      </c>
      <c r="Q2716">
        <v>0</v>
      </c>
      <c r="R2716" t="s">
        <v>62</v>
      </c>
      <c r="S2716">
        <v>6</v>
      </c>
      <c r="T2716">
        <v>174</v>
      </c>
      <c r="U2716" s="11">
        <v>0</v>
      </c>
      <c r="V2716" s="11">
        <v>1</v>
      </c>
      <c r="W2716" s="11">
        <v>0.16481784665719793</v>
      </c>
      <c r="X2716" s="11">
        <v>-0.98632402253178664</v>
      </c>
      <c r="Y2716">
        <v>0</v>
      </c>
      <c r="Z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6">
        <v>45832</v>
      </c>
      <c r="B2717" t="s">
        <v>31</v>
      </c>
      <c r="C2717" t="s">
        <v>32</v>
      </c>
      <c r="D2717" t="s">
        <v>33</v>
      </c>
      <c r="E2717" t="s">
        <v>34</v>
      </c>
      <c r="F2717">
        <v>140</v>
      </c>
      <c r="G2717">
        <v>360</v>
      </c>
      <c r="H2717">
        <v>201</v>
      </c>
      <c r="I2717">
        <v>86</v>
      </c>
      <c r="J2717" s="8">
        <v>0.61428571428571432</v>
      </c>
      <c r="K2717">
        <v>35</v>
      </c>
      <c r="L2717">
        <v>49</v>
      </c>
      <c r="M2717">
        <v>172</v>
      </c>
      <c r="N2717" s="10">
        <v>414.3</v>
      </c>
      <c r="O2717" s="7">
        <v>25.6</v>
      </c>
      <c r="P2717" s="7">
        <v>27.1</v>
      </c>
      <c r="Q2717">
        <v>1</v>
      </c>
      <c r="R2717" t="s">
        <v>63</v>
      </c>
      <c r="S2717">
        <v>6</v>
      </c>
      <c r="T2717">
        <v>175</v>
      </c>
      <c r="U2717" s="11">
        <v>0.7818314824680298</v>
      </c>
      <c r="V2717" s="11">
        <v>0.62348980185873359</v>
      </c>
      <c r="W2717" s="11">
        <v>0.14782713347053048</v>
      </c>
      <c r="X2717" s="11">
        <v>-0.9890132145779883</v>
      </c>
      <c r="Y2717">
        <v>0</v>
      </c>
      <c r="Z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6">
        <v>45832</v>
      </c>
      <c r="B2718" t="s">
        <v>36</v>
      </c>
      <c r="C2718" t="s">
        <v>37</v>
      </c>
      <c r="D2718" t="s">
        <v>38</v>
      </c>
      <c r="E2718" t="s">
        <v>39</v>
      </c>
      <c r="F2718">
        <v>125</v>
      </c>
      <c r="G2718">
        <v>320</v>
      </c>
      <c r="H2718">
        <v>181</v>
      </c>
      <c r="I2718">
        <v>75</v>
      </c>
      <c r="J2718" s="8">
        <v>0.6</v>
      </c>
      <c r="K2718">
        <v>33</v>
      </c>
      <c r="L2718">
        <v>21</v>
      </c>
      <c r="M2718">
        <v>148</v>
      </c>
      <c r="N2718" s="10">
        <v>663.81</v>
      </c>
      <c r="O2718" s="7">
        <v>25.6</v>
      </c>
      <c r="P2718" s="7">
        <v>27.1</v>
      </c>
      <c r="Q2718">
        <v>1</v>
      </c>
      <c r="R2718" t="s">
        <v>63</v>
      </c>
      <c r="S2718">
        <v>6</v>
      </c>
      <c r="T2718">
        <v>175</v>
      </c>
      <c r="U2718" s="11">
        <v>0.7818314824680298</v>
      </c>
      <c r="V2718" s="11">
        <v>0.62348980185873359</v>
      </c>
      <c r="W2718" s="11">
        <v>0.14782713347053048</v>
      </c>
      <c r="X2718" s="11">
        <v>-0.9890132145779883</v>
      </c>
      <c r="Y2718">
        <v>0</v>
      </c>
      <c r="Z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6">
        <v>45832</v>
      </c>
      <c r="B2719" t="s">
        <v>41</v>
      </c>
      <c r="C2719" t="s">
        <v>42</v>
      </c>
      <c r="D2719" t="s">
        <v>43</v>
      </c>
      <c r="E2719" t="s">
        <v>44</v>
      </c>
      <c r="F2719">
        <v>85</v>
      </c>
      <c r="G2719">
        <v>210</v>
      </c>
      <c r="H2719">
        <v>110</v>
      </c>
      <c r="I2719">
        <v>52</v>
      </c>
      <c r="J2719" s="8">
        <v>0.61176470588235299</v>
      </c>
      <c r="K2719">
        <v>24</v>
      </c>
      <c r="L2719">
        <v>23</v>
      </c>
      <c r="M2719">
        <v>93</v>
      </c>
      <c r="N2719" s="10">
        <v>549.65</v>
      </c>
      <c r="O2719" s="7">
        <v>25.6</v>
      </c>
      <c r="P2719" s="7">
        <v>27.1</v>
      </c>
      <c r="Q2719">
        <v>1</v>
      </c>
      <c r="R2719" t="s">
        <v>63</v>
      </c>
      <c r="S2719">
        <v>6</v>
      </c>
      <c r="T2719">
        <v>175</v>
      </c>
      <c r="U2719" s="11">
        <v>0.7818314824680298</v>
      </c>
      <c r="V2719" s="11">
        <v>0.62348980185873359</v>
      </c>
      <c r="W2719" s="11">
        <v>0.14782713347053048</v>
      </c>
      <c r="X2719" s="11">
        <v>-0.9890132145779883</v>
      </c>
      <c r="Y2719">
        <v>0</v>
      </c>
      <c r="Z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6">
        <v>45833</v>
      </c>
      <c r="B2720" t="s">
        <v>31</v>
      </c>
      <c r="C2720" t="s">
        <v>32</v>
      </c>
      <c r="D2720" t="s">
        <v>33</v>
      </c>
      <c r="E2720" t="s">
        <v>34</v>
      </c>
      <c r="F2720">
        <v>140</v>
      </c>
      <c r="G2720">
        <v>360</v>
      </c>
      <c r="H2720">
        <v>206</v>
      </c>
      <c r="I2720">
        <v>87</v>
      </c>
      <c r="J2720" s="8">
        <v>0.62142857142857144</v>
      </c>
      <c r="K2720">
        <v>28</v>
      </c>
      <c r="L2720">
        <v>50</v>
      </c>
      <c r="M2720">
        <v>175</v>
      </c>
      <c r="N2720" s="10">
        <v>433.31</v>
      </c>
      <c r="O2720" s="7">
        <v>13.6</v>
      </c>
      <c r="P2720" s="7">
        <v>26.9</v>
      </c>
      <c r="Q2720">
        <v>2</v>
      </c>
      <c r="R2720" t="s">
        <v>64</v>
      </c>
      <c r="S2720">
        <v>6</v>
      </c>
      <c r="T2720">
        <v>176</v>
      </c>
      <c r="U2720" s="11">
        <v>0.97492791218182362</v>
      </c>
      <c r="V2720" s="11">
        <v>-0.22252093395631434</v>
      </c>
      <c r="W2720" s="11">
        <v>0.13079267585675922</v>
      </c>
      <c r="X2720" s="11">
        <v>-0.99140974170230378</v>
      </c>
      <c r="Y2720">
        <v>0</v>
      </c>
      <c r="Z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6">
        <v>45833</v>
      </c>
      <c r="B2721" t="s">
        <v>36</v>
      </c>
      <c r="C2721" t="s">
        <v>37</v>
      </c>
      <c r="D2721" t="s">
        <v>38</v>
      </c>
      <c r="E2721" t="s">
        <v>39</v>
      </c>
      <c r="F2721">
        <v>125</v>
      </c>
      <c r="G2721">
        <v>320</v>
      </c>
      <c r="H2721">
        <v>155</v>
      </c>
      <c r="I2721">
        <v>66</v>
      </c>
      <c r="J2721" s="8">
        <v>0.52800000000000002</v>
      </c>
      <c r="K2721">
        <v>27</v>
      </c>
      <c r="L2721">
        <v>29</v>
      </c>
      <c r="M2721">
        <v>138</v>
      </c>
      <c r="N2721" s="10">
        <v>586.88</v>
      </c>
      <c r="O2721" s="7">
        <v>13.6</v>
      </c>
      <c r="P2721" s="7">
        <v>26.9</v>
      </c>
      <c r="Q2721">
        <v>2</v>
      </c>
      <c r="R2721" t="s">
        <v>64</v>
      </c>
      <c r="S2721">
        <v>6</v>
      </c>
      <c r="T2721">
        <v>176</v>
      </c>
      <c r="U2721" s="11">
        <v>0.97492791218182362</v>
      </c>
      <c r="V2721" s="11">
        <v>-0.22252093395631434</v>
      </c>
      <c r="W2721" s="11">
        <v>0.13079267585675922</v>
      </c>
      <c r="X2721" s="11">
        <v>-0.99140974170230378</v>
      </c>
      <c r="Y2721">
        <v>0</v>
      </c>
      <c r="Z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6">
        <v>45833</v>
      </c>
      <c r="B2722" t="s">
        <v>41</v>
      </c>
      <c r="C2722" t="s">
        <v>42</v>
      </c>
      <c r="D2722" t="s">
        <v>43</v>
      </c>
      <c r="E2722" t="s">
        <v>44</v>
      </c>
      <c r="F2722">
        <v>85</v>
      </c>
      <c r="G2722">
        <v>210</v>
      </c>
      <c r="H2722">
        <v>135</v>
      </c>
      <c r="I2722">
        <v>57</v>
      </c>
      <c r="J2722" s="8">
        <v>0.6705882352941176</v>
      </c>
      <c r="K2722">
        <v>19</v>
      </c>
      <c r="L2722">
        <v>37</v>
      </c>
      <c r="M2722">
        <v>123</v>
      </c>
      <c r="N2722" s="10">
        <v>514.32000000000005</v>
      </c>
      <c r="O2722" s="7">
        <v>13.6</v>
      </c>
      <c r="P2722" s="7">
        <v>26.9</v>
      </c>
      <c r="Q2722">
        <v>2</v>
      </c>
      <c r="R2722" t="s">
        <v>64</v>
      </c>
      <c r="S2722">
        <v>6</v>
      </c>
      <c r="T2722">
        <v>176</v>
      </c>
      <c r="U2722" s="11">
        <v>0.97492791218182362</v>
      </c>
      <c r="V2722" s="11">
        <v>-0.22252093395631434</v>
      </c>
      <c r="W2722" s="11">
        <v>0.13079267585675922</v>
      </c>
      <c r="X2722" s="11">
        <v>-0.99140974170230378</v>
      </c>
      <c r="Y2722">
        <v>0</v>
      </c>
      <c r="Z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6">
        <v>45834</v>
      </c>
      <c r="B2723" t="s">
        <v>31</v>
      </c>
      <c r="C2723" t="s">
        <v>32</v>
      </c>
      <c r="D2723" t="s">
        <v>33</v>
      </c>
      <c r="E2723" t="s">
        <v>34</v>
      </c>
      <c r="F2723">
        <v>140</v>
      </c>
      <c r="G2723">
        <v>360</v>
      </c>
      <c r="H2723">
        <v>192</v>
      </c>
      <c r="I2723">
        <v>83</v>
      </c>
      <c r="J2723" s="8">
        <v>0.59285714285714286</v>
      </c>
      <c r="K2723">
        <v>42</v>
      </c>
      <c r="L2723">
        <v>39</v>
      </c>
      <c r="M2723">
        <v>165</v>
      </c>
      <c r="N2723" s="10">
        <v>417.47</v>
      </c>
      <c r="O2723" s="7">
        <v>11.2</v>
      </c>
      <c r="P2723" s="7">
        <v>29.2</v>
      </c>
      <c r="Q2723">
        <v>3</v>
      </c>
      <c r="R2723" t="s">
        <v>65</v>
      </c>
      <c r="S2723">
        <v>6</v>
      </c>
      <c r="T2723">
        <v>177</v>
      </c>
      <c r="U2723" s="11">
        <v>0.43388373911755823</v>
      </c>
      <c r="V2723" s="11">
        <v>-0.90096886790241903</v>
      </c>
      <c r="W2723" s="11">
        <v>0.11371951458594969</v>
      </c>
      <c r="X2723" s="11">
        <v>-0.99351289473380067</v>
      </c>
      <c r="Y2723">
        <v>0</v>
      </c>
      <c r="Z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6">
        <v>45834</v>
      </c>
      <c r="B2724" t="s">
        <v>36</v>
      </c>
      <c r="C2724" t="s">
        <v>37</v>
      </c>
      <c r="D2724" t="s">
        <v>38</v>
      </c>
      <c r="E2724" t="s">
        <v>39</v>
      </c>
      <c r="F2724">
        <v>125</v>
      </c>
      <c r="G2724">
        <v>320</v>
      </c>
      <c r="H2724">
        <v>186</v>
      </c>
      <c r="I2724">
        <v>76</v>
      </c>
      <c r="J2724" s="8">
        <v>0.60799999999999998</v>
      </c>
      <c r="K2724">
        <v>46</v>
      </c>
      <c r="L2724">
        <v>22</v>
      </c>
      <c r="M2724">
        <v>173</v>
      </c>
      <c r="N2724" s="10">
        <v>677.31</v>
      </c>
      <c r="O2724" s="7">
        <v>11.2</v>
      </c>
      <c r="P2724" s="7">
        <v>29.2</v>
      </c>
      <c r="Q2724">
        <v>3</v>
      </c>
      <c r="R2724" t="s">
        <v>65</v>
      </c>
      <c r="S2724">
        <v>6</v>
      </c>
      <c r="T2724">
        <v>177</v>
      </c>
      <c r="U2724" s="11">
        <v>0.43388373911755823</v>
      </c>
      <c r="V2724" s="11">
        <v>-0.90096886790241903</v>
      </c>
      <c r="W2724" s="11">
        <v>0.11371951458594969</v>
      </c>
      <c r="X2724" s="11">
        <v>-0.99351289473380067</v>
      </c>
      <c r="Y2724">
        <v>0</v>
      </c>
      <c r="Z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6">
        <v>45834</v>
      </c>
      <c r="B2725" t="s">
        <v>41</v>
      </c>
      <c r="C2725" t="s">
        <v>42</v>
      </c>
      <c r="D2725" t="s">
        <v>43</v>
      </c>
      <c r="E2725" t="s">
        <v>44</v>
      </c>
      <c r="F2725">
        <v>85</v>
      </c>
      <c r="G2725">
        <v>210</v>
      </c>
      <c r="H2725">
        <v>129</v>
      </c>
      <c r="I2725">
        <v>57</v>
      </c>
      <c r="J2725" s="8">
        <v>0.6705882352941176</v>
      </c>
      <c r="K2725">
        <v>31</v>
      </c>
      <c r="L2725">
        <v>33</v>
      </c>
      <c r="M2725">
        <v>116</v>
      </c>
      <c r="N2725" s="10">
        <v>542.72</v>
      </c>
      <c r="O2725" s="7">
        <v>11.2</v>
      </c>
      <c r="P2725" s="7">
        <v>29.2</v>
      </c>
      <c r="Q2725">
        <v>3</v>
      </c>
      <c r="R2725" t="s">
        <v>65</v>
      </c>
      <c r="S2725">
        <v>6</v>
      </c>
      <c r="T2725">
        <v>177</v>
      </c>
      <c r="U2725" s="11">
        <v>0.43388373911755823</v>
      </c>
      <c r="V2725" s="11">
        <v>-0.90096886790241903</v>
      </c>
      <c r="W2725" s="11">
        <v>0.11371951458594969</v>
      </c>
      <c r="X2725" s="11">
        <v>-0.99351289473380067</v>
      </c>
      <c r="Y2725">
        <v>0</v>
      </c>
      <c r="Z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6">
        <v>45835</v>
      </c>
      <c r="B2726" t="s">
        <v>31</v>
      </c>
      <c r="C2726" t="s">
        <v>32</v>
      </c>
      <c r="D2726" t="s">
        <v>33</v>
      </c>
      <c r="E2726" t="s">
        <v>34</v>
      </c>
      <c r="F2726">
        <v>140</v>
      </c>
      <c r="G2726">
        <v>360</v>
      </c>
      <c r="H2726">
        <v>199</v>
      </c>
      <c r="I2726">
        <v>84</v>
      </c>
      <c r="J2726" s="8">
        <v>0.6</v>
      </c>
      <c r="K2726">
        <v>27</v>
      </c>
      <c r="L2726">
        <v>52</v>
      </c>
      <c r="M2726">
        <v>160</v>
      </c>
      <c r="N2726" s="10">
        <v>386.51</v>
      </c>
      <c r="O2726" s="7">
        <v>7.6</v>
      </c>
      <c r="P2726" s="7">
        <v>28.5</v>
      </c>
      <c r="Q2726">
        <v>4</v>
      </c>
      <c r="R2726" t="s">
        <v>66</v>
      </c>
      <c r="S2726">
        <v>6</v>
      </c>
      <c r="T2726">
        <v>178</v>
      </c>
      <c r="U2726" s="11">
        <v>-0.43388373911755801</v>
      </c>
      <c r="V2726" s="11">
        <v>-0.90096886790241915</v>
      </c>
      <c r="W2726" s="11">
        <v>9.6612701881203106E-2</v>
      </c>
      <c r="X2726" s="11">
        <v>-0.99532205131566021</v>
      </c>
      <c r="Y2726">
        <v>0</v>
      </c>
      <c r="Z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6">
        <v>45835</v>
      </c>
      <c r="B2727" t="s">
        <v>36</v>
      </c>
      <c r="C2727" t="s">
        <v>37</v>
      </c>
      <c r="D2727" t="s">
        <v>38</v>
      </c>
      <c r="E2727" t="s">
        <v>39</v>
      </c>
      <c r="F2727">
        <v>125</v>
      </c>
      <c r="G2727">
        <v>320</v>
      </c>
      <c r="H2727">
        <v>182</v>
      </c>
      <c r="I2727">
        <v>74</v>
      </c>
      <c r="J2727" s="8">
        <v>0.59199999999999997</v>
      </c>
      <c r="K2727">
        <v>39</v>
      </c>
      <c r="L2727">
        <v>32</v>
      </c>
      <c r="M2727">
        <v>160</v>
      </c>
      <c r="N2727" s="10">
        <v>679.93</v>
      </c>
      <c r="O2727" s="7">
        <v>7.6</v>
      </c>
      <c r="P2727" s="7">
        <v>28.5</v>
      </c>
      <c r="Q2727">
        <v>4</v>
      </c>
      <c r="R2727" t="s">
        <v>66</v>
      </c>
      <c r="S2727">
        <v>6</v>
      </c>
      <c r="T2727">
        <v>178</v>
      </c>
      <c r="U2727" s="11">
        <v>-0.43388373911755801</v>
      </c>
      <c r="V2727" s="11">
        <v>-0.90096886790241915</v>
      </c>
      <c r="W2727" s="11">
        <v>9.6612701881203106E-2</v>
      </c>
      <c r="X2727" s="11">
        <v>-0.99532205131566021</v>
      </c>
      <c r="Y2727">
        <v>0</v>
      </c>
      <c r="Z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6">
        <v>45835</v>
      </c>
      <c r="B2728" t="s">
        <v>41</v>
      </c>
      <c r="C2728" t="s">
        <v>42</v>
      </c>
      <c r="D2728" t="s">
        <v>43</v>
      </c>
      <c r="E2728" t="s">
        <v>44</v>
      </c>
      <c r="F2728">
        <v>85</v>
      </c>
      <c r="G2728">
        <v>210</v>
      </c>
      <c r="H2728">
        <v>113</v>
      </c>
      <c r="I2728">
        <v>54</v>
      </c>
      <c r="J2728" s="8">
        <v>0.63529411764705879</v>
      </c>
      <c r="K2728">
        <v>22</v>
      </c>
      <c r="L2728">
        <v>15</v>
      </c>
      <c r="M2728">
        <v>92</v>
      </c>
      <c r="N2728" s="10">
        <v>528.76</v>
      </c>
      <c r="O2728" s="7">
        <v>7.6</v>
      </c>
      <c r="P2728" s="7">
        <v>28.5</v>
      </c>
      <c r="Q2728">
        <v>4</v>
      </c>
      <c r="R2728" t="s">
        <v>66</v>
      </c>
      <c r="S2728">
        <v>6</v>
      </c>
      <c r="T2728">
        <v>178</v>
      </c>
      <c r="U2728" s="11">
        <v>-0.43388373911755801</v>
      </c>
      <c r="V2728" s="11">
        <v>-0.90096886790241915</v>
      </c>
      <c r="W2728" s="11">
        <v>9.6612701881203106E-2</v>
      </c>
      <c r="X2728" s="11">
        <v>-0.99532205131566021</v>
      </c>
      <c r="Y2728">
        <v>0</v>
      </c>
      <c r="Z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6">
        <v>45836</v>
      </c>
      <c r="B2729" t="s">
        <v>31</v>
      </c>
      <c r="C2729" t="s">
        <v>32</v>
      </c>
      <c r="D2729" t="s">
        <v>33</v>
      </c>
      <c r="E2729" t="s">
        <v>34</v>
      </c>
      <c r="F2729">
        <v>140</v>
      </c>
      <c r="G2729">
        <v>360</v>
      </c>
      <c r="H2729">
        <v>239</v>
      </c>
      <c r="I2729">
        <v>104</v>
      </c>
      <c r="J2729" s="8">
        <v>0.74285714285714288</v>
      </c>
      <c r="K2729">
        <v>38</v>
      </c>
      <c r="L2729">
        <v>43</v>
      </c>
      <c r="M2729">
        <v>216</v>
      </c>
      <c r="N2729" s="10">
        <v>451.1</v>
      </c>
      <c r="O2729" s="7">
        <v>10.5</v>
      </c>
      <c r="P2729" s="7">
        <v>28.7</v>
      </c>
      <c r="Q2729">
        <v>5</v>
      </c>
      <c r="R2729" t="s">
        <v>67</v>
      </c>
      <c r="S2729">
        <v>6</v>
      </c>
      <c r="T2729">
        <v>179</v>
      </c>
      <c r="U2729" s="11">
        <v>-0.97492791218182362</v>
      </c>
      <c r="V2729" s="11">
        <v>-0.22252093395631459</v>
      </c>
      <c r="W2729" s="11">
        <v>7.9477299923620973E-2</v>
      </c>
      <c r="X2729" s="11">
        <v>-0.99683667608934357</v>
      </c>
      <c r="Y2729">
        <v>1</v>
      </c>
      <c r="Z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6">
        <v>45836</v>
      </c>
      <c r="B2730" t="s">
        <v>36</v>
      </c>
      <c r="C2730" t="s">
        <v>37</v>
      </c>
      <c r="D2730" t="s">
        <v>38</v>
      </c>
      <c r="E2730" t="s">
        <v>39</v>
      </c>
      <c r="F2730">
        <v>125</v>
      </c>
      <c r="G2730">
        <v>320</v>
      </c>
      <c r="H2730">
        <v>191</v>
      </c>
      <c r="I2730">
        <v>78</v>
      </c>
      <c r="J2730" s="8">
        <v>0.624</v>
      </c>
      <c r="K2730">
        <v>40</v>
      </c>
      <c r="L2730">
        <v>40</v>
      </c>
      <c r="M2730">
        <v>170</v>
      </c>
      <c r="N2730" s="10">
        <v>714.29</v>
      </c>
      <c r="O2730" s="7">
        <v>10.5</v>
      </c>
      <c r="P2730" s="7">
        <v>28.7</v>
      </c>
      <c r="Q2730">
        <v>5</v>
      </c>
      <c r="R2730" t="s">
        <v>67</v>
      </c>
      <c r="S2730">
        <v>6</v>
      </c>
      <c r="T2730">
        <v>179</v>
      </c>
      <c r="U2730" s="11">
        <v>-0.97492791218182362</v>
      </c>
      <c r="V2730" s="11">
        <v>-0.22252093395631459</v>
      </c>
      <c r="W2730" s="11">
        <v>7.9477299923620973E-2</v>
      </c>
      <c r="X2730" s="11">
        <v>-0.99683667608934357</v>
      </c>
      <c r="Y2730">
        <v>1</v>
      </c>
      <c r="Z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6">
        <v>45836</v>
      </c>
      <c r="B2731" t="s">
        <v>41</v>
      </c>
      <c r="C2731" t="s">
        <v>42</v>
      </c>
      <c r="D2731" t="s">
        <v>43</v>
      </c>
      <c r="E2731" t="s">
        <v>44</v>
      </c>
      <c r="F2731">
        <v>85</v>
      </c>
      <c r="G2731">
        <v>210</v>
      </c>
      <c r="H2731">
        <v>155</v>
      </c>
      <c r="I2731">
        <v>70</v>
      </c>
      <c r="J2731" s="8">
        <v>0.82352941176470584</v>
      </c>
      <c r="K2731">
        <v>41</v>
      </c>
      <c r="L2731">
        <v>24</v>
      </c>
      <c r="M2731">
        <v>142</v>
      </c>
      <c r="N2731" s="10">
        <v>546.02</v>
      </c>
      <c r="O2731" s="7">
        <v>10.5</v>
      </c>
      <c r="P2731" s="7">
        <v>28.7</v>
      </c>
      <c r="Q2731">
        <v>5</v>
      </c>
      <c r="R2731" t="s">
        <v>67</v>
      </c>
      <c r="S2731">
        <v>6</v>
      </c>
      <c r="T2731">
        <v>179</v>
      </c>
      <c r="U2731" s="11">
        <v>-0.97492791218182362</v>
      </c>
      <c r="V2731" s="11">
        <v>-0.22252093395631459</v>
      </c>
      <c r="W2731" s="11">
        <v>7.9477299923620973E-2</v>
      </c>
      <c r="X2731" s="11">
        <v>-0.99683667608934357</v>
      </c>
      <c r="Y2731">
        <v>1</v>
      </c>
      <c r="Z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6">
        <v>45837</v>
      </c>
      <c r="B2732" t="s">
        <v>31</v>
      </c>
      <c r="C2732" t="s">
        <v>32</v>
      </c>
      <c r="D2732" t="s">
        <v>33</v>
      </c>
      <c r="E2732" t="s">
        <v>34</v>
      </c>
      <c r="F2732">
        <v>140</v>
      </c>
      <c r="G2732">
        <v>360</v>
      </c>
      <c r="H2732">
        <v>227</v>
      </c>
      <c r="I2732">
        <v>97</v>
      </c>
      <c r="J2732" s="8">
        <v>0.69285714285714284</v>
      </c>
      <c r="K2732">
        <v>32</v>
      </c>
      <c r="L2732">
        <v>55</v>
      </c>
      <c r="M2732">
        <v>185</v>
      </c>
      <c r="N2732" s="10">
        <v>499.17</v>
      </c>
      <c r="O2732" s="7">
        <v>3.6</v>
      </c>
      <c r="P2732" s="7">
        <v>27.1</v>
      </c>
      <c r="Q2732">
        <v>6</v>
      </c>
      <c r="R2732" t="s">
        <v>60</v>
      </c>
      <c r="S2732">
        <v>6</v>
      </c>
      <c r="T2732">
        <v>180</v>
      </c>
      <c r="U2732" s="11">
        <v>-0.78183148246802991</v>
      </c>
      <c r="V2732" s="11">
        <v>0.62348980185873337</v>
      </c>
      <c r="W2732" s="11">
        <v>6.2318379354325076E-2</v>
      </c>
      <c r="X2732" s="11">
        <v>-0.99805632085301199</v>
      </c>
      <c r="Y2732">
        <v>1</v>
      </c>
      <c r="Z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6">
        <v>45837</v>
      </c>
      <c r="B2733" t="s">
        <v>36</v>
      </c>
      <c r="C2733" t="s">
        <v>37</v>
      </c>
      <c r="D2733" t="s">
        <v>38</v>
      </c>
      <c r="E2733" t="s">
        <v>39</v>
      </c>
      <c r="F2733">
        <v>125</v>
      </c>
      <c r="G2733">
        <v>320</v>
      </c>
      <c r="H2733">
        <v>205</v>
      </c>
      <c r="I2733">
        <v>85</v>
      </c>
      <c r="J2733" s="8">
        <v>0.68</v>
      </c>
      <c r="K2733">
        <v>36</v>
      </c>
      <c r="L2733">
        <v>34</v>
      </c>
      <c r="M2733">
        <v>183</v>
      </c>
      <c r="N2733" s="10">
        <v>651.54</v>
      </c>
      <c r="O2733" s="7">
        <v>3.6</v>
      </c>
      <c r="P2733" s="7">
        <v>27.1</v>
      </c>
      <c r="Q2733">
        <v>6</v>
      </c>
      <c r="R2733" t="s">
        <v>60</v>
      </c>
      <c r="S2733">
        <v>6</v>
      </c>
      <c r="T2733">
        <v>180</v>
      </c>
      <c r="U2733" s="11">
        <v>-0.78183148246802991</v>
      </c>
      <c r="V2733" s="11">
        <v>0.62348980185873337</v>
      </c>
      <c r="W2733" s="11">
        <v>6.2318379354325076E-2</v>
      </c>
      <c r="X2733" s="11">
        <v>-0.99805632085301199</v>
      </c>
      <c r="Y2733">
        <v>1</v>
      </c>
      <c r="Z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6">
        <v>45837</v>
      </c>
      <c r="B2734" t="s">
        <v>41</v>
      </c>
      <c r="C2734" t="s">
        <v>42</v>
      </c>
      <c r="D2734" t="s">
        <v>43</v>
      </c>
      <c r="E2734" t="s">
        <v>44</v>
      </c>
      <c r="F2734">
        <v>85</v>
      </c>
      <c r="G2734">
        <v>210</v>
      </c>
      <c r="H2734">
        <v>150</v>
      </c>
      <c r="I2734">
        <v>64</v>
      </c>
      <c r="J2734" s="8">
        <v>0.75294117647058822</v>
      </c>
      <c r="K2734">
        <v>24</v>
      </c>
      <c r="L2734">
        <v>26</v>
      </c>
      <c r="M2734">
        <v>137</v>
      </c>
      <c r="N2734" s="10">
        <v>620.95000000000005</v>
      </c>
      <c r="O2734" s="7">
        <v>3.6</v>
      </c>
      <c r="P2734" s="7">
        <v>27.1</v>
      </c>
      <c r="Q2734">
        <v>6</v>
      </c>
      <c r="R2734" t="s">
        <v>60</v>
      </c>
      <c r="S2734">
        <v>6</v>
      </c>
      <c r="T2734">
        <v>180</v>
      </c>
      <c r="U2734" s="11">
        <v>-0.78183148246802991</v>
      </c>
      <c r="V2734" s="11">
        <v>0.62348980185873337</v>
      </c>
      <c r="W2734" s="11">
        <v>6.2318379354325076E-2</v>
      </c>
      <c r="X2734" s="11">
        <v>-0.99805632085301199</v>
      </c>
      <c r="Y2734">
        <v>1</v>
      </c>
      <c r="Z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6">
        <v>45838</v>
      </c>
      <c r="B2735" t="s">
        <v>31</v>
      </c>
      <c r="C2735" t="s">
        <v>32</v>
      </c>
      <c r="D2735" t="s">
        <v>33</v>
      </c>
      <c r="E2735" t="s">
        <v>34</v>
      </c>
      <c r="F2735">
        <v>140</v>
      </c>
      <c r="G2735">
        <v>360</v>
      </c>
      <c r="H2735">
        <v>180</v>
      </c>
      <c r="I2735">
        <v>76</v>
      </c>
      <c r="J2735" s="8">
        <v>0.54285714285714282</v>
      </c>
      <c r="K2735">
        <v>33</v>
      </c>
      <c r="L2735">
        <v>51</v>
      </c>
      <c r="M2735">
        <v>155</v>
      </c>
      <c r="N2735" s="10">
        <v>413.12</v>
      </c>
      <c r="O2735" s="7">
        <v>3</v>
      </c>
      <c r="P2735" s="7">
        <v>28.5</v>
      </c>
      <c r="Q2735">
        <v>0</v>
      </c>
      <c r="R2735" t="s">
        <v>62</v>
      </c>
      <c r="S2735">
        <v>6</v>
      </c>
      <c r="T2735">
        <v>181</v>
      </c>
      <c r="U2735" s="11">
        <v>0</v>
      </c>
      <c r="V2735" s="11">
        <v>1</v>
      </c>
      <c r="W2735" s="11">
        <v>4.5141017773971927E-2</v>
      </c>
      <c r="X2735" s="11">
        <v>-0.99898062469415794</v>
      </c>
      <c r="Y2735">
        <v>0</v>
      </c>
      <c r="Z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6">
        <v>45838</v>
      </c>
      <c r="B2736" t="s">
        <v>36</v>
      </c>
      <c r="C2736" t="s">
        <v>37</v>
      </c>
      <c r="D2736" t="s">
        <v>38</v>
      </c>
      <c r="E2736" t="s">
        <v>39</v>
      </c>
      <c r="F2736">
        <v>125</v>
      </c>
      <c r="G2736">
        <v>320</v>
      </c>
      <c r="H2736">
        <v>211</v>
      </c>
      <c r="I2736">
        <v>87</v>
      </c>
      <c r="J2736" s="8">
        <v>0.69599999999999995</v>
      </c>
      <c r="K2736">
        <v>36</v>
      </c>
      <c r="L2736">
        <v>51</v>
      </c>
      <c r="M2736">
        <v>177</v>
      </c>
      <c r="N2736" s="10">
        <v>562.08000000000004</v>
      </c>
      <c r="O2736" s="7">
        <v>3</v>
      </c>
      <c r="P2736" s="7">
        <v>28.5</v>
      </c>
      <c r="Q2736">
        <v>0</v>
      </c>
      <c r="R2736" t="s">
        <v>62</v>
      </c>
      <c r="S2736">
        <v>6</v>
      </c>
      <c r="T2736">
        <v>181</v>
      </c>
      <c r="U2736" s="11">
        <v>0</v>
      </c>
      <c r="V2736" s="11">
        <v>1</v>
      </c>
      <c r="W2736" s="11">
        <v>4.5141017773971927E-2</v>
      </c>
      <c r="X2736" s="11">
        <v>-0.99898062469415794</v>
      </c>
      <c r="Y2736">
        <v>0</v>
      </c>
      <c r="Z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6">
        <v>45838</v>
      </c>
      <c r="B2737" t="s">
        <v>41</v>
      </c>
      <c r="C2737" t="s">
        <v>42</v>
      </c>
      <c r="D2737" t="s">
        <v>43</v>
      </c>
      <c r="E2737" t="s">
        <v>44</v>
      </c>
      <c r="F2737">
        <v>85</v>
      </c>
      <c r="G2737">
        <v>210</v>
      </c>
      <c r="H2737">
        <v>131</v>
      </c>
      <c r="I2737">
        <v>58</v>
      </c>
      <c r="J2737" s="8">
        <v>0.68235294117647061</v>
      </c>
      <c r="K2737">
        <v>25</v>
      </c>
      <c r="L2737">
        <v>30</v>
      </c>
      <c r="M2737">
        <v>117</v>
      </c>
      <c r="N2737" s="10">
        <v>520.73</v>
      </c>
      <c r="O2737" s="7">
        <v>3</v>
      </c>
      <c r="P2737" s="7">
        <v>28.5</v>
      </c>
      <c r="Q2737">
        <v>0</v>
      </c>
      <c r="R2737" t="s">
        <v>62</v>
      </c>
      <c r="S2737">
        <v>6</v>
      </c>
      <c r="T2737">
        <v>181</v>
      </c>
      <c r="U2737" s="11">
        <v>0</v>
      </c>
      <c r="V2737" s="11">
        <v>1</v>
      </c>
      <c r="W2737" s="11">
        <v>4.5141017773971927E-2</v>
      </c>
      <c r="X2737" s="11">
        <v>-0.99898062469415794</v>
      </c>
      <c r="Y2737">
        <v>0</v>
      </c>
      <c r="Z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6">
        <v>45839</v>
      </c>
      <c r="B2738" t="s">
        <v>31</v>
      </c>
      <c r="C2738" t="s">
        <v>32</v>
      </c>
      <c r="D2738" t="s">
        <v>33</v>
      </c>
      <c r="E2738" t="s">
        <v>34</v>
      </c>
      <c r="F2738">
        <v>140</v>
      </c>
      <c r="G2738">
        <v>360</v>
      </c>
      <c r="H2738">
        <v>210</v>
      </c>
      <c r="I2738">
        <v>88</v>
      </c>
      <c r="J2738" s="8">
        <v>0.62857142857142856</v>
      </c>
      <c r="K2738">
        <v>32</v>
      </c>
      <c r="L2738">
        <v>24</v>
      </c>
      <c r="M2738">
        <v>176</v>
      </c>
      <c r="N2738" s="10">
        <v>451.01</v>
      </c>
      <c r="O2738" s="7">
        <v>0</v>
      </c>
      <c r="P2738" s="7">
        <v>27.2</v>
      </c>
      <c r="Q2738">
        <v>1</v>
      </c>
      <c r="R2738" t="s">
        <v>63</v>
      </c>
      <c r="S2738">
        <v>7</v>
      </c>
      <c r="T2738">
        <v>182</v>
      </c>
      <c r="U2738" s="11">
        <v>0.7818314824680298</v>
      </c>
      <c r="V2738" s="11">
        <v>0.62348980185873359</v>
      </c>
      <c r="W2738" s="11">
        <v>2.7950298240210319E-2</v>
      </c>
      <c r="X2738" s="11">
        <v>-0.99960931409640397</v>
      </c>
      <c r="Y2738">
        <v>0</v>
      </c>
      <c r="Z2738">
        <v>0</v>
      </c>
      <c r="AB2738">
        <v>1</v>
      </c>
      <c r="AC2738">
        <v>0</v>
      </c>
      <c r="AD2738">
        <v>0</v>
      </c>
      <c r="AE2738">
        <v>0</v>
      </c>
    </row>
    <row r="2739" spans="1:31">
      <c r="A2739" s="6">
        <v>45839</v>
      </c>
      <c r="B2739" t="s">
        <v>36</v>
      </c>
      <c r="C2739" t="s">
        <v>37</v>
      </c>
      <c r="D2739" t="s">
        <v>38</v>
      </c>
      <c r="E2739" t="s">
        <v>39</v>
      </c>
      <c r="F2739">
        <v>125</v>
      </c>
      <c r="G2739">
        <v>320</v>
      </c>
      <c r="H2739">
        <v>227</v>
      </c>
      <c r="I2739">
        <v>99</v>
      </c>
      <c r="J2739" s="8">
        <v>0.79200000000000004</v>
      </c>
      <c r="K2739">
        <v>42</v>
      </c>
      <c r="L2739">
        <v>52</v>
      </c>
      <c r="M2739">
        <v>190</v>
      </c>
      <c r="N2739" s="10">
        <v>664.29</v>
      </c>
      <c r="O2739" s="7">
        <v>0</v>
      </c>
      <c r="P2739" s="7">
        <v>27.2</v>
      </c>
      <c r="Q2739">
        <v>1</v>
      </c>
      <c r="R2739" t="s">
        <v>63</v>
      </c>
      <c r="S2739">
        <v>7</v>
      </c>
      <c r="T2739">
        <v>182</v>
      </c>
      <c r="U2739" s="11">
        <v>0.7818314824680298</v>
      </c>
      <c r="V2739" s="11">
        <v>0.62348980185873359</v>
      </c>
      <c r="W2739" s="11">
        <v>2.7950298240210319E-2</v>
      </c>
      <c r="X2739" s="11">
        <v>-0.99960931409640397</v>
      </c>
      <c r="Y2739">
        <v>0</v>
      </c>
      <c r="Z2739">
        <v>0</v>
      </c>
      <c r="AB2739">
        <v>1</v>
      </c>
      <c r="AC2739">
        <v>0</v>
      </c>
      <c r="AD2739">
        <v>0</v>
      </c>
      <c r="AE2739">
        <v>0</v>
      </c>
    </row>
    <row r="2740" spans="1:31">
      <c r="A2740" s="6">
        <v>45839</v>
      </c>
      <c r="B2740" t="s">
        <v>41</v>
      </c>
      <c r="C2740" t="s">
        <v>42</v>
      </c>
      <c r="D2740" t="s">
        <v>43</v>
      </c>
      <c r="E2740" t="s">
        <v>44</v>
      </c>
      <c r="F2740">
        <v>85</v>
      </c>
      <c r="G2740">
        <v>210</v>
      </c>
      <c r="H2740">
        <v>154</v>
      </c>
      <c r="I2740">
        <v>69</v>
      </c>
      <c r="J2740" s="8">
        <v>0.81176470588235294</v>
      </c>
      <c r="K2740">
        <v>24</v>
      </c>
      <c r="L2740">
        <v>17</v>
      </c>
      <c r="M2740">
        <v>140</v>
      </c>
      <c r="N2740" s="10">
        <v>582.46</v>
      </c>
      <c r="O2740" s="7">
        <v>0</v>
      </c>
      <c r="P2740" s="7">
        <v>27.2</v>
      </c>
      <c r="Q2740">
        <v>1</v>
      </c>
      <c r="R2740" t="s">
        <v>63</v>
      </c>
      <c r="S2740">
        <v>7</v>
      </c>
      <c r="T2740">
        <v>182</v>
      </c>
      <c r="U2740" s="11">
        <v>0.7818314824680298</v>
      </c>
      <c r="V2740" s="11">
        <v>0.62348980185873359</v>
      </c>
      <c r="W2740" s="11">
        <v>2.7950298240210319E-2</v>
      </c>
      <c r="X2740" s="11">
        <v>-0.99960931409640397</v>
      </c>
      <c r="Y2740">
        <v>0</v>
      </c>
      <c r="Z2740">
        <v>0</v>
      </c>
      <c r="AB2740">
        <v>1</v>
      </c>
      <c r="AC2740">
        <v>0</v>
      </c>
      <c r="AD2740">
        <v>0</v>
      </c>
      <c r="AE2740">
        <v>0</v>
      </c>
    </row>
    <row r="2741" spans="1:31">
      <c r="A2741" s="6">
        <v>45840</v>
      </c>
      <c r="B2741" t="s">
        <v>31</v>
      </c>
      <c r="C2741" t="s">
        <v>32</v>
      </c>
      <c r="D2741" t="s">
        <v>33</v>
      </c>
      <c r="E2741" t="s">
        <v>34</v>
      </c>
      <c r="F2741">
        <v>140</v>
      </c>
      <c r="G2741">
        <v>360</v>
      </c>
      <c r="H2741">
        <v>229</v>
      </c>
      <c r="I2741">
        <v>101</v>
      </c>
      <c r="J2741" s="8">
        <v>0.72142857142857142</v>
      </c>
      <c r="K2741">
        <v>46</v>
      </c>
      <c r="L2741">
        <v>60</v>
      </c>
      <c r="M2741">
        <v>189</v>
      </c>
      <c r="N2741" s="10">
        <v>447.4</v>
      </c>
      <c r="O2741" s="7">
        <v>13.1</v>
      </c>
      <c r="P2741" s="7">
        <v>26</v>
      </c>
      <c r="Q2741">
        <v>2</v>
      </c>
      <c r="R2741" t="s">
        <v>64</v>
      </c>
      <c r="S2741">
        <v>7</v>
      </c>
      <c r="T2741">
        <v>183</v>
      </c>
      <c r="U2741" s="11">
        <v>0.97492791218182362</v>
      </c>
      <c r="V2741" s="11">
        <v>-0.22252093395631434</v>
      </c>
      <c r="W2741" s="11">
        <v>1.075130776352193E-2</v>
      </c>
      <c r="X2741" s="11">
        <v>-0.99994220302044157</v>
      </c>
      <c r="Y2741">
        <v>0</v>
      </c>
      <c r="Z2741">
        <v>0</v>
      </c>
      <c r="AB2741">
        <v>1</v>
      </c>
      <c r="AC2741">
        <v>0</v>
      </c>
      <c r="AD2741">
        <v>0</v>
      </c>
      <c r="AE2741">
        <v>0</v>
      </c>
    </row>
    <row r="2742" spans="1:31">
      <c r="A2742" s="6">
        <v>45840</v>
      </c>
      <c r="B2742" t="s">
        <v>36</v>
      </c>
      <c r="C2742" t="s">
        <v>37</v>
      </c>
      <c r="D2742" t="s">
        <v>38</v>
      </c>
      <c r="E2742" t="s">
        <v>39</v>
      </c>
      <c r="F2742">
        <v>125</v>
      </c>
      <c r="G2742">
        <v>320</v>
      </c>
      <c r="H2742">
        <v>230</v>
      </c>
      <c r="I2742">
        <v>96</v>
      </c>
      <c r="J2742" s="8">
        <v>0.76800000000000002</v>
      </c>
      <c r="K2742">
        <v>59</v>
      </c>
      <c r="L2742">
        <v>38</v>
      </c>
      <c r="M2742">
        <v>210</v>
      </c>
      <c r="N2742" s="10">
        <v>695.06</v>
      </c>
      <c r="O2742" s="7">
        <v>13.1</v>
      </c>
      <c r="P2742" s="7">
        <v>26</v>
      </c>
      <c r="Q2742">
        <v>2</v>
      </c>
      <c r="R2742" t="s">
        <v>64</v>
      </c>
      <c r="S2742">
        <v>7</v>
      </c>
      <c r="T2742">
        <v>183</v>
      </c>
      <c r="U2742" s="11">
        <v>0.97492791218182362</v>
      </c>
      <c r="V2742" s="11">
        <v>-0.22252093395631434</v>
      </c>
      <c r="W2742" s="11">
        <v>1.075130776352193E-2</v>
      </c>
      <c r="X2742" s="11">
        <v>-0.99994220302044157</v>
      </c>
      <c r="Y2742">
        <v>0</v>
      </c>
      <c r="Z2742">
        <v>0</v>
      </c>
      <c r="AB2742">
        <v>1</v>
      </c>
      <c r="AC2742">
        <v>0</v>
      </c>
      <c r="AD2742">
        <v>0</v>
      </c>
      <c r="AE2742">
        <v>0</v>
      </c>
    </row>
    <row r="2743" spans="1:31">
      <c r="A2743" s="6">
        <v>45840</v>
      </c>
      <c r="B2743" t="s">
        <v>41</v>
      </c>
      <c r="C2743" t="s">
        <v>42</v>
      </c>
      <c r="D2743" t="s">
        <v>43</v>
      </c>
      <c r="E2743" t="s">
        <v>44</v>
      </c>
      <c r="F2743">
        <v>85</v>
      </c>
      <c r="G2743">
        <v>210</v>
      </c>
      <c r="H2743">
        <v>146</v>
      </c>
      <c r="I2743">
        <v>66</v>
      </c>
      <c r="J2743" s="8">
        <v>0.77647058823529413</v>
      </c>
      <c r="K2743">
        <v>40</v>
      </c>
      <c r="L2743">
        <v>26</v>
      </c>
      <c r="M2743">
        <v>121</v>
      </c>
      <c r="N2743" s="10">
        <v>517.57000000000005</v>
      </c>
      <c r="O2743" s="7">
        <v>13.1</v>
      </c>
      <c r="P2743" s="7">
        <v>26</v>
      </c>
      <c r="Q2743">
        <v>2</v>
      </c>
      <c r="R2743" t="s">
        <v>64</v>
      </c>
      <c r="S2743">
        <v>7</v>
      </c>
      <c r="T2743">
        <v>183</v>
      </c>
      <c r="U2743" s="11">
        <v>0.97492791218182362</v>
      </c>
      <c r="V2743" s="11">
        <v>-0.22252093395631434</v>
      </c>
      <c r="W2743" s="11">
        <v>1.075130776352193E-2</v>
      </c>
      <c r="X2743" s="11">
        <v>-0.99994220302044157</v>
      </c>
      <c r="Y2743">
        <v>0</v>
      </c>
      <c r="Z2743">
        <v>0</v>
      </c>
      <c r="AB2743">
        <v>1</v>
      </c>
      <c r="AC2743">
        <v>0</v>
      </c>
      <c r="AD2743">
        <v>0</v>
      </c>
      <c r="AE2743">
        <v>0</v>
      </c>
    </row>
    <row r="2744" spans="1:31">
      <c r="A2744" s="6">
        <v>45841</v>
      </c>
      <c r="B2744" t="s">
        <v>31</v>
      </c>
      <c r="C2744" t="s">
        <v>32</v>
      </c>
      <c r="D2744" t="s">
        <v>33</v>
      </c>
      <c r="E2744" t="s">
        <v>34</v>
      </c>
      <c r="F2744">
        <v>140</v>
      </c>
      <c r="G2744">
        <v>360</v>
      </c>
      <c r="H2744">
        <v>216</v>
      </c>
      <c r="I2744">
        <v>94</v>
      </c>
      <c r="J2744" s="8">
        <v>0.67142857142857137</v>
      </c>
      <c r="K2744">
        <v>39</v>
      </c>
      <c r="L2744">
        <v>39</v>
      </c>
      <c r="M2744">
        <v>192</v>
      </c>
      <c r="N2744" s="10">
        <v>426.09</v>
      </c>
      <c r="O2744" s="7">
        <v>0</v>
      </c>
      <c r="P2744" s="7">
        <v>27.1</v>
      </c>
      <c r="Q2744">
        <v>3</v>
      </c>
      <c r="R2744" t="s">
        <v>65</v>
      </c>
      <c r="S2744">
        <v>7</v>
      </c>
      <c r="T2744">
        <v>184</v>
      </c>
      <c r="U2744" s="11">
        <v>0.43388373911755823</v>
      </c>
      <c r="V2744" s="11">
        <v>-0.90096886790241903</v>
      </c>
      <c r="W2744" s="11">
        <v>-6.4508641981051501E-3</v>
      </c>
      <c r="X2744" s="11">
        <v>-0.99997919295908233</v>
      </c>
      <c r="Y2744">
        <v>0</v>
      </c>
      <c r="Z2744">
        <v>0</v>
      </c>
      <c r="AB2744">
        <v>1</v>
      </c>
      <c r="AC2744">
        <v>0</v>
      </c>
      <c r="AD2744">
        <v>0</v>
      </c>
      <c r="AE2744">
        <v>0</v>
      </c>
    </row>
    <row r="2745" spans="1:31">
      <c r="A2745" s="6">
        <v>45841</v>
      </c>
      <c r="B2745" t="s">
        <v>36</v>
      </c>
      <c r="C2745" t="s">
        <v>37</v>
      </c>
      <c r="D2745" t="s">
        <v>38</v>
      </c>
      <c r="E2745" t="s">
        <v>39</v>
      </c>
      <c r="F2745">
        <v>125</v>
      </c>
      <c r="G2745">
        <v>320</v>
      </c>
      <c r="H2745">
        <v>224</v>
      </c>
      <c r="I2745">
        <v>93</v>
      </c>
      <c r="J2745" s="8">
        <v>0.74399999999999999</v>
      </c>
      <c r="K2745">
        <v>45</v>
      </c>
      <c r="L2745">
        <v>48</v>
      </c>
      <c r="M2745">
        <v>196</v>
      </c>
      <c r="N2745" s="10">
        <v>690.32</v>
      </c>
      <c r="O2745" s="7">
        <v>0</v>
      </c>
      <c r="P2745" s="7">
        <v>27.1</v>
      </c>
      <c r="Q2745">
        <v>3</v>
      </c>
      <c r="R2745" t="s">
        <v>65</v>
      </c>
      <c r="S2745">
        <v>7</v>
      </c>
      <c r="T2745">
        <v>184</v>
      </c>
      <c r="U2745" s="11">
        <v>0.43388373911755823</v>
      </c>
      <c r="V2745" s="11">
        <v>-0.90096886790241903</v>
      </c>
      <c r="W2745" s="11">
        <v>-6.4508641981051501E-3</v>
      </c>
      <c r="X2745" s="11">
        <v>-0.99997919295908233</v>
      </c>
      <c r="Y2745">
        <v>0</v>
      </c>
      <c r="Z2745">
        <v>0</v>
      </c>
      <c r="AB2745">
        <v>1</v>
      </c>
      <c r="AC2745">
        <v>0</v>
      </c>
      <c r="AD2745">
        <v>0</v>
      </c>
      <c r="AE2745">
        <v>0</v>
      </c>
    </row>
    <row r="2746" spans="1:31">
      <c r="A2746" s="6">
        <v>45841</v>
      </c>
      <c r="B2746" t="s">
        <v>41</v>
      </c>
      <c r="C2746" t="s">
        <v>42</v>
      </c>
      <c r="D2746" t="s">
        <v>43</v>
      </c>
      <c r="E2746" t="s">
        <v>44</v>
      </c>
      <c r="F2746">
        <v>85</v>
      </c>
      <c r="G2746">
        <v>210</v>
      </c>
      <c r="H2746">
        <v>154</v>
      </c>
      <c r="I2746">
        <v>66</v>
      </c>
      <c r="J2746" s="8">
        <v>0.77647058823529413</v>
      </c>
      <c r="K2746">
        <v>41</v>
      </c>
      <c r="L2746">
        <v>35</v>
      </c>
      <c r="M2746">
        <v>142</v>
      </c>
      <c r="N2746" s="10">
        <v>586.78</v>
      </c>
      <c r="O2746" s="7">
        <v>0</v>
      </c>
      <c r="P2746" s="7">
        <v>27.1</v>
      </c>
      <c r="Q2746">
        <v>3</v>
      </c>
      <c r="R2746" t="s">
        <v>65</v>
      </c>
      <c r="S2746">
        <v>7</v>
      </c>
      <c r="T2746">
        <v>184</v>
      </c>
      <c r="U2746" s="11">
        <v>0.43388373911755823</v>
      </c>
      <c r="V2746" s="11">
        <v>-0.90096886790241903</v>
      </c>
      <c r="W2746" s="11">
        <v>-6.4508641981051501E-3</v>
      </c>
      <c r="X2746" s="11">
        <v>-0.99997919295908233</v>
      </c>
      <c r="Y2746">
        <v>0</v>
      </c>
      <c r="Z2746">
        <v>0</v>
      </c>
      <c r="AB2746">
        <v>1</v>
      </c>
      <c r="AC2746">
        <v>0</v>
      </c>
      <c r="AD2746">
        <v>0</v>
      </c>
      <c r="AE2746">
        <v>0</v>
      </c>
    </row>
    <row r="2747" spans="1:31">
      <c r="A2747" s="6">
        <v>45842</v>
      </c>
      <c r="B2747" t="s">
        <v>31</v>
      </c>
      <c r="C2747" t="s">
        <v>32</v>
      </c>
      <c r="D2747" t="s">
        <v>33</v>
      </c>
      <c r="E2747" t="s">
        <v>34</v>
      </c>
      <c r="F2747">
        <v>140</v>
      </c>
      <c r="G2747">
        <v>360</v>
      </c>
      <c r="H2747">
        <v>223</v>
      </c>
      <c r="I2747">
        <v>93</v>
      </c>
      <c r="J2747" s="8">
        <v>0.66428571428571426</v>
      </c>
      <c r="K2747">
        <v>58</v>
      </c>
      <c r="L2747">
        <v>26</v>
      </c>
      <c r="M2747">
        <v>205</v>
      </c>
      <c r="N2747" s="10">
        <v>497.07</v>
      </c>
      <c r="O2747" s="7">
        <v>4.2</v>
      </c>
      <c r="P2747" s="7">
        <v>27.4</v>
      </c>
      <c r="Q2747">
        <v>4</v>
      </c>
      <c r="R2747" t="s">
        <v>66</v>
      </c>
      <c r="S2747">
        <v>7</v>
      </c>
      <c r="T2747">
        <v>185</v>
      </c>
      <c r="U2747" s="11">
        <v>-0.43388373911755801</v>
      </c>
      <c r="V2747" s="11">
        <v>-0.90096886790241915</v>
      </c>
      <c r="W2747" s="11">
        <v>-2.3651127245231586E-2</v>
      </c>
      <c r="X2747" s="11">
        <v>-0.99972027296640831</v>
      </c>
      <c r="Y2747">
        <v>0</v>
      </c>
      <c r="Z2747">
        <v>0</v>
      </c>
      <c r="AB2747">
        <v>1</v>
      </c>
      <c r="AC2747">
        <v>0</v>
      </c>
      <c r="AD2747">
        <v>0</v>
      </c>
      <c r="AE2747">
        <v>0</v>
      </c>
    </row>
    <row r="2748" spans="1:31">
      <c r="A2748" s="6">
        <v>45842</v>
      </c>
      <c r="B2748" t="s">
        <v>36</v>
      </c>
      <c r="C2748" t="s">
        <v>37</v>
      </c>
      <c r="D2748" t="s">
        <v>38</v>
      </c>
      <c r="E2748" t="s">
        <v>39</v>
      </c>
      <c r="F2748">
        <v>125</v>
      </c>
      <c r="G2748">
        <v>320</v>
      </c>
      <c r="H2748">
        <v>228</v>
      </c>
      <c r="I2748">
        <v>96</v>
      </c>
      <c r="J2748" s="8">
        <v>0.76800000000000002</v>
      </c>
      <c r="K2748">
        <v>44</v>
      </c>
      <c r="L2748">
        <v>47</v>
      </c>
      <c r="M2748">
        <v>208</v>
      </c>
      <c r="N2748" s="10">
        <v>682.17</v>
      </c>
      <c r="O2748" s="7">
        <v>4.2</v>
      </c>
      <c r="P2748" s="7">
        <v>27.4</v>
      </c>
      <c r="Q2748">
        <v>4</v>
      </c>
      <c r="R2748" t="s">
        <v>66</v>
      </c>
      <c r="S2748">
        <v>7</v>
      </c>
      <c r="T2748">
        <v>185</v>
      </c>
      <c r="U2748" s="11">
        <v>-0.43388373911755801</v>
      </c>
      <c r="V2748" s="11">
        <v>-0.90096886790241915</v>
      </c>
      <c r="W2748" s="11">
        <v>-2.3651127245231586E-2</v>
      </c>
      <c r="X2748" s="11">
        <v>-0.99972027296640831</v>
      </c>
      <c r="Y2748">
        <v>0</v>
      </c>
      <c r="Z2748">
        <v>0</v>
      </c>
      <c r="AB2748">
        <v>1</v>
      </c>
      <c r="AC2748">
        <v>0</v>
      </c>
      <c r="AD2748">
        <v>0</v>
      </c>
      <c r="AE2748">
        <v>0</v>
      </c>
    </row>
    <row r="2749" spans="1:31">
      <c r="A2749" s="6">
        <v>45842</v>
      </c>
      <c r="B2749" t="s">
        <v>41</v>
      </c>
      <c r="C2749" t="s">
        <v>42</v>
      </c>
      <c r="D2749" t="s">
        <v>43</v>
      </c>
      <c r="E2749" t="s">
        <v>44</v>
      </c>
      <c r="F2749">
        <v>85</v>
      </c>
      <c r="G2749">
        <v>210</v>
      </c>
      <c r="H2749">
        <v>154</v>
      </c>
      <c r="I2749">
        <v>69</v>
      </c>
      <c r="J2749" s="8">
        <v>0.81176470588235294</v>
      </c>
      <c r="K2749">
        <v>44</v>
      </c>
      <c r="L2749">
        <v>19</v>
      </c>
      <c r="M2749">
        <v>130</v>
      </c>
      <c r="N2749" s="10">
        <v>560.91</v>
      </c>
      <c r="O2749" s="7">
        <v>4.2</v>
      </c>
      <c r="P2749" s="7">
        <v>27.4</v>
      </c>
      <c r="Q2749">
        <v>4</v>
      </c>
      <c r="R2749" t="s">
        <v>66</v>
      </c>
      <c r="S2749">
        <v>7</v>
      </c>
      <c r="T2749">
        <v>185</v>
      </c>
      <c r="U2749" s="11">
        <v>-0.43388373911755801</v>
      </c>
      <c r="V2749" s="11">
        <v>-0.90096886790241915</v>
      </c>
      <c r="W2749" s="11">
        <v>-2.3651127245231586E-2</v>
      </c>
      <c r="X2749" s="11">
        <v>-0.99972027296640831</v>
      </c>
      <c r="Y2749">
        <v>0</v>
      </c>
      <c r="Z2749">
        <v>0</v>
      </c>
      <c r="AB2749">
        <v>1</v>
      </c>
      <c r="AC2749">
        <v>0</v>
      </c>
      <c r="AD2749">
        <v>0</v>
      </c>
      <c r="AE2749">
        <v>0</v>
      </c>
    </row>
    <row r="2750" spans="1:31">
      <c r="A2750" s="6">
        <v>45843</v>
      </c>
      <c r="B2750" t="s">
        <v>31</v>
      </c>
      <c r="C2750" t="s">
        <v>32</v>
      </c>
      <c r="D2750" t="s">
        <v>33</v>
      </c>
      <c r="E2750" t="s">
        <v>34</v>
      </c>
      <c r="F2750">
        <v>140</v>
      </c>
      <c r="G2750">
        <v>360</v>
      </c>
      <c r="H2750">
        <v>234</v>
      </c>
      <c r="I2750">
        <v>102</v>
      </c>
      <c r="J2750" s="8">
        <v>0.72857142857142854</v>
      </c>
      <c r="K2750">
        <v>30</v>
      </c>
      <c r="L2750">
        <v>65</v>
      </c>
      <c r="M2750">
        <v>198</v>
      </c>
      <c r="N2750" s="10">
        <v>567.99</v>
      </c>
      <c r="O2750" s="7">
        <v>10.8</v>
      </c>
      <c r="P2750" s="7">
        <v>26.9</v>
      </c>
      <c r="Q2750">
        <v>5</v>
      </c>
      <c r="R2750" t="s">
        <v>67</v>
      </c>
      <c r="S2750">
        <v>7</v>
      </c>
      <c r="T2750">
        <v>186</v>
      </c>
      <c r="U2750" s="11">
        <v>-0.97492791218182362</v>
      </c>
      <c r="V2750" s="11">
        <v>-0.22252093395631459</v>
      </c>
      <c r="W2750" s="11">
        <v>-4.084439154329611E-2</v>
      </c>
      <c r="X2750" s="11">
        <v>-0.99916551966101086</v>
      </c>
      <c r="Y2750">
        <v>1</v>
      </c>
      <c r="Z2750">
        <v>0</v>
      </c>
      <c r="AB2750">
        <v>1</v>
      </c>
      <c r="AC2750">
        <v>0</v>
      </c>
      <c r="AD2750">
        <v>0</v>
      </c>
      <c r="AE2750">
        <v>0</v>
      </c>
    </row>
    <row r="2751" spans="1:31">
      <c r="A2751" s="6">
        <v>45843</v>
      </c>
      <c r="B2751" t="s">
        <v>36</v>
      </c>
      <c r="C2751" t="s">
        <v>37</v>
      </c>
      <c r="D2751" t="s">
        <v>38</v>
      </c>
      <c r="E2751" t="s">
        <v>39</v>
      </c>
      <c r="F2751">
        <v>125</v>
      </c>
      <c r="G2751">
        <v>320</v>
      </c>
      <c r="H2751">
        <v>245</v>
      </c>
      <c r="I2751">
        <v>103</v>
      </c>
      <c r="J2751" s="8">
        <v>0.82399999999999995</v>
      </c>
      <c r="K2751">
        <v>46</v>
      </c>
      <c r="L2751">
        <v>52</v>
      </c>
      <c r="M2751">
        <v>210</v>
      </c>
      <c r="N2751" s="10">
        <v>772.33</v>
      </c>
      <c r="O2751" s="7">
        <v>10.8</v>
      </c>
      <c r="P2751" s="7">
        <v>26.9</v>
      </c>
      <c r="Q2751">
        <v>5</v>
      </c>
      <c r="R2751" t="s">
        <v>67</v>
      </c>
      <c r="S2751">
        <v>7</v>
      </c>
      <c r="T2751">
        <v>186</v>
      </c>
      <c r="U2751" s="11">
        <v>-0.97492791218182362</v>
      </c>
      <c r="V2751" s="11">
        <v>-0.22252093395631459</v>
      </c>
      <c r="W2751" s="11">
        <v>-4.084439154329611E-2</v>
      </c>
      <c r="X2751" s="11">
        <v>-0.99916551966101086</v>
      </c>
      <c r="Y2751">
        <v>1</v>
      </c>
      <c r="Z2751">
        <v>0</v>
      </c>
      <c r="AB2751">
        <v>1</v>
      </c>
      <c r="AC2751">
        <v>0</v>
      </c>
      <c r="AD2751">
        <v>0</v>
      </c>
      <c r="AE2751">
        <v>0</v>
      </c>
    </row>
    <row r="2752" spans="1:31">
      <c r="A2752" s="6">
        <v>45843</v>
      </c>
      <c r="B2752" t="s">
        <v>41</v>
      </c>
      <c r="C2752" t="s">
        <v>42</v>
      </c>
      <c r="D2752" t="s">
        <v>43</v>
      </c>
      <c r="E2752" t="s">
        <v>44</v>
      </c>
      <c r="F2752">
        <v>85</v>
      </c>
      <c r="G2752">
        <v>210</v>
      </c>
      <c r="H2752">
        <v>179</v>
      </c>
      <c r="I2752">
        <v>77</v>
      </c>
      <c r="J2752" s="8">
        <v>0.90588235294117647</v>
      </c>
      <c r="K2752">
        <v>32</v>
      </c>
      <c r="L2752">
        <v>35</v>
      </c>
      <c r="M2752">
        <v>168</v>
      </c>
      <c r="N2752" s="10">
        <v>625.07000000000005</v>
      </c>
      <c r="O2752" s="7">
        <v>10.8</v>
      </c>
      <c r="P2752" s="7">
        <v>26.9</v>
      </c>
      <c r="Q2752">
        <v>5</v>
      </c>
      <c r="R2752" t="s">
        <v>67</v>
      </c>
      <c r="S2752">
        <v>7</v>
      </c>
      <c r="T2752">
        <v>186</v>
      </c>
      <c r="U2752" s="11">
        <v>-0.97492791218182362</v>
      </c>
      <c r="V2752" s="11">
        <v>-0.22252093395631459</v>
      </c>
      <c r="W2752" s="11">
        <v>-4.084439154329611E-2</v>
      </c>
      <c r="X2752" s="11">
        <v>-0.99916551966101086</v>
      </c>
      <c r="Y2752">
        <v>1</v>
      </c>
      <c r="Z2752">
        <v>0</v>
      </c>
      <c r="AB2752">
        <v>1</v>
      </c>
      <c r="AC2752">
        <v>0</v>
      </c>
      <c r="AD2752">
        <v>0</v>
      </c>
      <c r="AE2752">
        <v>0</v>
      </c>
    </row>
    <row r="2753" spans="1:31">
      <c r="A2753" s="6">
        <v>45844</v>
      </c>
      <c r="B2753" t="s">
        <v>31</v>
      </c>
      <c r="C2753" t="s">
        <v>32</v>
      </c>
      <c r="D2753" t="s">
        <v>33</v>
      </c>
      <c r="E2753" t="s">
        <v>34</v>
      </c>
      <c r="F2753">
        <v>140</v>
      </c>
      <c r="G2753">
        <v>360</v>
      </c>
      <c r="H2753">
        <v>261</v>
      </c>
      <c r="I2753">
        <v>109</v>
      </c>
      <c r="J2753" s="8">
        <v>0.77857142857142858</v>
      </c>
      <c r="K2753">
        <v>57</v>
      </c>
      <c r="L2753">
        <v>53</v>
      </c>
      <c r="M2753">
        <v>234</v>
      </c>
      <c r="N2753" s="10">
        <v>518.29999999999995</v>
      </c>
      <c r="O2753" s="7">
        <v>5</v>
      </c>
      <c r="P2753" s="7">
        <v>28.1</v>
      </c>
      <c r="Q2753">
        <v>6</v>
      </c>
      <c r="R2753" t="s">
        <v>60</v>
      </c>
      <c r="S2753">
        <v>7</v>
      </c>
      <c r="T2753">
        <v>187</v>
      </c>
      <c r="U2753" s="11">
        <v>-0.78183148246802991</v>
      </c>
      <c r="V2753" s="11">
        <v>0.62348980185873337</v>
      </c>
      <c r="W2753" s="11">
        <v>-5.8025569328780349E-2</v>
      </c>
      <c r="X2753" s="11">
        <v>-0.99831509720331835</v>
      </c>
      <c r="Y2753">
        <v>1</v>
      </c>
      <c r="Z2753">
        <v>0</v>
      </c>
      <c r="AB2753">
        <v>1</v>
      </c>
      <c r="AC2753">
        <v>0</v>
      </c>
      <c r="AD2753">
        <v>0</v>
      </c>
      <c r="AE2753">
        <v>0</v>
      </c>
    </row>
    <row r="2754" spans="1:31">
      <c r="A2754" s="6">
        <v>45844</v>
      </c>
      <c r="B2754" t="s">
        <v>36</v>
      </c>
      <c r="C2754" t="s">
        <v>37</v>
      </c>
      <c r="D2754" t="s">
        <v>38</v>
      </c>
      <c r="E2754" t="s">
        <v>39</v>
      </c>
      <c r="F2754">
        <v>125</v>
      </c>
      <c r="G2754">
        <v>320</v>
      </c>
      <c r="H2754">
        <v>266</v>
      </c>
      <c r="I2754">
        <v>113</v>
      </c>
      <c r="J2754" s="8">
        <v>0.90400000000000003</v>
      </c>
      <c r="K2754">
        <v>52</v>
      </c>
      <c r="L2754">
        <v>34</v>
      </c>
      <c r="M2754">
        <v>232</v>
      </c>
      <c r="N2754" s="10">
        <v>762.68</v>
      </c>
      <c r="O2754" s="7">
        <v>5</v>
      </c>
      <c r="P2754" s="7">
        <v>28.1</v>
      </c>
      <c r="Q2754">
        <v>6</v>
      </c>
      <c r="R2754" t="s">
        <v>60</v>
      </c>
      <c r="S2754">
        <v>7</v>
      </c>
      <c r="T2754">
        <v>187</v>
      </c>
      <c r="U2754" s="11">
        <v>-0.78183148246802991</v>
      </c>
      <c r="V2754" s="11">
        <v>0.62348980185873337</v>
      </c>
      <c r="W2754" s="11">
        <v>-5.8025569328780349E-2</v>
      </c>
      <c r="X2754" s="11">
        <v>-0.99831509720331835</v>
      </c>
      <c r="Y2754">
        <v>1</v>
      </c>
      <c r="Z2754">
        <v>0</v>
      </c>
      <c r="AB2754">
        <v>1</v>
      </c>
      <c r="AC2754">
        <v>0</v>
      </c>
      <c r="AD2754">
        <v>0</v>
      </c>
      <c r="AE2754">
        <v>0</v>
      </c>
    </row>
    <row r="2755" spans="1:31">
      <c r="A2755" s="6">
        <v>45844</v>
      </c>
      <c r="B2755" t="s">
        <v>41</v>
      </c>
      <c r="C2755" t="s">
        <v>42</v>
      </c>
      <c r="D2755" t="s">
        <v>43</v>
      </c>
      <c r="E2755" t="s">
        <v>44</v>
      </c>
      <c r="F2755">
        <v>85</v>
      </c>
      <c r="G2755">
        <v>210</v>
      </c>
      <c r="H2755">
        <v>176</v>
      </c>
      <c r="I2755">
        <v>79</v>
      </c>
      <c r="J2755" s="8">
        <v>0.92941176470588238</v>
      </c>
      <c r="K2755">
        <v>34</v>
      </c>
      <c r="L2755">
        <v>47</v>
      </c>
      <c r="M2755">
        <v>145</v>
      </c>
      <c r="N2755" s="10">
        <v>616.63</v>
      </c>
      <c r="O2755" s="7">
        <v>5</v>
      </c>
      <c r="P2755" s="7">
        <v>28.1</v>
      </c>
      <c r="Q2755">
        <v>6</v>
      </c>
      <c r="R2755" t="s">
        <v>60</v>
      </c>
      <c r="S2755">
        <v>7</v>
      </c>
      <c r="T2755">
        <v>187</v>
      </c>
      <c r="U2755" s="11">
        <v>-0.78183148246802991</v>
      </c>
      <c r="V2755" s="11">
        <v>0.62348980185873337</v>
      </c>
      <c r="W2755" s="11">
        <v>-5.8025569328780349E-2</v>
      </c>
      <c r="X2755" s="11">
        <v>-0.99831509720331835</v>
      </c>
      <c r="Y2755">
        <v>1</v>
      </c>
      <c r="Z2755">
        <v>0</v>
      </c>
      <c r="AB2755">
        <v>1</v>
      </c>
      <c r="AC2755">
        <v>0</v>
      </c>
      <c r="AD2755">
        <v>0</v>
      </c>
      <c r="AE2755">
        <v>0</v>
      </c>
    </row>
    <row r="2756" spans="1:31">
      <c r="A2756" s="6">
        <v>45845</v>
      </c>
      <c r="B2756" t="s">
        <v>31</v>
      </c>
      <c r="C2756" t="s">
        <v>32</v>
      </c>
      <c r="D2756" t="s">
        <v>33</v>
      </c>
      <c r="E2756" t="s">
        <v>34</v>
      </c>
      <c r="F2756">
        <v>140</v>
      </c>
      <c r="G2756">
        <v>360</v>
      </c>
      <c r="H2756">
        <v>212</v>
      </c>
      <c r="I2756">
        <v>91</v>
      </c>
      <c r="J2756" s="8">
        <v>0.65</v>
      </c>
      <c r="K2756">
        <v>52</v>
      </c>
      <c r="L2756">
        <v>24</v>
      </c>
      <c r="M2756">
        <v>177</v>
      </c>
      <c r="N2756" s="10">
        <v>505.58</v>
      </c>
      <c r="O2756" s="7">
        <v>0</v>
      </c>
      <c r="P2756" s="7">
        <v>29.5</v>
      </c>
      <c r="Q2756">
        <v>0</v>
      </c>
      <c r="R2756" t="s">
        <v>62</v>
      </c>
      <c r="S2756">
        <v>7</v>
      </c>
      <c r="T2756">
        <v>188</v>
      </c>
      <c r="U2756" s="11">
        <v>0</v>
      </c>
      <c r="V2756" s="11">
        <v>1</v>
      </c>
      <c r="W2756" s="11">
        <v>-7.5189576414758555E-2</v>
      </c>
      <c r="X2756" s="11">
        <v>-0.99716925724701777</v>
      </c>
      <c r="Y2756">
        <v>0</v>
      </c>
      <c r="Z2756">
        <v>0</v>
      </c>
      <c r="AB2756">
        <v>1</v>
      </c>
      <c r="AC2756">
        <v>0</v>
      </c>
      <c r="AD2756">
        <v>0</v>
      </c>
      <c r="AE2756">
        <v>0</v>
      </c>
    </row>
    <row r="2757" spans="1:31">
      <c r="A2757" s="6">
        <v>45845</v>
      </c>
      <c r="B2757" t="s">
        <v>36</v>
      </c>
      <c r="C2757" t="s">
        <v>37</v>
      </c>
      <c r="D2757" t="s">
        <v>38</v>
      </c>
      <c r="E2757" t="s">
        <v>39</v>
      </c>
      <c r="F2757">
        <v>125</v>
      </c>
      <c r="G2757">
        <v>320</v>
      </c>
      <c r="H2757">
        <v>225</v>
      </c>
      <c r="I2757">
        <v>93</v>
      </c>
      <c r="J2757" s="8">
        <v>0.74399999999999999</v>
      </c>
      <c r="K2757">
        <v>44</v>
      </c>
      <c r="L2757">
        <v>51</v>
      </c>
      <c r="M2757">
        <v>195</v>
      </c>
      <c r="N2757" s="10">
        <v>647.72</v>
      </c>
      <c r="O2757" s="7">
        <v>0</v>
      </c>
      <c r="P2757" s="7">
        <v>29.5</v>
      </c>
      <c r="Q2757">
        <v>0</v>
      </c>
      <c r="R2757" t="s">
        <v>62</v>
      </c>
      <c r="S2757">
        <v>7</v>
      </c>
      <c r="T2757">
        <v>188</v>
      </c>
      <c r="U2757" s="11">
        <v>0</v>
      </c>
      <c r="V2757" s="11">
        <v>1</v>
      </c>
      <c r="W2757" s="11">
        <v>-7.5189576414758555E-2</v>
      </c>
      <c r="X2757" s="11">
        <v>-0.99716925724701777</v>
      </c>
      <c r="Y2757">
        <v>0</v>
      </c>
      <c r="Z2757">
        <v>0</v>
      </c>
      <c r="AB2757">
        <v>1</v>
      </c>
      <c r="AC2757">
        <v>0</v>
      </c>
      <c r="AD2757">
        <v>0</v>
      </c>
      <c r="AE2757">
        <v>0</v>
      </c>
    </row>
    <row r="2758" spans="1:31">
      <c r="A2758" s="6">
        <v>45845</v>
      </c>
      <c r="B2758" t="s">
        <v>41</v>
      </c>
      <c r="C2758" t="s">
        <v>42</v>
      </c>
      <c r="D2758" t="s">
        <v>43</v>
      </c>
      <c r="E2758" t="s">
        <v>44</v>
      </c>
      <c r="F2758">
        <v>85</v>
      </c>
      <c r="G2758">
        <v>210</v>
      </c>
      <c r="H2758">
        <v>158</v>
      </c>
      <c r="I2758">
        <v>71</v>
      </c>
      <c r="J2758" s="8">
        <v>0.83529411764705885</v>
      </c>
      <c r="K2758">
        <v>29</v>
      </c>
      <c r="L2758">
        <v>35</v>
      </c>
      <c r="M2758">
        <v>146</v>
      </c>
      <c r="N2758" s="10">
        <v>602.04999999999995</v>
      </c>
      <c r="O2758" s="7">
        <v>0</v>
      </c>
      <c r="P2758" s="7">
        <v>29.5</v>
      </c>
      <c r="Q2758">
        <v>0</v>
      </c>
      <c r="R2758" t="s">
        <v>62</v>
      </c>
      <c r="S2758">
        <v>7</v>
      </c>
      <c r="T2758">
        <v>188</v>
      </c>
      <c r="U2758" s="11">
        <v>0</v>
      </c>
      <c r="V2758" s="11">
        <v>1</v>
      </c>
      <c r="W2758" s="11">
        <v>-7.5189576414758555E-2</v>
      </c>
      <c r="X2758" s="11">
        <v>-0.99716925724701777</v>
      </c>
      <c r="Y2758">
        <v>0</v>
      </c>
      <c r="Z2758">
        <v>0</v>
      </c>
      <c r="AB2758">
        <v>1</v>
      </c>
      <c r="AC2758">
        <v>0</v>
      </c>
      <c r="AD2758">
        <v>0</v>
      </c>
      <c r="AE2758">
        <v>0</v>
      </c>
    </row>
    <row r="2759" spans="1:31">
      <c r="A2759" s="6">
        <v>45846</v>
      </c>
      <c r="B2759" t="s">
        <v>31</v>
      </c>
      <c r="C2759" t="s">
        <v>32</v>
      </c>
      <c r="D2759" t="s">
        <v>33</v>
      </c>
      <c r="E2759" t="s">
        <v>34</v>
      </c>
      <c r="F2759">
        <v>140</v>
      </c>
      <c r="G2759">
        <v>360</v>
      </c>
      <c r="H2759">
        <v>235</v>
      </c>
      <c r="I2759">
        <v>95</v>
      </c>
      <c r="J2759" s="8">
        <v>0.6785714285714286</v>
      </c>
      <c r="K2759">
        <v>58</v>
      </c>
      <c r="L2759">
        <v>39</v>
      </c>
      <c r="M2759">
        <v>192</v>
      </c>
      <c r="N2759" s="10">
        <v>459.21</v>
      </c>
      <c r="O2759" s="7">
        <v>10.8</v>
      </c>
      <c r="P2759" s="7">
        <v>29.3</v>
      </c>
      <c r="Q2759">
        <v>1</v>
      </c>
      <c r="R2759" t="s">
        <v>63</v>
      </c>
      <c r="S2759">
        <v>7</v>
      </c>
      <c r="T2759">
        <v>189</v>
      </c>
      <c r="U2759" s="11">
        <v>0.7818314824680298</v>
      </c>
      <c r="V2759" s="11">
        <v>0.62348980185873359</v>
      </c>
      <c r="W2759" s="11">
        <v>-9.2331333695391218E-2</v>
      </c>
      <c r="X2759" s="11">
        <v>-0.99572833886458723</v>
      </c>
      <c r="Y2759">
        <v>0</v>
      </c>
      <c r="Z2759">
        <v>0</v>
      </c>
      <c r="AB2759">
        <v>1</v>
      </c>
      <c r="AC2759">
        <v>0</v>
      </c>
      <c r="AD2759">
        <v>0</v>
      </c>
      <c r="AE2759">
        <v>0</v>
      </c>
    </row>
    <row r="2760" spans="1:31">
      <c r="A2760" s="6">
        <v>45846</v>
      </c>
      <c r="B2760" t="s">
        <v>36</v>
      </c>
      <c r="C2760" t="s">
        <v>37</v>
      </c>
      <c r="D2760" t="s">
        <v>38</v>
      </c>
      <c r="E2760" t="s">
        <v>39</v>
      </c>
      <c r="F2760">
        <v>125</v>
      </c>
      <c r="G2760">
        <v>320</v>
      </c>
      <c r="H2760">
        <v>244</v>
      </c>
      <c r="I2760">
        <v>99</v>
      </c>
      <c r="J2760" s="8">
        <v>0.79200000000000004</v>
      </c>
      <c r="K2760">
        <v>49</v>
      </c>
      <c r="L2760">
        <v>57</v>
      </c>
      <c r="M2760">
        <v>218</v>
      </c>
      <c r="N2760" s="10">
        <v>683.14</v>
      </c>
      <c r="O2760" s="7">
        <v>10.8</v>
      </c>
      <c r="P2760" s="7">
        <v>29.3</v>
      </c>
      <c r="Q2760">
        <v>1</v>
      </c>
      <c r="R2760" t="s">
        <v>63</v>
      </c>
      <c r="S2760">
        <v>7</v>
      </c>
      <c r="T2760">
        <v>189</v>
      </c>
      <c r="U2760" s="11">
        <v>0.7818314824680298</v>
      </c>
      <c r="V2760" s="11">
        <v>0.62348980185873359</v>
      </c>
      <c r="W2760" s="11">
        <v>-9.2331333695391218E-2</v>
      </c>
      <c r="X2760" s="11">
        <v>-0.99572833886458723</v>
      </c>
      <c r="Y2760">
        <v>0</v>
      </c>
      <c r="Z2760">
        <v>0</v>
      </c>
      <c r="AB2760">
        <v>1</v>
      </c>
      <c r="AC2760">
        <v>0</v>
      </c>
      <c r="AD2760">
        <v>0</v>
      </c>
      <c r="AE2760">
        <v>0</v>
      </c>
    </row>
    <row r="2761" spans="1:31">
      <c r="A2761" s="6">
        <v>45846</v>
      </c>
      <c r="B2761" t="s">
        <v>41</v>
      </c>
      <c r="C2761" t="s">
        <v>42</v>
      </c>
      <c r="D2761" t="s">
        <v>43</v>
      </c>
      <c r="E2761" t="s">
        <v>44</v>
      </c>
      <c r="F2761">
        <v>85</v>
      </c>
      <c r="G2761">
        <v>210</v>
      </c>
      <c r="H2761">
        <v>184</v>
      </c>
      <c r="I2761">
        <v>80</v>
      </c>
      <c r="J2761" s="8">
        <v>0.94117647058823528</v>
      </c>
      <c r="K2761">
        <v>24</v>
      </c>
      <c r="L2761">
        <v>47</v>
      </c>
      <c r="M2761">
        <v>166</v>
      </c>
      <c r="N2761" s="10">
        <v>617.70000000000005</v>
      </c>
      <c r="O2761" s="7">
        <v>10.8</v>
      </c>
      <c r="P2761" s="7">
        <v>29.3</v>
      </c>
      <c r="Q2761">
        <v>1</v>
      </c>
      <c r="R2761" t="s">
        <v>63</v>
      </c>
      <c r="S2761">
        <v>7</v>
      </c>
      <c r="T2761">
        <v>189</v>
      </c>
      <c r="U2761" s="11">
        <v>0.7818314824680298</v>
      </c>
      <c r="V2761" s="11">
        <v>0.62348980185873359</v>
      </c>
      <c r="W2761" s="11">
        <v>-9.2331333695391218E-2</v>
      </c>
      <c r="X2761" s="11">
        <v>-0.99572833886458723</v>
      </c>
      <c r="Y2761">
        <v>0</v>
      </c>
      <c r="Z2761">
        <v>0</v>
      </c>
      <c r="AB2761">
        <v>1</v>
      </c>
      <c r="AC2761">
        <v>0</v>
      </c>
      <c r="AD2761">
        <v>0</v>
      </c>
      <c r="AE2761">
        <v>0</v>
      </c>
    </row>
    <row r="2762" spans="1:31">
      <c r="A2762" s="6">
        <v>45847</v>
      </c>
      <c r="B2762" t="s">
        <v>31</v>
      </c>
      <c r="C2762" t="s">
        <v>32</v>
      </c>
      <c r="D2762" t="s">
        <v>33</v>
      </c>
      <c r="E2762" t="s">
        <v>34</v>
      </c>
      <c r="F2762">
        <v>140</v>
      </c>
      <c r="G2762">
        <v>360</v>
      </c>
      <c r="H2762">
        <v>232</v>
      </c>
      <c r="I2762">
        <v>98</v>
      </c>
      <c r="J2762" s="8">
        <v>0.7</v>
      </c>
      <c r="K2762">
        <v>56</v>
      </c>
      <c r="L2762">
        <v>39</v>
      </c>
      <c r="M2762">
        <v>200</v>
      </c>
      <c r="N2762" s="10">
        <v>440.85</v>
      </c>
      <c r="O2762" s="7">
        <v>2</v>
      </c>
      <c r="P2762" s="7">
        <v>29.4</v>
      </c>
      <c r="Q2762">
        <v>2</v>
      </c>
      <c r="R2762" t="s">
        <v>64</v>
      </c>
      <c r="S2762">
        <v>7</v>
      </c>
      <c r="T2762">
        <v>190</v>
      </c>
      <c r="U2762" s="11">
        <v>0.97492791218182362</v>
      </c>
      <c r="V2762" s="11">
        <v>-0.22252093395631434</v>
      </c>
      <c r="W2762" s="11">
        <v>-0.10944576864891556</v>
      </c>
      <c r="X2762" s="11">
        <v>-0.99399276844695805</v>
      </c>
      <c r="Y2762">
        <v>0</v>
      </c>
      <c r="Z2762">
        <v>0</v>
      </c>
      <c r="AB2762">
        <v>1</v>
      </c>
      <c r="AC2762">
        <v>0</v>
      </c>
      <c r="AD2762">
        <v>0</v>
      </c>
      <c r="AE2762">
        <v>0</v>
      </c>
    </row>
    <row r="2763" spans="1:31">
      <c r="A2763" s="6">
        <v>45847</v>
      </c>
      <c r="B2763" t="s">
        <v>36</v>
      </c>
      <c r="C2763" t="s">
        <v>37</v>
      </c>
      <c r="D2763" t="s">
        <v>38</v>
      </c>
      <c r="E2763" t="s">
        <v>39</v>
      </c>
      <c r="F2763">
        <v>125</v>
      </c>
      <c r="G2763">
        <v>320</v>
      </c>
      <c r="H2763">
        <v>227</v>
      </c>
      <c r="I2763">
        <v>94</v>
      </c>
      <c r="J2763" s="8">
        <v>0.752</v>
      </c>
      <c r="K2763">
        <v>57</v>
      </c>
      <c r="L2763">
        <v>27</v>
      </c>
      <c r="M2763">
        <v>192</v>
      </c>
      <c r="N2763" s="10">
        <v>692.31</v>
      </c>
      <c r="O2763" s="7">
        <v>2</v>
      </c>
      <c r="P2763" s="7">
        <v>29.4</v>
      </c>
      <c r="Q2763">
        <v>2</v>
      </c>
      <c r="R2763" t="s">
        <v>64</v>
      </c>
      <c r="S2763">
        <v>7</v>
      </c>
      <c r="T2763">
        <v>190</v>
      </c>
      <c r="U2763" s="11">
        <v>0.97492791218182362</v>
      </c>
      <c r="V2763" s="11">
        <v>-0.22252093395631434</v>
      </c>
      <c r="W2763" s="11">
        <v>-0.10944576864891556</v>
      </c>
      <c r="X2763" s="11">
        <v>-0.99399276844695805</v>
      </c>
      <c r="Y2763">
        <v>0</v>
      </c>
      <c r="Z2763">
        <v>0</v>
      </c>
      <c r="AB2763">
        <v>1</v>
      </c>
      <c r="AC2763">
        <v>0</v>
      </c>
      <c r="AD2763">
        <v>0</v>
      </c>
      <c r="AE2763">
        <v>0</v>
      </c>
    </row>
    <row r="2764" spans="1:31">
      <c r="A2764" s="6">
        <v>45847</v>
      </c>
      <c r="B2764" t="s">
        <v>41</v>
      </c>
      <c r="C2764" t="s">
        <v>42</v>
      </c>
      <c r="D2764" t="s">
        <v>43</v>
      </c>
      <c r="E2764" t="s">
        <v>44</v>
      </c>
      <c r="F2764">
        <v>85</v>
      </c>
      <c r="G2764">
        <v>210</v>
      </c>
      <c r="H2764">
        <v>170</v>
      </c>
      <c r="I2764">
        <v>73</v>
      </c>
      <c r="J2764" s="8">
        <v>0.85882352941176465</v>
      </c>
      <c r="K2764">
        <v>42</v>
      </c>
      <c r="L2764">
        <v>41</v>
      </c>
      <c r="M2764">
        <v>144</v>
      </c>
      <c r="N2764" s="10">
        <v>555.48</v>
      </c>
      <c r="O2764" s="7">
        <v>2</v>
      </c>
      <c r="P2764" s="7">
        <v>29.4</v>
      </c>
      <c r="Q2764">
        <v>2</v>
      </c>
      <c r="R2764" t="s">
        <v>64</v>
      </c>
      <c r="S2764">
        <v>7</v>
      </c>
      <c r="T2764">
        <v>190</v>
      </c>
      <c r="U2764" s="11">
        <v>0.97492791218182362</v>
      </c>
      <c r="V2764" s="11">
        <v>-0.22252093395631434</v>
      </c>
      <c r="W2764" s="11">
        <v>-0.10944576864891556</v>
      </c>
      <c r="X2764" s="11">
        <v>-0.99399276844695805</v>
      </c>
      <c r="Y2764">
        <v>0</v>
      </c>
      <c r="Z2764">
        <v>0</v>
      </c>
      <c r="AB2764">
        <v>1</v>
      </c>
      <c r="AC2764">
        <v>0</v>
      </c>
      <c r="AD2764">
        <v>0</v>
      </c>
      <c r="AE2764">
        <v>0</v>
      </c>
    </row>
    <row r="2765" spans="1:31">
      <c r="A2765" s="6">
        <v>45848</v>
      </c>
      <c r="B2765" t="s">
        <v>31</v>
      </c>
      <c r="C2765" t="s">
        <v>32</v>
      </c>
      <c r="D2765" t="s">
        <v>33</v>
      </c>
      <c r="E2765" t="s">
        <v>34</v>
      </c>
      <c r="F2765">
        <v>140</v>
      </c>
      <c r="G2765">
        <v>360</v>
      </c>
      <c r="H2765">
        <v>244</v>
      </c>
      <c r="I2765">
        <v>103</v>
      </c>
      <c r="J2765" s="8">
        <v>0.73571428571428577</v>
      </c>
      <c r="K2765">
        <v>69</v>
      </c>
      <c r="L2765">
        <v>38</v>
      </c>
      <c r="M2765">
        <v>204</v>
      </c>
      <c r="N2765" s="10">
        <v>481.62</v>
      </c>
      <c r="O2765" s="7">
        <v>0</v>
      </c>
      <c r="P2765" s="7">
        <v>28.2</v>
      </c>
      <c r="Q2765">
        <v>3</v>
      </c>
      <c r="R2765" t="s">
        <v>65</v>
      </c>
      <c r="S2765">
        <v>7</v>
      </c>
      <c r="T2765">
        <v>191</v>
      </c>
      <c r="U2765" s="11">
        <v>0.43388373911755823</v>
      </c>
      <c r="V2765" s="11">
        <v>-0.90096886790241903</v>
      </c>
      <c r="W2765" s="11">
        <v>-0.12652781683868314</v>
      </c>
      <c r="X2765" s="11">
        <v>-0.99196305957733966</v>
      </c>
      <c r="Y2765">
        <v>0</v>
      </c>
      <c r="Z2765">
        <v>0</v>
      </c>
      <c r="AB2765">
        <v>1</v>
      </c>
      <c r="AC2765">
        <v>0</v>
      </c>
      <c r="AD2765">
        <v>0</v>
      </c>
      <c r="AE2765">
        <v>0</v>
      </c>
    </row>
    <row r="2766" spans="1:31">
      <c r="A2766" s="6">
        <v>45848</v>
      </c>
      <c r="B2766" t="s">
        <v>36</v>
      </c>
      <c r="C2766" t="s">
        <v>37</v>
      </c>
      <c r="D2766" t="s">
        <v>38</v>
      </c>
      <c r="E2766" t="s">
        <v>39</v>
      </c>
      <c r="F2766">
        <v>125</v>
      </c>
      <c r="G2766">
        <v>320</v>
      </c>
      <c r="H2766">
        <v>218</v>
      </c>
      <c r="I2766">
        <v>91</v>
      </c>
      <c r="J2766" s="8">
        <v>0.72799999999999998</v>
      </c>
      <c r="K2766">
        <v>52</v>
      </c>
      <c r="L2766">
        <v>58</v>
      </c>
      <c r="M2766">
        <v>201</v>
      </c>
      <c r="N2766" s="10">
        <v>710.58</v>
      </c>
      <c r="O2766" s="7">
        <v>0</v>
      </c>
      <c r="P2766" s="7">
        <v>28.2</v>
      </c>
      <c r="Q2766">
        <v>3</v>
      </c>
      <c r="R2766" t="s">
        <v>65</v>
      </c>
      <c r="S2766">
        <v>7</v>
      </c>
      <c r="T2766">
        <v>191</v>
      </c>
      <c r="U2766" s="11">
        <v>0.43388373911755823</v>
      </c>
      <c r="V2766" s="11">
        <v>-0.90096886790241903</v>
      </c>
      <c r="W2766" s="11">
        <v>-0.12652781683868314</v>
      </c>
      <c r="X2766" s="11">
        <v>-0.99196305957733966</v>
      </c>
      <c r="Y2766">
        <v>0</v>
      </c>
      <c r="Z2766">
        <v>0</v>
      </c>
      <c r="AB2766">
        <v>1</v>
      </c>
      <c r="AC2766">
        <v>0</v>
      </c>
      <c r="AD2766">
        <v>0</v>
      </c>
      <c r="AE2766">
        <v>0</v>
      </c>
    </row>
    <row r="2767" spans="1:31">
      <c r="A2767" s="6">
        <v>45848</v>
      </c>
      <c r="B2767" t="s">
        <v>41</v>
      </c>
      <c r="C2767" t="s">
        <v>42</v>
      </c>
      <c r="D2767" t="s">
        <v>43</v>
      </c>
      <c r="E2767" t="s">
        <v>44</v>
      </c>
      <c r="F2767">
        <v>85</v>
      </c>
      <c r="G2767">
        <v>210</v>
      </c>
      <c r="H2767">
        <v>161</v>
      </c>
      <c r="I2767">
        <v>71</v>
      </c>
      <c r="J2767" s="8">
        <v>0.83529411764705885</v>
      </c>
      <c r="K2767">
        <v>39</v>
      </c>
      <c r="L2767">
        <v>30</v>
      </c>
      <c r="M2767">
        <v>135</v>
      </c>
      <c r="N2767" s="10">
        <v>591.59</v>
      </c>
      <c r="O2767" s="7">
        <v>0</v>
      </c>
      <c r="P2767" s="7">
        <v>28.2</v>
      </c>
      <c r="Q2767">
        <v>3</v>
      </c>
      <c r="R2767" t="s">
        <v>65</v>
      </c>
      <c r="S2767">
        <v>7</v>
      </c>
      <c r="T2767">
        <v>191</v>
      </c>
      <c r="U2767" s="11">
        <v>0.43388373911755823</v>
      </c>
      <c r="V2767" s="11">
        <v>-0.90096886790241903</v>
      </c>
      <c r="W2767" s="11">
        <v>-0.12652781683868314</v>
      </c>
      <c r="X2767" s="11">
        <v>-0.99196305957733966</v>
      </c>
      <c r="Y2767">
        <v>0</v>
      </c>
      <c r="Z2767">
        <v>0</v>
      </c>
      <c r="AB2767">
        <v>1</v>
      </c>
      <c r="AC2767">
        <v>0</v>
      </c>
      <c r="AD2767">
        <v>0</v>
      </c>
      <c r="AE2767">
        <v>0</v>
      </c>
    </row>
    <row r="2768" spans="1:31">
      <c r="A2768" s="6">
        <v>45849</v>
      </c>
      <c r="B2768" t="s">
        <v>31</v>
      </c>
      <c r="C2768" t="s">
        <v>32</v>
      </c>
      <c r="D2768" t="s">
        <v>33</v>
      </c>
      <c r="E2768" t="s">
        <v>34</v>
      </c>
      <c r="F2768">
        <v>140</v>
      </c>
      <c r="G2768">
        <v>360</v>
      </c>
      <c r="H2768">
        <v>226</v>
      </c>
      <c r="I2768">
        <v>96</v>
      </c>
      <c r="J2768" s="8">
        <v>0.68571428571428572</v>
      </c>
      <c r="K2768">
        <v>43</v>
      </c>
      <c r="L2768">
        <v>51</v>
      </c>
      <c r="M2768">
        <v>209</v>
      </c>
      <c r="N2768" s="10">
        <v>470.39</v>
      </c>
      <c r="O2768" s="7">
        <v>0.1</v>
      </c>
      <c r="P2768" s="7">
        <v>28.7</v>
      </c>
      <c r="Q2768">
        <v>4</v>
      </c>
      <c r="R2768" t="s">
        <v>66</v>
      </c>
      <c r="S2768">
        <v>7</v>
      </c>
      <c r="T2768">
        <v>192</v>
      </c>
      <c r="U2768" s="11">
        <v>-0.43388373911755801</v>
      </c>
      <c r="V2768" s="11">
        <v>-0.90096886790241915</v>
      </c>
      <c r="W2768" s="11">
        <v>-0.14357242341181131</v>
      </c>
      <c r="X2768" s="11">
        <v>-0.98963981287924119</v>
      </c>
      <c r="Y2768">
        <v>0</v>
      </c>
      <c r="Z2768">
        <v>0</v>
      </c>
      <c r="AB2768">
        <v>1</v>
      </c>
      <c r="AC2768">
        <v>0</v>
      </c>
      <c r="AD2768">
        <v>0</v>
      </c>
      <c r="AE2768">
        <v>0</v>
      </c>
    </row>
    <row r="2769" spans="1:31">
      <c r="A2769" s="6">
        <v>45849</v>
      </c>
      <c r="B2769" t="s">
        <v>36</v>
      </c>
      <c r="C2769" t="s">
        <v>37</v>
      </c>
      <c r="D2769" t="s">
        <v>38</v>
      </c>
      <c r="E2769" t="s">
        <v>39</v>
      </c>
      <c r="F2769">
        <v>125</v>
      </c>
      <c r="G2769">
        <v>320</v>
      </c>
      <c r="H2769">
        <v>219</v>
      </c>
      <c r="I2769">
        <v>91</v>
      </c>
      <c r="J2769" s="8">
        <v>0.72799999999999998</v>
      </c>
      <c r="K2769">
        <v>43</v>
      </c>
      <c r="L2769">
        <v>48</v>
      </c>
      <c r="M2769">
        <v>179</v>
      </c>
      <c r="N2769" s="10">
        <v>708.69</v>
      </c>
      <c r="O2769" s="7">
        <v>0.1</v>
      </c>
      <c r="P2769" s="7">
        <v>28.7</v>
      </c>
      <c r="Q2769">
        <v>4</v>
      </c>
      <c r="R2769" t="s">
        <v>66</v>
      </c>
      <c r="S2769">
        <v>7</v>
      </c>
      <c r="T2769">
        <v>192</v>
      </c>
      <c r="U2769" s="11">
        <v>-0.43388373911755801</v>
      </c>
      <c r="V2769" s="11">
        <v>-0.90096886790241915</v>
      </c>
      <c r="W2769" s="11">
        <v>-0.14357242341181131</v>
      </c>
      <c r="X2769" s="11">
        <v>-0.98963981287924119</v>
      </c>
      <c r="Y2769">
        <v>0</v>
      </c>
      <c r="Z2769">
        <v>0</v>
      </c>
      <c r="AB2769">
        <v>1</v>
      </c>
      <c r="AC2769">
        <v>0</v>
      </c>
      <c r="AD2769">
        <v>0</v>
      </c>
      <c r="AE2769">
        <v>0</v>
      </c>
    </row>
    <row r="2770" spans="1:31">
      <c r="A2770" s="6">
        <v>45849</v>
      </c>
      <c r="B2770" t="s">
        <v>41</v>
      </c>
      <c r="C2770" t="s">
        <v>42</v>
      </c>
      <c r="D2770" t="s">
        <v>43</v>
      </c>
      <c r="E2770" t="s">
        <v>44</v>
      </c>
      <c r="F2770">
        <v>85</v>
      </c>
      <c r="G2770">
        <v>210</v>
      </c>
      <c r="H2770">
        <v>168</v>
      </c>
      <c r="I2770">
        <v>76</v>
      </c>
      <c r="J2770" s="8">
        <v>0.89411764705882357</v>
      </c>
      <c r="K2770">
        <v>19</v>
      </c>
      <c r="L2770">
        <v>32</v>
      </c>
      <c r="M2770">
        <v>153</v>
      </c>
      <c r="N2770" s="10">
        <v>577.25</v>
      </c>
      <c r="O2770" s="7">
        <v>0.1</v>
      </c>
      <c r="P2770" s="7">
        <v>28.7</v>
      </c>
      <c r="Q2770">
        <v>4</v>
      </c>
      <c r="R2770" t="s">
        <v>66</v>
      </c>
      <c r="S2770">
        <v>7</v>
      </c>
      <c r="T2770">
        <v>192</v>
      </c>
      <c r="U2770" s="11">
        <v>-0.43388373911755801</v>
      </c>
      <c r="V2770" s="11">
        <v>-0.90096886790241915</v>
      </c>
      <c r="W2770" s="11">
        <v>-0.14357242341181131</v>
      </c>
      <c r="X2770" s="11">
        <v>-0.98963981287924119</v>
      </c>
      <c r="Y2770">
        <v>0</v>
      </c>
      <c r="Z2770">
        <v>0</v>
      </c>
      <c r="AB2770">
        <v>1</v>
      </c>
      <c r="AC2770">
        <v>0</v>
      </c>
      <c r="AD2770">
        <v>0</v>
      </c>
      <c r="AE2770">
        <v>0</v>
      </c>
    </row>
    <row r="2771" spans="1:31">
      <c r="A2771" s="6">
        <v>45850</v>
      </c>
      <c r="B2771" t="s">
        <v>31</v>
      </c>
      <c r="C2771" t="s">
        <v>32</v>
      </c>
      <c r="D2771" t="s">
        <v>33</v>
      </c>
      <c r="E2771" t="s">
        <v>34</v>
      </c>
      <c r="F2771">
        <v>140</v>
      </c>
      <c r="G2771">
        <v>360</v>
      </c>
      <c r="H2771">
        <v>260</v>
      </c>
      <c r="I2771">
        <v>110</v>
      </c>
      <c r="J2771" s="8">
        <v>0.7857142857142857</v>
      </c>
      <c r="K2771">
        <v>66</v>
      </c>
      <c r="L2771">
        <v>40</v>
      </c>
      <c r="M2771">
        <v>228</v>
      </c>
      <c r="N2771" s="10">
        <v>520.92999999999995</v>
      </c>
      <c r="O2771" s="7">
        <v>15.7</v>
      </c>
      <c r="P2771" s="7">
        <v>28.9</v>
      </c>
      <c r="Q2771">
        <v>5</v>
      </c>
      <c r="R2771" t="s">
        <v>67</v>
      </c>
      <c r="S2771">
        <v>7</v>
      </c>
      <c r="T2771">
        <v>193</v>
      </c>
      <c r="U2771" s="11">
        <v>-0.97492791218182362</v>
      </c>
      <c r="V2771" s="11">
        <v>-0.22252093395631459</v>
      </c>
      <c r="W2771" s="11">
        <v>-0.16057454459499376</v>
      </c>
      <c r="X2771" s="11">
        <v>-0.98702371583873827</v>
      </c>
      <c r="Y2771">
        <v>1</v>
      </c>
      <c r="Z2771">
        <v>0</v>
      </c>
      <c r="AB2771">
        <v>1</v>
      </c>
      <c r="AC2771">
        <v>0</v>
      </c>
      <c r="AD2771">
        <v>0</v>
      </c>
      <c r="AE2771">
        <v>0</v>
      </c>
    </row>
    <row r="2772" spans="1:31">
      <c r="A2772" s="6">
        <v>45850</v>
      </c>
      <c r="B2772" t="s">
        <v>36</v>
      </c>
      <c r="C2772" t="s">
        <v>37</v>
      </c>
      <c r="D2772" t="s">
        <v>38</v>
      </c>
      <c r="E2772" t="s">
        <v>39</v>
      </c>
      <c r="F2772">
        <v>125</v>
      </c>
      <c r="G2772">
        <v>320</v>
      </c>
      <c r="H2772">
        <v>260</v>
      </c>
      <c r="I2772">
        <v>108</v>
      </c>
      <c r="J2772" s="8">
        <v>0.86399999999999999</v>
      </c>
      <c r="K2772">
        <v>52</v>
      </c>
      <c r="L2772">
        <v>53</v>
      </c>
      <c r="M2772">
        <v>223</v>
      </c>
      <c r="N2772" s="10">
        <v>700.19</v>
      </c>
      <c r="O2772" s="7">
        <v>15.7</v>
      </c>
      <c r="P2772" s="7">
        <v>28.9</v>
      </c>
      <c r="Q2772">
        <v>5</v>
      </c>
      <c r="R2772" t="s">
        <v>67</v>
      </c>
      <c r="S2772">
        <v>7</v>
      </c>
      <c r="T2772">
        <v>193</v>
      </c>
      <c r="U2772" s="11">
        <v>-0.97492791218182362</v>
      </c>
      <c r="V2772" s="11">
        <v>-0.22252093395631459</v>
      </c>
      <c r="W2772" s="11">
        <v>-0.16057454459499376</v>
      </c>
      <c r="X2772" s="11">
        <v>-0.98702371583873827</v>
      </c>
      <c r="Y2772">
        <v>1</v>
      </c>
      <c r="Z2772">
        <v>0</v>
      </c>
      <c r="AB2772">
        <v>1</v>
      </c>
      <c r="AC2772">
        <v>0</v>
      </c>
      <c r="AD2772">
        <v>0</v>
      </c>
      <c r="AE2772">
        <v>0</v>
      </c>
    </row>
    <row r="2773" spans="1:31">
      <c r="A2773" s="6">
        <v>45850</v>
      </c>
      <c r="B2773" t="s">
        <v>41</v>
      </c>
      <c r="C2773" t="s">
        <v>42</v>
      </c>
      <c r="D2773" t="s">
        <v>43</v>
      </c>
      <c r="E2773" t="s">
        <v>44</v>
      </c>
      <c r="F2773">
        <v>85</v>
      </c>
      <c r="G2773">
        <v>210</v>
      </c>
      <c r="H2773">
        <v>182</v>
      </c>
      <c r="I2773">
        <v>82</v>
      </c>
      <c r="J2773" s="8">
        <v>0.96470588235294119</v>
      </c>
      <c r="K2773">
        <v>27</v>
      </c>
      <c r="L2773">
        <v>18</v>
      </c>
      <c r="M2773">
        <v>154</v>
      </c>
      <c r="N2773" s="10">
        <v>614.96</v>
      </c>
      <c r="O2773" s="7">
        <v>15.7</v>
      </c>
      <c r="P2773" s="7">
        <v>28.9</v>
      </c>
      <c r="Q2773">
        <v>5</v>
      </c>
      <c r="R2773" t="s">
        <v>67</v>
      </c>
      <c r="S2773">
        <v>7</v>
      </c>
      <c r="T2773">
        <v>193</v>
      </c>
      <c r="U2773" s="11">
        <v>-0.97492791218182362</v>
      </c>
      <c r="V2773" s="11">
        <v>-0.22252093395631459</v>
      </c>
      <c r="W2773" s="11">
        <v>-0.16057454459499376</v>
      </c>
      <c r="X2773" s="11">
        <v>-0.98702371583873827</v>
      </c>
      <c r="Y2773">
        <v>1</v>
      </c>
      <c r="Z2773">
        <v>0</v>
      </c>
      <c r="AB2773">
        <v>1</v>
      </c>
      <c r="AC2773">
        <v>0</v>
      </c>
      <c r="AD2773">
        <v>0</v>
      </c>
      <c r="AE2773">
        <v>0</v>
      </c>
    </row>
    <row r="2774" spans="1:31">
      <c r="A2774" s="6">
        <v>45851</v>
      </c>
      <c r="B2774" t="s">
        <v>31</v>
      </c>
      <c r="C2774" t="s">
        <v>32</v>
      </c>
      <c r="D2774" t="s">
        <v>33</v>
      </c>
      <c r="E2774" t="s">
        <v>34</v>
      </c>
      <c r="F2774">
        <v>140</v>
      </c>
      <c r="G2774">
        <v>360</v>
      </c>
      <c r="H2774">
        <v>250</v>
      </c>
      <c r="I2774">
        <v>106</v>
      </c>
      <c r="J2774" s="8">
        <v>0.75714285714285712</v>
      </c>
      <c r="K2774">
        <v>26</v>
      </c>
      <c r="L2774">
        <v>55</v>
      </c>
      <c r="M2774">
        <v>217</v>
      </c>
      <c r="N2774" s="10">
        <v>478.71</v>
      </c>
      <c r="O2774" s="7">
        <v>8.9</v>
      </c>
      <c r="P2774" s="7">
        <v>27.8</v>
      </c>
      <c r="Q2774">
        <v>6</v>
      </c>
      <c r="R2774" t="s">
        <v>60</v>
      </c>
      <c r="S2774">
        <v>7</v>
      </c>
      <c r="T2774">
        <v>194</v>
      </c>
      <c r="U2774" s="11">
        <v>-0.78183148246802991</v>
      </c>
      <c r="V2774" s="11">
        <v>0.62348980185873337</v>
      </c>
      <c r="W2774" s="11">
        <v>-0.17752914918703497</v>
      </c>
      <c r="X2774" s="11">
        <v>-0.98411554260103395</v>
      </c>
      <c r="Y2774">
        <v>1</v>
      </c>
      <c r="Z2774">
        <v>0</v>
      </c>
      <c r="AB2774">
        <v>1</v>
      </c>
      <c r="AC2774">
        <v>0</v>
      </c>
      <c r="AD2774">
        <v>0</v>
      </c>
      <c r="AE2774">
        <v>0</v>
      </c>
    </row>
    <row r="2775" spans="1:31">
      <c r="A2775" s="6">
        <v>45851</v>
      </c>
      <c r="B2775" t="s">
        <v>36</v>
      </c>
      <c r="C2775" t="s">
        <v>37</v>
      </c>
      <c r="D2775" t="s">
        <v>38</v>
      </c>
      <c r="E2775" t="s">
        <v>39</v>
      </c>
      <c r="F2775">
        <v>125</v>
      </c>
      <c r="G2775">
        <v>320</v>
      </c>
      <c r="H2775">
        <v>252</v>
      </c>
      <c r="I2775">
        <v>106</v>
      </c>
      <c r="J2775" s="8">
        <v>0.84799999999999998</v>
      </c>
      <c r="K2775">
        <v>53</v>
      </c>
      <c r="L2775">
        <v>57</v>
      </c>
      <c r="M2775">
        <v>212</v>
      </c>
      <c r="N2775" s="10">
        <v>794.94</v>
      </c>
      <c r="O2775" s="7">
        <v>8.9</v>
      </c>
      <c r="P2775" s="7">
        <v>27.8</v>
      </c>
      <c r="Q2775">
        <v>6</v>
      </c>
      <c r="R2775" t="s">
        <v>60</v>
      </c>
      <c r="S2775">
        <v>7</v>
      </c>
      <c r="T2775">
        <v>194</v>
      </c>
      <c r="U2775" s="11">
        <v>-0.78183148246802991</v>
      </c>
      <c r="V2775" s="11">
        <v>0.62348980185873337</v>
      </c>
      <c r="W2775" s="11">
        <v>-0.17752914918703497</v>
      </c>
      <c r="X2775" s="11">
        <v>-0.98411554260103395</v>
      </c>
      <c r="Y2775">
        <v>1</v>
      </c>
      <c r="Z2775">
        <v>0</v>
      </c>
      <c r="AB2775">
        <v>1</v>
      </c>
      <c r="AC2775">
        <v>0</v>
      </c>
      <c r="AD2775">
        <v>0</v>
      </c>
      <c r="AE2775">
        <v>0</v>
      </c>
    </row>
    <row r="2776" spans="1:31">
      <c r="A2776" s="6">
        <v>45851</v>
      </c>
      <c r="B2776" t="s">
        <v>41</v>
      </c>
      <c r="C2776" t="s">
        <v>42</v>
      </c>
      <c r="D2776" t="s">
        <v>43</v>
      </c>
      <c r="E2776" t="s">
        <v>44</v>
      </c>
      <c r="F2776">
        <v>85</v>
      </c>
      <c r="G2776">
        <v>210</v>
      </c>
      <c r="H2776">
        <v>163</v>
      </c>
      <c r="I2776">
        <v>76</v>
      </c>
      <c r="J2776" s="8">
        <v>0.89411764705882357</v>
      </c>
      <c r="K2776">
        <v>29</v>
      </c>
      <c r="L2776">
        <v>35</v>
      </c>
      <c r="M2776">
        <v>137</v>
      </c>
      <c r="N2776" s="10">
        <v>698.78</v>
      </c>
      <c r="O2776" s="7">
        <v>8.9</v>
      </c>
      <c r="P2776" s="7">
        <v>27.8</v>
      </c>
      <c r="Q2776">
        <v>6</v>
      </c>
      <c r="R2776" t="s">
        <v>60</v>
      </c>
      <c r="S2776">
        <v>7</v>
      </c>
      <c r="T2776">
        <v>194</v>
      </c>
      <c r="U2776" s="11">
        <v>-0.78183148246802991</v>
      </c>
      <c r="V2776" s="11">
        <v>0.62348980185873337</v>
      </c>
      <c r="W2776" s="11">
        <v>-0.17752914918703497</v>
      </c>
      <c r="X2776" s="11">
        <v>-0.98411554260103395</v>
      </c>
      <c r="Y2776">
        <v>1</v>
      </c>
      <c r="Z2776">
        <v>0</v>
      </c>
      <c r="AB2776">
        <v>1</v>
      </c>
      <c r="AC2776">
        <v>0</v>
      </c>
      <c r="AD2776">
        <v>0</v>
      </c>
      <c r="AE2776">
        <v>0</v>
      </c>
    </row>
    <row r="2777" spans="1:31">
      <c r="A2777" s="6">
        <v>45852</v>
      </c>
      <c r="B2777" t="s">
        <v>31</v>
      </c>
      <c r="C2777" t="s">
        <v>32</v>
      </c>
      <c r="D2777" t="s">
        <v>33</v>
      </c>
      <c r="E2777" t="s">
        <v>34</v>
      </c>
      <c r="F2777">
        <v>140</v>
      </c>
      <c r="G2777">
        <v>360</v>
      </c>
      <c r="H2777">
        <v>211</v>
      </c>
      <c r="I2777">
        <v>90</v>
      </c>
      <c r="J2777" s="8">
        <v>0.6428571428571429</v>
      </c>
      <c r="K2777">
        <v>31</v>
      </c>
      <c r="L2777">
        <v>57</v>
      </c>
      <c r="M2777">
        <v>176</v>
      </c>
      <c r="N2777" s="10">
        <v>478.1</v>
      </c>
      <c r="O2777" s="7">
        <v>23.7</v>
      </c>
      <c r="P2777" s="7">
        <v>28.2</v>
      </c>
      <c r="Q2777">
        <v>0</v>
      </c>
      <c r="R2777" t="s">
        <v>62</v>
      </c>
      <c r="S2777">
        <v>7</v>
      </c>
      <c r="T2777">
        <v>195</v>
      </c>
      <c r="U2777" s="11">
        <v>0</v>
      </c>
      <c r="V2777" s="11">
        <v>1</v>
      </c>
      <c r="W2777" s="11">
        <v>-0.19443122004766195</v>
      </c>
      <c r="X2777" s="11">
        <v>-0.98091615374137742</v>
      </c>
      <c r="Y2777">
        <v>0</v>
      </c>
      <c r="Z2777">
        <v>0</v>
      </c>
      <c r="AB2777">
        <v>1</v>
      </c>
      <c r="AC2777">
        <v>0</v>
      </c>
      <c r="AD2777">
        <v>0</v>
      </c>
      <c r="AE2777">
        <v>0</v>
      </c>
    </row>
    <row r="2778" spans="1:31">
      <c r="A2778" s="6">
        <v>45852</v>
      </c>
      <c r="B2778" t="s">
        <v>36</v>
      </c>
      <c r="C2778" t="s">
        <v>37</v>
      </c>
      <c r="D2778" t="s">
        <v>38</v>
      </c>
      <c r="E2778" t="s">
        <v>39</v>
      </c>
      <c r="F2778">
        <v>125</v>
      </c>
      <c r="G2778">
        <v>320</v>
      </c>
      <c r="H2778">
        <v>227</v>
      </c>
      <c r="I2778">
        <v>92</v>
      </c>
      <c r="J2778" s="8">
        <v>0.73599999999999999</v>
      </c>
      <c r="K2778">
        <v>41</v>
      </c>
      <c r="L2778">
        <v>40</v>
      </c>
      <c r="M2778">
        <v>188</v>
      </c>
      <c r="N2778" s="10">
        <v>733.22</v>
      </c>
      <c r="O2778" s="7">
        <v>23.7</v>
      </c>
      <c r="P2778" s="7">
        <v>28.2</v>
      </c>
      <c r="Q2778">
        <v>0</v>
      </c>
      <c r="R2778" t="s">
        <v>62</v>
      </c>
      <c r="S2778">
        <v>7</v>
      </c>
      <c r="T2778">
        <v>195</v>
      </c>
      <c r="U2778" s="11">
        <v>0</v>
      </c>
      <c r="V2778" s="11">
        <v>1</v>
      </c>
      <c r="W2778" s="11">
        <v>-0.19443122004766195</v>
      </c>
      <c r="X2778" s="11">
        <v>-0.98091615374137742</v>
      </c>
      <c r="Y2778">
        <v>0</v>
      </c>
      <c r="Z2778">
        <v>0</v>
      </c>
      <c r="AB2778">
        <v>1</v>
      </c>
      <c r="AC2778">
        <v>0</v>
      </c>
      <c r="AD2778">
        <v>0</v>
      </c>
      <c r="AE2778">
        <v>0</v>
      </c>
    </row>
    <row r="2779" spans="1:31">
      <c r="A2779" s="6">
        <v>45852</v>
      </c>
      <c r="B2779" t="s">
        <v>41</v>
      </c>
      <c r="C2779" t="s">
        <v>42</v>
      </c>
      <c r="D2779" t="s">
        <v>43</v>
      </c>
      <c r="E2779" t="s">
        <v>44</v>
      </c>
      <c r="F2779">
        <v>85</v>
      </c>
      <c r="G2779">
        <v>210</v>
      </c>
      <c r="H2779">
        <v>175</v>
      </c>
      <c r="I2779">
        <v>77</v>
      </c>
      <c r="J2779" s="8">
        <v>0.90588235294117647</v>
      </c>
      <c r="K2779">
        <v>27</v>
      </c>
      <c r="L2779">
        <v>17</v>
      </c>
      <c r="M2779">
        <v>159</v>
      </c>
      <c r="N2779" s="10">
        <v>529.49</v>
      </c>
      <c r="O2779" s="7">
        <v>23.7</v>
      </c>
      <c r="P2779" s="7">
        <v>28.2</v>
      </c>
      <c r="Q2779">
        <v>0</v>
      </c>
      <c r="R2779" t="s">
        <v>62</v>
      </c>
      <c r="S2779">
        <v>7</v>
      </c>
      <c r="T2779">
        <v>195</v>
      </c>
      <c r="U2779" s="11">
        <v>0</v>
      </c>
      <c r="V2779" s="11">
        <v>1</v>
      </c>
      <c r="W2779" s="11">
        <v>-0.19443122004766195</v>
      </c>
      <c r="X2779" s="11">
        <v>-0.98091615374137742</v>
      </c>
      <c r="Y2779">
        <v>0</v>
      </c>
      <c r="Z2779">
        <v>0</v>
      </c>
      <c r="AB2779">
        <v>1</v>
      </c>
      <c r="AC2779">
        <v>0</v>
      </c>
      <c r="AD2779">
        <v>0</v>
      </c>
      <c r="AE2779">
        <v>0</v>
      </c>
    </row>
    <row r="2780" spans="1:31">
      <c r="A2780" s="6">
        <v>45853</v>
      </c>
      <c r="B2780" t="s">
        <v>31</v>
      </c>
      <c r="C2780" t="s">
        <v>32</v>
      </c>
      <c r="D2780" t="s">
        <v>33</v>
      </c>
      <c r="E2780" t="s">
        <v>34</v>
      </c>
      <c r="F2780">
        <v>140</v>
      </c>
      <c r="G2780">
        <v>360</v>
      </c>
      <c r="H2780">
        <v>275</v>
      </c>
      <c r="I2780">
        <v>116</v>
      </c>
      <c r="J2780" s="8">
        <v>0.82857142857142863</v>
      </c>
      <c r="K2780">
        <v>40</v>
      </c>
      <c r="L2780">
        <v>32</v>
      </c>
      <c r="M2780">
        <v>257</v>
      </c>
      <c r="N2780" s="10">
        <v>476.27</v>
      </c>
      <c r="O2780" s="7">
        <v>6.5</v>
      </c>
      <c r="P2780" s="7">
        <v>28.1</v>
      </c>
      <c r="Q2780">
        <v>1</v>
      </c>
      <c r="R2780" t="s">
        <v>63</v>
      </c>
      <c r="S2780">
        <v>7</v>
      </c>
      <c r="T2780">
        <v>196</v>
      </c>
      <c r="U2780" s="11">
        <v>0.7818314824680298</v>
      </c>
      <c r="V2780" s="11">
        <v>0.62348980185873359</v>
      </c>
      <c r="W2780" s="11">
        <v>-0.21127575558217929</v>
      </c>
      <c r="X2780" s="11">
        <v>-0.97742649601040554</v>
      </c>
      <c r="Y2780">
        <v>0</v>
      </c>
      <c r="Z2780">
        <v>0</v>
      </c>
      <c r="AB2780">
        <v>1</v>
      </c>
      <c r="AC2780">
        <v>0</v>
      </c>
      <c r="AD2780">
        <v>0</v>
      </c>
      <c r="AE2780">
        <v>1</v>
      </c>
    </row>
    <row r="2781" spans="1:31">
      <c r="A2781" s="6">
        <v>45853</v>
      </c>
      <c r="B2781" t="s">
        <v>36</v>
      </c>
      <c r="C2781" t="s">
        <v>37</v>
      </c>
      <c r="D2781" t="s">
        <v>38</v>
      </c>
      <c r="E2781" t="s">
        <v>39</v>
      </c>
      <c r="F2781">
        <v>125</v>
      </c>
      <c r="G2781">
        <v>320</v>
      </c>
      <c r="H2781">
        <v>243</v>
      </c>
      <c r="I2781">
        <v>101</v>
      </c>
      <c r="J2781" s="8">
        <v>0.80800000000000005</v>
      </c>
      <c r="K2781">
        <v>38</v>
      </c>
      <c r="L2781">
        <v>24</v>
      </c>
      <c r="M2781">
        <v>196</v>
      </c>
      <c r="N2781" s="10">
        <v>683.43</v>
      </c>
      <c r="O2781" s="7">
        <v>6.5</v>
      </c>
      <c r="P2781" s="7">
        <v>28.1</v>
      </c>
      <c r="Q2781">
        <v>1</v>
      </c>
      <c r="R2781" t="s">
        <v>63</v>
      </c>
      <c r="S2781">
        <v>7</v>
      </c>
      <c r="T2781">
        <v>196</v>
      </c>
      <c r="U2781" s="11">
        <v>0.7818314824680298</v>
      </c>
      <c r="V2781" s="11">
        <v>0.62348980185873359</v>
      </c>
      <c r="W2781" s="11">
        <v>-0.21127575558217929</v>
      </c>
      <c r="X2781" s="11">
        <v>-0.97742649601040554</v>
      </c>
      <c r="Y2781">
        <v>0</v>
      </c>
      <c r="Z2781">
        <v>0</v>
      </c>
      <c r="AB2781">
        <v>1</v>
      </c>
      <c r="AC2781">
        <v>0</v>
      </c>
      <c r="AD2781">
        <v>0</v>
      </c>
      <c r="AE2781">
        <v>1</v>
      </c>
    </row>
    <row r="2782" spans="1:31">
      <c r="A2782" s="6">
        <v>45853</v>
      </c>
      <c r="B2782" t="s">
        <v>41</v>
      </c>
      <c r="C2782" t="s">
        <v>42</v>
      </c>
      <c r="D2782" t="s">
        <v>43</v>
      </c>
      <c r="E2782" t="s">
        <v>44</v>
      </c>
      <c r="F2782">
        <v>85</v>
      </c>
      <c r="G2782">
        <v>210</v>
      </c>
      <c r="H2782">
        <v>170</v>
      </c>
      <c r="I2782">
        <v>76</v>
      </c>
      <c r="J2782" s="8">
        <v>0.89411764705882357</v>
      </c>
      <c r="K2782">
        <v>19</v>
      </c>
      <c r="L2782">
        <v>47</v>
      </c>
      <c r="M2782">
        <v>155</v>
      </c>
      <c r="N2782" s="10">
        <v>571.59</v>
      </c>
      <c r="O2782" s="7">
        <v>6.5</v>
      </c>
      <c r="P2782" s="7">
        <v>28.1</v>
      </c>
      <c r="Q2782">
        <v>1</v>
      </c>
      <c r="R2782" t="s">
        <v>63</v>
      </c>
      <c r="S2782">
        <v>7</v>
      </c>
      <c r="T2782">
        <v>196</v>
      </c>
      <c r="U2782" s="11">
        <v>0.7818314824680298</v>
      </c>
      <c r="V2782" s="11">
        <v>0.62348980185873359</v>
      </c>
      <c r="W2782" s="11">
        <v>-0.21127575558217929</v>
      </c>
      <c r="X2782" s="11">
        <v>-0.97742649601040554</v>
      </c>
      <c r="Y2782">
        <v>0</v>
      </c>
      <c r="Z2782">
        <v>0</v>
      </c>
      <c r="AB2782">
        <v>1</v>
      </c>
      <c r="AC2782">
        <v>0</v>
      </c>
      <c r="AD2782">
        <v>0</v>
      </c>
      <c r="AE2782">
        <v>1</v>
      </c>
    </row>
    <row r="2783" spans="1:31">
      <c r="A2783" s="6">
        <v>45854</v>
      </c>
      <c r="B2783" t="s">
        <v>31</v>
      </c>
      <c r="C2783" t="s">
        <v>32</v>
      </c>
      <c r="D2783" t="s">
        <v>33</v>
      </c>
      <c r="E2783" t="s">
        <v>34</v>
      </c>
      <c r="F2783">
        <v>140</v>
      </c>
      <c r="G2783">
        <v>360</v>
      </c>
      <c r="H2783">
        <v>275</v>
      </c>
      <c r="I2783">
        <v>116</v>
      </c>
      <c r="J2783" s="8">
        <v>0.82857142857142863</v>
      </c>
      <c r="K2783">
        <v>39</v>
      </c>
      <c r="L2783">
        <v>45</v>
      </c>
      <c r="M2783">
        <v>252</v>
      </c>
      <c r="N2783" s="10">
        <v>462.09</v>
      </c>
      <c r="O2783" s="7">
        <v>5.9</v>
      </c>
      <c r="P2783" s="7">
        <v>27.6</v>
      </c>
      <c r="Q2783">
        <v>2</v>
      </c>
      <c r="R2783" t="s">
        <v>64</v>
      </c>
      <c r="S2783">
        <v>7</v>
      </c>
      <c r="T2783">
        <v>197</v>
      </c>
      <c r="U2783" s="11">
        <v>0.97492791218182362</v>
      </c>
      <c r="V2783" s="11">
        <v>-0.22252093395631434</v>
      </c>
      <c r="W2783" s="11">
        <v>-0.22805777122151979</v>
      </c>
      <c r="X2783" s="11">
        <v>-0.97364760205398382</v>
      </c>
      <c r="Y2783">
        <v>0</v>
      </c>
      <c r="Z2783">
        <v>0</v>
      </c>
      <c r="AB2783">
        <v>1</v>
      </c>
      <c r="AC2783">
        <v>0</v>
      </c>
      <c r="AD2783">
        <v>0</v>
      </c>
      <c r="AE2783">
        <v>1</v>
      </c>
    </row>
    <row r="2784" spans="1:31">
      <c r="A2784" s="6">
        <v>45854</v>
      </c>
      <c r="B2784" t="s">
        <v>36</v>
      </c>
      <c r="C2784" t="s">
        <v>37</v>
      </c>
      <c r="D2784" t="s">
        <v>38</v>
      </c>
      <c r="E2784" t="s">
        <v>39</v>
      </c>
      <c r="F2784">
        <v>125</v>
      </c>
      <c r="G2784">
        <v>320</v>
      </c>
      <c r="H2784">
        <v>264</v>
      </c>
      <c r="I2784">
        <v>111</v>
      </c>
      <c r="J2784" s="8">
        <v>0.88800000000000001</v>
      </c>
      <c r="K2784">
        <v>71</v>
      </c>
      <c r="L2784">
        <v>23</v>
      </c>
      <c r="M2784">
        <v>217</v>
      </c>
      <c r="N2784" s="10">
        <v>708.19</v>
      </c>
      <c r="O2784" s="7">
        <v>5.9</v>
      </c>
      <c r="P2784" s="7">
        <v>27.6</v>
      </c>
      <c r="Q2784">
        <v>2</v>
      </c>
      <c r="R2784" t="s">
        <v>64</v>
      </c>
      <c r="S2784">
        <v>7</v>
      </c>
      <c r="T2784">
        <v>197</v>
      </c>
      <c r="U2784" s="11">
        <v>0.97492791218182362</v>
      </c>
      <c r="V2784" s="11">
        <v>-0.22252093395631434</v>
      </c>
      <c r="W2784" s="11">
        <v>-0.22805777122151979</v>
      </c>
      <c r="X2784" s="11">
        <v>-0.97364760205398382</v>
      </c>
      <c r="Y2784">
        <v>0</v>
      </c>
      <c r="Z2784">
        <v>0</v>
      </c>
      <c r="AB2784">
        <v>1</v>
      </c>
      <c r="AC2784">
        <v>0</v>
      </c>
      <c r="AD2784">
        <v>0</v>
      </c>
      <c r="AE2784">
        <v>1</v>
      </c>
    </row>
    <row r="2785" spans="1:31">
      <c r="A2785" s="6">
        <v>45854</v>
      </c>
      <c r="B2785" t="s">
        <v>41</v>
      </c>
      <c r="C2785" t="s">
        <v>42</v>
      </c>
      <c r="D2785" t="s">
        <v>43</v>
      </c>
      <c r="E2785" t="s">
        <v>44</v>
      </c>
      <c r="F2785">
        <v>85</v>
      </c>
      <c r="G2785">
        <v>210</v>
      </c>
      <c r="H2785">
        <v>171</v>
      </c>
      <c r="I2785">
        <v>77</v>
      </c>
      <c r="J2785" s="8">
        <v>0.90588235294117647</v>
      </c>
      <c r="K2785">
        <v>35</v>
      </c>
      <c r="L2785">
        <v>38</v>
      </c>
      <c r="M2785">
        <v>158</v>
      </c>
      <c r="N2785" s="10">
        <v>523.14</v>
      </c>
      <c r="O2785" s="7">
        <v>5.9</v>
      </c>
      <c r="P2785" s="7">
        <v>27.6</v>
      </c>
      <c r="Q2785">
        <v>2</v>
      </c>
      <c r="R2785" t="s">
        <v>64</v>
      </c>
      <c r="S2785">
        <v>7</v>
      </c>
      <c r="T2785">
        <v>197</v>
      </c>
      <c r="U2785" s="11">
        <v>0.97492791218182362</v>
      </c>
      <c r="V2785" s="11">
        <v>-0.22252093395631434</v>
      </c>
      <c r="W2785" s="11">
        <v>-0.22805777122151979</v>
      </c>
      <c r="X2785" s="11">
        <v>-0.97364760205398382</v>
      </c>
      <c r="Y2785">
        <v>0</v>
      </c>
      <c r="Z2785">
        <v>0</v>
      </c>
      <c r="AB2785">
        <v>1</v>
      </c>
      <c r="AC2785">
        <v>0</v>
      </c>
      <c r="AD2785">
        <v>0</v>
      </c>
      <c r="AE2785">
        <v>1</v>
      </c>
    </row>
    <row r="2786" spans="1:31">
      <c r="A2786" s="6">
        <v>45855</v>
      </c>
      <c r="B2786" t="s">
        <v>31</v>
      </c>
      <c r="C2786" t="s">
        <v>32</v>
      </c>
      <c r="D2786" t="s">
        <v>33</v>
      </c>
      <c r="E2786" t="s">
        <v>34</v>
      </c>
      <c r="F2786">
        <v>140</v>
      </c>
      <c r="G2786">
        <v>360</v>
      </c>
      <c r="H2786">
        <v>209</v>
      </c>
      <c r="I2786">
        <v>91</v>
      </c>
      <c r="J2786" s="8">
        <v>0.65</v>
      </c>
      <c r="K2786">
        <v>49</v>
      </c>
      <c r="L2786">
        <v>36</v>
      </c>
      <c r="M2786">
        <v>191</v>
      </c>
      <c r="N2786" s="10">
        <v>507.07</v>
      </c>
      <c r="O2786" s="7">
        <v>9.5</v>
      </c>
      <c r="P2786" s="7">
        <v>29.9</v>
      </c>
      <c r="Q2786">
        <v>3</v>
      </c>
      <c r="R2786" t="s">
        <v>65</v>
      </c>
      <c r="S2786">
        <v>7</v>
      </c>
      <c r="T2786">
        <v>198</v>
      </c>
      <c r="U2786" s="11">
        <v>0.43388373911755823</v>
      </c>
      <c r="V2786" s="11">
        <v>-0.90096886790241903</v>
      </c>
      <c r="W2786" s="11">
        <v>-0.24477230089725957</v>
      </c>
      <c r="X2786" s="11">
        <v>-0.96958059010763076</v>
      </c>
      <c r="Y2786">
        <v>0</v>
      </c>
      <c r="Z2786">
        <v>0</v>
      </c>
      <c r="AB2786">
        <v>1</v>
      </c>
      <c r="AC2786">
        <v>0</v>
      </c>
      <c r="AD2786">
        <v>0</v>
      </c>
      <c r="AE2786">
        <v>0</v>
      </c>
    </row>
    <row r="2787" spans="1:31">
      <c r="A2787" s="6">
        <v>45855</v>
      </c>
      <c r="B2787" t="s">
        <v>36</v>
      </c>
      <c r="C2787" t="s">
        <v>37</v>
      </c>
      <c r="D2787" t="s">
        <v>38</v>
      </c>
      <c r="E2787" t="s">
        <v>39</v>
      </c>
      <c r="F2787">
        <v>125</v>
      </c>
      <c r="G2787">
        <v>320</v>
      </c>
      <c r="H2787">
        <v>246</v>
      </c>
      <c r="I2787">
        <v>102</v>
      </c>
      <c r="J2787" s="8">
        <v>0.81599999999999995</v>
      </c>
      <c r="K2787">
        <v>58</v>
      </c>
      <c r="L2787">
        <v>29</v>
      </c>
      <c r="M2787">
        <v>200</v>
      </c>
      <c r="N2787" s="10">
        <v>661.57</v>
      </c>
      <c r="O2787" s="7">
        <v>9.5</v>
      </c>
      <c r="P2787" s="7">
        <v>29.9</v>
      </c>
      <c r="Q2787">
        <v>3</v>
      </c>
      <c r="R2787" t="s">
        <v>65</v>
      </c>
      <c r="S2787">
        <v>7</v>
      </c>
      <c r="T2787">
        <v>198</v>
      </c>
      <c r="U2787" s="11">
        <v>0.43388373911755823</v>
      </c>
      <c r="V2787" s="11">
        <v>-0.90096886790241903</v>
      </c>
      <c r="W2787" s="11">
        <v>-0.24477230089725957</v>
      </c>
      <c r="X2787" s="11">
        <v>-0.96958059010763076</v>
      </c>
      <c r="Y2787">
        <v>0</v>
      </c>
      <c r="Z2787">
        <v>0</v>
      </c>
      <c r="AB2787">
        <v>1</v>
      </c>
      <c r="AC2787">
        <v>0</v>
      </c>
      <c r="AD2787">
        <v>0</v>
      </c>
      <c r="AE2787">
        <v>0</v>
      </c>
    </row>
    <row r="2788" spans="1:31">
      <c r="A2788" s="6">
        <v>45855</v>
      </c>
      <c r="B2788" t="s">
        <v>41</v>
      </c>
      <c r="C2788" t="s">
        <v>42</v>
      </c>
      <c r="D2788" t="s">
        <v>43</v>
      </c>
      <c r="E2788" t="s">
        <v>44</v>
      </c>
      <c r="F2788">
        <v>85</v>
      </c>
      <c r="G2788">
        <v>210</v>
      </c>
      <c r="H2788">
        <v>157</v>
      </c>
      <c r="I2788">
        <v>71</v>
      </c>
      <c r="J2788" s="8">
        <v>0.83529411764705885</v>
      </c>
      <c r="K2788">
        <v>23</v>
      </c>
      <c r="L2788">
        <v>40</v>
      </c>
      <c r="M2788">
        <v>129</v>
      </c>
      <c r="N2788" s="10">
        <v>609.19000000000005</v>
      </c>
      <c r="O2788" s="7">
        <v>9.5</v>
      </c>
      <c r="P2788" s="7">
        <v>29.9</v>
      </c>
      <c r="Q2788">
        <v>3</v>
      </c>
      <c r="R2788" t="s">
        <v>65</v>
      </c>
      <c r="S2788">
        <v>7</v>
      </c>
      <c r="T2788">
        <v>198</v>
      </c>
      <c r="U2788" s="11">
        <v>0.43388373911755823</v>
      </c>
      <c r="V2788" s="11">
        <v>-0.90096886790241903</v>
      </c>
      <c r="W2788" s="11">
        <v>-0.24477230089725957</v>
      </c>
      <c r="X2788" s="11">
        <v>-0.96958059010763076</v>
      </c>
      <c r="Y2788">
        <v>0</v>
      </c>
      <c r="Z2788">
        <v>0</v>
      </c>
      <c r="AB2788">
        <v>1</v>
      </c>
      <c r="AC2788">
        <v>0</v>
      </c>
      <c r="AD2788">
        <v>0</v>
      </c>
      <c r="AE2788">
        <v>0</v>
      </c>
    </row>
    <row r="2789" spans="1:31">
      <c r="A2789" s="6">
        <v>45856</v>
      </c>
      <c r="B2789" t="s">
        <v>31</v>
      </c>
      <c r="C2789" t="s">
        <v>32</v>
      </c>
      <c r="D2789" t="s">
        <v>33</v>
      </c>
      <c r="E2789" t="s">
        <v>34</v>
      </c>
      <c r="F2789">
        <v>140</v>
      </c>
      <c r="G2789">
        <v>360</v>
      </c>
      <c r="H2789">
        <v>238</v>
      </c>
      <c r="I2789">
        <v>102</v>
      </c>
      <c r="J2789" s="8">
        <v>0.72857142857142854</v>
      </c>
      <c r="K2789">
        <v>33</v>
      </c>
      <c r="L2789">
        <v>58</v>
      </c>
      <c r="M2789">
        <v>201</v>
      </c>
      <c r="N2789" s="10">
        <v>423.04</v>
      </c>
      <c r="O2789" s="7">
        <v>0.9</v>
      </c>
      <c r="P2789" s="7">
        <v>30.1</v>
      </c>
      <c r="Q2789">
        <v>4</v>
      </c>
      <c r="R2789" t="s">
        <v>66</v>
      </c>
      <c r="S2789">
        <v>7</v>
      </c>
      <c r="T2789">
        <v>199</v>
      </c>
      <c r="U2789" s="11">
        <v>-0.43388373911755801</v>
      </c>
      <c r="V2789" s="11">
        <v>-0.90096886790241915</v>
      </c>
      <c r="W2789" s="11">
        <v>-0.26141439851115622</v>
      </c>
      <c r="X2789" s="11">
        <v>-0.96522666366561305</v>
      </c>
      <c r="Y2789">
        <v>0</v>
      </c>
      <c r="Z2789">
        <v>0</v>
      </c>
      <c r="AB2789">
        <v>1</v>
      </c>
      <c r="AC2789">
        <v>0</v>
      </c>
      <c r="AD2789">
        <v>0</v>
      </c>
      <c r="AE2789">
        <v>0</v>
      </c>
    </row>
    <row r="2790" spans="1:31">
      <c r="A2790" s="6">
        <v>45856</v>
      </c>
      <c r="B2790" t="s">
        <v>36</v>
      </c>
      <c r="C2790" t="s">
        <v>37</v>
      </c>
      <c r="D2790" t="s">
        <v>38</v>
      </c>
      <c r="E2790" t="s">
        <v>39</v>
      </c>
      <c r="F2790">
        <v>125</v>
      </c>
      <c r="G2790">
        <v>320</v>
      </c>
      <c r="H2790">
        <v>227</v>
      </c>
      <c r="I2790">
        <v>97</v>
      </c>
      <c r="J2790" s="8">
        <v>0.77600000000000002</v>
      </c>
      <c r="K2790">
        <v>60</v>
      </c>
      <c r="L2790">
        <v>28</v>
      </c>
      <c r="M2790">
        <v>204</v>
      </c>
      <c r="N2790" s="10">
        <v>642.99</v>
      </c>
      <c r="O2790" s="7">
        <v>0.9</v>
      </c>
      <c r="P2790" s="7">
        <v>30.1</v>
      </c>
      <c r="Q2790">
        <v>4</v>
      </c>
      <c r="R2790" t="s">
        <v>66</v>
      </c>
      <c r="S2790">
        <v>7</v>
      </c>
      <c r="T2790">
        <v>199</v>
      </c>
      <c r="U2790" s="11">
        <v>-0.43388373911755801</v>
      </c>
      <c r="V2790" s="11">
        <v>-0.90096886790241915</v>
      </c>
      <c r="W2790" s="11">
        <v>-0.26141439851115622</v>
      </c>
      <c r="X2790" s="11">
        <v>-0.96522666366561305</v>
      </c>
      <c r="Y2790">
        <v>0</v>
      </c>
      <c r="Z2790">
        <v>0</v>
      </c>
      <c r="AB2790">
        <v>1</v>
      </c>
      <c r="AC2790">
        <v>0</v>
      </c>
      <c r="AD2790">
        <v>0</v>
      </c>
      <c r="AE2790">
        <v>0</v>
      </c>
    </row>
    <row r="2791" spans="1:31">
      <c r="A2791" s="6">
        <v>45856</v>
      </c>
      <c r="B2791" t="s">
        <v>41</v>
      </c>
      <c r="C2791" t="s">
        <v>42</v>
      </c>
      <c r="D2791" t="s">
        <v>43</v>
      </c>
      <c r="E2791" t="s">
        <v>44</v>
      </c>
      <c r="F2791">
        <v>85</v>
      </c>
      <c r="G2791">
        <v>210</v>
      </c>
      <c r="H2791">
        <v>175</v>
      </c>
      <c r="I2791">
        <v>78</v>
      </c>
      <c r="J2791" s="8">
        <v>0.91764705882352937</v>
      </c>
      <c r="K2791">
        <v>33</v>
      </c>
      <c r="L2791">
        <v>26</v>
      </c>
      <c r="M2791">
        <v>153</v>
      </c>
      <c r="N2791" s="10">
        <v>530.26</v>
      </c>
      <c r="O2791" s="7">
        <v>0.9</v>
      </c>
      <c r="P2791" s="7">
        <v>30.1</v>
      </c>
      <c r="Q2791">
        <v>4</v>
      </c>
      <c r="R2791" t="s">
        <v>66</v>
      </c>
      <c r="S2791">
        <v>7</v>
      </c>
      <c r="T2791">
        <v>199</v>
      </c>
      <c r="U2791" s="11">
        <v>-0.43388373911755801</v>
      </c>
      <c r="V2791" s="11">
        <v>-0.90096886790241915</v>
      </c>
      <c r="W2791" s="11">
        <v>-0.26141439851115622</v>
      </c>
      <c r="X2791" s="11">
        <v>-0.96522666366561305</v>
      </c>
      <c r="Y2791">
        <v>0</v>
      </c>
      <c r="Z2791">
        <v>0</v>
      </c>
      <c r="AB2791">
        <v>1</v>
      </c>
      <c r="AC2791">
        <v>0</v>
      </c>
      <c r="AD2791">
        <v>0</v>
      </c>
      <c r="AE2791">
        <v>0</v>
      </c>
    </row>
    <row r="2792" spans="1:31">
      <c r="A2792" s="6">
        <v>45857</v>
      </c>
      <c r="B2792" t="s">
        <v>31</v>
      </c>
      <c r="C2792" t="s">
        <v>32</v>
      </c>
      <c r="D2792" t="s">
        <v>33</v>
      </c>
      <c r="E2792" t="s">
        <v>34</v>
      </c>
      <c r="F2792">
        <v>140</v>
      </c>
      <c r="G2792">
        <v>360</v>
      </c>
      <c r="H2792">
        <v>229</v>
      </c>
      <c r="I2792">
        <v>98</v>
      </c>
      <c r="J2792" s="8">
        <v>0.7</v>
      </c>
      <c r="K2792">
        <v>39</v>
      </c>
      <c r="L2792">
        <v>43</v>
      </c>
      <c r="M2792">
        <v>203</v>
      </c>
      <c r="N2792" s="10">
        <v>556.08000000000004</v>
      </c>
      <c r="O2792" s="7">
        <v>3.3</v>
      </c>
      <c r="P2792" s="7">
        <v>28</v>
      </c>
      <c r="Q2792">
        <v>5</v>
      </c>
      <c r="R2792" t="s">
        <v>67</v>
      </c>
      <c r="S2792">
        <v>7</v>
      </c>
      <c r="T2792">
        <v>200</v>
      </c>
      <c r="U2792" s="11">
        <v>-0.97492791218182362</v>
      </c>
      <c r="V2792" s="11">
        <v>-0.22252093395631459</v>
      </c>
      <c r="W2792" s="11">
        <v>-0.27797913939878011</v>
      </c>
      <c r="X2792" s="11">
        <v>-0.96058711112481288</v>
      </c>
      <c r="Y2792">
        <v>1</v>
      </c>
      <c r="Z2792">
        <v>0</v>
      </c>
      <c r="AB2792">
        <v>1</v>
      </c>
      <c r="AC2792">
        <v>0</v>
      </c>
      <c r="AD2792">
        <v>0</v>
      </c>
      <c r="AE2792">
        <v>0</v>
      </c>
    </row>
    <row r="2793" spans="1:31">
      <c r="A2793" s="6">
        <v>45857</v>
      </c>
      <c r="B2793" t="s">
        <v>36</v>
      </c>
      <c r="C2793" t="s">
        <v>37</v>
      </c>
      <c r="D2793" t="s">
        <v>38</v>
      </c>
      <c r="E2793" t="s">
        <v>39</v>
      </c>
      <c r="F2793">
        <v>125</v>
      </c>
      <c r="G2793">
        <v>320</v>
      </c>
      <c r="H2793">
        <v>266</v>
      </c>
      <c r="I2793">
        <v>111</v>
      </c>
      <c r="J2793" s="8">
        <v>0.88800000000000001</v>
      </c>
      <c r="K2793">
        <v>36</v>
      </c>
      <c r="L2793">
        <v>41</v>
      </c>
      <c r="M2793">
        <v>216</v>
      </c>
      <c r="N2793" s="10">
        <v>690.65</v>
      </c>
      <c r="O2793" s="7">
        <v>3.3</v>
      </c>
      <c r="P2793" s="7">
        <v>28</v>
      </c>
      <c r="Q2793">
        <v>5</v>
      </c>
      <c r="R2793" t="s">
        <v>67</v>
      </c>
      <c r="S2793">
        <v>7</v>
      </c>
      <c r="T2793">
        <v>200</v>
      </c>
      <c r="U2793" s="11">
        <v>-0.97492791218182362</v>
      </c>
      <c r="V2793" s="11">
        <v>-0.22252093395631459</v>
      </c>
      <c r="W2793" s="11">
        <v>-0.27797913939878011</v>
      </c>
      <c r="X2793" s="11">
        <v>-0.96058711112481288</v>
      </c>
      <c r="Y2793">
        <v>1</v>
      </c>
      <c r="Z2793">
        <v>0</v>
      </c>
      <c r="AB2793">
        <v>1</v>
      </c>
      <c r="AC2793">
        <v>0</v>
      </c>
      <c r="AD2793">
        <v>0</v>
      </c>
      <c r="AE2793">
        <v>0</v>
      </c>
    </row>
    <row r="2794" spans="1:31">
      <c r="A2794" s="6">
        <v>45857</v>
      </c>
      <c r="B2794" t="s">
        <v>41</v>
      </c>
      <c r="C2794" t="s">
        <v>42</v>
      </c>
      <c r="D2794" t="s">
        <v>43</v>
      </c>
      <c r="E2794" t="s">
        <v>44</v>
      </c>
      <c r="F2794">
        <v>85</v>
      </c>
      <c r="G2794">
        <v>210</v>
      </c>
      <c r="H2794">
        <v>181</v>
      </c>
      <c r="I2794">
        <v>80</v>
      </c>
      <c r="J2794" s="8">
        <v>0.94117647058823528</v>
      </c>
      <c r="K2794">
        <v>46</v>
      </c>
      <c r="L2794">
        <v>45</v>
      </c>
      <c r="M2794">
        <v>160</v>
      </c>
      <c r="N2794" s="10">
        <v>685.38</v>
      </c>
      <c r="O2794" s="7">
        <v>3.3</v>
      </c>
      <c r="P2794" s="7">
        <v>28</v>
      </c>
      <c r="Q2794">
        <v>5</v>
      </c>
      <c r="R2794" t="s">
        <v>67</v>
      </c>
      <c r="S2794">
        <v>7</v>
      </c>
      <c r="T2794">
        <v>200</v>
      </c>
      <c r="U2794" s="11">
        <v>-0.97492791218182362</v>
      </c>
      <c r="V2794" s="11">
        <v>-0.22252093395631459</v>
      </c>
      <c r="W2794" s="11">
        <v>-0.27797913939878011</v>
      </c>
      <c r="X2794" s="11">
        <v>-0.96058711112481288</v>
      </c>
      <c r="Y2794">
        <v>1</v>
      </c>
      <c r="Z2794">
        <v>0</v>
      </c>
      <c r="AB2794">
        <v>1</v>
      </c>
      <c r="AC2794">
        <v>0</v>
      </c>
      <c r="AD2794">
        <v>0</v>
      </c>
      <c r="AE2794">
        <v>0</v>
      </c>
    </row>
    <row r="2795" spans="1:31">
      <c r="A2795" s="6">
        <v>45858</v>
      </c>
      <c r="B2795" t="s">
        <v>31</v>
      </c>
      <c r="C2795" t="s">
        <v>32</v>
      </c>
      <c r="D2795" t="s">
        <v>33</v>
      </c>
      <c r="E2795" t="s">
        <v>34</v>
      </c>
      <c r="F2795">
        <v>140</v>
      </c>
      <c r="G2795">
        <v>360</v>
      </c>
      <c r="H2795">
        <v>235</v>
      </c>
      <c r="I2795">
        <v>103</v>
      </c>
      <c r="J2795" s="8">
        <v>0.73571428571428577</v>
      </c>
      <c r="K2795">
        <v>27</v>
      </c>
      <c r="L2795">
        <v>40</v>
      </c>
      <c r="M2795">
        <v>205</v>
      </c>
      <c r="N2795" s="10">
        <v>517.73</v>
      </c>
      <c r="O2795" s="7">
        <v>17.2</v>
      </c>
      <c r="P2795" s="7">
        <v>29.5</v>
      </c>
      <c r="Q2795">
        <v>6</v>
      </c>
      <c r="R2795" t="s">
        <v>60</v>
      </c>
      <c r="S2795">
        <v>7</v>
      </c>
      <c r="T2795">
        <v>201</v>
      </c>
      <c r="U2795" s="11">
        <v>-0.78183148246802991</v>
      </c>
      <c r="V2795" s="11">
        <v>0.62348980185873337</v>
      </c>
      <c r="W2795" s="11">
        <v>-0.29446162178680119</v>
      </c>
      <c r="X2795" s="11">
        <v>-0.95566330540347044</v>
      </c>
      <c r="Y2795">
        <v>1</v>
      </c>
      <c r="Z2795">
        <v>0</v>
      </c>
      <c r="AB2795">
        <v>1</v>
      </c>
      <c r="AC2795">
        <v>0</v>
      </c>
      <c r="AD2795">
        <v>0</v>
      </c>
      <c r="AE2795">
        <v>0</v>
      </c>
    </row>
    <row r="2796" spans="1:31">
      <c r="A2796" s="6">
        <v>45858</v>
      </c>
      <c r="B2796" t="s">
        <v>36</v>
      </c>
      <c r="C2796" t="s">
        <v>37</v>
      </c>
      <c r="D2796" t="s">
        <v>38</v>
      </c>
      <c r="E2796" t="s">
        <v>39</v>
      </c>
      <c r="F2796">
        <v>125</v>
      </c>
      <c r="G2796">
        <v>320</v>
      </c>
      <c r="H2796">
        <v>284</v>
      </c>
      <c r="I2796">
        <v>120</v>
      </c>
      <c r="J2796" s="8">
        <v>0.96</v>
      </c>
      <c r="K2796">
        <v>40</v>
      </c>
      <c r="L2796">
        <v>44</v>
      </c>
      <c r="M2796">
        <v>231</v>
      </c>
      <c r="N2796" s="10">
        <v>711.97</v>
      </c>
      <c r="O2796" s="7">
        <v>17.2</v>
      </c>
      <c r="P2796" s="7">
        <v>29.5</v>
      </c>
      <c r="Q2796">
        <v>6</v>
      </c>
      <c r="R2796" t="s">
        <v>60</v>
      </c>
      <c r="S2796">
        <v>7</v>
      </c>
      <c r="T2796">
        <v>201</v>
      </c>
      <c r="U2796" s="11">
        <v>-0.78183148246802991</v>
      </c>
      <c r="V2796" s="11">
        <v>0.62348980185873337</v>
      </c>
      <c r="W2796" s="11">
        <v>-0.29446162178680119</v>
      </c>
      <c r="X2796" s="11">
        <v>-0.95566330540347044</v>
      </c>
      <c r="Y2796">
        <v>1</v>
      </c>
      <c r="Z2796">
        <v>0</v>
      </c>
      <c r="AB2796">
        <v>1</v>
      </c>
      <c r="AC2796">
        <v>0</v>
      </c>
      <c r="AD2796">
        <v>0</v>
      </c>
      <c r="AE2796">
        <v>0</v>
      </c>
    </row>
    <row r="2797" spans="1:31">
      <c r="A2797" s="6">
        <v>45858</v>
      </c>
      <c r="B2797" t="s">
        <v>41</v>
      </c>
      <c r="C2797" t="s">
        <v>42</v>
      </c>
      <c r="D2797" t="s">
        <v>43</v>
      </c>
      <c r="E2797" t="s">
        <v>44</v>
      </c>
      <c r="F2797">
        <v>85</v>
      </c>
      <c r="G2797">
        <v>210</v>
      </c>
      <c r="H2797">
        <v>178</v>
      </c>
      <c r="I2797">
        <v>82</v>
      </c>
      <c r="J2797" s="8">
        <v>0.96470588235294119</v>
      </c>
      <c r="K2797">
        <v>29</v>
      </c>
      <c r="L2797">
        <v>43</v>
      </c>
      <c r="M2797">
        <v>160</v>
      </c>
      <c r="N2797" s="10">
        <v>645.08000000000004</v>
      </c>
      <c r="O2797" s="7">
        <v>17.2</v>
      </c>
      <c r="P2797" s="7">
        <v>29.5</v>
      </c>
      <c r="Q2797">
        <v>6</v>
      </c>
      <c r="R2797" t="s">
        <v>60</v>
      </c>
      <c r="S2797">
        <v>7</v>
      </c>
      <c r="T2797">
        <v>201</v>
      </c>
      <c r="U2797" s="11">
        <v>-0.78183148246802991</v>
      </c>
      <c r="V2797" s="11">
        <v>0.62348980185873337</v>
      </c>
      <c r="W2797" s="11">
        <v>-0.29446162178680119</v>
      </c>
      <c r="X2797" s="11">
        <v>-0.95566330540347044</v>
      </c>
      <c r="Y2797">
        <v>1</v>
      </c>
      <c r="Z2797">
        <v>0</v>
      </c>
      <c r="AB2797">
        <v>1</v>
      </c>
      <c r="AC2797">
        <v>0</v>
      </c>
      <c r="AD2797">
        <v>0</v>
      </c>
      <c r="AE2797">
        <v>0</v>
      </c>
    </row>
    <row r="2798" spans="1:31">
      <c r="A2798" s="6">
        <v>45859</v>
      </c>
      <c r="B2798" t="s">
        <v>31</v>
      </c>
      <c r="C2798" t="s">
        <v>32</v>
      </c>
      <c r="D2798" t="s">
        <v>33</v>
      </c>
      <c r="E2798" t="s">
        <v>34</v>
      </c>
      <c r="F2798">
        <v>140</v>
      </c>
      <c r="G2798">
        <v>360</v>
      </c>
      <c r="H2798">
        <v>225</v>
      </c>
      <c r="I2798">
        <v>97</v>
      </c>
      <c r="J2798" s="8">
        <v>0.69285714285714284</v>
      </c>
      <c r="K2798">
        <v>56</v>
      </c>
      <c r="L2798">
        <v>28</v>
      </c>
      <c r="M2798">
        <v>189</v>
      </c>
      <c r="N2798" s="10">
        <v>468.29</v>
      </c>
      <c r="O2798" s="7">
        <v>3.4</v>
      </c>
      <c r="P2798" s="7">
        <v>28.1</v>
      </c>
      <c r="Q2798">
        <v>0</v>
      </c>
      <c r="R2798" t="s">
        <v>62</v>
      </c>
      <c r="S2798">
        <v>7</v>
      </c>
      <c r="T2798">
        <v>202</v>
      </c>
      <c r="U2798" s="11">
        <v>0</v>
      </c>
      <c r="V2798" s="11">
        <v>1</v>
      </c>
      <c r="W2798" s="11">
        <v>-0.31085696824350362</v>
      </c>
      <c r="X2798" s="11">
        <v>-0.95045670353491507</v>
      </c>
      <c r="Y2798">
        <v>0</v>
      </c>
      <c r="Z2798">
        <v>0</v>
      </c>
      <c r="AB2798">
        <v>1</v>
      </c>
      <c r="AC2798">
        <v>0</v>
      </c>
      <c r="AD2798">
        <v>0</v>
      </c>
      <c r="AE2798">
        <v>0</v>
      </c>
    </row>
    <row r="2799" spans="1:31">
      <c r="A2799" s="6">
        <v>45859</v>
      </c>
      <c r="B2799" t="s">
        <v>36</v>
      </c>
      <c r="C2799" t="s">
        <v>37</v>
      </c>
      <c r="D2799" t="s">
        <v>38</v>
      </c>
      <c r="E2799" t="s">
        <v>39</v>
      </c>
      <c r="F2799">
        <v>125</v>
      </c>
      <c r="G2799">
        <v>320</v>
      </c>
      <c r="H2799">
        <v>233</v>
      </c>
      <c r="I2799">
        <v>97</v>
      </c>
      <c r="J2799" s="8">
        <v>0.77600000000000002</v>
      </c>
      <c r="K2799">
        <v>35</v>
      </c>
      <c r="L2799">
        <v>24</v>
      </c>
      <c r="M2799">
        <v>187</v>
      </c>
      <c r="N2799" s="10">
        <v>680.81</v>
      </c>
      <c r="O2799" s="7">
        <v>3.4</v>
      </c>
      <c r="P2799" s="7">
        <v>28.1</v>
      </c>
      <c r="Q2799">
        <v>0</v>
      </c>
      <c r="R2799" t="s">
        <v>62</v>
      </c>
      <c r="S2799">
        <v>7</v>
      </c>
      <c r="T2799">
        <v>202</v>
      </c>
      <c r="U2799" s="11">
        <v>0</v>
      </c>
      <c r="V2799" s="11">
        <v>1</v>
      </c>
      <c r="W2799" s="11">
        <v>-0.31085696824350362</v>
      </c>
      <c r="X2799" s="11">
        <v>-0.95045670353491507</v>
      </c>
      <c r="Y2799">
        <v>0</v>
      </c>
      <c r="Z2799">
        <v>0</v>
      </c>
      <c r="AB2799">
        <v>1</v>
      </c>
      <c r="AC2799">
        <v>0</v>
      </c>
      <c r="AD2799">
        <v>0</v>
      </c>
      <c r="AE2799">
        <v>0</v>
      </c>
    </row>
    <row r="2800" spans="1:31">
      <c r="A2800" s="6">
        <v>45859</v>
      </c>
      <c r="B2800" t="s">
        <v>41</v>
      </c>
      <c r="C2800" t="s">
        <v>42</v>
      </c>
      <c r="D2800" t="s">
        <v>43</v>
      </c>
      <c r="E2800" t="s">
        <v>44</v>
      </c>
      <c r="F2800">
        <v>85</v>
      </c>
      <c r="G2800">
        <v>210</v>
      </c>
      <c r="H2800">
        <v>162</v>
      </c>
      <c r="I2800">
        <v>75</v>
      </c>
      <c r="J2800" s="8">
        <v>0.88235294117647056</v>
      </c>
      <c r="K2800">
        <v>42</v>
      </c>
      <c r="L2800">
        <v>41</v>
      </c>
      <c r="M2800">
        <v>152</v>
      </c>
      <c r="N2800" s="10">
        <v>570.39</v>
      </c>
      <c r="O2800" s="7">
        <v>3.4</v>
      </c>
      <c r="P2800" s="7">
        <v>28.1</v>
      </c>
      <c r="Q2800">
        <v>0</v>
      </c>
      <c r="R2800" t="s">
        <v>62</v>
      </c>
      <c r="S2800">
        <v>7</v>
      </c>
      <c r="T2800">
        <v>202</v>
      </c>
      <c r="U2800" s="11">
        <v>0</v>
      </c>
      <c r="V2800" s="11">
        <v>1</v>
      </c>
      <c r="W2800" s="11">
        <v>-0.31085696824350362</v>
      </c>
      <c r="X2800" s="11">
        <v>-0.95045670353491507</v>
      </c>
      <c r="Y2800">
        <v>0</v>
      </c>
      <c r="Z2800">
        <v>0</v>
      </c>
      <c r="AB2800">
        <v>1</v>
      </c>
      <c r="AC2800">
        <v>0</v>
      </c>
      <c r="AD2800">
        <v>0</v>
      </c>
      <c r="AE2800">
        <v>0</v>
      </c>
    </row>
    <row r="2801" spans="1:31">
      <c r="A2801" s="6">
        <v>45860</v>
      </c>
      <c r="B2801" t="s">
        <v>31</v>
      </c>
      <c r="C2801" t="s">
        <v>32</v>
      </c>
      <c r="D2801" t="s">
        <v>33</v>
      </c>
      <c r="E2801" t="s">
        <v>34</v>
      </c>
      <c r="F2801">
        <v>140</v>
      </c>
      <c r="G2801">
        <v>360</v>
      </c>
      <c r="H2801">
        <v>266</v>
      </c>
      <c r="I2801">
        <v>113</v>
      </c>
      <c r="J2801" s="8">
        <v>0.80714285714285716</v>
      </c>
      <c r="K2801">
        <v>71</v>
      </c>
      <c r="L2801">
        <v>56</v>
      </c>
      <c r="M2801">
        <v>213</v>
      </c>
      <c r="N2801" s="10">
        <v>477.72</v>
      </c>
      <c r="O2801" s="7">
        <v>22</v>
      </c>
      <c r="P2801" s="7">
        <v>27.8</v>
      </c>
      <c r="Q2801">
        <v>1</v>
      </c>
      <c r="R2801" t="s">
        <v>63</v>
      </c>
      <c r="S2801">
        <v>7</v>
      </c>
      <c r="T2801">
        <v>203</v>
      </c>
      <c r="U2801" s="11">
        <v>0.7818314824680298</v>
      </c>
      <c r="V2801" s="11">
        <v>0.62348980185873359</v>
      </c>
      <c r="W2801" s="11">
        <v>-0.32716032712209508</v>
      </c>
      <c r="X2801" s="11">
        <v>-0.94496884623640565</v>
      </c>
      <c r="Y2801">
        <v>0</v>
      </c>
      <c r="Z2801">
        <v>0</v>
      </c>
      <c r="AB2801">
        <v>1</v>
      </c>
      <c r="AC2801">
        <v>0</v>
      </c>
      <c r="AD2801">
        <v>0</v>
      </c>
      <c r="AE2801">
        <v>1</v>
      </c>
    </row>
    <row r="2802" spans="1:31">
      <c r="A2802" s="6">
        <v>45860</v>
      </c>
      <c r="B2802" t="s">
        <v>36</v>
      </c>
      <c r="C2802" t="s">
        <v>37</v>
      </c>
      <c r="D2802" t="s">
        <v>38</v>
      </c>
      <c r="E2802" t="s">
        <v>39</v>
      </c>
      <c r="F2802">
        <v>125</v>
      </c>
      <c r="G2802">
        <v>320</v>
      </c>
      <c r="H2802">
        <v>231</v>
      </c>
      <c r="I2802">
        <v>96</v>
      </c>
      <c r="J2802" s="8">
        <v>0.76800000000000002</v>
      </c>
      <c r="K2802">
        <v>53</v>
      </c>
      <c r="L2802">
        <v>32</v>
      </c>
      <c r="M2802">
        <v>201</v>
      </c>
      <c r="N2802" s="10">
        <v>714.29</v>
      </c>
      <c r="O2802" s="7">
        <v>22</v>
      </c>
      <c r="P2802" s="7">
        <v>27.8</v>
      </c>
      <c r="Q2802">
        <v>1</v>
      </c>
      <c r="R2802" t="s">
        <v>63</v>
      </c>
      <c r="S2802">
        <v>7</v>
      </c>
      <c r="T2802">
        <v>203</v>
      </c>
      <c r="U2802" s="11">
        <v>0.7818314824680298</v>
      </c>
      <c r="V2802" s="11">
        <v>0.62348980185873359</v>
      </c>
      <c r="W2802" s="11">
        <v>-0.32716032712209508</v>
      </c>
      <c r="X2802" s="11">
        <v>-0.94496884623640565</v>
      </c>
      <c r="Y2802">
        <v>0</v>
      </c>
      <c r="Z2802">
        <v>0</v>
      </c>
      <c r="AB2802">
        <v>1</v>
      </c>
      <c r="AC2802">
        <v>0</v>
      </c>
      <c r="AD2802">
        <v>0</v>
      </c>
      <c r="AE2802">
        <v>1</v>
      </c>
    </row>
    <row r="2803" spans="1:31">
      <c r="A2803" s="6">
        <v>45860</v>
      </c>
      <c r="B2803" t="s">
        <v>41</v>
      </c>
      <c r="C2803" t="s">
        <v>42</v>
      </c>
      <c r="D2803" t="s">
        <v>43</v>
      </c>
      <c r="E2803" t="s">
        <v>44</v>
      </c>
      <c r="F2803">
        <v>85</v>
      </c>
      <c r="G2803">
        <v>210</v>
      </c>
      <c r="H2803">
        <v>173</v>
      </c>
      <c r="I2803">
        <v>77</v>
      </c>
      <c r="J2803" s="8">
        <v>0.90588235294117647</v>
      </c>
      <c r="K2803">
        <v>24</v>
      </c>
      <c r="L2803">
        <v>45</v>
      </c>
      <c r="M2803">
        <v>140</v>
      </c>
      <c r="N2803" s="10">
        <v>522.77</v>
      </c>
      <c r="O2803" s="7">
        <v>22</v>
      </c>
      <c r="P2803" s="7">
        <v>27.8</v>
      </c>
      <c r="Q2803">
        <v>1</v>
      </c>
      <c r="R2803" t="s">
        <v>63</v>
      </c>
      <c r="S2803">
        <v>7</v>
      </c>
      <c r="T2803">
        <v>203</v>
      </c>
      <c r="U2803" s="11">
        <v>0.7818314824680298</v>
      </c>
      <c r="V2803" s="11">
        <v>0.62348980185873359</v>
      </c>
      <c r="W2803" s="11">
        <v>-0.32716032712209508</v>
      </c>
      <c r="X2803" s="11">
        <v>-0.94496884623640565</v>
      </c>
      <c r="Y2803">
        <v>0</v>
      </c>
      <c r="Z2803">
        <v>0</v>
      </c>
      <c r="AB2803">
        <v>1</v>
      </c>
      <c r="AC2803">
        <v>0</v>
      </c>
      <c r="AD2803">
        <v>0</v>
      </c>
      <c r="AE2803">
        <v>1</v>
      </c>
    </row>
    <row r="2804" spans="1:31">
      <c r="A2804" s="6">
        <v>45861</v>
      </c>
      <c r="B2804" t="s">
        <v>31</v>
      </c>
      <c r="C2804" t="s">
        <v>32</v>
      </c>
      <c r="D2804" t="s">
        <v>33</v>
      </c>
      <c r="E2804" t="s">
        <v>34</v>
      </c>
      <c r="F2804">
        <v>140</v>
      </c>
      <c r="G2804">
        <v>360</v>
      </c>
      <c r="H2804">
        <v>252</v>
      </c>
      <c r="I2804">
        <v>110</v>
      </c>
      <c r="J2804" s="8">
        <v>0.7857142857142857</v>
      </c>
      <c r="K2804">
        <v>38</v>
      </c>
      <c r="L2804">
        <v>47</v>
      </c>
      <c r="M2804">
        <v>204</v>
      </c>
      <c r="N2804" s="10">
        <v>424.28</v>
      </c>
      <c r="O2804" s="7">
        <v>5.3</v>
      </c>
      <c r="P2804" s="7">
        <v>28.5</v>
      </c>
      <c r="Q2804">
        <v>2</v>
      </c>
      <c r="R2804" t="s">
        <v>64</v>
      </c>
      <c r="S2804">
        <v>7</v>
      </c>
      <c r="T2804">
        <v>204</v>
      </c>
      <c r="U2804" s="11">
        <v>0.97492791218182362</v>
      </c>
      <c r="V2804" s="11">
        <v>-0.22252093395631434</v>
      </c>
      <c r="W2804" s="11">
        <v>-0.34336687399638804</v>
      </c>
      <c r="X2804" s="11">
        <v>-0.93920135745320799</v>
      </c>
      <c r="Y2804">
        <v>0</v>
      </c>
      <c r="Z2804">
        <v>0</v>
      </c>
      <c r="AB2804">
        <v>1</v>
      </c>
      <c r="AC2804">
        <v>0</v>
      </c>
      <c r="AD2804">
        <v>0</v>
      </c>
      <c r="AE2804">
        <v>1</v>
      </c>
    </row>
    <row r="2805" spans="1:31">
      <c r="A2805" s="6">
        <v>45861</v>
      </c>
      <c r="B2805" t="s">
        <v>36</v>
      </c>
      <c r="C2805" t="s">
        <v>37</v>
      </c>
      <c r="D2805" t="s">
        <v>38</v>
      </c>
      <c r="E2805" t="s">
        <v>39</v>
      </c>
      <c r="F2805">
        <v>125</v>
      </c>
      <c r="G2805">
        <v>320</v>
      </c>
      <c r="H2805">
        <v>257</v>
      </c>
      <c r="I2805">
        <v>107</v>
      </c>
      <c r="J2805" s="8">
        <v>0.85599999999999998</v>
      </c>
      <c r="K2805">
        <v>73</v>
      </c>
      <c r="L2805">
        <v>57</v>
      </c>
      <c r="M2805">
        <v>216</v>
      </c>
      <c r="N2805" s="10">
        <v>657.84</v>
      </c>
      <c r="O2805" s="7">
        <v>5.3</v>
      </c>
      <c r="P2805" s="7">
        <v>28.5</v>
      </c>
      <c r="Q2805">
        <v>2</v>
      </c>
      <c r="R2805" t="s">
        <v>64</v>
      </c>
      <c r="S2805">
        <v>7</v>
      </c>
      <c r="T2805">
        <v>204</v>
      </c>
      <c r="U2805" s="11">
        <v>0.97492791218182362</v>
      </c>
      <c r="V2805" s="11">
        <v>-0.22252093395631434</v>
      </c>
      <c r="W2805" s="11">
        <v>-0.34336687399638804</v>
      </c>
      <c r="X2805" s="11">
        <v>-0.93920135745320799</v>
      </c>
      <c r="Y2805">
        <v>0</v>
      </c>
      <c r="Z2805">
        <v>0</v>
      </c>
      <c r="AB2805">
        <v>1</v>
      </c>
      <c r="AC2805">
        <v>0</v>
      </c>
      <c r="AD2805">
        <v>0</v>
      </c>
      <c r="AE2805">
        <v>1</v>
      </c>
    </row>
    <row r="2806" spans="1:31">
      <c r="A2806" s="6">
        <v>45861</v>
      </c>
      <c r="B2806" t="s">
        <v>41</v>
      </c>
      <c r="C2806" t="s">
        <v>42</v>
      </c>
      <c r="D2806" t="s">
        <v>43</v>
      </c>
      <c r="E2806" t="s">
        <v>44</v>
      </c>
      <c r="F2806">
        <v>85</v>
      </c>
      <c r="G2806">
        <v>210</v>
      </c>
      <c r="H2806">
        <v>183</v>
      </c>
      <c r="I2806">
        <v>82</v>
      </c>
      <c r="J2806" s="8">
        <v>0.96470588235294119</v>
      </c>
      <c r="K2806">
        <v>34</v>
      </c>
      <c r="L2806">
        <v>34</v>
      </c>
      <c r="M2806">
        <v>152</v>
      </c>
      <c r="N2806" s="10">
        <v>606.05999999999995</v>
      </c>
      <c r="O2806" s="7">
        <v>5.3</v>
      </c>
      <c r="P2806" s="7">
        <v>28.5</v>
      </c>
      <c r="Q2806">
        <v>2</v>
      </c>
      <c r="R2806" t="s">
        <v>64</v>
      </c>
      <c r="S2806">
        <v>7</v>
      </c>
      <c r="T2806">
        <v>204</v>
      </c>
      <c r="U2806" s="11">
        <v>0.97492791218182362</v>
      </c>
      <c r="V2806" s="11">
        <v>-0.22252093395631434</v>
      </c>
      <c r="W2806" s="11">
        <v>-0.34336687399638804</v>
      </c>
      <c r="X2806" s="11">
        <v>-0.93920135745320799</v>
      </c>
      <c r="Y2806">
        <v>0</v>
      </c>
      <c r="Z2806">
        <v>0</v>
      </c>
      <c r="AB2806">
        <v>1</v>
      </c>
      <c r="AC2806">
        <v>0</v>
      </c>
      <c r="AD2806">
        <v>0</v>
      </c>
      <c r="AE2806">
        <v>1</v>
      </c>
    </row>
    <row r="2807" spans="1:31">
      <c r="A2807" s="6">
        <v>45862</v>
      </c>
      <c r="B2807" t="s">
        <v>31</v>
      </c>
      <c r="C2807" t="s">
        <v>32</v>
      </c>
      <c r="D2807" t="s">
        <v>33</v>
      </c>
      <c r="E2807" t="s">
        <v>34</v>
      </c>
      <c r="F2807">
        <v>140</v>
      </c>
      <c r="G2807">
        <v>360</v>
      </c>
      <c r="H2807">
        <v>222</v>
      </c>
      <c r="I2807">
        <v>94</v>
      </c>
      <c r="J2807" s="8">
        <v>0.67142857142857137</v>
      </c>
      <c r="K2807">
        <v>33</v>
      </c>
      <c r="L2807">
        <v>23</v>
      </c>
      <c r="M2807">
        <v>180</v>
      </c>
      <c r="N2807" s="10">
        <v>429.95</v>
      </c>
      <c r="O2807" s="7">
        <v>14.5</v>
      </c>
      <c r="P2807" s="7">
        <v>28.4</v>
      </c>
      <c r="Q2807">
        <v>3</v>
      </c>
      <c r="R2807" t="s">
        <v>65</v>
      </c>
      <c r="S2807">
        <v>7</v>
      </c>
      <c r="T2807">
        <v>205</v>
      </c>
      <c r="U2807" s="11">
        <v>0.43388373911755823</v>
      </c>
      <c r="V2807" s="11">
        <v>-0.90096886790241903</v>
      </c>
      <c r="W2807" s="11">
        <v>-0.35947181308842319</v>
      </c>
      <c r="X2807" s="11">
        <v>-0.93315594387804324</v>
      </c>
      <c r="Y2807">
        <v>0</v>
      </c>
      <c r="Z2807">
        <v>0</v>
      </c>
      <c r="AB2807">
        <v>1</v>
      </c>
      <c r="AC2807">
        <v>0</v>
      </c>
      <c r="AD2807">
        <v>0</v>
      </c>
      <c r="AE2807">
        <v>0</v>
      </c>
    </row>
    <row r="2808" spans="1:31">
      <c r="A2808" s="6">
        <v>45862</v>
      </c>
      <c r="B2808" t="s">
        <v>36</v>
      </c>
      <c r="C2808" t="s">
        <v>37</v>
      </c>
      <c r="D2808" t="s">
        <v>38</v>
      </c>
      <c r="E2808" t="s">
        <v>39</v>
      </c>
      <c r="F2808">
        <v>125</v>
      </c>
      <c r="G2808">
        <v>320</v>
      </c>
      <c r="H2808">
        <v>243</v>
      </c>
      <c r="I2808">
        <v>102</v>
      </c>
      <c r="J2808" s="8">
        <v>0.81599999999999995</v>
      </c>
      <c r="K2808">
        <v>50</v>
      </c>
      <c r="L2808">
        <v>48</v>
      </c>
      <c r="M2808">
        <v>212</v>
      </c>
      <c r="N2808" s="10">
        <v>645.16999999999996</v>
      </c>
      <c r="O2808" s="7">
        <v>14.5</v>
      </c>
      <c r="P2808" s="7">
        <v>28.4</v>
      </c>
      <c r="Q2808">
        <v>3</v>
      </c>
      <c r="R2808" t="s">
        <v>65</v>
      </c>
      <c r="S2808">
        <v>7</v>
      </c>
      <c r="T2808">
        <v>205</v>
      </c>
      <c r="U2808" s="11">
        <v>0.43388373911755823</v>
      </c>
      <c r="V2808" s="11">
        <v>-0.90096886790241903</v>
      </c>
      <c r="W2808" s="11">
        <v>-0.35947181308842319</v>
      </c>
      <c r="X2808" s="11">
        <v>-0.93315594387804324</v>
      </c>
      <c r="Y2808">
        <v>0</v>
      </c>
      <c r="Z2808">
        <v>0</v>
      </c>
      <c r="AB2808">
        <v>1</v>
      </c>
      <c r="AC2808">
        <v>0</v>
      </c>
      <c r="AD2808">
        <v>0</v>
      </c>
      <c r="AE2808">
        <v>0</v>
      </c>
    </row>
    <row r="2809" spans="1:31">
      <c r="A2809" s="6">
        <v>45862</v>
      </c>
      <c r="B2809" t="s">
        <v>41</v>
      </c>
      <c r="C2809" t="s">
        <v>42</v>
      </c>
      <c r="D2809" t="s">
        <v>43</v>
      </c>
      <c r="E2809" t="s">
        <v>44</v>
      </c>
      <c r="F2809">
        <v>85</v>
      </c>
      <c r="G2809">
        <v>210</v>
      </c>
      <c r="H2809">
        <v>161</v>
      </c>
      <c r="I2809">
        <v>72</v>
      </c>
      <c r="J2809" s="8">
        <v>0.84705882352941175</v>
      </c>
      <c r="K2809">
        <v>28</v>
      </c>
      <c r="L2809">
        <v>24</v>
      </c>
      <c r="M2809">
        <v>139</v>
      </c>
      <c r="N2809" s="10">
        <v>547.17999999999995</v>
      </c>
      <c r="O2809" s="7">
        <v>14.5</v>
      </c>
      <c r="P2809" s="7">
        <v>28.4</v>
      </c>
      <c r="Q2809">
        <v>3</v>
      </c>
      <c r="R2809" t="s">
        <v>65</v>
      </c>
      <c r="S2809">
        <v>7</v>
      </c>
      <c r="T2809">
        <v>205</v>
      </c>
      <c r="U2809" s="11">
        <v>0.43388373911755823</v>
      </c>
      <c r="V2809" s="11">
        <v>-0.90096886790241903</v>
      </c>
      <c r="W2809" s="11">
        <v>-0.35947181308842319</v>
      </c>
      <c r="X2809" s="11">
        <v>-0.93315594387804324</v>
      </c>
      <c r="Y2809">
        <v>0</v>
      </c>
      <c r="Z2809">
        <v>0</v>
      </c>
      <c r="AB2809">
        <v>1</v>
      </c>
      <c r="AC2809">
        <v>0</v>
      </c>
      <c r="AD2809">
        <v>0</v>
      </c>
      <c r="AE2809">
        <v>0</v>
      </c>
    </row>
    <row r="2810" spans="1:31">
      <c r="A2810" s="6">
        <v>45863</v>
      </c>
      <c r="B2810" t="s">
        <v>31</v>
      </c>
      <c r="C2810" t="s">
        <v>32</v>
      </c>
      <c r="D2810" t="s">
        <v>33</v>
      </c>
      <c r="E2810" t="s">
        <v>34</v>
      </c>
      <c r="F2810">
        <v>140</v>
      </c>
      <c r="G2810">
        <v>360</v>
      </c>
      <c r="H2810">
        <v>225</v>
      </c>
      <c r="I2810">
        <v>94</v>
      </c>
      <c r="J2810" s="8">
        <v>0.67142857142857137</v>
      </c>
      <c r="K2810">
        <v>40</v>
      </c>
      <c r="L2810">
        <v>36</v>
      </c>
      <c r="M2810">
        <v>191</v>
      </c>
      <c r="N2810" s="10">
        <v>417.61</v>
      </c>
      <c r="O2810" s="7">
        <v>0</v>
      </c>
      <c r="P2810" s="7">
        <v>27.2</v>
      </c>
      <c r="Q2810">
        <v>4</v>
      </c>
      <c r="R2810" t="s">
        <v>66</v>
      </c>
      <c r="S2810">
        <v>7</v>
      </c>
      <c r="T2810">
        <v>206</v>
      </c>
      <c r="U2810" s="11">
        <v>-0.43388373911755801</v>
      </c>
      <c r="V2810" s="11">
        <v>-0.90096886790241915</v>
      </c>
      <c r="W2810" s="11">
        <v>-0.37547037868762018</v>
      </c>
      <c r="X2810" s="11">
        <v>-0.92683439444604943</v>
      </c>
      <c r="Y2810">
        <v>0</v>
      </c>
      <c r="Z2810">
        <v>0</v>
      </c>
      <c r="AB2810">
        <v>1</v>
      </c>
      <c r="AC2810">
        <v>0</v>
      </c>
      <c r="AD2810">
        <v>0</v>
      </c>
      <c r="AE2810">
        <v>0</v>
      </c>
    </row>
    <row r="2811" spans="1:31">
      <c r="A2811" s="6">
        <v>45863</v>
      </c>
      <c r="B2811" t="s">
        <v>36</v>
      </c>
      <c r="C2811" t="s">
        <v>37</v>
      </c>
      <c r="D2811" t="s">
        <v>38</v>
      </c>
      <c r="E2811" t="s">
        <v>39</v>
      </c>
      <c r="F2811">
        <v>125</v>
      </c>
      <c r="G2811">
        <v>320</v>
      </c>
      <c r="H2811">
        <v>277</v>
      </c>
      <c r="I2811">
        <v>115</v>
      </c>
      <c r="J2811" s="8">
        <v>0.92</v>
      </c>
      <c r="K2811">
        <v>77</v>
      </c>
      <c r="L2811">
        <v>44</v>
      </c>
      <c r="M2811">
        <v>253</v>
      </c>
      <c r="N2811" s="10">
        <v>737.81</v>
      </c>
      <c r="O2811" s="7">
        <v>0</v>
      </c>
      <c r="P2811" s="7">
        <v>27.2</v>
      </c>
      <c r="Q2811">
        <v>4</v>
      </c>
      <c r="R2811" t="s">
        <v>66</v>
      </c>
      <c r="S2811">
        <v>7</v>
      </c>
      <c r="T2811">
        <v>206</v>
      </c>
      <c r="U2811" s="11">
        <v>-0.43388373911755801</v>
      </c>
      <c r="V2811" s="11">
        <v>-0.90096886790241915</v>
      </c>
      <c r="W2811" s="11">
        <v>-0.37547037868762018</v>
      </c>
      <c r="X2811" s="11">
        <v>-0.92683439444604943</v>
      </c>
      <c r="Y2811">
        <v>0</v>
      </c>
      <c r="Z2811">
        <v>0</v>
      </c>
      <c r="AB2811">
        <v>1</v>
      </c>
      <c r="AC2811">
        <v>0</v>
      </c>
      <c r="AD2811">
        <v>0</v>
      </c>
      <c r="AE2811">
        <v>0</v>
      </c>
    </row>
    <row r="2812" spans="1:31">
      <c r="A2812" s="6">
        <v>45863</v>
      </c>
      <c r="B2812" t="s">
        <v>41</v>
      </c>
      <c r="C2812" t="s">
        <v>42</v>
      </c>
      <c r="D2812" t="s">
        <v>43</v>
      </c>
      <c r="E2812" t="s">
        <v>44</v>
      </c>
      <c r="F2812">
        <v>85</v>
      </c>
      <c r="G2812">
        <v>210</v>
      </c>
      <c r="H2812">
        <v>177</v>
      </c>
      <c r="I2812">
        <v>76</v>
      </c>
      <c r="J2812" s="8">
        <v>0.89411764705882357</v>
      </c>
      <c r="K2812">
        <v>39</v>
      </c>
      <c r="L2812">
        <v>28</v>
      </c>
      <c r="M2812">
        <v>156</v>
      </c>
      <c r="N2812" s="10">
        <v>532.69000000000005</v>
      </c>
      <c r="O2812" s="7">
        <v>0</v>
      </c>
      <c r="P2812" s="7">
        <v>27.2</v>
      </c>
      <c r="Q2812">
        <v>4</v>
      </c>
      <c r="R2812" t="s">
        <v>66</v>
      </c>
      <c r="S2812">
        <v>7</v>
      </c>
      <c r="T2812">
        <v>206</v>
      </c>
      <c r="U2812" s="11">
        <v>-0.43388373911755801</v>
      </c>
      <c r="V2812" s="11">
        <v>-0.90096886790241915</v>
      </c>
      <c r="W2812" s="11">
        <v>-0.37547037868762018</v>
      </c>
      <c r="X2812" s="11">
        <v>-0.92683439444604943</v>
      </c>
      <c r="Y2812">
        <v>0</v>
      </c>
      <c r="Z2812">
        <v>0</v>
      </c>
      <c r="AB2812">
        <v>1</v>
      </c>
      <c r="AC2812">
        <v>0</v>
      </c>
      <c r="AD2812">
        <v>0</v>
      </c>
      <c r="AE2812">
        <v>0</v>
      </c>
    </row>
    <row r="2813" spans="1:31">
      <c r="A2813" s="6">
        <v>45864</v>
      </c>
      <c r="B2813" t="s">
        <v>31</v>
      </c>
      <c r="C2813" t="s">
        <v>32</v>
      </c>
      <c r="D2813" t="s">
        <v>33</v>
      </c>
      <c r="E2813" t="s">
        <v>34</v>
      </c>
      <c r="F2813">
        <v>140</v>
      </c>
      <c r="G2813">
        <v>360</v>
      </c>
      <c r="H2813">
        <v>260</v>
      </c>
      <c r="I2813">
        <v>110</v>
      </c>
      <c r="J2813" s="8">
        <v>0.7857142857142857</v>
      </c>
      <c r="K2813">
        <v>34</v>
      </c>
      <c r="L2813">
        <v>60</v>
      </c>
      <c r="M2813">
        <v>211</v>
      </c>
      <c r="N2813" s="10">
        <v>472.7</v>
      </c>
      <c r="O2813" s="7">
        <v>0</v>
      </c>
      <c r="P2813" s="7">
        <v>27.3</v>
      </c>
      <c r="Q2813">
        <v>5</v>
      </c>
      <c r="R2813" t="s">
        <v>67</v>
      </c>
      <c r="S2813">
        <v>7</v>
      </c>
      <c r="T2813">
        <v>207</v>
      </c>
      <c r="U2813" s="11">
        <v>-0.97492791218182362</v>
      </c>
      <c r="V2813" s="11">
        <v>-0.22252093395631459</v>
      </c>
      <c r="W2813" s="11">
        <v>-0.39135783656102591</v>
      </c>
      <c r="X2813" s="11">
        <v>-0.92023857980540746</v>
      </c>
      <c r="Y2813">
        <v>1</v>
      </c>
      <c r="Z2813">
        <v>0</v>
      </c>
      <c r="AB2813">
        <v>1</v>
      </c>
      <c r="AC2813">
        <v>0</v>
      </c>
      <c r="AD2813">
        <v>0</v>
      </c>
      <c r="AE2813">
        <v>0</v>
      </c>
    </row>
    <row r="2814" spans="1:31">
      <c r="A2814" s="6">
        <v>45864</v>
      </c>
      <c r="B2814" t="s">
        <v>36</v>
      </c>
      <c r="C2814" t="s">
        <v>37</v>
      </c>
      <c r="D2814" t="s">
        <v>38</v>
      </c>
      <c r="E2814" t="s">
        <v>39</v>
      </c>
      <c r="F2814">
        <v>125</v>
      </c>
      <c r="G2814">
        <v>320</v>
      </c>
      <c r="H2814">
        <v>269</v>
      </c>
      <c r="I2814">
        <v>112</v>
      </c>
      <c r="J2814" s="8">
        <v>0.89600000000000002</v>
      </c>
      <c r="K2814">
        <v>57</v>
      </c>
      <c r="L2814">
        <v>35</v>
      </c>
      <c r="M2814">
        <v>227</v>
      </c>
      <c r="N2814" s="10">
        <v>777.49</v>
      </c>
      <c r="O2814" s="7">
        <v>0</v>
      </c>
      <c r="P2814" s="7">
        <v>27.3</v>
      </c>
      <c r="Q2814">
        <v>5</v>
      </c>
      <c r="R2814" t="s">
        <v>67</v>
      </c>
      <c r="S2814">
        <v>7</v>
      </c>
      <c r="T2814">
        <v>207</v>
      </c>
      <c r="U2814" s="11">
        <v>-0.97492791218182362</v>
      </c>
      <c r="V2814" s="11">
        <v>-0.22252093395631459</v>
      </c>
      <c r="W2814" s="11">
        <v>-0.39135783656102591</v>
      </c>
      <c r="X2814" s="11">
        <v>-0.92023857980540746</v>
      </c>
      <c r="Y2814">
        <v>1</v>
      </c>
      <c r="Z2814">
        <v>0</v>
      </c>
      <c r="AB2814">
        <v>1</v>
      </c>
      <c r="AC2814">
        <v>0</v>
      </c>
      <c r="AD2814">
        <v>0</v>
      </c>
      <c r="AE2814">
        <v>0</v>
      </c>
    </row>
    <row r="2815" spans="1:31">
      <c r="A2815" s="6">
        <v>45864</v>
      </c>
      <c r="B2815" t="s">
        <v>41</v>
      </c>
      <c r="C2815" t="s">
        <v>42</v>
      </c>
      <c r="D2815" t="s">
        <v>43</v>
      </c>
      <c r="E2815" t="s">
        <v>44</v>
      </c>
      <c r="F2815">
        <v>85</v>
      </c>
      <c r="G2815">
        <v>210</v>
      </c>
      <c r="H2815">
        <v>185</v>
      </c>
      <c r="I2815">
        <v>82</v>
      </c>
      <c r="J2815" s="8">
        <v>0.96470588235294119</v>
      </c>
      <c r="K2815">
        <v>19</v>
      </c>
      <c r="L2815">
        <v>23</v>
      </c>
      <c r="M2815">
        <v>169</v>
      </c>
      <c r="N2815" s="10">
        <v>609.70000000000005</v>
      </c>
      <c r="O2815" s="7">
        <v>0</v>
      </c>
      <c r="P2815" s="7">
        <v>27.3</v>
      </c>
      <c r="Q2815">
        <v>5</v>
      </c>
      <c r="R2815" t="s">
        <v>67</v>
      </c>
      <c r="S2815">
        <v>7</v>
      </c>
      <c r="T2815">
        <v>207</v>
      </c>
      <c r="U2815" s="11">
        <v>-0.97492791218182362</v>
      </c>
      <c r="V2815" s="11">
        <v>-0.22252093395631459</v>
      </c>
      <c r="W2815" s="11">
        <v>-0.39135783656102591</v>
      </c>
      <c r="X2815" s="11">
        <v>-0.92023857980540746</v>
      </c>
      <c r="Y2815">
        <v>1</v>
      </c>
      <c r="Z2815">
        <v>0</v>
      </c>
      <c r="AB2815">
        <v>1</v>
      </c>
      <c r="AC2815">
        <v>0</v>
      </c>
      <c r="AD2815">
        <v>0</v>
      </c>
      <c r="AE2815">
        <v>0</v>
      </c>
    </row>
    <row r="2816" spans="1:31">
      <c r="A2816" s="6">
        <v>45865</v>
      </c>
      <c r="B2816" t="s">
        <v>31</v>
      </c>
      <c r="C2816" t="s">
        <v>32</v>
      </c>
      <c r="D2816" t="s">
        <v>33</v>
      </c>
      <c r="E2816" t="s">
        <v>34</v>
      </c>
      <c r="F2816">
        <v>140</v>
      </c>
      <c r="G2816">
        <v>360</v>
      </c>
      <c r="H2816">
        <v>247</v>
      </c>
      <c r="I2816">
        <v>108</v>
      </c>
      <c r="J2816" s="8">
        <v>0.77142857142857146</v>
      </c>
      <c r="K2816">
        <v>30</v>
      </c>
      <c r="L2816">
        <v>32</v>
      </c>
      <c r="M2816">
        <v>224</v>
      </c>
      <c r="N2816" s="10">
        <v>468.22</v>
      </c>
      <c r="O2816" s="7">
        <v>0</v>
      </c>
      <c r="P2816" s="7">
        <v>27.6</v>
      </c>
      <c r="Q2816">
        <v>6</v>
      </c>
      <c r="R2816" t="s">
        <v>60</v>
      </c>
      <c r="S2816">
        <v>7</v>
      </c>
      <c r="T2816">
        <v>208</v>
      </c>
      <c r="U2816" s="11">
        <v>-0.78183148246802991</v>
      </c>
      <c r="V2816" s="11">
        <v>0.62348980185873337</v>
      </c>
      <c r="W2816" s="11">
        <v>-0.40712948535425159</v>
      </c>
      <c r="X2816" s="11">
        <v>-0.91337045176378584</v>
      </c>
      <c r="Y2816">
        <v>1</v>
      </c>
      <c r="Z2816">
        <v>0</v>
      </c>
      <c r="AB2816">
        <v>1</v>
      </c>
      <c r="AC2816">
        <v>0</v>
      </c>
      <c r="AD2816">
        <v>0</v>
      </c>
      <c r="AE2816">
        <v>0</v>
      </c>
    </row>
    <row r="2817" spans="1:31">
      <c r="A2817" s="6">
        <v>45865</v>
      </c>
      <c r="B2817" t="s">
        <v>36</v>
      </c>
      <c r="C2817" t="s">
        <v>37</v>
      </c>
      <c r="D2817" t="s">
        <v>38</v>
      </c>
      <c r="E2817" t="s">
        <v>39</v>
      </c>
      <c r="F2817">
        <v>125</v>
      </c>
      <c r="G2817">
        <v>320</v>
      </c>
      <c r="H2817">
        <v>262</v>
      </c>
      <c r="I2817">
        <v>112</v>
      </c>
      <c r="J2817" s="8">
        <v>0.89600000000000002</v>
      </c>
      <c r="K2817">
        <v>69</v>
      </c>
      <c r="L2817">
        <v>52</v>
      </c>
      <c r="M2817">
        <v>240</v>
      </c>
      <c r="N2817" s="10">
        <v>802.75</v>
      </c>
      <c r="O2817" s="7">
        <v>0</v>
      </c>
      <c r="P2817" s="7">
        <v>27.6</v>
      </c>
      <c r="Q2817">
        <v>6</v>
      </c>
      <c r="R2817" t="s">
        <v>60</v>
      </c>
      <c r="S2817">
        <v>7</v>
      </c>
      <c r="T2817">
        <v>208</v>
      </c>
      <c r="U2817" s="11">
        <v>-0.78183148246802991</v>
      </c>
      <c r="V2817" s="11">
        <v>0.62348980185873337</v>
      </c>
      <c r="W2817" s="11">
        <v>-0.40712948535425159</v>
      </c>
      <c r="X2817" s="11">
        <v>-0.91337045176378584</v>
      </c>
      <c r="Y2817">
        <v>1</v>
      </c>
      <c r="Z2817">
        <v>0</v>
      </c>
      <c r="AB2817">
        <v>1</v>
      </c>
      <c r="AC2817">
        <v>0</v>
      </c>
      <c r="AD2817">
        <v>0</v>
      </c>
      <c r="AE2817">
        <v>0</v>
      </c>
    </row>
    <row r="2818" spans="1:31">
      <c r="A2818" s="6">
        <v>45865</v>
      </c>
      <c r="B2818" t="s">
        <v>41</v>
      </c>
      <c r="C2818" t="s">
        <v>42</v>
      </c>
      <c r="D2818" t="s">
        <v>43</v>
      </c>
      <c r="E2818" t="s">
        <v>44</v>
      </c>
      <c r="F2818">
        <v>85</v>
      </c>
      <c r="G2818">
        <v>210</v>
      </c>
      <c r="H2818">
        <v>189</v>
      </c>
      <c r="I2818">
        <v>82</v>
      </c>
      <c r="J2818" s="8">
        <v>0.96470588235294119</v>
      </c>
      <c r="K2818">
        <v>47</v>
      </c>
      <c r="L2818">
        <v>46</v>
      </c>
      <c r="M2818">
        <v>170</v>
      </c>
      <c r="N2818" s="10">
        <v>616.86</v>
      </c>
      <c r="O2818" s="7">
        <v>0</v>
      </c>
      <c r="P2818" s="7">
        <v>27.6</v>
      </c>
      <c r="Q2818">
        <v>6</v>
      </c>
      <c r="R2818" t="s">
        <v>60</v>
      </c>
      <c r="S2818">
        <v>7</v>
      </c>
      <c r="T2818">
        <v>208</v>
      </c>
      <c r="U2818" s="11">
        <v>-0.78183148246802991</v>
      </c>
      <c r="V2818" s="11">
        <v>0.62348980185873337</v>
      </c>
      <c r="W2818" s="11">
        <v>-0.40712948535425159</v>
      </c>
      <c r="X2818" s="11">
        <v>-0.91337045176378584</v>
      </c>
      <c r="Y2818">
        <v>1</v>
      </c>
      <c r="Z2818">
        <v>0</v>
      </c>
      <c r="AB2818">
        <v>1</v>
      </c>
      <c r="AC2818">
        <v>0</v>
      </c>
      <c r="AD2818">
        <v>0</v>
      </c>
      <c r="AE2818">
        <v>0</v>
      </c>
    </row>
    <row r="2819" spans="1:31">
      <c r="A2819" s="6">
        <v>45866</v>
      </c>
      <c r="B2819" t="s">
        <v>31</v>
      </c>
      <c r="C2819" t="s">
        <v>32</v>
      </c>
      <c r="D2819" t="s">
        <v>33</v>
      </c>
      <c r="E2819" t="s">
        <v>34</v>
      </c>
      <c r="F2819">
        <v>140</v>
      </c>
      <c r="G2819">
        <v>360</v>
      </c>
      <c r="H2819">
        <v>212</v>
      </c>
      <c r="I2819">
        <v>90</v>
      </c>
      <c r="J2819" s="8">
        <v>0.6428571428571429</v>
      </c>
      <c r="K2819">
        <v>48</v>
      </c>
      <c r="L2819">
        <v>19</v>
      </c>
      <c r="M2819">
        <v>174</v>
      </c>
      <c r="N2819" s="10">
        <v>485.14</v>
      </c>
      <c r="O2819" s="7">
        <v>15.2</v>
      </c>
      <c r="P2819" s="7">
        <v>28.8</v>
      </c>
      <c r="Q2819">
        <v>0</v>
      </c>
      <c r="R2819" t="s">
        <v>62</v>
      </c>
      <c r="S2819">
        <v>7</v>
      </c>
      <c r="T2819">
        <v>209</v>
      </c>
      <c r="U2819" s="11">
        <v>0</v>
      </c>
      <c r="V2819" s="11">
        <v>1</v>
      </c>
      <c r="W2819" s="11">
        <v>-0.42278065798267728</v>
      </c>
      <c r="X2819" s="11">
        <v>-0.90623204271076974</v>
      </c>
      <c r="Y2819">
        <v>0</v>
      </c>
      <c r="Z2819">
        <v>0</v>
      </c>
      <c r="AB2819">
        <v>1</v>
      </c>
      <c r="AC2819">
        <v>0</v>
      </c>
      <c r="AD2819">
        <v>0</v>
      </c>
      <c r="AE2819">
        <v>0</v>
      </c>
    </row>
    <row r="2820" spans="1:31">
      <c r="A2820" s="6">
        <v>45866</v>
      </c>
      <c r="B2820" t="s">
        <v>36</v>
      </c>
      <c r="C2820" t="s">
        <v>37</v>
      </c>
      <c r="D2820" t="s">
        <v>38</v>
      </c>
      <c r="E2820" t="s">
        <v>39</v>
      </c>
      <c r="F2820">
        <v>125</v>
      </c>
      <c r="G2820">
        <v>320</v>
      </c>
      <c r="H2820">
        <v>214</v>
      </c>
      <c r="I2820">
        <v>88</v>
      </c>
      <c r="J2820" s="8">
        <v>0.70399999999999996</v>
      </c>
      <c r="K2820">
        <v>36</v>
      </c>
      <c r="L2820">
        <v>31</v>
      </c>
      <c r="M2820">
        <v>173</v>
      </c>
      <c r="N2820" s="10">
        <v>704.81</v>
      </c>
      <c r="O2820" s="7">
        <v>15.2</v>
      </c>
      <c r="P2820" s="7">
        <v>28.8</v>
      </c>
      <c r="Q2820">
        <v>0</v>
      </c>
      <c r="R2820" t="s">
        <v>62</v>
      </c>
      <c r="S2820">
        <v>7</v>
      </c>
      <c r="T2820">
        <v>209</v>
      </c>
      <c r="U2820" s="11">
        <v>0</v>
      </c>
      <c r="V2820" s="11">
        <v>1</v>
      </c>
      <c r="W2820" s="11">
        <v>-0.42278065798267728</v>
      </c>
      <c r="X2820" s="11">
        <v>-0.90623204271076974</v>
      </c>
      <c r="Y2820">
        <v>0</v>
      </c>
      <c r="Z2820">
        <v>0</v>
      </c>
      <c r="AB2820">
        <v>1</v>
      </c>
      <c r="AC2820">
        <v>0</v>
      </c>
      <c r="AD2820">
        <v>0</v>
      </c>
      <c r="AE2820">
        <v>0</v>
      </c>
    </row>
    <row r="2821" spans="1:31">
      <c r="A2821" s="6">
        <v>45866</v>
      </c>
      <c r="B2821" t="s">
        <v>41</v>
      </c>
      <c r="C2821" t="s">
        <v>42</v>
      </c>
      <c r="D2821" t="s">
        <v>43</v>
      </c>
      <c r="E2821" t="s">
        <v>44</v>
      </c>
      <c r="F2821">
        <v>85</v>
      </c>
      <c r="G2821">
        <v>210</v>
      </c>
      <c r="H2821">
        <v>150</v>
      </c>
      <c r="I2821">
        <v>68</v>
      </c>
      <c r="J2821" s="8">
        <v>0.8</v>
      </c>
      <c r="K2821">
        <v>33</v>
      </c>
      <c r="L2821">
        <v>23</v>
      </c>
      <c r="M2821">
        <v>122</v>
      </c>
      <c r="N2821" s="10">
        <v>615.54</v>
      </c>
      <c r="O2821" s="7">
        <v>15.2</v>
      </c>
      <c r="P2821" s="7">
        <v>28.8</v>
      </c>
      <c r="Q2821">
        <v>0</v>
      </c>
      <c r="R2821" t="s">
        <v>62</v>
      </c>
      <c r="S2821">
        <v>7</v>
      </c>
      <c r="T2821">
        <v>209</v>
      </c>
      <c r="U2821" s="11">
        <v>0</v>
      </c>
      <c r="V2821" s="11">
        <v>1</v>
      </c>
      <c r="W2821" s="11">
        <v>-0.42278065798267728</v>
      </c>
      <c r="X2821" s="11">
        <v>-0.90623204271076974</v>
      </c>
      <c r="Y2821">
        <v>0</v>
      </c>
      <c r="Z2821">
        <v>0</v>
      </c>
      <c r="AB2821">
        <v>1</v>
      </c>
      <c r="AC2821">
        <v>0</v>
      </c>
      <c r="AD2821">
        <v>0</v>
      </c>
      <c r="AE2821">
        <v>0</v>
      </c>
    </row>
    <row r="2822" spans="1:31">
      <c r="A2822" s="6">
        <v>45867</v>
      </c>
      <c r="B2822" t="s">
        <v>31</v>
      </c>
      <c r="C2822" t="s">
        <v>32</v>
      </c>
      <c r="D2822" t="s">
        <v>33</v>
      </c>
      <c r="E2822" t="s">
        <v>34</v>
      </c>
      <c r="F2822">
        <v>140</v>
      </c>
      <c r="G2822">
        <v>360</v>
      </c>
      <c r="H2822">
        <v>237</v>
      </c>
      <c r="I2822">
        <v>100</v>
      </c>
      <c r="J2822" s="8">
        <v>0.7142857142857143</v>
      </c>
      <c r="K2822">
        <v>63</v>
      </c>
      <c r="L2822">
        <v>44</v>
      </c>
      <c r="M2822">
        <v>208</v>
      </c>
      <c r="N2822" s="10">
        <v>435.62</v>
      </c>
      <c r="O2822" s="7">
        <v>5.0999999999999996</v>
      </c>
      <c r="P2822" s="7">
        <v>28.5</v>
      </c>
      <c r="Q2822">
        <v>1</v>
      </c>
      <c r="R2822" t="s">
        <v>63</v>
      </c>
      <c r="S2822">
        <v>7</v>
      </c>
      <c r="T2822">
        <v>210</v>
      </c>
      <c r="U2822" s="11">
        <v>0.7818314824680298</v>
      </c>
      <c r="V2822" s="11">
        <v>0.62348980185873359</v>
      </c>
      <c r="W2822" s="11">
        <v>-0.43830672301251922</v>
      </c>
      <c r="X2822" s="11">
        <v>-0.898825465016444</v>
      </c>
      <c r="Y2822">
        <v>0</v>
      </c>
      <c r="Z2822">
        <v>0</v>
      </c>
      <c r="AB2822">
        <v>1</v>
      </c>
      <c r="AC2822">
        <v>0</v>
      </c>
      <c r="AD2822">
        <v>0</v>
      </c>
      <c r="AE2822">
        <v>0</v>
      </c>
    </row>
    <row r="2823" spans="1:31">
      <c r="A2823" s="6">
        <v>45867</v>
      </c>
      <c r="B2823" t="s">
        <v>36</v>
      </c>
      <c r="C2823" t="s">
        <v>37</v>
      </c>
      <c r="D2823" t="s">
        <v>38</v>
      </c>
      <c r="E2823" t="s">
        <v>39</v>
      </c>
      <c r="F2823">
        <v>125</v>
      </c>
      <c r="G2823">
        <v>320</v>
      </c>
      <c r="H2823">
        <v>211</v>
      </c>
      <c r="I2823">
        <v>91</v>
      </c>
      <c r="J2823" s="8">
        <v>0.72799999999999998</v>
      </c>
      <c r="K2823">
        <v>41</v>
      </c>
      <c r="L2823">
        <v>26</v>
      </c>
      <c r="M2823">
        <v>187</v>
      </c>
      <c r="N2823" s="10">
        <v>630.86</v>
      </c>
      <c r="O2823" s="7">
        <v>5.0999999999999996</v>
      </c>
      <c r="P2823" s="7">
        <v>28.5</v>
      </c>
      <c r="Q2823">
        <v>1</v>
      </c>
      <c r="R2823" t="s">
        <v>63</v>
      </c>
      <c r="S2823">
        <v>7</v>
      </c>
      <c r="T2823">
        <v>210</v>
      </c>
      <c r="U2823" s="11">
        <v>0.7818314824680298</v>
      </c>
      <c r="V2823" s="11">
        <v>0.62348980185873359</v>
      </c>
      <c r="W2823" s="11">
        <v>-0.43830672301251922</v>
      </c>
      <c r="X2823" s="11">
        <v>-0.898825465016444</v>
      </c>
      <c r="Y2823">
        <v>0</v>
      </c>
      <c r="Z2823">
        <v>0</v>
      </c>
      <c r="AB2823">
        <v>1</v>
      </c>
      <c r="AC2823">
        <v>0</v>
      </c>
      <c r="AD2823">
        <v>0</v>
      </c>
      <c r="AE2823">
        <v>0</v>
      </c>
    </row>
    <row r="2824" spans="1:31">
      <c r="A2824" s="6">
        <v>45867</v>
      </c>
      <c r="B2824" t="s">
        <v>41</v>
      </c>
      <c r="C2824" t="s">
        <v>42</v>
      </c>
      <c r="D2824" t="s">
        <v>43</v>
      </c>
      <c r="E2824" t="s">
        <v>44</v>
      </c>
      <c r="F2824">
        <v>85</v>
      </c>
      <c r="G2824">
        <v>210</v>
      </c>
      <c r="H2824">
        <v>158</v>
      </c>
      <c r="I2824">
        <v>67</v>
      </c>
      <c r="J2824" s="8">
        <v>0.78823529411764703</v>
      </c>
      <c r="K2824">
        <v>32</v>
      </c>
      <c r="L2824">
        <v>31</v>
      </c>
      <c r="M2824">
        <v>145</v>
      </c>
      <c r="N2824" s="10">
        <v>552.63</v>
      </c>
      <c r="O2824" s="7">
        <v>5.0999999999999996</v>
      </c>
      <c r="P2824" s="7">
        <v>28.5</v>
      </c>
      <c r="Q2824">
        <v>1</v>
      </c>
      <c r="R2824" t="s">
        <v>63</v>
      </c>
      <c r="S2824">
        <v>7</v>
      </c>
      <c r="T2824">
        <v>210</v>
      </c>
      <c r="U2824" s="11">
        <v>0.7818314824680298</v>
      </c>
      <c r="V2824" s="11">
        <v>0.62348980185873359</v>
      </c>
      <c r="W2824" s="11">
        <v>-0.43830672301251922</v>
      </c>
      <c r="X2824" s="11">
        <v>-0.898825465016444</v>
      </c>
      <c r="Y2824">
        <v>0</v>
      </c>
      <c r="Z2824">
        <v>0</v>
      </c>
      <c r="AB2824">
        <v>1</v>
      </c>
      <c r="AC2824">
        <v>0</v>
      </c>
      <c r="AD2824">
        <v>0</v>
      </c>
      <c r="AE2824">
        <v>0</v>
      </c>
    </row>
    <row r="2825" spans="1:31">
      <c r="A2825" s="6">
        <v>45868</v>
      </c>
      <c r="B2825" t="s">
        <v>31</v>
      </c>
      <c r="C2825" t="s">
        <v>32</v>
      </c>
      <c r="D2825" t="s">
        <v>33</v>
      </c>
      <c r="E2825" t="s">
        <v>34</v>
      </c>
      <c r="F2825">
        <v>140</v>
      </c>
      <c r="G2825">
        <v>360</v>
      </c>
      <c r="H2825">
        <v>210</v>
      </c>
      <c r="I2825">
        <v>91</v>
      </c>
      <c r="J2825" s="8">
        <v>0.65</v>
      </c>
      <c r="K2825">
        <v>31</v>
      </c>
      <c r="L2825">
        <v>46</v>
      </c>
      <c r="M2825">
        <v>171</v>
      </c>
      <c r="N2825" s="10">
        <v>473.68</v>
      </c>
      <c r="O2825" s="7">
        <v>0</v>
      </c>
      <c r="P2825" s="7">
        <v>27.1</v>
      </c>
      <c r="Q2825">
        <v>2</v>
      </c>
      <c r="R2825" t="s">
        <v>64</v>
      </c>
      <c r="S2825">
        <v>7</v>
      </c>
      <c r="T2825">
        <v>211</v>
      </c>
      <c r="U2825" s="11">
        <v>0.97492791218182362</v>
      </c>
      <c r="V2825" s="11">
        <v>-0.22252093395631434</v>
      </c>
      <c r="W2825" s="11">
        <v>-0.45370308603134424</v>
      </c>
      <c r="X2825" s="11">
        <v>-0.89115291040630884</v>
      </c>
      <c r="Y2825">
        <v>0</v>
      </c>
      <c r="Z2825">
        <v>0</v>
      </c>
      <c r="AB2825">
        <v>1</v>
      </c>
      <c r="AC2825">
        <v>0</v>
      </c>
      <c r="AD2825">
        <v>0</v>
      </c>
      <c r="AE2825">
        <v>0</v>
      </c>
    </row>
    <row r="2826" spans="1:31">
      <c r="A2826" s="6">
        <v>45868</v>
      </c>
      <c r="B2826" t="s">
        <v>36</v>
      </c>
      <c r="C2826" t="s">
        <v>37</v>
      </c>
      <c r="D2826" t="s">
        <v>38</v>
      </c>
      <c r="E2826" t="s">
        <v>39</v>
      </c>
      <c r="F2826">
        <v>125</v>
      </c>
      <c r="G2826">
        <v>320</v>
      </c>
      <c r="H2826">
        <v>240</v>
      </c>
      <c r="I2826">
        <v>100</v>
      </c>
      <c r="J2826" s="8">
        <v>0.8</v>
      </c>
      <c r="K2826">
        <v>64</v>
      </c>
      <c r="L2826">
        <v>64</v>
      </c>
      <c r="M2826">
        <v>211</v>
      </c>
      <c r="N2826" s="10">
        <v>678.96</v>
      </c>
      <c r="O2826" s="7">
        <v>0</v>
      </c>
      <c r="P2826" s="7">
        <v>27.1</v>
      </c>
      <c r="Q2826">
        <v>2</v>
      </c>
      <c r="R2826" t="s">
        <v>64</v>
      </c>
      <c r="S2826">
        <v>7</v>
      </c>
      <c r="T2826">
        <v>211</v>
      </c>
      <c r="U2826" s="11">
        <v>0.97492791218182362</v>
      </c>
      <c r="V2826" s="11">
        <v>-0.22252093395631434</v>
      </c>
      <c r="W2826" s="11">
        <v>-0.45370308603134424</v>
      </c>
      <c r="X2826" s="11">
        <v>-0.89115291040630884</v>
      </c>
      <c r="Y2826">
        <v>0</v>
      </c>
      <c r="Z2826">
        <v>0</v>
      </c>
      <c r="AB2826">
        <v>1</v>
      </c>
      <c r="AC2826">
        <v>0</v>
      </c>
      <c r="AD2826">
        <v>0</v>
      </c>
      <c r="AE2826">
        <v>0</v>
      </c>
    </row>
    <row r="2827" spans="1:31">
      <c r="A2827" s="6">
        <v>45868</v>
      </c>
      <c r="B2827" t="s">
        <v>41</v>
      </c>
      <c r="C2827" t="s">
        <v>42</v>
      </c>
      <c r="D2827" t="s">
        <v>43</v>
      </c>
      <c r="E2827" t="s">
        <v>44</v>
      </c>
      <c r="F2827">
        <v>85</v>
      </c>
      <c r="G2827">
        <v>210</v>
      </c>
      <c r="H2827">
        <v>159</v>
      </c>
      <c r="I2827">
        <v>70</v>
      </c>
      <c r="J2827" s="8">
        <v>0.82352941176470584</v>
      </c>
      <c r="K2827">
        <v>50</v>
      </c>
      <c r="L2827">
        <v>14</v>
      </c>
      <c r="M2827">
        <v>149</v>
      </c>
      <c r="N2827" s="10">
        <v>603.72</v>
      </c>
      <c r="O2827" s="7">
        <v>0</v>
      </c>
      <c r="P2827" s="7">
        <v>27.1</v>
      </c>
      <c r="Q2827">
        <v>2</v>
      </c>
      <c r="R2827" t="s">
        <v>64</v>
      </c>
      <c r="S2827">
        <v>7</v>
      </c>
      <c r="T2827">
        <v>211</v>
      </c>
      <c r="U2827" s="11">
        <v>0.97492791218182362</v>
      </c>
      <c r="V2827" s="11">
        <v>-0.22252093395631434</v>
      </c>
      <c r="W2827" s="11">
        <v>-0.45370308603134424</v>
      </c>
      <c r="X2827" s="11">
        <v>-0.89115291040630884</v>
      </c>
      <c r="Y2827">
        <v>0</v>
      </c>
      <c r="Z2827">
        <v>0</v>
      </c>
      <c r="AB2827">
        <v>1</v>
      </c>
      <c r="AC2827">
        <v>0</v>
      </c>
      <c r="AD2827">
        <v>0</v>
      </c>
      <c r="AE2827">
        <v>0</v>
      </c>
    </row>
    <row r="2828" spans="1:31">
      <c r="A2828" s="6">
        <v>45869</v>
      </c>
      <c r="B2828" t="s">
        <v>31</v>
      </c>
      <c r="C2828" t="s">
        <v>32</v>
      </c>
      <c r="D2828" t="s">
        <v>33</v>
      </c>
      <c r="E2828" t="s">
        <v>34</v>
      </c>
      <c r="F2828">
        <v>140</v>
      </c>
      <c r="G2828">
        <v>360</v>
      </c>
      <c r="H2828">
        <v>208</v>
      </c>
      <c r="I2828">
        <v>90</v>
      </c>
      <c r="J2828" s="8">
        <v>0.6428571428571429</v>
      </c>
      <c r="K2828">
        <v>45</v>
      </c>
      <c r="L2828">
        <v>22</v>
      </c>
      <c r="M2828">
        <v>174</v>
      </c>
      <c r="N2828" s="10">
        <v>497.92</v>
      </c>
      <c r="O2828" s="7">
        <v>7.3</v>
      </c>
      <c r="P2828" s="7">
        <v>28.4</v>
      </c>
      <c r="Q2828">
        <v>3</v>
      </c>
      <c r="R2828" t="s">
        <v>65</v>
      </c>
      <c r="S2828">
        <v>7</v>
      </c>
      <c r="T2828">
        <v>212</v>
      </c>
      <c r="U2828" s="11">
        <v>0.43388373911755823</v>
      </c>
      <c r="V2828" s="11">
        <v>-0.90096886790241903</v>
      </c>
      <c r="W2828" s="11">
        <v>-0.46896519100763184</v>
      </c>
      <c r="X2828" s="11">
        <v>-0.88321664931271271</v>
      </c>
      <c r="Y2828">
        <v>0</v>
      </c>
      <c r="Z2828">
        <v>0</v>
      </c>
      <c r="AB2828">
        <v>1</v>
      </c>
      <c r="AC2828">
        <v>0</v>
      </c>
      <c r="AD2828">
        <v>0</v>
      </c>
      <c r="AE2828">
        <v>0</v>
      </c>
    </row>
    <row r="2829" spans="1:31">
      <c r="A2829" s="6">
        <v>45869</v>
      </c>
      <c r="B2829" t="s">
        <v>36</v>
      </c>
      <c r="C2829" t="s">
        <v>37</v>
      </c>
      <c r="D2829" t="s">
        <v>38</v>
      </c>
      <c r="E2829" t="s">
        <v>39</v>
      </c>
      <c r="F2829">
        <v>125</v>
      </c>
      <c r="G2829">
        <v>320</v>
      </c>
      <c r="H2829">
        <v>223</v>
      </c>
      <c r="I2829">
        <v>96</v>
      </c>
      <c r="J2829" s="8">
        <v>0.76800000000000002</v>
      </c>
      <c r="K2829">
        <v>52</v>
      </c>
      <c r="L2829">
        <v>33</v>
      </c>
      <c r="M2829">
        <v>184</v>
      </c>
      <c r="N2829" s="10">
        <v>611.62</v>
      </c>
      <c r="O2829" s="7">
        <v>7.3</v>
      </c>
      <c r="P2829" s="7">
        <v>28.4</v>
      </c>
      <c r="Q2829">
        <v>3</v>
      </c>
      <c r="R2829" t="s">
        <v>65</v>
      </c>
      <c r="S2829">
        <v>7</v>
      </c>
      <c r="T2829">
        <v>212</v>
      </c>
      <c r="U2829" s="11">
        <v>0.43388373911755823</v>
      </c>
      <c r="V2829" s="11">
        <v>-0.90096886790241903</v>
      </c>
      <c r="W2829" s="11">
        <v>-0.46896519100763184</v>
      </c>
      <c r="X2829" s="11">
        <v>-0.88321664931271271</v>
      </c>
      <c r="Y2829">
        <v>0</v>
      </c>
      <c r="Z2829">
        <v>0</v>
      </c>
      <c r="AB2829">
        <v>1</v>
      </c>
      <c r="AC2829">
        <v>0</v>
      </c>
      <c r="AD2829">
        <v>0</v>
      </c>
      <c r="AE2829">
        <v>0</v>
      </c>
    </row>
    <row r="2830" spans="1:31">
      <c r="A2830" s="6">
        <v>45869</v>
      </c>
      <c r="B2830" t="s">
        <v>41</v>
      </c>
      <c r="C2830" t="s">
        <v>42</v>
      </c>
      <c r="D2830" t="s">
        <v>43</v>
      </c>
      <c r="E2830" t="s">
        <v>44</v>
      </c>
      <c r="F2830">
        <v>85</v>
      </c>
      <c r="G2830">
        <v>210</v>
      </c>
      <c r="H2830">
        <v>173</v>
      </c>
      <c r="I2830">
        <v>75</v>
      </c>
      <c r="J2830" s="8">
        <v>0.88235294117647056</v>
      </c>
      <c r="K2830">
        <v>48</v>
      </c>
      <c r="L2830">
        <v>51</v>
      </c>
      <c r="M2830">
        <v>150</v>
      </c>
      <c r="N2830" s="10">
        <v>532.91</v>
      </c>
      <c r="O2830" s="7">
        <v>7.3</v>
      </c>
      <c r="P2830" s="7">
        <v>28.4</v>
      </c>
      <c r="Q2830">
        <v>3</v>
      </c>
      <c r="R2830" t="s">
        <v>65</v>
      </c>
      <c r="S2830">
        <v>7</v>
      </c>
      <c r="T2830">
        <v>212</v>
      </c>
      <c r="U2830" s="11">
        <v>0.43388373911755823</v>
      </c>
      <c r="V2830" s="11">
        <v>-0.90096886790241903</v>
      </c>
      <c r="W2830" s="11">
        <v>-0.46896519100763184</v>
      </c>
      <c r="X2830" s="11">
        <v>-0.88321664931271271</v>
      </c>
      <c r="Y2830">
        <v>0</v>
      </c>
      <c r="Z2830">
        <v>0</v>
      </c>
      <c r="AB2830">
        <v>1</v>
      </c>
      <c r="AC2830">
        <v>0</v>
      </c>
      <c r="AD2830">
        <v>0</v>
      </c>
      <c r="AE2830">
        <v>0</v>
      </c>
    </row>
    <row r="2831" spans="1:31">
      <c r="A2831" s="6">
        <v>45870</v>
      </c>
      <c r="B2831" t="s">
        <v>31</v>
      </c>
      <c r="C2831" t="s">
        <v>32</v>
      </c>
      <c r="D2831" t="s">
        <v>33</v>
      </c>
      <c r="E2831" t="s">
        <v>34</v>
      </c>
      <c r="F2831">
        <v>140</v>
      </c>
      <c r="G2831">
        <v>360</v>
      </c>
      <c r="H2831">
        <v>216</v>
      </c>
      <c r="I2831">
        <v>93</v>
      </c>
      <c r="J2831" s="8">
        <v>0.66428571428571426</v>
      </c>
      <c r="K2831">
        <v>31</v>
      </c>
      <c r="L2831">
        <v>30</v>
      </c>
      <c r="M2831">
        <v>184</v>
      </c>
      <c r="N2831" s="10">
        <v>415.37</v>
      </c>
      <c r="O2831" s="7">
        <v>3.6</v>
      </c>
      <c r="P2831" s="7">
        <v>28.5</v>
      </c>
      <c r="Q2831">
        <v>4</v>
      </c>
      <c r="R2831" t="s">
        <v>66</v>
      </c>
      <c r="S2831">
        <v>8</v>
      </c>
      <c r="T2831">
        <v>213</v>
      </c>
      <c r="U2831" s="11">
        <v>-0.43388373911755801</v>
      </c>
      <c r="V2831" s="11">
        <v>-0.90096886790241915</v>
      </c>
      <c r="W2831" s="11">
        <v>-0.48408852163897587</v>
      </c>
      <c r="X2831" s="11">
        <v>-0.87501903020299554</v>
      </c>
      <c r="Y2831">
        <v>0</v>
      </c>
      <c r="Z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6">
        <v>45870</v>
      </c>
      <c r="B2832" t="s">
        <v>36</v>
      </c>
      <c r="C2832" t="s">
        <v>37</v>
      </c>
      <c r="D2832" t="s">
        <v>38</v>
      </c>
      <c r="E2832" t="s">
        <v>39</v>
      </c>
      <c r="F2832">
        <v>125</v>
      </c>
      <c r="G2832">
        <v>320</v>
      </c>
      <c r="H2832">
        <v>194</v>
      </c>
      <c r="I2832">
        <v>81</v>
      </c>
      <c r="J2832" s="8">
        <v>0.64800000000000002</v>
      </c>
      <c r="K2832">
        <v>33</v>
      </c>
      <c r="L2832">
        <v>47</v>
      </c>
      <c r="M2832">
        <v>161</v>
      </c>
      <c r="N2832" s="10">
        <v>629.01</v>
      </c>
      <c r="O2832" s="7">
        <v>3.6</v>
      </c>
      <c r="P2832" s="7">
        <v>28.5</v>
      </c>
      <c r="Q2832">
        <v>4</v>
      </c>
      <c r="R2832" t="s">
        <v>66</v>
      </c>
      <c r="S2832">
        <v>8</v>
      </c>
      <c r="T2832">
        <v>213</v>
      </c>
      <c r="U2832" s="11">
        <v>-0.43388373911755801</v>
      </c>
      <c r="V2832" s="11">
        <v>-0.90096886790241915</v>
      </c>
      <c r="W2832" s="11">
        <v>-0.48408852163897587</v>
      </c>
      <c r="X2832" s="11">
        <v>-0.87501903020299554</v>
      </c>
      <c r="Y2832">
        <v>0</v>
      </c>
      <c r="Z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6">
        <v>45870</v>
      </c>
      <c r="B2833" t="s">
        <v>41</v>
      </c>
      <c r="C2833" t="s">
        <v>42</v>
      </c>
      <c r="D2833" t="s">
        <v>43</v>
      </c>
      <c r="E2833" t="s">
        <v>44</v>
      </c>
      <c r="F2833">
        <v>85</v>
      </c>
      <c r="G2833">
        <v>210</v>
      </c>
      <c r="H2833">
        <v>142</v>
      </c>
      <c r="I2833">
        <v>61</v>
      </c>
      <c r="J2833" s="8">
        <v>0.71764705882352942</v>
      </c>
      <c r="K2833">
        <v>26</v>
      </c>
      <c r="L2833">
        <v>17</v>
      </c>
      <c r="M2833">
        <v>131</v>
      </c>
      <c r="N2833" s="10">
        <v>531.41999999999996</v>
      </c>
      <c r="O2833" s="7">
        <v>3.6</v>
      </c>
      <c r="P2833" s="7">
        <v>28.5</v>
      </c>
      <c r="Q2833">
        <v>4</v>
      </c>
      <c r="R2833" t="s">
        <v>66</v>
      </c>
      <c r="S2833">
        <v>8</v>
      </c>
      <c r="T2833">
        <v>213</v>
      </c>
      <c r="U2833" s="11">
        <v>-0.43388373911755801</v>
      </c>
      <c r="V2833" s="11">
        <v>-0.90096886790241915</v>
      </c>
      <c r="W2833" s="11">
        <v>-0.48408852163897587</v>
      </c>
      <c r="X2833" s="11">
        <v>-0.87501903020299554</v>
      </c>
      <c r="Y2833">
        <v>0</v>
      </c>
      <c r="Z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6">
        <v>45871</v>
      </c>
      <c r="B2834" t="s">
        <v>31</v>
      </c>
      <c r="C2834" t="s">
        <v>32</v>
      </c>
      <c r="D2834" t="s">
        <v>33</v>
      </c>
      <c r="E2834" t="s">
        <v>34</v>
      </c>
      <c r="F2834">
        <v>140</v>
      </c>
      <c r="G2834">
        <v>360</v>
      </c>
      <c r="H2834">
        <v>214</v>
      </c>
      <c r="I2834">
        <v>96</v>
      </c>
      <c r="J2834" s="8">
        <v>0.68571428571428572</v>
      </c>
      <c r="K2834">
        <v>29</v>
      </c>
      <c r="L2834">
        <v>37</v>
      </c>
      <c r="M2834">
        <v>180</v>
      </c>
      <c r="N2834" s="10">
        <v>451.14</v>
      </c>
      <c r="O2834" s="7">
        <v>0.2</v>
      </c>
      <c r="P2834" s="7">
        <v>29.6</v>
      </c>
      <c r="Q2834">
        <v>5</v>
      </c>
      <c r="R2834" t="s">
        <v>67</v>
      </c>
      <c r="S2834">
        <v>8</v>
      </c>
      <c r="T2834">
        <v>214</v>
      </c>
      <c r="U2834" s="11">
        <v>-0.97492791218182362</v>
      </c>
      <c r="V2834" s="11">
        <v>-0.22252093395631459</v>
      </c>
      <c r="W2834" s="11">
        <v>-0.49906860268853193</v>
      </c>
      <c r="X2834" s="11">
        <v>-0.86656247888453852</v>
      </c>
      <c r="Y2834">
        <v>1</v>
      </c>
      <c r="Z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6">
        <v>45871</v>
      </c>
      <c r="B2835" t="s">
        <v>36</v>
      </c>
      <c r="C2835" t="s">
        <v>37</v>
      </c>
      <c r="D2835" t="s">
        <v>38</v>
      </c>
      <c r="E2835" t="s">
        <v>39</v>
      </c>
      <c r="F2835">
        <v>125</v>
      </c>
      <c r="G2835">
        <v>320</v>
      </c>
      <c r="H2835">
        <v>223</v>
      </c>
      <c r="I2835">
        <v>91</v>
      </c>
      <c r="J2835" s="8">
        <v>0.72799999999999998</v>
      </c>
      <c r="K2835">
        <v>50</v>
      </c>
      <c r="L2835">
        <v>51</v>
      </c>
      <c r="M2835">
        <v>203</v>
      </c>
      <c r="N2835" s="10">
        <v>697.66</v>
      </c>
      <c r="O2835" s="7">
        <v>0.2</v>
      </c>
      <c r="P2835" s="7">
        <v>29.6</v>
      </c>
      <c r="Q2835">
        <v>5</v>
      </c>
      <c r="R2835" t="s">
        <v>67</v>
      </c>
      <c r="S2835">
        <v>8</v>
      </c>
      <c r="T2835">
        <v>214</v>
      </c>
      <c r="U2835" s="11">
        <v>-0.97492791218182362</v>
      </c>
      <c r="V2835" s="11">
        <v>-0.22252093395631459</v>
      </c>
      <c r="W2835" s="11">
        <v>-0.49906860268853193</v>
      </c>
      <c r="X2835" s="11">
        <v>-0.86656247888453852</v>
      </c>
      <c r="Y2835">
        <v>1</v>
      </c>
      <c r="Z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6">
        <v>45871</v>
      </c>
      <c r="B2836" t="s">
        <v>41</v>
      </c>
      <c r="C2836" t="s">
        <v>42</v>
      </c>
      <c r="D2836" t="s">
        <v>43</v>
      </c>
      <c r="E2836" t="s">
        <v>44</v>
      </c>
      <c r="F2836">
        <v>85</v>
      </c>
      <c r="G2836">
        <v>210</v>
      </c>
      <c r="H2836">
        <v>157</v>
      </c>
      <c r="I2836">
        <v>70</v>
      </c>
      <c r="J2836" s="8">
        <v>0.82352941176470584</v>
      </c>
      <c r="K2836">
        <v>40</v>
      </c>
      <c r="L2836">
        <v>38</v>
      </c>
      <c r="M2836">
        <v>136</v>
      </c>
      <c r="N2836" s="10">
        <v>644.30999999999995</v>
      </c>
      <c r="O2836" s="7">
        <v>0.2</v>
      </c>
      <c r="P2836" s="7">
        <v>29.6</v>
      </c>
      <c r="Q2836">
        <v>5</v>
      </c>
      <c r="R2836" t="s">
        <v>67</v>
      </c>
      <c r="S2836">
        <v>8</v>
      </c>
      <c r="T2836">
        <v>214</v>
      </c>
      <c r="U2836" s="11">
        <v>-0.97492791218182362</v>
      </c>
      <c r="V2836" s="11">
        <v>-0.22252093395631459</v>
      </c>
      <c r="W2836" s="11">
        <v>-0.49906860268853193</v>
      </c>
      <c r="X2836" s="11">
        <v>-0.86656247888453852</v>
      </c>
      <c r="Y2836">
        <v>1</v>
      </c>
      <c r="Z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6">
        <v>45872</v>
      </c>
      <c r="B2837" t="s">
        <v>31</v>
      </c>
      <c r="C2837" t="s">
        <v>32</v>
      </c>
      <c r="D2837" t="s">
        <v>33</v>
      </c>
      <c r="E2837" t="s">
        <v>34</v>
      </c>
      <c r="F2837">
        <v>140</v>
      </c>
      <c r="G2837">
        <v>360</v>
      </c>
      <c r="H2837">
        <v>232</v>
      </c>
      <c r="I2837">
        <v>99</v>
      </c>
      <c r="J2837" s="8">
        <v>0.70714285714285718</v>
      </c>
      <c r="K2837">
        <v>61</v>
      </c>
      <c r="L2837">
        <v>61</v>
      </c>
      <c r="M2837">
        <v>211</v>
      </c>
      <c r="N2837" s="10">
        <v>489.27</v>
      </c>
      <c r="O2837" s="7">
        <v>3.5</v>
      </c>
      <c r="P2837" s="7">
        <v>28</v>
      </c>
      <c r="Q2837">
        <v>6</v>
      </c>
      <c r="R2837" t="s">
        <v>60</v>
      </c>
      <c r="S2837">
        <v>8</v>
      </c>
      <c r="T2837">
        <v>215</v>
      </c>
      <c r="U2837" s="11">
        <v>-0.78183148246802991</v>
      </c>
      <c r="V2837" s="11">
        <v>0.62348980185873337</v>
      </c>
      <c r="W2837" s="11">
        <v>-0.51390100130931027</v>
      </c>
      <c r="X2837" s="11">
        <v>-0.85784949778693009</v>
      </c>
      <c r="Y2837">
        <v>1</v>
      </c>
      <c r="Z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6">
        <v>45872</v>
      </c>
      <c r="B2838" t="s">
        <v>36</v>
      </c>
      <c r="C2838" t="s">
        <v>37</v>
      </c>
      <c r="D2838" t="s">
        <v>38</v>
      </c>
      <c r="E2838" t="s">
        <v>39</v>
      </c>
      <c r="F2838">
        <v>125</v>
      </c>
      <c r="G2838">
        <v>320</v>
      </c>
      <c r="H2838">
        <v>210</v>
      </c>
      <c r="I2838">
        <v>89</v>
      </c>
      <c r="J2838" s="8">
        <v>0.71199999999999997</v>
      </c>
      <c r="K2838">
        <v>58</v>
      </c>
      <c r="L2838">
        <v>52</v>
      </c>
      <c r="M2838">
        <v>182</v>
      </c>
      <c r="N2838" s="10">
        <v>694.13</v>
      </c>
      <c r="O2838" s="7">
        <v>3.5</v>
      </c>
      <c r="P2838" s="7">
        <v>28</v>
      </c>
      <c r="Q2838">
        <v>6</v>
      </c>
      <c r="R2838" t="s">
        <v>60</v>
      </c>
      <c r="S2838">
        <v>8</v>
      </c>
      <c r="T2838">
        <v>215</v>
      </c>
      <c r="U2838" s="11">
        <v>-0.78183148246802991</v>
      </c>
      <c r="V2838" s="11">
        <v>0.62348980185873337</v>
      </c>
      <c r="W2838" s="11">
        <v>-0.51390100130931027</v>
      </c>
      <c r="X2838" s="11">
        <v>-0.85784949778693009</v>
      </c>
      <c r="Y2838">
        <v>1</v>
      </c>
      <c r="Z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6">
        <v>45872</v>
      </c>
      <c r="B2839" t="s">
        <v>41</v>
      </c>
      <c r="C2839" t="s">
        <v>42</v>
      </c>
      <c r="D2839" t="s">
        <v>43</v>
      </c>
      <c r="E2839" t="s">
        <v>44</v>
      </c>
      <c r="F2839">
        <v>85</v>
      </c>
      <c r="G2839">
        <v>210</v>
      </c>
      <c r="H2839">
        <v>168</v>
      </c>
      <c r="I2839">
        <v>71</v>
      </c>
      <c r="J2839" s="8">
        <v>0.83529411764705885</v>
      </c>
      <c r="K2839">
        <v>36</v>
      </c>
      <c r="L2839">
        <v>30</v>
      </c>
      <c r="M2839">
        <v>157</v>
      </c>
      <c r="N2839" s="10">
        <v>544.03</v>
      </c>
      <c r="O2839" s="7">
        <v>3.5</v>
      </c>
      <c r="P2839" s="7">
        <v>28</v>
      </c>
      <c r="Q2839">
        <v>6</v>
      </c>
      <c r="R2839" t="s">
        <v>60</v>
      </c>
      <c r="S2839">
        <v>8</v>
      </c>
      <c r="T2839">
        <v>215</v>
      </c>
      <c r="U2839" s="11">
        <v>-0.78183148246802991</v>
      </c>
      <c r="V2839" s="11">
        <v>0.62348980185873337</v>
      </c>
      <c r="W2839" s="11">
        <v>-0.51390100130931027</v>
      </c>
      <c r="X2839" s="11">
        <v>-0.85784949778693009</v>
      </c>
      <c r="Y2839">
        <v>1</v>
      </c>
      <c r="Z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6">
        <v>45873</v>
      </c>
      <c r="B2840" t="s">
        <v>31</v>
      </c>
      <c r="C2840" t="s">
        <v>32</v>
      </c>
      <c r="D2840" t="s">
        <v>33</v>
      </c>
      <c r="E2840" t="s">
        <v>34</v>
      </c>
      <c r="F2840">
        <v>140</v>
      </c>
      <c r="G2840">
        <v>360</v>
      </c>
      <c r="H2840">
        <v>203</v>
      </c>
      <c r="I2840">
        <v>85</v>
      </c>
      <c r="J2840" s="8">
        <v>0.6071428571428571</v>
      </c>
      <c r="K2840">
        <v>23</v>
      </c>
      <c r="L2840">
        <v>30</v>
      </c>
      <c r="M2840">
        <v>172</v>
      </c>
      <c r="N2840" s="10">
        <v>390.33</v>
      </c>
      <c r="O2840" s="7">
        <v>0</v>
      </c>
      <c r="P2840" s="7">
        <v>29</v>
      </c>
      <c r="Q2840">
        <v>0</v>
      </c>
      <c r="R2840" t="s">
        <v>62</v>
      </c>
      <c r="S2840">
        <v>8</v>
      </c>
      <c r="T2840">
        <v>216</v>
      </c>
      <c r="U2840" s="11">
        <v>0</v>
      </c>
      <c r="V2840" s="11">
        <v>1</v>
      </c>
      <c r="W2840" s="11">
        <v>-0.52858132835592919</v>
      </c>
      <c r="X2840" s="11">
        <v>-0.84888266522145528</v>
      </c>
      <c r="Y2840">
        <v>0</v>
      </c>
      <c r="Z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6">
        <v>45873</v>
      </c>
      <c r="B2841" t="s">
        <v>36</v>
      </c>
      <c r="C2841" t="s">
        <v>37</v>
      </c>
      <c r="D2841" t="s">
        <v>38</v>
      </c>
      <c r="E2841" t="s">
        <v>39</v>
      </c>
      <c r="F2841">
        <v>125</v>
      </c>
      <c r="G2841">
        <v>320</v>
      </c>
      <c r="H2841">
        <v>170</v>
      </c>
      <c r="I2841">
        <v>72</v>
      </c>
      <c r="J2841" s="8">
        <v>0.57599999999999996</v>
      </c>
      <c r="K2841">
        <v>47</v>
      </c>
      <c r="L2841">
        <v>30</v>
      </c>
      <c r="M2841">
        <v>147</v>
      </c>
      <c r="N2841" s="10">
        <v>596.41</v>
      </c>
      <c r="O2841" s="7">
        <v>0</v>
      </c>
      <c r="P2841" s="7">
        <v>29</v>
      </c>
      <c r="Q2841">
        <v>0</v>
      </c>
      <c r="R2841" t="s">
        <v>62</v>
      </c>
      <c r="S2841">
        <v>8</v>
      </c>
      <c r="T2841">
        <v>216</v>
      </c>
      <c r="U2841" s="11">
        <v>0</v>
      </c>
      <c r="V2841" s="11">
        <v>1</v>
      </c>
      <c r="W2841" s="11">
        <v>-0.52858132835592919</v>
      </c>
      <c r="X2841" s="11">
        <v>-0.84888266522145528</v>
      </c>
      <c r="Y2841">
        <v>0</v>
      </c>
      <c r="Z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6">
        <v>45873</v>
      </c>
      <c r="B2842" t="s">
        <v>41</v>
      </c>
      <c r="C2842" t="s">
        <v>42</v>
      </c>
      <c r="D2842" t="s">
        <v>43</v>
      </c>
      <c r="E2842" t="s">
        <v>44</v>
      </c>
      <c r="F2842">
        <v>85</v>
      </c>
      <c r="G2842">
        <v>210</v>
      </c>
      <c r="H2842">
        <v>132</v>
      </c>
      <c r="I2842">
        <v>60</v>
      </c>
      <c r="J2842" s="8">
        <v>0.70588235294117652</v>
      </c>
      <c r="K2842">
        <v>32</v>
      </c>
      <c r="L2842">
        <v>26</v>
      </c>
      <c r="M2842">
        <v>116</v>
      </c>
      <c r="N2842" s="10">
        <v>500.73</v>
      </c>
      <c r="O2842" s="7">
        <v>0</v>
      </c>
      <c r="P2842" s="7">
        <v>29</v>
      </c>
      <c r="Q2842">
        <v>0</v>
      </c>
      <c r="R2842" t="s">
        <v>62</v>
      </c>
      <c r="S2842">
        <v>8</v>
      </c>
      <c r="T2842">
        <v>216</v>
      </c>
      <c r="U2842" s="11">
        <v>0</v>
      </c>
      <c r="V2842" s="11">
        <v>1</v>
      </c>
      <c r="W2842" s="11">
        <v>-0.52858132835592919</v>
      </c>
      <c r="X2842" s="11">
        <v>-0.84888266522145528</v>
      </c>
      <c r="Y2842">
        <v>0</v>
      </c>
      <c r="Z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6">
        <v>45874</v>
      </c>
      <c r="B2843" t="s">
        <v>31</v>
      </c>
      <c r="C2843" t="s">
        <v>32</v>
      </c>
      <c r="D2843" t="s">
        <v>33</v>
      </c>
      <c r="E2843" t="s">
        <v>34</v>
      </c>
      <c r="F2843">
        <v>140</v>
      </c>
      <c r="G2843">
        <v>360</v>
      </c>
      <c r="H2843">
        <v>231</v>
      </c>
      <c r="I2843">
        <v>98</v>
      </c>
      <c r="J2843" s="8">
        <v>0.7</v>
      </c>
      <c r="K2843">
        <v>47</v>
      </c>
      <c r="L2843">
        <v>55</v>
      </c>
      <c r="M2843">
        <v>216</v>
      </c>
      <c r="N2843" s="10">
        <v>409.5</v>
      </c>
      <c r="O2843" s="7">
        <v>0.7</v>
      </c>
      <c r="P2843" s="7">
        <v>27.4</v>
      </c>
      <c r="Q2843">
        <v>1</v>
      </c>
      <c r="R2843" t="s">
        <v>63</v>
      </c>
      <c r="S2843">
        <v>8</v>
      </c>
      <c r="T2843">
        <v>217</v>
      </c>
      <c r="U2843" s="11">
        <v>0.7818314824680298</v>
      </c>
      <c r="V2843" s="11">
        <v>0.62348980185873359</v>
      </c>
      <c r="W2843" s="11">
        <v>-0.54310523968343172</v>
      </c>
      <c r="X2843" s="11">
        <v>-0.83966463461813268</v>
      </c>
      <c r="Y2843">
        <v>0</v>
      </c>
      <c r="Z2843">
        <v>0</v>
      </c>
      <c r="AB2843">
        <v>0</v>
      </c>
      <c r="AC2843">
        <v>0</v>
      </c>
      <c r="AD2843">
        <v>0</v>
      </c>
      <c r="AE2843">
        <v>1</v>
      </c>
    </row>
    <row r="2844" spans="1:31">
      <c r="A2844" s="6">
        <v>45874</v>
      </c>
      <c r="B2844" t="s">
        <v>36</v>
      </c>
      <c r="C2844" t="s">
        <v>37</v>
      </c>
      <c r="D2844" t="s">
        <v>38</v>
      </c>
      <c r="E2844" t="s">
        <v>39</v>
      </c>
      <c r="F2844">
        <v>125</v>
      </c>
      <c r="G2844">
        <v>320</v>
      </c>
      <c r="H2844">
        <v>231</v>
      </c>
      <c r="I2844">
        <v>89</v>
      </c>
      <c r="J2844" s="8">
        <v>0.71199999999999997</v>
      </c>
      <c r="K2844">
        <v>63</v>
      </c>
      <c r="L2844">
        <v>38</v>
      </c>
      <c r="M2844">
        <v>186</v>
      </c>
      <c r="N2844" s="10">
        <v>634.13</v>
      </c>
      <c r="O2844" s="7">
        <v>0.7</v>
      </c>
      <c r="P2844" s="7">
        <v>27.4</v>
      </c>
      <c r="Q2844">
        <v>1</v>
      </c>
      <c r="R2844" t="s">
        <v>63</v>
      </c>
      <c r="S2844">
        <v>8</v>
      </c>
      <c r="T2844">
        <v>217</v>
      </c>
      <c r="U2844" s="11">
        <v>0.7818314824680298</v>
      </c>
      <c r="V2844" s="11">
        <v>0.62348980185873359</v>
      </c>
      <c r="W2844" s="11">
        <v>-0.54310523968343172</v>
      </c>
      <c r="X2844" s="11">
        <v>-0.83966463461813268</v>
      </c>
      <c r="Y2844">
        <v>0</v>
      </c>
      <c r="Z2844">
        <v>0</v>
      </c>
      <c r="AB2844">
        <v>0</v>
      </c>
      <c r="AC2844">
        <v>0</v>
      </c>
      <c r="AD2844">
        <v>0</v>
      </c>
      <c r="AE2844">
        <v>1</v>
      </c>
    </row>
    <row r="2845" spans="1:31">
      <c r="A2845" s="6">
        <v>45874</v>
      </c>
      <c r="B2845" t="s">
        <v>41</v>
      </c>
      <c r="C2845" t="s">
        <v>42</v>
      </c>
      <c r="D2845" t="s">
        <v>43</v>
      </c>
      <c r="E2845" t="s">
        <v>44</v>
      </c>
      <c r="F2845">
        <v>85</v>
      </c>
      <c r="G2845">
        <v>210</v>
      </c>
      <c r="H2845">
        <v>154</v>
      </c>
      <c r="I2845">
        <v>68</v>
      </c>
      <c r="J2845" s="8">
        <v>0.8</v>
      </c>
      <c r="K2845">
        <v>23</v>
      </c>
      <c r="L2845">
        <v>25</v>
      </c>
      <c r="M2845">
        <v>132</v>
      </c>
      <c r="N2845" s="10">
        <v>527.42999999999995</v>
      </c>
      <c r="O2845" s="7">
        <v>0.7</v>
      </c>
      <c r="P2845" s="7">
        <v>27.4</v>
      </c>
      <c r="Q2845">
        <v>1</v>
      </c>
      <c r="R2845" t="s">
        <v>63</v>
      </c>
      <c r="S2845">
        <v>8</v>
      </c>
      <c r="T2845">
        <v>217</v>
      </c>
      <c r="U2845" s="11">
        <v>0.7818314824680298</v>
      </c>
      <c r="V2845" s="11">
        <v>0.62348980185873359</v>
      </c>
      <c r="W2845" s="11">
        <v>-0.54310523968343172</v>
      </c>
      <c r="X2845" s="11">
        <v>-0.83966463461813268</v>
      </c>
      <c r="Y2845">
        <v>0</v>
      </c>
      <c r="Z2845">
        <v>0</v>
      </c>
      <c r="AB2845">
        <v>0</v>
      </c>
      <c r="AC2845">
        <v>0</v>
      </c>
      <c r="AD2845">
        <v>0</v>
      </c>
      <c r="AE2845">
        <v>1</v>
      </c>
    </row>
    <row r="2846" spans="1:31">
      <c r="A2846" s="6">
        <v>45875</v>
      </c>
      <c r="B2846" t="s">
        <v>31</v>
      </c>
      <c r="C2846" t="s">
        <v>32</v>
      </c>
      <c r="D2846" t="s">
        <v>33</v>
      </c>
      <c r="E2846" t="s">
        <v>34</v>
      </c>
      <c r="F2846">
        <v>140</v>
      </c>
      <c r="G2846">
        <v>360</v>
      </c>
      <c r="H2846">
        <v>217</v>
      </c>
      <c r="I2846">
        <v>95</v>
      </c>
      <c r="J2846" s="8">
        <v>0.6785714285714286</v>
      </c>
      <c r="K2846">
        <v>52</v>
      </c>
      <c r="L2846">
        <v>28</v>
      </c>
      <c r="M2846">
        <v>202</v>
      </c>
      <c r="N2846" s="10">
        <v>463.19</v>
      </c>
      <c r="O2846" s="7">
        <v>0</v>
      </c>
      <c r="P2846" s="7">
        <v>28.8</v>
      </c>
      <c r="Q2846">
        <v>2</v>
      </c>
      <c r="R2846" t="s">
        <v>64</v>
      </c>
      <c r="S2846">
        <v>8</v>
      </c>
      <c r="T2846">
        <v>218</v>
      </c>
      <c r="U2846" s="11">
        <v>0.97492791218182362</v>
      </c>
      <c r="V2846" s="11">
        <v>-0.22252093395631434</v>
      </c>
      <c r="W2846" s="11">
        <v>-0.55746843743278918</v>
      </c>
      <c r="X2846" s="11">
        <v>-0.8301981337405212</v>
      </c>
      <c r="Y2846">
        <v>0</v>
      </c>
      <c r="Z2846">
        <v>0</v>
      </c>
      <c r="AB2846">
        <v>0</v>
      </c>
      <c r="AC2846">
        <v>0</v>
      </c>
      <c r="AD2846">
        <v>0</v>
      </c>
      <c r="AE2846">
        <v>1</v>
      </c>
    </row>
    <row r="2847" spans="1:31">
      <c r="A2847" s="6">
        <v>45875</v>
      </c>
      <c r="B2847" t="s">
        <v>36</v>
      </c>
      <c r="C2847" t="s">
        <v>37</v>
      </c>
      <c r="D2847" t="s">
        <v>38</v>
      </c>
      <c r="E2847" t="s">
        <v>39</v>
      </c>
      <c r="F2847">
        <v>125</v>
      </c>
      <c r="G2847">
        <v>320</v>
      </c>
      <c r="H2847">
        <v>189</v>
      </c>
      <c r="I2847">
        <v>81</v>
      </c>
      <c r="J2847" s="8">
        <v>0.64800000000000002</v>
      </c>
      <c r="K2847">
        <v>52</v>
      </c>
      <c r="L2847">
        <v>34</v>
      </c>
      <c r="M2847">
        <v>164</v>
      </c>
      <c r="N2847" s="10">
        <v>617.41</v>
      </c>
      <c r="O2847" s="7">
        <v>0</v>
      </c>
      <c r="P2847" s="7">
        <v>28.8</v>
      </c>
      <c r="Q2847">
        <v>2</v>
      </c>
      <c r="R2847" t="s">
        <v>64</v>
      </c>
      <c r="S2847">
        <v>8</v>
      </c>
      <c r="T2847">
        <v>218</v>
      </c>
      <c r="U2847" s="11">
        <v>0.97492791218182362</v>
      </c>
      <c r="V2847" s="11">
        <v>-0.22252093395631434</v>
      </c>
      <c r="W2847" s="11">
        <v>-0.55746843743278918</v>
      </c>
      <c r="X2847" s="11">
        <v>-0.8301981337405212</v>
      </c>
      <c r="Y2847">
        <v>0</v>
      </c>
      <c r="Z2847">
        <v>0</v>
      </c>
      <c r="AB2847">
        <v>0</v>
      </c>
      <c r="AC2847">
        <v>0</v>
      </c>
      <c r="AD2847">
        <v>0</v>
      </c>
      <c r="AE2847">
        <v>1</v>
      </c>
    </row>
    <row r="2848" spans="1:31">
      <c r="A2848" s="6">
        <v>45875</v>
      </c>
      <c r="B2848" t="s">
        <v>41</v>
      </c>
      <c r="C2848" t="s">
        <v>42</v>
      </c>
      <c r="D2848" t="s">
        <v>43</v>
      </c>
      <c r="E2848" t="s">
        <v>44</v>
      </c>
      <c r="F2848">
        <v>85</v>
      </c>
      <c r="G2848">
        <v>210</v>
      </c>
      <c r="H2848">
        <v>157</v>
      </c>
      <c r="I2848">
        <v>69</v>
      </c>
      <c r="J2848" s="8">
        <v>0.81176470588235294</v>
      </c>
      <c r="K2848">
        <v>28</v>
      </c>
      <c r="L2848">
        <v>36</v>
      </c>
      <c r="M2848">
        <v>141</v>
      </c>
      <c r="N2848" s="10">
        <v>545.64</v>
      </c>
      <c r="O2848" s="7">
        <v>0</v>
      </c>
      <c r="P2848" s="7">
        <v>28.8</v>
      </c>
      <c r="Q2848">
        <v>2</v>
      </c>
      <c r="R2848" t="s">
        <v>64</v>
      </c>
      <c r="S2848">
        <v>8</v>
      </c>
      <c r="T2848">
        <v>218</v>
      </c>
      <c r="U2848" s="11">
        <v>0.97492791218182362</v>
      </c>
      <c r="V2848" s="11">
        <v>-0.22252093395631434</v>
      </c>
      <c r="W2848" s="11">
        <v>-0.55746843743278918</v>
      </c>
      <c r="X2848" s="11">
        <v>-0.8301981337405212</v>
      </c>
      <c r="Y2848">
        <v>0</v>
      </c>
      <c r="Z2848">
        <v>0</v>
      </c>
      <c r="AB2848">
        <v>0</v>
      </c>
      <c r="AC2848">
        <v>0</v>
      </c>
      <c r="AD2848">
        <v>0</v>
      </c>
      <c r="AE2848">
        <v>1</v>
      </c>
    </row>
    <row r="2849" spans="1:31">
      <c r="A2849" s="6">
        <v>45876</v>
      </c>
      <c r="B2849" t="s">
        <v>31</v>
      </c>
      <c r="C2849" t="s">
        <v>32</v>
      </c>
      <c r="D2849" t="s">
        <v>33</v>
      </c>
      <c r="E2849" t="s">
        <v>34</v>
      </c>
      <c r="F2849">
        <v>140</v>
      </c>
      <c r="G2849">
        <v>360</v>
      </c>
      <c r="H2849">
        <v>209</v>
      </c>
      <c r="I2849">
        <v>88</v>
      </c>
      <c r="J2849" s="8">
        <v>0.62857142857142856</v>
      </c>
      <c r="K2849">
        <v>40</v>
      </c>
      <c r="L2849">
        <v>43</v>
      </c>
      <c r="M2849">
        <v>188</v>
      </c>
      <c r="N2849" s="10">
        <v>470.24</v>
      </c>
      <c r="O2849" s="7">
        <v>4.5</v>
      </c>
      <c r="P2849" s="7">
        <v>29</v>
      </c>
      <c r="Q2849">
        <v>3</v>
      </c>
      <c r="R2849" t="s">
        <v>65</v>
      </c>
      <c r="S2849">
        <v>8</v>
      </c>
      <c r="T2849">
        <v>219</v>
      </c>
      <c r="U2849" s="11">
        <v>0.43388373911755823</v>
      </c>
      <c r="V2849" s="11">
        <v>-0.90096886790241903</v>
      </c>
      <c r="W2849" s="11">
        <v>-0.57166667130270521</v>
      </c>
      <c r="X2849" s="11">
        <v>-0.82048596387853268</v>
      </c>
      <c r="Y2849">
        <v>0</v>
      </c>
      <c r="Z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6">
        <v>45876</v>
      </c>
      <c r="B2850" t="s">
        <v>36</v>
      </c>
      <c r="C2850" t="s">
        <v>37</v>
      </c>
      <c r="D2850" t="s">
        <v>38</v>
      </c>
      <c r="E2850" t="s">
        <v>39</v>
      </c>
      <c r="F2850">
        <v>125</v>
      </c>
      <c r="G2850">
        <v>320</v>
      </c>
      <c r="H2850">
        <v>195</v>
      </c>
      <c r="I2850">
        <v>81</v>
      </c>
      <c r="J2850" s="8">
        <v>0.64800000000000002</v>
      </c>
      <c r="K2850">
        <v>24</v>
      </c>
      <c r="L2850">
        <v>41</v>
      </c>
      <c r="M2850">
        <v>158</v>
      </c>
      <c r="N2850" s="10">
        <v>677.71</v>
      </c>
      <c r="O2850" s="7">
        <v>4.5</v>
      </c>
      <c r="P2850" s="7">
        <v>29</v>
      </c>
      <c r="Q2850">
        <v>3</v>
      </c>
      <c r="R2850" t="s">
        <v>65</v>
      </c>
      <c r="S2850">
        <v>8</v>
      </c>
      <c r="T2850">
        <v>219</v>
      </c>
      <c r="U2850" s="11">
        <v>0.43388373911755823</v>
      </c>
      <c r="V2850" s="11">
        <v>-0.90096886790241903</v>
      </c>
      <c r="W2850" s="11">
        <v>-0.57166667130270521</v>
      </c>
      <c r="X2850" s="11">
        <v>-0.82048596387853268</v>
      </c>
      <c r="Y2850">
        <v>0</v>
      </c>
      <c r="Z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6">
        <v>45876</v>
      </c>
      <c r="B2851" t="s">
        <v>41</v>
      </c>
      <c r="C2851" t="s">
        <v>42</v>
      </c>
      <c r="D2851" t="s">
        <v>43</v>
      </c>
      <c r="E2851" t="s">
        <v>44</v>
      </c>
      <c r="F2851">
        <v>85</v>
      </c>
      <c r="G2851">
        <v>210</v>
      </c>
      <c r="H2851">
        <v>133</v>
      </c>
      <c r="I2851">
        <v>60</v>
      </c>
      <c r="J2851" s="8">
        <v>0.70588235294117652</v>
      </c>
      <c r="K2851">
        <v>23</v>
      </c>
      <c r="L2851">
        <v>23</v>
      </c>
      <c r="M2851">
        <v>120</v>
      </c>
      <c r="N2851" s="10">
        <v>490.83</v>
      </c>
      <c r="O2851" s="7">
        <v>4.5</v>
      </c>
      <c r="P2851" s="7">
        <v>29</v>
      </c>
      <c r="Q2851">
        <v>3</v>
      </c>
      <c r="R2851" t="s">
        <v>65</v>
      </c>
      <c r="S2851">
        <v>8</v>
      </c>
      <c r="T2851">
        <v>219</v>
      </c>
      <c r="U2851" s="11">
        <v>0.43388373911755823</v>
      </c>
      <c r="V2851" s="11">
        <v>-0.90096886790241903</v>
      </c>
      <c r="W2851" s="11">
        <v>-0.57166667130270521</v>
      </c>
      <c r="X2851" s="11">
        <v>-0.82048596387853268</v>
      </c>
      <c r="Y2851">
        <v>0</v>
      </c>
      <c r="Z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6">
        <v>45877</v>
      </c>
      <c r="B2852" t="s">
        <v>31</v>
      </c>
      <c r="C2852" t="s">
        <v>32</v>
      </c>
      <c r="D2852" t="s">
        <v>33</v>
      </c>
      <c r="E2852" t="s">
        <v>34</v>
      </c>
      <c r="F2852">
        <v>140</v>
      </c>
      <c r="G2852">
        <v>360</v>
      </c>
      <c r="H2852">
        <v>187</v>
      </c>
      <c r="I2852">
        <v>80</v>
      </c>
      <c r="J2852" s="8">
        <v>0.5714285714285714</v>
      </c>
      <c r="K2852">
        <v>22</v>
      </c>
      <c r="L2852">
        <v>36</v>
      </c>
      <c r="M2852">
        <v>167</v>
      </c>
      <c r="N2852" s="10">
        <v>400.81</v>
      </c>
      <c r="O2852" s="7">
        <v>0.6</v>
      </c>
      <c r="P2852" s="7">
        <v>29.8</v>
      </c>
      <c r="Q2852">
        <v>4</v>
      </c>
      <c r="R2852" t="s">
        <v>66</v>
      </c>
      <c r="S2852">
        <v>8</v>
      </c>
      <c r="T2852">
        <v>220</v>
      </c>
      <c r="U2852" s="11">
        <v>-0.43388373911755801</v>
      </c>
      <c r="V2852" s="11">
        <v>-0.90096886790241915</v>
      </c>
      <c r="W2852" s="11">
        <v>-0.58569573980735079</v>
      </c>
      <c r="X2852" s="11">
        <v>-0.81053099901948233</v>
      </c>
      <c r="Y2852">
        <v>0</v>
      </c>
      <c r="Z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6">
        <v>45877</v>
      </c>
      <c r="B2853" t="s">
        <v>36</v>
      </c>
      <c r="C2853" t="s">
        <v>37</v>
      </c>
      <c r="D2853" t="s">
        <v>38</v>
      </c>
      <c r="E2853" t="s">
        <v>39</v>
      </c>
      <c r="F2853">
        <v>125</v>
      </c>
      <c r="G2853">
        <v>320</v>
      </c>
      <c r="H2853">
        <v>194</v>
      </c>
      <c r="I2853">
        <v>77</v>
      </c>
      <c r="J2853" s="8">
        <v>0.61599999999999999</v>
      </c>
      <c r="K2853">
        <v>36</v>
      </c>
      <c r="L2853">
        <v>33</v>
      </c>
      <c r="M2853">
        <v>177</v>
      </c>
      <c r="N2853" s="10">
        <v>659.48</v>
      </c>
      <c r="O2853" s="7">
        <v>0.6</v>
      </c>
      <c r="P2853" s="7">
        <v>29.8</v>
      </c>
      <c r="Q2853">
        <v>4</v>
      </c>
      <c r="R2853" t="s">
        <v>66</v>
      </c>
      <c r="S2853">
        <v>8</v>
      </c>
      <c r="T2853">
        <v>220</v>
      </c>
      <c r="U2853" s="11">
        <v>-0.43388373911755801</v>
      </c>
      <c r="V2853" s="11">
        <v>-0.90096886790241915</v>
      </c>
      <c r="W2853" s="11">
        <v>-0.58569573980735079</v>
      </c>
      <c r="X2853" s="11">
        <v>-0.81053099901948233</v>
      </c>
      <c r="Y2853">
        <v>0</v>
      </c>
      <c r="Z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6">
        <v>45877</v>
      </c>
      <c r="B2854" t="s">
        <v>41</v>
      </c>
      <c r="C2854" t="s">
        <v>42</v>
      </c>
      <c r="D2854" t="s">
        <v>43</v>
      </c>
      <c r="E2854" t="s">
        <v>44</v>
      </c>
      <c r="F2854">
        <v>85</v>
      </c>
      <c r="G2854">
        <v>210</v>
      </c>
      <c r="H2854">
        <v>133</v>
      </c>
      <c r="I2854">
        <v>58</v>
      </c>
      <c r="J2854" s="8">
        <v>0.68235294117647061</v>
      </c>
      <c r="K2854">
        <v>26</v>
      </c>
      <c r="L2854">
        <v>29</v>
      </c>
      <c r="M2854">
        <v>125</v>
      </c>
      <c r="N2854" s="10">
        <v>537.82000000000005</v>
      </c>
      <c r="O2854" s="7">
        <v>0.6</v>
      </c>
      <c r="P2854" s="7">
        <v>29.8</v>
      </c>
      <c r="Q2854">
        <v>4</v>
      </c>
      <c r="R2854" t="s">
        <v>66</v>
      </c>
      <c r="S2854">
        <v>8</v>
      </c>
      <c r="T2854">
        <v>220</v>
      </c>
      <c r="U2854" s="11">
        <v>-0.43388373911755801</v>
      </c>
      <c r="V2854" s="11">
        <v>-0.90096886790241915</v>
      </c>
      <c r="W2854" s="11">
        <v>-0.58569573980735079</v>
      </c>
      <c r="X2854" s="11">
        <v>-0.81053099901948233</v>
      </c>
      <c r="Y2854">
        <v>0</v>
      </c>
      <c r="Z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6">
        <v>45878</v>
      </c>
      <c r="B2855" t="s">
        <v>31</v>
      </c>
      <c r="C2855" t="s">
        <v>32</v>
      </c>
      <c r="D2855" t="s">
        <v>33</v>
      </c>
      <c r="E2855" t="s">
        <v>34</v>
      </c>
      <c r="F2855">
        <v>140</v>
      </c>
      <c r="G2855">
        <v>360</v>
      </c>
      <c r="H2855">
        <v>244</v>
      </c>
      <c r="I2855">
        <v>104</v>
      </c>
      <c r="J2855" s="8">
        <v>0.74285714285714288</v>
      </c>
      <c r="K2855">
        <v>36</v>
      </c>
      <c r="L2855">
        <v>32</v>
      </c>
      <c r="M2855">
        <v>217</v>
      </c>
      <c r="N2855" s="10">
        <v>477.4</v>
      </c>
      <c r="O2855" s="7">
        <v>0</v>
      </c>
      <c r="P2855" s="7">
        <v>28.5</v>
      </c>
      <c r="Q2855">
        <v>5</v>
      </c>
      <c r="R2855" t="s">
        <v>67</v>
      </c>
      <c r="S2855">
        <v>8</v>
      </c>
      <c r="T2855">
        <v>221</v>
      </c>
      <c r="U2855" s="11">
        <v>-0.97492791218182362</v>
      </c>
      <c r="V2855" s="11">
        <v>-0.22252093395631459</v>
      </c>
      <c r="W2855" s="11">
        <v>-0.59955149151964893</v>
      </c>
      <c r="X2855" s="11">
        <v>-0.80033618499763226</v>
      </c>
      <c r="Y2855">
        <v>1</v>
      </c>
      <c r="Z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6">
        <v>45878</v>
      </c>
      <c r="B2856" t="s">
        <v>36</v>
      </c>
      <c r="C2856" t="s">
        <v>37</v>
      </c>
      <c r="D2856" t="s">
        <v>38</v>
      </c>
      <c r="E2856" t="s">
        <v>39</v>
      </c>
      <c r="F2856">
        <v>125</v>
      </c>
      <c r="G2856">
        <v>320</v>
      </c>
      <c r="H2856">
        <v>226</v>
      </c>
      <c r="I2856">
        <v>94</v>
      </c>
      <c r="J2856" s="8">
        <v>0.752</v>
      </c>
      <c r="K2856">
        <v>34</v>
      </c>
      <c r="L2856">
        <v>50</v>
      </c>
      <c r="M2856">
        <v>198</v>
      </c>
      <c r="N2856" s="10">
        <v>689.46</v>
      </c>
      <c r="O2856" s="7">
        <v>0</v>
      </c>
      <c r="P2856" s="7">
        <v>28.5</v>
      </c>
      <c r="Q2856">
        <v>5</v>
      </c>
      <c r="R2856" t="s">
        <v>67</v>
      </c>
      <c r="S2856">
        <v>8</v>
      </c>
      <c r="T2856">
        <v>221</v>
      </c>
      <c r="U2856" s="11">
        <v>-0.97492791218182362</v>
      </c>
      <c r="V2856" s="11">
        <v>-0.22252093395631459</v>
      </c>
      <c r="W2856" s="11">
        <v>-0.59955149151964893</v>
      </c>
      <c r="X2856" s="11">
        <v>-0.80033618499763226</v>
      </c>
      <c r="Y2856">
        <v>1</v>
      </c>
      <c r="Z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6">
        <v>45878</v>
      </c>
      <c r="B2857" t="s">
        <v>41</v>
      </c>
      <c r="C2857" t="s">
        <v>42</v>
      </c>
      <c r="D2857" t="s">
        <v>43</v>
      </c>
      <c r="E2857" t="s">
        <v>44</v>
      </c>
      <c r="F2857">
        <v>85</v>
      </c>
      <c r="G2857">
        <v>210</v>
      </c>
      <c r="H2857">
        <v>159</v>
      </c>
      <c r="I2857">
        <v>69</v>
      </c>
      <c r="J2857" s="8">
        <v>0.81176470588235294</v>
      </c>
      <c r="K2857">
        <v>40</v>
      </c>
      <c r="L2857">
        <v>32</v>
      </c>
      <c r="M2857">
        <v>132</v>
      </c>
      <c r="N2857" s="10">
        <v>636.80999999999995</v>
      </c>
      <c r="O2857" s="7">
        <v>0</v>
      </c>
      <c r="P2857" s="7">
        <v>28.5</v>
      </c>
      <c r="Q2857">
        <v>5</v>
      </c>
      <c r="R2857" t="s">
        <v>67</v>
      </c>
      <c r="S2857">
        <v>8</v>
      </c>
      <c r="T2857">
        <v>221</v>
      </c>
      <c r="U2857" s="11">
        <v>-0.97492791218182362</v>
      </c>
      <c r="V2857" s="11">
        <v>-0.22252093395631459</v>
      </c>
      <c r="W2857" s="11">
        <v>-0.59955149151964893</v>
      </c>
      <c r="X2857" s="11">
        <v>-0.80033618499763226</v>
      </c>
      <c r="Y2857">
        <v>1</v>
      </c>
      <c r="Z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6">
        <v>45879</v>
      </c>
      <c r="B2858" t="s">
        <v>31</v>
      </c>
      <c r="C2858" t="s">
        <v>32</v>
      </c>
      <c r="D2858" t="s">
        <v>33</v>
      </c>
      <c r="E2858" t="s">
        <v>34</v>
      </c>
      <c r="F2858">
        <v>140</v>
      </c>
      <c r="G2858">
        <v>360</v>
      </c>
      <c r="H2858">
        <v>243</v>
      </c>
      <c r="I2858">
        <v>102</v>
      </c>
      <c r="J2858" s="8">
        <v>0.72857142857142854</v>
      </c>
      <c r="K2858">
        <v>35</v>
      </c>
      <c r="L2858">
        <v>52</v>
      </c>
      <c r="M2858">
        <v>210</v>
      </c>
      <c r="N2858" s="10">
        <v>476.51</v>
      </c>
      <c r="O2858" s="7">
        <v>1.2</v>
      </c>
      <c r="P2858" s="7">
        <v>29.9</v>
      </c>
      <c r="Q2858">
        <v>6</v>
      </c>
      <c r="R2858" t="s">
        <v>60</v>
      </c>
      <c r="S2858">
        <v>8</v>
      </c>
      <c r="T2858">
        <v>222</v>
      </c>
      <c r="U2858" s="11">
        <v>-0.78183148246802991</v>
      </c>
      <c r="V2858" s="11">
        <v>0.62348980185873337</v>
      </c>
      <c r="W2858" s="11">
        <v>-0.6132298262997502</v>
      </c>
      <c r="X2858" s="11">
        <v>-0.78990453862247068</v>
      </c>
      <c r="Y2858">
        <v>1</v>
      </c>
      <c r="Z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6">
        <v>45879</v>
      </c>
      <c r="B2859" t="s">
        <v>36</v>
      </c>
      <c r="C2859" t="s">
        <v>37</v>
      </c>
      <c r="D2859" t="s">
        <v>38</v>
      </c>
      <c r="E2859" t="s">
        <v>39</v>
      </c>
      <c r="F2859">
        <v>125</v>
      </c>
      <c r="G2859">
        <v>320</v>
      </c>
      <c r="H2859">
        <v>223</v>
      </c>
      <c r="I2859">
        <v>93</v>
      </c>
      <c r="J2859" s="8">
        <v>0.74399999999999999</v>
      </c>
      <c r="K2859">
        <v>60</v>
      </c>
      <c r="L2859">
        <v>32</v>
      </c>
      <c r="M2859">
        <v>197</v>
      </c>
      <c r="N2859" s="10">
        <v>683.63</v>
      </c>
      <c r="O2859" s="7">
        <v>1.2</v>
      </c>
      <c r="P2859" s="7">
        <v>29.9</v>
      </c>
      <c r="Q2859">
        <v>6</v>
      </c>
      <c r="R2859" t="s">
        <v>60</v>
      </c>
      <c r="S2859">
        <v>8</v>
      </c>
      <c r="T2859">
        <v>222</v>
      </c>
      <c r="U2859" s="11">
        <v>-0.78183148246802991</v>
      </c>
      <c r="V2859" s="11">
        <v>0.62348980185873337</v>
      </c>
      <c r="W2859" s="11">
        <v>-0.6132298262997502</v>
      </c>
      <c r="X2859" s="11">
        <v>-0.78990453862247068</v>
      </c>
      <c r="Y2859">
        <v>1</v>
      </c>
      <c r="Z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6">
        <v>45879</v>
      </c>
      <c r="B2860" t="s">
        <v>41</v>
      </c>
      <c r="C2860" t="s">
        <v>42</v>
      </c>
      <c r="D2860" t="s">
        <v>43</v>
      </c>
      <c r="E2860" t="s">
        <v>44</v>
      </c>
      <c r="F2860">
        <v>85</v>
      </c>
      <c r="G2860">
        <v>210</v>
      </c>
      <c r="H2860">
        <v>139</v>
      </c>
      <c r="I2860">
        <v>65</v>
      </c>
      <c r="J2860" s="8">
        <v>0.76470588235294112</v>
      </c>
      <c r="K2860">
        <v>32</v>
      </c>
      <c r="L2860">
        <v>29</v>
      </c>
      <c r="M2860">
        <v>116</v>
      </c>
      <c r="N2860" s="10">
        <v>540.97</v>
      </c>
      <c r="O2860" s="7">
        <v>1.2</v>
      </c>
      <c r="P2860" s="7">
        <v>29.9</v>
      </c>
      <c r="Q2860">
        <v>6</v>
      </c>
      <c r="R2860" t="s">
        <v>60</v>
      </c>
      <c r="S2860">
        <v>8</v>
      </c>
      <c r="T2860">
        <v>222</v>
      </c>
      <c r="U2860" s="11">
        <v>-0.78183148246802991</v>
      </c>
      <c r="V2860" s="11">
        <v>0.62348980185873337</v>
      </c>
      <c r="W2860" s="11">
        <v>-0.6132298262997502</v>
      </c>
      <c r="X2860" s="11">
        <v>-0.78990453862247068</v>
      </c>
      <c r="Y2860">
        <v>1</v>
      </c>
      <c r="Z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6">
        <v>45880</v>
      </c>
      <c r="B2861" t="s">
        <v>31</v>
      </c>
      <c r="C2861" t="s">
        <v>32</v>
      </c>
      <c r="D2861" t="s">
        <v>33</v>
      </c>
      <c r="E2861" t="s">
        <v>34</v>
      </c>
      <c r="F2861">
        <v>140</v>
      </c>
      <c r="G2861">
        <v>360</v>
      </c>
      <c r="H2861">
        <v>191</v>
      </c>
      <c r="I2861">
        <v>78</v>
      </c>
      <c r="J2861" s="8">
        <v>0.55714285714285716</v>
      </c>
      <c r="K2861">
        <v>37</v>
      </c>
      <c r="L2861">
        <v>29</v>
      </c>
      <c r="M2861">
        <v>170</v>
      </c>
      <c r="N2861" s="10">
        <v>431.4</v>
      </c>
      <c r="O2861" s="7">
        <v>3.3</v>
      </c>
      <c r="P2861" s="7">
        <v>28.5</v>
      </c>
      <c r="Q2861">
        <v>0</v>
      </c>
      <c r="R2861" t="s">
        <v>62</v>
      </c>
      <c r="S2861">
        <v>8</v>
      </c>
      <c r="T2861">
        <v>223</v>
      </c>
      <c r="U2861" s="11">
        <v>0</v>
      </c>
      <c r="V2861" s="11">
        <v>1</v>
      </c>
      <c r="W2861" s="11">
        <v>-0.62672669650833013</v>
      </c>
      <c r="X2861" s="11">
        <v>-0.7792391467859886</v>
      </c>
      <c r="Y2861">
        <v>0</v>
      </c>
      <c r="Z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6">
        <v>45880</v>
      </c>
      <c r="B2862" t="s">
        <v>36</v>
      </c>
      <c r="C2862" t="s">
        <v>37</v>
      </c>
      <c r="D2862" t="s">
        <v>38</v>
      </c>
      <c r="E2862" t="s">
        <v>39</v>
      </c>
      <c r="F2862">
        <v>125</v>
      </c>
      <c r="G2862">
        <v>320</v>
      </c>
      <c r="H2862">
        <v>173</v>
      </c>
      <c r="I2862">
        <v>73</v>
      </c>
      <c r="J2862" s="8">
        <v>0.58399999999999996</v>
      </c>
      <c r="K2862">
        <v>43</v>
      </c>
      <c r="L2862">
        <v>23</v>
      </c>
      <c r="M2862">
        <v>161</v>
      </c>
      <c r="N2862" s="10">
        <v>575.67999999999995</v>
      </c>
      <c r="O2862" s="7">
        <v>3.3</v>
      </c>
      <c r="P2862" s="7">
        <v>28.5</v>
      </c>
      <c r="Q2862">
        <v>0</v>
      </c>
      <c r="R2862" t="s">
        <v>62</v>
      </c>
      <c r="S2862">
        <v>8</v>
      </c>
      <c r="T2862">
        <v>223</v>
      </c>
      <c r="U2862" s="11">
        <v>0</v>
      </c>
      <c r="V2862" s="11">
        <v>1</v>
      </c>
      <c r="W2862" s="11">
        <v>-0.62672669650833013</v>
      </c>
      <c r="X2862" s="11">
        <v>-0.7792391467859886</v>
      </c>
      <c r="Y2862">
        <v>0</v>
      </c>
      <c r="Z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6">
        <v>45880</v>
      </c>
      <c r="B2863" t="s">
        <v>41</v>
      </c>
      <c r="C2863" t="s">
        <v>42</v>
      </c>
      <c r="D2863" t="s">
        <v>43</v>
      </c>
      <c r="E2863" t="s">
        <v>44</v>
      </c>
      <c r="F2863">
        <v>85</v>
      </c>
      <c r="G2863">
        <v>210</v>
      </c>
      <c r="H2863">
        <v>120</v>
      </c>
      <c r="I2863">
        <v>53</v>
      </c>
      <c r="J2863" s="8">
        <v>0.62352941176470589</v>
      </c>
      <c r="K2863">
        <v>27</v>
      </c>
      <c r="L2863">
        <v>19</v>
      </c>
      <c r="M2863">
        <v>106</v>
      </c>
      <c r="N2863" s="10">
        <v>509.25</v>
      </c>
      <c r="O2863" s="7">
        <v>3.3</v>
      </c>
      <c r="P2863" s="7">
        <v>28.5</v>
      </c>
      <c r="Q2863">
        <v>0</v>
      </c>
      <c r="R2863" t="s">
        <v>62</v>
      </c>
      <c r="S2863">
        <v>8</v>
      </c>
      <c r="T2863">
        <v>223</v>
      </c>
      <c r="U2863" s="11">
        <v>0</v>
      </c>
      <c r="V2863" s="11">
        <v>1</v>
      </c>
      <c r="W2863" s="11">
        <v>-0.62672669650833013</v>
      </c>
      <c r="X2863" s="11">
        <v>-0.7792391467859886</v>
      </c>
      <c r="Y2863">
        <v>0</v>
      </c>
      <c r="Z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6">
        <v>45881</v>
      </c>
      <c r="B2864" t="s">
        <v>31</v>
      </c>
      <c r="C2864" t="s">
        <v>32</v>
      </c>
      <c r="D2864" t="s">
        <v>33</v>
      </c>
      <c r="E2864" t="s">
        <v>34</v>
      </c>
      <c r="F2864">
        <v>140</v>
      </c>
      <c r="G2864">
        <v>360</v>
      </c>
      <c r="H2864">
        <v>220</v>
      </c>
      <c r="I2864">
        <v>93</v>
      </c>
      <c r="J2864" s="8">
        <v>0.66428571428571426</v>
      </c>
      <c r="K2864">
        <v>36</v>
      </c>
      <c r="L2864">
        <v>51</v>
      </c>
      <c r="M2864">
        <v>176</v>
      </c>
      <c r="N2864" s="10">
        <v>387.55</v>
      </c>
      <c r="O2864" s="7">
        <v>0.8</v>
      </c>
      <c r="P2864" s="7">
        <v>30.1</v>
      </c>
      <c r="Q2864">
        <v>1</v>
      </c>
      <c r="R2864" t="s">
        <v>63</v>
      </c>
      <c r="S2864">
        <v>8</v>
      </c>
      <c r="T2864">
        <v>224</v>
      </c>
      <c r="U2864" s="11">
        <v>0.7818314824680298</v>
      </c>
      <c r="V2864" s="11">
        <v>0.62348980185873359</v>
      </c>
      <c r="W2864" s="11">
        <v>-0.64003810820435025</v>
      </c>
      <c r="X2864" s="11">
        <v>-0.76834316554922022</v>
      </c>
      <c r="Y2864">
        <v>0</v>
      </c>
      <c r="Z2864">
        <v>0</v>
      </c>
      <c r="AB2864">
        <v>0</v>
      </c>
      <c r="AC2864">
        <v>0</v>
      </c>
      <c r="AD2864">
        <v>0</v>
      </c>
      <c r="AE2864">
        <v>1</v>
      </c>
    </row>
    <row r="2865" spans="1:31">
      <c r="A2865" s="6">
        <v>45881</v>
      </c>
      <c r="B2865" t="s">
        <v>36</v>
      </c>
      <c r="C2865" t="s">
        <v>37</v>
      </c>
      <c r="D2865" t="s">
        <v>38</v>
      </c>
      <c r="E2865" t="s">
        <v>39</v>
      </c>
      <c r="F2865">
        <v>125</v>
      </c>
      <c r="G2865">
        <v>320</v>
      </c>
      <c r="H2865">
        <v>190</v>
      </c>
      <c r="I2865">
        <v>79</v>
      </c>
      <c r="J2865" s="8">
        <v>0.63200000000000001</v>
      </c>
      <c r="K2865">
        <v>30</v>
      </c>
      <c r="L2865">
        <v>20</v>
      </c>
      <c r="M2865">
        <v>152</v>
      </c>
      <c r="N2865" s="10">
        <v>672.55</v>
      </c>
      <c r="O2865" s="7">
        <v>0.8</v>
      </c>
      <c r="P2865" s="7">
        <v>30.1</v>
      </c>
      <c r="Q2865">
        <v>1</v>
      </c>
      <c r="R2865" t="s">
        <v>63</v>
      </c>
      <c r="S2865">
        <v>8</v>
      </c>
      <c r="T2865">
        <v>224</v>
      </c>
      <c r="U2865" s="11">
        <v>0.7818314824680298</v>
      </c>
      <c r="V2865" s="11">
        <v>0.62348980185873359</v>
      </c>
      <c r="W2865" s="11">
        <v>-0.64003810820435025</v>
      </c>
      <c r="X2865" s="11">
        <v>-0.76834316554922022</v>
      </c>
      <c r="Y2865">
        <v>0</v>
      </c>
      <c r="Z2865">
        <v>0</v>
      </c>
      <c r="AB2865">
        <v>0</v>
      </c>
      <c r="AC2865">
        <v>0</v>
      </c>
      <c r="AD2865">
        <v>0</v>
      </c>
      <c r="AE2865">
        <v>1</v>
      </c>
    </row>
    <row r="2866" spans="1:31">
      <c r="A2866" s="6">
        <v>45881</v>
      </c>
      <c r="B2866" t="s">
        <v>41</v>
      </c>
      <c r="C2866" t="s">
        <v>42</v>
      </c>
      <c r="D2866" t="s">
        <v>43</v>
      </c>
      <c r="E2866" t="s">
        <v>44</v>
      </c>
      <c r="F2866">
        <v>85</v>
      </c>
      <c r="G2866">
        <v>210</v>
      </c>
      <c r="H2866">
        <v>135</v>
      </c>
      <c r="I2866">
        <v>61</v>
      </c>
      <c r="J2866" s="8">
        <v>0.71764705882352942</v>
      </c>
      <c r="K2866">
        <v>29</v>
      </c>
      <c r="L2866">
        <v>12</v>
      </c>
      <c r="M2866">
        <v>112</v>
      </c>
      <c r="N2866" s="10">
        <v>480.46</v>
      </c>
      <c r="O2866" s="7">
        <v>0.8</v>
      </c>
      <c r="P2866" s="7">
        <v>30.1</v>
      </c>
      <c r="Q2866">
        <v>1</v>
      </c>
      <c r="R2866" t="s">
        <v>63</v>
      </c>
      <c r="S2866">
        <v>8</v>
      </c>
      <c r="T2866">
        <v>224</v>
      </c>
      <c r="U2866" s="11">
        <v>0.7818314824680298</v>
      </c>
      <c r="V2866" s="11">
        <v>0.62348980185873359</v>
      </c>
      <c r="W2866" s="11">
        <v>-0.64003810820435025</v>
      </c>
      <c r="X2866" s="11">
        <v>-0.76834316554922022</v>
      </c>
      <c r="Y2866">
        <v>0</v>
      </c>
      <c r="Z2866">
        <v>0</v>
      </c>
      <c r="AB2866">
        <v>0</v>
      </c>
      <c r="AC2866">
        <v>0</v>
      </c>
      <c r="AD2866">
        <v>0</v>
      </c>
      <c r="AE2866">
        <v>1</v>
      </c>
    </row>
    <row r="2867" spans="1:31">
      <c r="A2867" s="6">
        <v>45882</v>
      </c>
      <c r="B2867" t="s">
        <v>31</v>
      </c>
      <c r="C2867" t="s">
        <v>32</v>
      </c>
      <c r="D2867" t="s">
        <v>33</v>
      </c>
      <c r="E2867" t="s">
        <v>34</v>
      </c>
      <c r="F2867">
        <v>140</v>
      </c>
      <c r="G2867">
        <v>360</v>
      </c>
      <c r="H2867">
        <v>223</v>
      </c>
      <c r="I2867">
        <v>96</v>
      </c>
      <c r="J2867" s="8">
        <v>0.68571428571428572</v>
      </c>
      <c r="K2867">
        <v>40</v>
      </c>
      <c r="L2867">
        <v>52</v>
      </c>
      <c r="M2867">
        <v>192</v>
      </c>
      <c r="N2867" s="10">
        <v>391.49</v>
      </c>
      <c r="O2867" s="7">
        <v>3.4</v>
      </c>
      <c r="P2867" s="7">
        <v>28.4</v>
      </c>
      <c r="Q2867">
        <v>2</v>
      </c>
      <c r="R2867" t="s">
        <v>64</v>
      </c>
      <c r="S2867">
        <v>8</v>
      </c>
      <c r="T2867">
        <v>225</v>
      </c>
      <c r="U2867" s="11">
        <v>0.97492791218182362</v>
      </c>
      <c r="V2867" s="11">
        <v>-0.22252093395631434</v>
      </c>
      <c r="W2867" s="11">
        <v>-0.65316012232692999</v>
      </c>
      <c r="X2867" s="11">
        <v>-0.75721981920831272</v>
      </c>
      <c r="Y2867">
        <v>0</v>
      </c>
      <c r="Z2867">
        <v>0</v>
      </c>
      <c r="AB2867">
        <v>0</v>
      </c>
      <c r="AC2867">
        <v>0</v>
      </c>
      <c r="AD2867">
        <v>0</v>
      </c>
      <c r="AE2867">
        <v>1</v>
      </c>
    </row>
    <row r="2868" spans="1:31">
      <c r="A2868" s="6">
        <v>45882</v>
      </c>
      <c r="B2868" t="s">
        <v>36</v>
      </c>
      <c r="C2868" t="s">
        <v>37</v>
      </c>
      <c r="D2868" t="s">
        <v>38</v>
      </c>
      <c r="E2868" t="s">
        <v>39</v>
      </c>
      <c r="F2868">
        <v>125</v>
      </c>
      <c r="G2868">
        <v>320</v>
      </c>
      <c r="H2868">
        <v>177</v>
      </c>
      <c r="I2868">
        <v>75</v>
      </c>
      <c r="J2868" s="8">
        <v>0.6</v>
      </c>
      <c r="K2868">
        <v>32</v>
      </c>
      <c r="L2868">
        <v>27</v>
      </c>
      <c r="M2868">
        <v>163</v>
      </c>
      <c r="N2868" s="10">
        <v>585.75</v>
      </c>
      <c r="O2868" s="7">
        <v>3.4</v>
      </c>
      <c r="P2868" s="7">
        <v>28.4</v>
      </c>
      <c r="Q2868">
        <v>2</v>
      </c>
      <c r="R2868" t="s">
        <v>64</v>
      </c>
      <c r="S2868">
        <v>8</v>
      </c>
      <c r="T2868">
        <v>225</v>
      </c>
      <c r="U2868" s="11">
        <v>0.97492791218182362</v>
      </c>
      <c r="V2868" s="11">
        <v>-0.22252093395631434</v>
      </c>
      <c r="W2868" s="11">
        <v>-0.65316012232692999</v>
      </c>
      <c r="X2868" s="11">
        <v>-0.75721981920831272</v>
      </c>
      <c r="Y2868">
        <v>0</v>
      </c>
      <c r="Z2868">
        <v>0</v>
      </c>
      <c r="AB2868">
        <v>0</v>
      </c>
      <c r="AC2868">
        <v>0</v>
      </c>
      <c r="AD2868">
        <v>0</v>
      </c>
      <c r="AE2868">
        <v>1</v>
      </c>
    </row>
    <row r="2869" spans="1:31">
      <c r="A2869" s="6">
        <v>45882</v>
      </c>
      <c r="B2869" t="s">
        <v>41</v>
      </c>
      <c r="C2869" t="s">
        <v>42</v>
      </c>
      <c r="D2869" t="s">
        <v>43</v>
      </c>
      <c r="E2869" t="s">
        <v>44</v>
      </c>
      <c r="F2869">
        <v>85</v>
      </c>
      <c r="G2869">
        <v>210</v>
      </c>
      <c r="H2869">
        <v>131</v>
      </c>
      <c r="I2869">
        <v>60</v>
      </c>
      <c r="J2869" s="8">
        <v>0.70588235294117652</v>
      </c>
      <c r="K2869">
        <v>14</v>
      </c>
      <c r="L2869">
        <v>35</v>
      </c>
      <c r="M2869">
        <v>106</v>
      </c>
      <c r="N2869" s="10">
        <v>487.91</v>
      </c>
      <c r="O2869" s="7">
        <v>3.4</v>
      </c>
      <c r="P2869" s="7">
        <v>28.4</v>
      </c>
      <c r="Q2869">
        <v>2</v>
      </c>
      <c r="R2869" t="s">
        <v>64</v>
      </c>
      <c r="S2869">
        <v>8</v>
      </c>
      <c r="T2869">
        <v>225</v>
      </c>
      <c r="U2869" s="11">
        <v>0.97492791218182362</v>
      </c>
      <c r="V2869" s="11">
        <v>-0.22252093395631434</v>
      </c>
      <c r="W2869" s="11">
        <v>-0.65316012232692999</v>
      </c>
      <c r="X2869" s="11">
        <v>-0.75721981920831272</v>
      </c>
      <c r="Y2869">
        <v>0</v>
      </c>
      <c r="Z2869">
        <v>0</v>
      </c>
      <c r="AB2869">
        <v>0</v>
      </c>
      <c r="AC2869">
        <v>0</v>
      </c>
      <c r="AD2869">
        <v>0</v>
      </c>
      <c r="AE2869">
        <v>1</v>
      </c>
    </row>
    <row r="2870" spans="1:31">
      <c r="A2870" s="6">
        <v>45883</v>
      </c>
      <c r="B2870" t="s">
        <v>31</v>
      </c>
      <c r="C2870" t="s">
        <v>32</v>
      </c>
      <c r="D2870" t="s">
        <v>33</v>
      </c>
      <c r="E2870" t="s">
        <v>34</v>
      </c>
      <c r="F2870">
        <v>140</v>
      </c>
      <c r="G2870">
        <v>360</v>
      </c>
      <c r="H2870">
        <v>199</v>
      </c>
      <c r="I2870">
        <v>86</v>
      </c>
      <c r="J2870" s="8">
        <v>0.61428571428571432</v>
      </c>
      <c r="K2870">
        <v>40</v>
      </c>
      <c r="L2870">
        <v>41</v>
      </c>
      <c r="M2870">
        <v>159</v>
      </c>
      <c r="N2870" s="10">
        <v>445.43</v>
      </c>
      <c r="O2870" s="7">
        <v>1.9</v>
      </c>
      <c r="P2870" s="7">
        <v>28.4</v>
      </c>
      <c r="Q2870">
        <v>3</v>
      </c>
      <c r="R2870" t="s">
        <v>65</v>
      </c>
      <c r="S2870">
        <v>8</v>
      </c>
      <c r="T2870">
        <v>226</v>
      </c>
      <c r="U2870" s="11">
        <v>0.43388373911755823</v>
      </c>
      <c r="V2870" s="11">
        <v>-0.90096886790241903</v>
      </c>
      <c r="W2870" s="11">
        <v>-0.66608885586097699</v>
      </c>
      <c r="X2870" s="11">
        <v>-0.74587239934040628</v>
      </c>
      <c r="Y2870">
        <v>0</v>
      </c>
      <c r="Z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6">
        <v>45883</v>
      </c>
      <c r="B2871" t="s">
        <v>36</v>
      </c>
      <c r="C2871" t="s">
        <v>37</v>
      </c>
      <c r="D2871" t="s">
        <v>38</v>
      </c>
      <c r="E2871" t="s">
        <v>39</v>
      </c>
      <c r="F2871">
        <v>125</v>
      </c>
      <c r="G2871">
        <v>320</v>
      </c>
      <c r="H2871">
        <v>174</v>
      </c>
      <c r="I2871">
        <v>69</v>
      </c>
      <c r="J2871" s="8">
        <v>0.55200000000000005</v>
      </c>
      <c r="K2871">
        <v>45</v>
      </c>
      <c r="L2871">
        <v>26</v>
      </c>
      <c r="M2871">
        <v>151</v>
      </c>
      <c r="N2871" s="10">
        <v>639.99</v>
      </c>
      <c r="O2871" s="7">
        <v>1.9</v>
      </c>
      <c r="P2871" s="7">
        <v>28.4</v>
      </c>
      <c r="Q2871">
        <v>3</v>
      </c>
      <c r="R2871" t="s">
        <v>65</v>
      </c>
      <c r="S2871">
        <v>8</v>
      </c>
      <c r="T2871">
        <v>226</v>
      </c>
      <c r="U2871" s="11">
        <v>0.43388373911755823</v>
      </c>
      <c r="V2871" s="11">
        <v>-0.90096886790241903</v>
      </c>
      <c r="W2871" s="11">
        <v>-0.66608885586097699</v>
      </c>
      <c r="X2871" s="11">
        <v>-0.74587239934040628</v>
      </c>
      <c r="Y2871">
        <v>0</v>
      </c>
      <c r="Z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6">
        <v>45883</v>
      </c>
      <c r="B2872" t="s">
        <v>41</v>
      </c>
      <c r="C2872" t="s">
        <v>42</v>
      </c>
      <c r="D2872" t="s">
        <v>43</v>
      </c>
      <c r="E2872" t="s">
        <v>44</v>
      </c>
      <c r="F2872">
        <v>85</v>
      </c>
      <c r="G2872">
        <v>210</v>
      </c>
      <c r="H2872">
        <v>126</v>
      </c>
      <c r="I2872">
        <v>55</v>
      </c>
      <c r="J2872" s="8">
        <v>0.6470588235294118</v>
      </c>
      <c r="K2872">
        <v>27</v>
      </c>
      <c r="L2872">
        <v>22</v>
      </c>
      <c r="M2872">
        <v>107</v>
      </c>
      <c r="N2872" s="10">
        <v>512.99</v>
      </c>
      <c r="O2872" s="7">
        <v>1.9</v>
      </c>
      <c r="P2872" s="7">
        <v>28.4</v>
      </c>
      <c r="Q2872">
        <v>3</v>
      </c>
      <c r="R2872" t="s">
        <v>65</v>
      </c>
      <c r="S2872">
        <v>8</v>
      </c>
      <c r="T2872">
        <v>226</v>
      </c>
      <c r="U2872" s="11">
        <v>0.43388373911755823</v>
      </c>
      <c r="V2872" s="11">
        <v>-0.90096886790241903</v>
      </c>
      <c r="W2872" s="11">
        <v>-0.66608885586097699</v>
      </c>
      <c r="X2872" s="11">
        <v>-0.74587239934040628</v>
      </c>
      <c r="Y2872">
        <v>0</v>
      </c>
      <c r="Z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6">
        <v>45884</v>
      </c>
      <c r="B2873" t="s">
        <v>31</v>
      </c>
      <c r="C2873" t="s">
        <v>32</v>
      </c>
      <c r="D2873" t="s">
        <v>33</v>
      </c>
      <c r="E2873" t="s">
        <v>34</v>
      </c>
      <c r="F2873">
        <v>140</v>
      </c>
      <c r="G2873">
        <v>360</v>
      </c>
      <c r="H2873">
        <v>232</v>
      </c>
      <c r="I2873">
        <v>98</v>
      </c>
      <c r="J2873" s="8">
        <v>0.7</v>
      </c>
      <c r="K2873">
        <v>57</v>
      </c>
      <c r="L2873">
        <v>51</v>
      </c>
      <c r="M2873">
        <v>191</v>
      </c>
      <c r="N2873" s="10">
        <v>461.83</v>
      </c>
      <c r="O2873" s="7">
        <v>1</v>
      </c>
      <c r="P2873" s="7">
        <v>27.9</v>
      </c>
      <c r="Q2873">
        <v>4</v>
      </c>
      <c r="R2873" t="s">
        <v>66</v>
      </c>
      <c r="S2873">
        <v>8</v>
      </c>
      <c r="T2873">
        <v>227</v>
      </c>
      <c r="U2873" s="11">
        <v>-0.43388373911755801</v>
      </c>
      <c r="V2873" s="11">
        <v>-0.90096886790241915</v>
      </c>
      <c r="W2873" s="11">
        <v>-0.67882048298623554</v>
      </c>
      <c r="X2873" s="11">
        <v>-0.73430426382960201</v>
      </c>
      <c r="Y2873">
        <v>0</v>
      </c>
      <c r="Z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6">
        <v>45884</v>
      </c>
      <c r="B2874" t="s">
        <v>36</v>
      </c>
      <c r="C2874" t="s">
        <v>37</v>
      </c>
      <c r="D2874" t="s">
        <v>38</v>
      </c>
      <c r="E2874" t="s">
        <v>39</v>
      </c>
      <c r="F2874">
        <v>125</v>
      </c>
      <c r="G2874">
        <v>320</v>
      </c>
      <c r="H2874">
        <v>207</v>
      </c>
      <c r="I2874">
        <v>84</v>
      </c>
      <c r="J2874" s="8">
        <v>0.67200000000000004</v>
      </c>
      <c r="K2874">
        <v>57</v>
      </c>
      <c r="L2874">
        <v>29</v>
      </c>
      <c r="M2874">
        <v>190</v>
      </c>
      <c r="N2874" s="10">
        <v>639.87</v>
      </c>
      <c r="O2874" s="7">
        <v>1</v>
      </c>
      <c r="P2874" s="7">
        <v>27.9</v>
      </c>
      <c r="Q2874">
        <v>4</v>
      </c>
      <c r="R2874" t="s">
        <v>66</v>
      </c>
      <c r="S2874">
        <v>8</v>
      </c>
      <c r="T2874">
        <v>227</v>
      </c>
      <c r="U2874" s="11">
        <v>-0.43388373911755801</v>
      </c>
      <c r="V2874" s="11">
        <v>-0.90096886790241915</v>
      </c>
      <c r="W2874" s="11">
        <v>-0.67882048298623554</v>
      </c>
      <c r="X2874" s="11">
        <v>-0.73430426382960201</v>
      </c>
      <c r="Y2874">
        <v>0</v>
      </c>
      <c r="Z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6">
        <v>45884</v>
      </c>
      <c r="B2875" t="s">
        <v>41</v>
      </c>
      <c r="C2875" t="s">
        <v>42</v>
      </c>
      <c r="D2875" t="s">
        <v>43</v>
      </c>
      <c r="E2875" t="s">
        <v>44</v>
      </c>
      <c r="F2875">
        <v>85</v>
      </c>
      <c r="G2875">
        <v>210</v>
      </c>
      <c r="H2875">
        <v>136</v>
      </c>
      <c r="I2875">
        <v>58</v>
      </c>
      <c r="J2875" s="8">
        <v>0.68235294117647061</v>
      </c>
      <c r="K2875">
        <v>30</v>
      </c>
      <c r="L2875">
        <v>16</v>
      </c>
      <c r="M2875">
        <v>124</v>
      </c>
      <c r="N2875" s="10">
        <v>540.94000000000005</v>
      </c>
      <c r="O2875" s="7">
        <v>1</v>
      </c>
      <c r="P2875" s="7">
        <v>27.9</v>
      </c>
      <c r="Q2875">
        <v>4</v>
      </c>
      <c r="R2875" t="s">
        <v>66</v>
      </c>
      <c r="S2875">
        <v>8</v>
      </c>
      <c r="T2875">
        <v>227</v>
      </c>
      <c r="U2875" s="11">
        <v>-0.43388373911755801</v>
      </c>
      <c r="V2875" s="11">
        <v>-0.90096886790241915</v>
      </c>
      <c r="W2875" s="11">
        <v>-0.67882048298623554</v>
      </c>
      <c r="X2875" s="11">
        <v>-0.73430426382960201</v>
      </c>
      <c r="Y2875">
        <v>0</v>
      </c>
      <c r="Z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6">
        <v>45885</v>
      </c>
      <c r="B2876" t="s">
        <v>31</v>
      </c>
      <c r="C2876" t="s">
        <v>32</v>
      </c>
      <c r="D2876" t="s">
        <v>33</v>
      </c>
      <c r="E2876" t="s">
        <v>34</v>
      </c>
      <c r="F2876">
        <v>140</v>
      </c>
      <c r="G2876">
        <v>360</v>
      </c>
      <c r="H2876">
        <v>211</v>
      </c>
      <c r="I2876">
        <v>90</v>
      </c>
      <c r="J2876" s="8">
        <v>0.6428571428571429</v>
      </c>
      <c r="K2876">
        <v>51</v>
      </c>
      <c r="L2876">
        <v>50</v>
      </c>
      <c r="M2876">
        <v>188</v>
      </c>
      <c r="N2876" s="10">
        <v>517.30999999999995</v>
      </c>
      <c r="O2876" s="7">
        <v>0.5</v>
      </c>
      <c r="P2876" s="7">
        <v>28.6</v>
      </c>
      <c r="Q2876">
        <v>5</v>
      </c>
      <c r="R2876" t="s">
        <v>67</v>
      </c>
      <c r="S2876">
        <v>8</v>
      </c>
      <c r="T2876">
        <v>228</v>
      </c>
      <c r="U2876" s="11">
        <v>-0.97492791218182362</v>
      </c>
      <c r="V2876" s="11">
        <v>-0.22252093395631459</v>
      </c>
      <c r="W2876" s="11">
        <v>-0.69135123620940708</v>
      </c>
      <c r="X2876" s="11">
        <v>-0.72251883587331101</v>
      </c>
      <c r="Y2876">
        <v>1</v>
      </c>
      <c r="Z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6">
        <v>45885</v>
      </c>
      <c r="B2877" t="s">
        <v>36</v>
      </c>
      <c r="C2877" t="s">
        <v>37</v>
      </c>
      <c r="D2877" t="s">
        <v>38</v>
      </c>
      <c r="E2877" t="s">
        <v>39</v>
      </c>
      <c r="F2877">
        <v>125</v>
      </c>
      <c r="G2877">
        <v>320</v>
      </c>
      <c r="H2877">
        <v>207</v>
      </c>
      <c r="I2877">
        <v>84</v>
      </c>
      <c r="J2877" s="8">
        <v>0.67200000000000004</v>
      </c>
      <c r="K2877">
        <v>39</v>
      </c>
      <c r="L2877">
        <v>42</v>
      </c>
      <c r="M2877">
        <v>167</v>
      </c>
      <c r="N2877" s="10">
        <v>761.77</v>
      </c>
      <c r="O2877" s="7">
        <v>0.5</v>
      </c>
      <c r="P2877" s="7">
        <v>28.6</v>
      </c>
      <c r="Q2877">
        <v>5</v>
      </c>
      <c r="R2877" t="s">
        <v>67</v>
      </c>
      <c r="S2877">
        <v>8</v>
      </c>
      <c r="T2877">
        <v>228</v>
      </c>
      <c r="U2877" s="11">
        <v>-0.97492791218182362</v>
      </c>
      <c r="V2877" s="11">
        <v>-0.22252093395631459</v>
      </c>
      <c r="W2877" s="11">
        <v>-0.69135123620940708</v>
      </c>
      <c r="X2877" s="11">
        <v>-0.72251883587331101</v>
      </c>
      <c r="Y2877">
        <v>1</v>
      </c>
      <c r="Z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6">
        <v>45885</v>
      </c>
      <c r="B2878" t="s">
        <v>41</v>
      </c>
      <c r="C2878" t="s">
        <v>42</v>
      </c>
      <c r="D2878" t="s">
        <v>43</v>
      </c>
      <c r="E2878" t="s">
        <v>44</v>
      </c>
      <c r="F2878">
        <v>85</v>
      </c>
      <c r="G2878">
        <v>210</v>
      </c>
      <c r="H2878">
        <v>138</v>
      </c>
      <c r="I2878">
        <v>63</v>
      </c>
      <c r="J2878" s="8">
        <v>0.74117647058823533</v>
      </c>
      <c r="K2878">
        <v>17</v>
      </c>
      <c r="L2878">
        <v>18</v>
      </c>
      <c r="M2878">
        <v>117</v>
      </c>
      <c r="N2878" s="10">
        <v>584.65</v>
      </c>
      <c r="O2878" s="7">
        <v>0.5</v>
      </c>
      <c r="P2878" s="7">
        <v>28.6</v>
      </c>
      <c r="Q2878">
        <v>5</v>
      </c>
      <c r="R2878" t="s">
        <v>67</v>
      </c>
      <c r="S2878">
        <v>8</v>
      </c>
      <c r="T2878">
        <v>228</v>
      </c>
      <c r="U2878" s="11">
        <v>-0.97492791218182362</v>
      </c>
      <c r="V2878" s="11">
        <v>-0.22252093395631459</v>
      </c>
      <c r="W2878" s="11">
        <v>-0.69135123620940708</v>
      </c>
      <c r="X2878" s="11">
        <v>-0.72251883587331101</v>
      </c>
      <c r="Y2878">
        <v>1</v>
      </c>
      <c r="Z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6">
        <v>45886</v>
      </c>
      <c r="B2879" t="s">
        <v>31</v>
      </c>
      <c r="C2879" t="s">
        <v>32</v>
      </c>
      <c r="D2879" t="s">
        <v>33</v>
      </c>
      <c r="E2879" t="s">
        <v>34</v>
      </c>
      <c r="F2879">
        <v>140</v>
      </c>
      <c r="G2879">
        <v>360</v>
      </c>
      <c r="H2879">
        <v>226</v>
      </c>
      <c r="I2879">
        <v>95</v>
      </c>
      <c r="J2879" s="8">
        <v>0.6785714285714286</v>
      </c>
      <c r="K2879">
        <v>52</v>
      </c>
      <c r="L2879">
        <v>49</v>
      </c>
      <c r="M2879">
        <v>209</v>
      </c>
      <c r="N2879" s="10">
        <v>434.89</v>
      </c>
      <c r="O2879" s="7">
        <v>0.6</v>
      </c>
      <c r="P2879" s="7">
        <v>29.1</v>
      </c>
      <c r="Q2879">
        <v>6</v>
      </c>
      <c r="R2879" t="s">
        <v>60</v>
      </c>
      <c r="S2879">
        <v>8</v>
      </c>
      <c r="T2879">
        <v>229</v>
      </c>
      <c r="U2879" s="11">
        <v>-0.78183148246802991</v>
      </c>
      <c r="V2879" s="11">
        <v>0.62348980185873337</v>
      </c>
      <c r="W2879" s="11">
        <v>-0.70367740747901275</v>
      </c>
      <c r="X2879" s="11">
        <v>-0.71051960296927452</v>
      </c>
      <c r="Y2879">
        <v>1</v>
      </c>
      <c r="Z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6">
        <v>45886</v>
      </c>
      <c r="B2880" t="s">
        <v>36</v>
      </c>
      <c r="C2880" t="s">
        <v>37</v>
      </c>
      <c r="D2880" t="s">
        <v>38</v>
      </c>
      <c r="E2880" t="s">
        <v>39</v>
      </c>
      <c r="F2880">
        <v>125</v>
      </c>
      <c r="G2880">
        <v>320</v>
      </c>
      <c r="H2880">
        <v>171</v>
      </c>
      <c r="I2880">
        <v>76</v>
      </c>
      <c r="J2880" s="8">
        <v>0.60799999999999998</v>
      </c>
      <c r="K2880">
        <v>36</v>
      </c>
      <c r="L2880">
        <v>24</v>
      </c>
      <c r="M2880">
        <v>158</v>
      </c>
      <c r="N2880" s="10">
        <v>724.51</v>
      </c>
      <c r="O2880" s="7">
        <v>0.6</v>
      </c>
      <c r="P2880" s="7">
        <v>29.1</v>
      </c>
      <c r="Q2880">
        <v>6</v>
      </c>
      <c r="R2880" t="s">
        <v>60</v>
      </c>
      <c r="S2880">
        <v>8</v>
      </c>
      <c r="T2880">
        <v>229</v>
      </c>
      <c r="U2880" s="11">
        <v>-0.78183148246802991</v>
      </c>
      <c r="V2880" s="11">
        <v>0.62348980185873337</v>
      </c>
      <c r="W2880" s="11">
        <v>-0.70367740747901275</v>
      </c>
      <c r="X2880" s="11">
        <v>-0.71051960296927452</v>
      </c>
      <c r="Y2880">
        <v>1</v>
      </c>
      <c r="Z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6">
        <v>45886</v>
      </c>
      <c r="B2881" t="s">
        <v>41</v>
      </c>
      <c r="C2881" t="s">
        <v>42</v>
      </c>
      <c r="D2881" t="s">
        <v>43</v>
      </c>
      <c r="E2881" t="s">
        <v>44</v>
      </c>
      <c r="F2881">
        <v>85</v>
      </c>
      <c r="G2881">
        <v>210</v>
      </c>
      <c r="H2881">
        <v>132</v>
      </c>
      <c r="I2881">
        <v>60</v>
      </c>
      <c r="J2881" s="8">
        <v>0.70588235294117652</v>
      </c>
      <c r="K2881">
        <v>24</v>
      </c>
      <c r="L2881">
        <v>12</v>
      </c>
      <c r="M2881">
        <v>123</v>
      </c>
      <c r="N2881" s="10">
        <v>545.62</v>
      </c>
      <c r="O2881" s="7">
        <v>0.6</v>
      </c>
      <c r="P2881" s="7">
        <v>29.1</v>
      </c>
      <c r="Q2881">
        <v>6</v>
      </c>
      <c r="R2881" t="s">
        <v>60</v>
      </c>
      <c r="S2881">
        <v>8</v>
      </c>
      <c r="T2881">
        <v>229</v>
      </c>
      <c r="U2881" s="11">
        <v>-0.78183148246802991</v>
      </c>
      <c r="V2881" s="11">
        <v>0.62348980185873337</v>
      </c>
      <c r="W2881" s="11">
        <v>-0.70367740747901275</v>
      </c>
      <c r="X2881" s="11">
        <v>-0.71051960296927452</v>
      </c>
      <c r="Y2881">
        <v>1</v>
      </c>
      <c r="Z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6">
        <v>45887</v>
      </c>
      <c r="B2882" t="s">
        <v>31</v>
      </c>
      <c r="C2882" t="s">
        <v>32</v>
      </c>
      <c r="D2882" t="s">
        <v>33</v>
      </c>
      <c r="E2882" t="s">
        <v>34</v>
      </c>
      <c r="F2882">
        <v>140</v>
      </c>
      <c r="G2882">
        <v>360</v>
      </c>
      <c r="H2882">
        <v>203</v>
      </c>
      <c r="I2882">
        <v>84</v>
      </c>
      <c r="J2882" s="8">
        <v>0.6</v>
      </c>
      <c r="K2882">
        <v>34</v>
      </c>
      <c r="L2882">
        <v>34</v>
      </c>
      <c r="M2882">
        <v>170</v>
      </c>
      <c r="N2882" s="10">
        <v>451.87</v>
      </c>
      <c r="O2882" s="7">
        <v>2.8</v>
      </c>
      <c r="P2882" s="7">
        <v>28.9</v>
      </c>
      <c r="Q2882">
        <v>0</v>
      </c>
      <c r="R2882" t="s">
        <v>62</v>
      </c>
      <c r="S2882">
        <v>8</v>
      </c>
      <c r="T2882">
        <v>230</v>
      </c>
      <c r="U2882" s="11">
        <v>0</v>
      </c>
      <c r="V2882" s="11">
        <v>1</v>
      </c>
      <c r="W2882" s="11">
        <v>-0.7157953492826642</v>
      </c>
      <c r="X2882" s="11">
        <v>-0.6983101158835584</v>
      </c>
      <c r="Y2882">
        <v>0</v>
      </c>
      <c r="Z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6">
        <v>45887</v>
      </c>
      <c r="B2883" t="s">
        <v>36</v>
      </c>
      <c r="C2883" t="s">
        <v>37</v>
      </c>
      <c r="D2883" t="s">
        <v>38</v>
      </c>
      <c r="E2883" t="s">
        <v>39</v>
      </c>
      <c r="F2883">
        <v>125</v>
      </c>
      <c r="G2883">
        <v>320</v>
      </c>
      <c r="H2883">
        <v>180</v>
      </c>
      <c r="I2883">
        <v>76</v>
      </c>
      <c r="J2883" s="8">
        <v>0.60799999999999998</v>
      </c>
      <c r="K2883">
        <v>26</v>
      </c>
      <c r="L2883">
        <v>32</v>
      </c>
      <c r="M2883">
        <v>162</v>
      </c>
      <c r="N2883" s="10">
        <v>622.97</v>
      </c>
      <c r="O2883" s="7">
        <v>2.8</v>
      </c>
      <c r="P2883" s="7">
        <v>28.9</v>
      </c>
      <c r="Q2883">
        <v>0</v>
      </c>
      <c r="R2883" t="s">
        <v>62</v>
      </c>
      <c r="S2883">
        <v>8</v>
      </c>
      <c r="T2883">
        <v>230</v>
      </c>
      <c r="U2883" s="11">
        <v>0</v>
      </c>
      <c r="V2883" s="11">
        <v>1</v>
      </c>
      <c r="W2883" s="11">
        <v>-0.7157953492826642</v>
      </c>
      <c r="X2883" s="11">
        <v>-0.6983101158835584</v>
      </c>
      <c r="Y2883">
        <v>0</v>
      </c>
      <c r="Z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6">
        <v>45887</v>
      </c>
      <c r="B2884" t="s">
        <v>41</v>
      </c>
      <c r="C2884" t="s">
        <v>42</v>
      </c>
      <c r="D2884" t="s">
        <v>43</v>
      </c>
      <c r="E2884" t="s">
        <v>44</v>
      </c>
      <c r="F2884">
        <v>85</v>
      </c>
      <c r="G2884">
        <v>210</v>
      </c>
      <c r="H2884">
        <v>128</v>
      </c>
      <c r="I2884">
        <v>57</v>
      </c>
      <c r="J2884" s="8">
        <v>0.6705882352941176</v>
      </c>
      <c r="K2884">
        <v>26</v>
      </c>
      <c r="L2884">
        <v>26</v>
      </c>
      <c r="M2884">
        <v>116</v>
      </c>
      <c r="N2884" s="10">
        <v>580.49</v>
      </c>
      <c r="O2884" s="7">
        <v>2.8</v>
      </c>
      <c r="P2884" s="7">
        <v>28.9</v>
      </c>
      <c r="Q2884">
        <v>0</v>
      </c>
      <c r="R2884" t="s">
        <v>62</v>
      </c>
      <c r="S2884">
        <v>8</v>
      </c>
      <c r="T2884">
        <v>230</v>
      </c>
      <c r="U2884" s="11">
        <v>0</v>
      </c>
      <c r="V2884" s="11">
        <v>1</v>
      </c>
      <c r="W2884" s="11">
        <v>-0.7157953492826642</v>
      </c>
      <c r="X2884" s="11">
        <v>-0.6983101158835584</v>
      </c>
      <c r="Y2884">
        <v>0</v>
      </c>
      <c r="Z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6">
        <v>45888</v>
      </c>
      <c r="B2885" t="s">
        <v>31</v>
      </c>
      <c r="C2885" t="s">
        <v>32</v>
      </c>
      <c r="D2885" t="s">
        <v>33</v>
      </c>
      <c r="E2885" t="s">
        <v>34</v>
      </c>
      <c r="F2885">
        <v>140</v>
      </c>
      <c r="G2885">
        <v>360</v>
      </c>
      <c r="H2885">
        <v>202</v>
      </c>
      <c r="I2885">
        <v>84</v>
      </c>
      <c r="J2885" s="8">
        <v>0.6</v>
      </c>
      <c r="K2885">
        <v>32</v>
      </c>
      <c r="L2885">
        <v>53</v>
      </c>
      <c r="M2885">
        <v>183</v>
      </c>
      <c r="N2885" s="10">
        <v>423.07</v>
      </c>
      <c r="O2885" s="7">
        <v>2.8</v>
      </c>
      <c r="P2885" s="7">
        <v>29.4</v>
      </c>
      <c r="Q2885">
        <v>1</v>
      </c>
      <c r="R2885" t="s">
        <v>63</v>
      </c>
      <c r="S2885">
        <v>8</v>
      </c>
      <c r="T2885">
        <v>231</v>
      </c>
      <c r="U2885" s="11">
        <v>0.7818314824680298</v>
      </c>
      <c r="V2885" s="11">
        <v>0.62348980185873359</v>
      </c>
      <c r="W2885" s="11">
        <v>-0.72770147572642363</v>
      </c>
      <c r="X2885" s="11">
        <v>-0.68589398759982234</v>
      </c>
      <c r="Y2885">
        <v>0</v>
      </c>
      <c r="Z2885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s="6">
        <v>45888</v>
      </c>
      <c r="B2886" t="s">
        <v>36</v>
      </c>
      <c r="C2886" t="s">
        <v>37</v>
      </c>
      <c r="D2886" t="s">
        <v>38</v>
      </c>
      <c r="E2886" t="s">
        <v>39</v>
      </c>
      <c r="F2886">
        <v>125</v>
      </c>
      <c r="G2886">
        <v>320</v>
      </c>
      <c r="H2886">
        <v>172</v>
      </c>
      <c r="I2886">
        <v>73</v>
      </c>
      <c r="J2886" s="8">
        <v>0.58399999999999996</v>
      </c>
      <c r="K2886">
        <v>42</v>
      </c>
      <c r="L2886">
        <v>21</v>
      </c>
      <c r="M2886">
        <v>159</v>
      </c>
      <c r="N2886" s="10">
        <v>640.1</v>
      </c>
      <c r="O2886" s="7">
        <v>2.8</v>
      </c>
      <c r="P2886" s="7">
        <v>29.4</v>
      </c>
      <c r="Q2886">
        <v>1</v>
      </c>
      <c r="R2886" t="s">
        <v>63</v>
      </c>
      <c r="S2886">
        <v>8</v>
      </c>
      <c r="T2886">
        <v>231</v>
      </c>
      <c r="U2886" s="11">
        <v>0.7818314824680298</v>
      </c>
      <c r="V2886" s="11">
        <v>0.62348980185873359</v>
      </c>
      <c r="W2886" s="11">
        <v>-0.72770147572642363</v>
      </c>
      <c r="X2886" s="11">
        <v>-0.68589398759982234</v>
      </c>
      <c r="Y2886">
        <v>0</v>
      </c>
      <c r="Z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6">
        <v>45888</v>
      </c>
      <c r="B2887" t="s">
        <v>41</v>
      </c>
      <c r="C2887" t="s">
        <v>42</v>
      </c>
      <c r="D2887" t="s">
        <v>43</v>
      </c>
      <c r="E2887" t="s">
        <v>44</v>
      </c>
      <c r="F2887">
        <v>85</v>
      </c>
      <c r="G2887">
        <v>210</v>
      </c>
      <c r="H2887">
        <v>149</v>
      </c>
      <c r="I2887">
        <v>63</v>
      </c>
      <c r="J2887" s="8">
        <v>0.74117647058823533</v>
      </c>
      <c r="K2887">
        <v>42</v>
      </c>
      <c r="L2887">
        <v>27</v>
      </c>
      <c r="M2887">
        <v>125</v>
      </c>
      <c r="N2887" s="10">
        <v>577.95000000000005</v>
      </c>
      <c r="O2887" s="7">
        <v>2.8</v>
      </c>
      <c r="P2887" s="7">
        <v>29.4</v>
      </c>
      <c r="Q2887">
        <v>1</v>
      </c>
      <c r="R2887" t="s">
        <v>63</v>
      </c>
      <c r="S2887">
        <v>8</v>
      </c>
      <c r="T2887">
        <v>231</v>
      </c>
      <c r="U2887" s="11">
        <v>0.7818314824680298</v>
      </c>
      <c r="V2887" s="11">
        <v>0.62348980185873359</v>
      </c>
      <c r="W2887" s="11">
        <v>-0.72770147572642363</v>
      </c>
      <c r="X2887" s="11">
        <v>-0.68589398759982234</v>
      </c>
      <c r="Y2887">
        <v>0</v>
      </c>
      <c r="Z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6">
        <v>45889</v>
      </c>
      <c r="B2888" t="s">
        <v>31</v>
      </c>
      <c r="C2888" t="s">
        <v>32</v>
      </c>
      <c r="D2888" t="s">
        <v>33</v>
      </c>
      <c r="E2888" t="s">
        <v>34</v>
      </c>
      <c r="F2888">
        <v>140</v>
      </c>
      <c r="G2888">
        <v>360</v>
      </c>
      <c r="H2888">
        <v>192</v>
      </c>
      <c r="I2888">
        <v>83</v>
      </c>
      <c r="J2888" s="8">
        <v>0.59285714285714286</v>
      </c>
      <c r="K2888">
        <v>39</v>
      </c>
      <c r="L2888">
        <v>26</v>
      </c>
      <c r="M2888">
        <v>173</v>
      </c>
      <c r="N2888" s="10">
        <v>399.02</v>
      </c>
      <c r="O2888" s="7">
        <v>2.2000000000000002</v>
      </c>
      <c r="P2888" s="7">
        <v>28.9</v>
      </c>
      <c r="Q2888">
        <v>2</v>
      </c>
      <c r="R2888" t="s">
        <v>64</v>
      </c>
      <c r="S2888">
        <v>8</v>
      </c>
      <c r="T2888">
        <v>232</v>
      </c>
      <c r="U2888" s="11">
        <v>0.97492791218182362</v>
      </c>
      <c r="V2888" s="11">
        <v>-0.22252093395631434</v>
      </c>
      <c r="W2888" s="11">
        <v>-0.73939226359592414</v>
      </c>
      <c r="X2888" s="11">
        <v>-0.673274892250183</v>
      </c>
      <c r="Y2888">
        <v>0</v>
      </c>
      <c r="Z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6">
        <v>45889</v>
      </c>
      <c r="B2889" t="s">
        <v>36</v>
      </c>
      <c r="C2889" t="s">
        <v>37</v>
      </c>
      <c r="D2889" t="s">
        <v>38</v>
      </c>
      <c r="E2889" t="s">
        <v>39</v>
      </c>
      <c r="F2889">
        <v>125</v>
      </c>
      <c r="G2889">
        <v>320</v>
      </c>
      <c r="H2889">
        <v>177</v>
      </c>
      <c r="I2889">
        <v>73</v>
      </c>
      <c r="J2889" s="8">
        <v>0.58399999999999996</v>
      </c>
      <c r="K2889">
        <v>45</v>
      </c>
      <c r="L2889">
        <v>37</v>
      </c>
      <c r="M2889">
        <v>164</v>
      </c>
      <c r="N2889" s="10">
        <v>641.21</v>
      </c>
      <c r="O2889" s="7">
        <v>2.2000000000000002</v>
      </c>
      <c r="P2889" s="7">
        <v>28.9</v>
      </c>
      <c r="Q2889">
        <v>2</v>
      </c>
      <c r="R2889" t="s">
        <v>64</v>
      </c>
      <c r="S2889">
        <v>8</v>
      </c>
      <c r="T2889">
        <v>232</v>
      </c>
      <c r="U2889" s="11">
        <v>0.97492791218182362</v>
      </c>
      <c r="V2889" s="11">
        <v>-0.22252093395631434</v>
      </c>
      <c r="W2889" s="11">
        <v>-0.73939226359592414</v>
      </c>
      <c r="X2889" s="11">
        <v>-0.673274892250183</v>
      </c>
      <c r="Y2889">
        <v>0</v>
      </c>
      <c r="Z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6">
        <v>45889</v>
      </c>
      <c r="B2890" t="s">
        <v>41</v>
      </c>
      <c r="C2890" t="s">
        <v>42</v>
      </c>
      <c r="D2890" t="s">
        <v>43</v>
      </c>
      <c r="E2890" t="s">
        <v>44</v>
      </c>
      <c r="F2890">
        <v>85</v>
      </c>
      <c r="G2890">
        <v>210</v>
      </c>
      <c r="H2890">
        <v>113</v>
      </c>
      <c r="I2890">
        <v>55</v>
      </c>
      <c r="J2890" s="8">
        <v>0.6470588235294118</v>
      </c>
      <c r="K2890">
        <v>27</v>
      </c>
      <c r="L2890">
        <v>19</v>
      </c>
      <c r="M2890">
        <v>95</v>
      </c>
      <c r="N2890" s="10">
        <v>569.99</v>
      </c>
      <c r="O2890" s="7">
        <v>2.2000000000000002</v>
      </c>
      <c r="P2890" s="7">
        <v>28.9</v>
      </c>
      <c r="Q2890">
        <v>2</v>
      </c>
      <c r="R2890" t="s">
        <v>64</v>
      </c>
      <c r="S2890">
        <v>8</v>
      </c>
      <c r="T2890">
        <v>232</v>
      </c>
      <c r="U2890" s="11">
        <v>0.97492791218182362</v>
      </c>
      <c r="V2890" s="11">
        <v>-0.22252093395631434</v>
      </c>
      <c r="W2890" s="11">
        <v>-0.73939226359592414</v>
      </c>
      <c r="X2890" s="11">
        <v>-0.673274892250183</v>
      </c>
      <c r="Y2890">
        <v>0</v>
      </c>
      <c r="Z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6">
        <v>45890</v>
      </c>
      <c r="B2891" t="s">
        <v>31</v>
      </c>
      <c r="C2891" t="s">
        <v>32</v>
      </c>
      <c r="D2891" t="s">
        <v>33</v>
      </c>
      <c r="E2891" t="s">
        <v>34</v>
      </c>
      <c r="F2891">
        <v>140</v>
      </c>
      <c r="G2891">
        <v>360</v>
      </c>
      <c r="H2891">
        <v>191</v>
      </c>
      <c r="I2891">
        <v>80</v>
      </c>
      <c r="J2891" s="8">
        <v>0.5714285714285714</v>
      </c>
      <c r="K2891">
        <v>52</v>
      </c>
      <c r="L2891">
        <v>19</v>
      </c>
      <c r="M2891">
        <v>167</v>
      </c>
      <c r="N2891" s="10">
        <v>410.44</v>
      </c>
      <c r="O2891" s="7">
        <v>0</v>
      </c>
      <c r="P2891" s="7">
        <v>27.3</v>
      </c>
      <c r="Q2891">
        <v>3</v>
      </c>
      <c r="R2891" t="s">
        <v>65</v>
      </c>
      <c r="S2891">
        <v>8</v>
      </c>
      <c r="T2891">
        <v>233</v>
      </c>
      <c r="U2891" s="11">
        <v>0.43388373911755823</v>
      </c>
      <c r="V2891" s="11">
        <v>-0.90096886790241903</v>
      </c>
      <c r="W2891" s="11">
        <v>-0.75086425339894891</v>
      </c>
      <c r="X2891" s="11">
        <v>-0.66045656402797537</v>
      </c>
      <c r="Y2891">
        <v>0</v>
      </c>
      <c r="Z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6">
        <v>45890</v>
      </c>
      <c r="B2892" t="s">
        <v>36</v>
      </c>
      <c r="C2892" t="s">
        <v>37</v>
      </c>
      <c r="D2892" t="s">
        <v>38</v>
      </c>
      <c r="E2892" t="s">
        <v>39</v>
      </c>
      <c r="F2892">
        <v>125</v>
      </c>
      <c r="G2892">
        <v>320</v>
      </c>
      <c r="H2892">
        <v>179</v>
      </c>
      <c r="I2892">
        <v>74</v>
      </c>
      <c r="J2892" s="8">
        <v>0.59199999999999997</v>
      </c>
      <c r="K2892">
        <v>28</v>
      </c>
      <c r="L2892">
        <v>42</v>
      </c>
      <c r="M2892">
        <v>162</v>
      </c>
      <c r="N2892" s="10">
        <v>672.43</v>
      </c>
      <c r="O2892" s="7">
        <v>0</v>
      </c>
      <c r="P2892" s="7">
        <v>27.3</v>
      </c>
      <c r="Q2892">
        <v>3</v>
      </c>
      <c r="R2892" t="s">
        <v>65</v>
      </c>
      <c r="S2892">
        <v>8</v>
      </c>
      <c r="T2892">
        <v>233</v>
      </c>
      <c r="U2892" s="11">
        <v>0.43388373911755823</v>
      </c>
      <c r="V2892" s="11">
        <v>-0.90096886790241903</v>
      </c>
      <c r="W2892" s="11">
        <v>-0.75086425339894891</v>
      </c>
      <c r="X2892" s="11">
        <v>-0.66045656402797537</v>
      </c>
      <c r="Y2892">
        <v>0</v>
      </c>
      <c r="Z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6">
        <v>45890</v>
      </c>
      <c r="B2893" t="s">
        <v>41</v>
      </c>
      <c r="C2893" t="s">
        <v>42</v>
      </c>
      <c r="D2893" t="s">
        <v>43</v>
      </c>
      <c r="E2893" t="s">
        <v>44</v>
      </c>
      <c r="F2893">
        <v>85</v>
      </c>
      <c r="G2893">
        <v>210</v>
      </c>
      <c r="H2893">
        <v>110</v>
      </c>
      <c r="I2893">
        <v>49</v>
      </c>
      <c r="J2893" s="8">
        <v>0.57647058823529407</v>
      </c>
      <c r="K2893">
        <v>27</v>
      </c>
      <c r="L2893">
        <v>22</v>
      </c>
      <c r="M2893">
        <v>90</v>
      </c>
      <c r="N2893" s="10">
        <v>500.66</v>
      </c>
      <c r="O2893" s="7">
        <v>0</v>
      </c>
      <c r="P2893" s="7">
        <v>27.3</v>
      </c>
      <c r="Q2893">
        <v>3</v>
      </c>
      <c r="R2893" t="s">
        <v>65</v>
      </c>
      <c r="S2893">
        <v>8</v>
      </c>
      <c r="T2893">
        <v>233</v>
      </c>
      <c r="U2893" s="11">
        <v>0.43388373911755823</v>
      </c>
      <c r="V2893" s="11">
        <v>-0.90096886790241903</v>
      </c>
      <c r="W2893" s="11">
        <v>-0.75086425339894891</v>
      </c>
      <c r="X2893" s="11">
        <v>-0.66045656402797537</v>
      </c>
      <c r="Y2893">
        <v>0</v>
      </c>
      <c r="Z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6">
        <v>45891</v>
      </c>
      <c r="B2894" t="s">
        <v>31</v>
      </c>
      <c r="C2894" t="s">
        <v>32</v>
      </c>
      <c r="D2894" t="s">
        <v>33</v>
      </c>
      <c r="E2894" t="s">
        <v>34</v>
      </c>
      <c r="F2894">
        <v>140</v>
      </c>
      <c r="G2894">
        <v>360</v>
      </c>
      <c r="H2894">
        <v>200</v>
      </c>
      <c r="I2894">
        <v>87</v>
      </c>
      <c r="J2894" s="8">
        <v>0.62142857142857144</v>
      </c>
      <c r="K2894">
        <v>24</v>
      </c>
      <c r="L2894">
        <v>47</v>
      </c>
      <c r="M2894">
        <v>176</v>
      </c>
      <c r="N2894" s="10">
        <v>388.21</v>
      </c>
      <c r="O2894" s="7">
        <v>0.2</v>
      </c>
      <c r="P2894" s="7">
        <v>28.7</v>
      </c>
      <c r="Q2894">
        <v>4</v>
      </c>
      <c r="R2894" t="s">
        <v>66</v>
      </c>
      <c r="S2894">
        <v>8</v>
      </c>
      <c r="T2894">
        <v>234</v>
      </c>
      <c r="U2894" s="11">
        <v>-0.43388373911755801</v>
      </c>
      <c r="V2894" s="11">
        <v>-0.90096886790241915</v>
      </c>
      <c r="W2894" s="11">
        <v>-0.7621140503891487</v>
      </c>
      <c r="X2894" s="11">
        <v>-0.64744279608274746</v>
      </c>
      <c r="Y2894">
        <v>0</v>
      </c>
      <c r="Z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6">
        <v>45891</v>
      </c>
      <c r="B2895" t="s">
        <v>36</v>
      </c>
      <c r="C2895" t="s">
        <v>37</v>
      </c>
      <c r="D2895" t="s">
        <v>38</v>
      </c>
      <c r="E2895" t="s">
        <v>39</v>
      </c>
      <c r="F2895">
        <v>125</v>
      </c>
      <c r="G2895">
        <v>320</v>
      </c>
      <c r="H2895">
        <v>158</v>
      </c>
      <c r="I2895">
        <v>64</v>
      </c>
      <c r="J2895" s="8">
        <v>0.51200000000000001</v>
      </c>
      <c r="K2895">
        <v>37</v>
      </c>
      <c r="L2895">
        <v>32</v>
      </c>
      <c r="M2895">
        <v>147</v>
      </c>
      <c r="N2895" s="10">
        <v>675.33</v>
      </c>
      <c r="O2895" s="7">
        <v>0.2</v>
      </c>
      <c r="P2895" s="7">
        <v>28.7</v>
      </c>
      <c r="Q2895">
        <v>4</v>
      </c>
      <c r="R2895" t="s">
        <v>66</v>
      </c>
      <c r="S2895">
        <v>8</v>
      </c>
      <c r="T2895">
        <v>234</v>
      </c>
      <c r="U2895" s="11">
        <v>-0.43388373911755801</v>
      </c>
      <c r="V2895" s="11">
        <v>-0.90096886790241915</v>
      </c>
      <c r="W2895" s="11">
        <v>-0.7621140503891487</v>
      </c>
      <c r="X2895" s="11">
        <v>-0.64744279608274746</v>
      </c>
      <c r="Y2895">
        <v>0</v>
      </c>
      <c r="Z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6">
        <v>45891</v>
      </c>
      <c r="B2896" t="s">
        <v>41</v>
      </c>
      <c r="C2896" t="s">
        <v>42</v>
      </c>
      <c r="D2896" t="s">
        <v>43</v>
      </c>
      <c r="E2896" t="s">
        <v>44</v>
      </c>
      <c r="F2896">
        <v>85</v>
      </c>
      <c r="G2896">
        <v>210</v>
      </c>
      <c r="H2896">
        <v>124</v>
      </c>
      <c r="I2896">
        <v>58</v>
      </c>
      <c r="J2896" s="8">
        <v>0.68235294117647061</v>
      </c>
      <c r="K2896">
        <v>28</v>
      </c>
      <c r="L2896">
        <v>21</v>
      </c>
      <c r="M2896">
        <v>100</v>
      </c>
      <c r="N2896" s="10">
        <v>491.16</v>
      </c>
      <c r="O2896" s="7">
        <v>0.2</v>
      </c>
      <c r="P2896" s="7">
        <v>28.7</v>
      </c>
      <c r="Q2896">
        <v>4</v>
      </c>
      <c r="R2896" t="s">
        <v>66</v>
      </c>
      <c r="S2896">
        <v>8</v>
      </c>
      <c r="T2896">
        <v>234</v>
      </c>
      <c r="U2896" s="11">
        <v>-0.43388373911755801</v>
      </c>
      <c r="V2896" s="11">
        <v>-0.90096886790241915</v>
      </c>
      <c r="W2896" s="11">
        <v>-0.7621140503891487</v>
      </c>
      <c r="X2896" s="11">
        <v>-0.64744279608274746</v>
      </c>
      <c r="Y2896">
        <v>0</v>
      </c>
      <c r="Z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6">
        <v>45892</v>
      </c>
      <c r="B2897" t="s">
        <v>31</v>
      </c>
      <c r="C2897" t="s">
        <v>32</v>
      </c>
      <c r="D2897" t="s">
        <v>33</v>
      </c>
      <c r="E2897" t="s">
        <v>34</v>
      </c>
      <c r="F2897">
        <v>140</v>
      </c>
      <c r="G2897">
        <v>360</v>
      </c>
      <c r="H2897">
        <v>217</v>
      </c>
      <c r="I2897">
        <v>91</v>
      </c>
      <c r="J2897" s="8">
        <v>0.65</v>
      </c>
      <c r="K2897">
        <v>52</v>
      </c>
      <c r="L2897">
        <v>33</v>
      </c>
      <c r="M2897">
        <v>186</v>
      </c>
      <c r="N2897" s="10">
        <v>503.67</v>
      </c>
      <c r="O2897" s="7">
        <v>3.5</v>
      </c>
      <c r="P2897" s="7">
        <v>30.3</v>
      </c>
      <c r="Q2897">
        <v>5</v>
      </c>
      <c r="R2897" t="s">
        <v>67</v>
      </c>
      <c r="S2897">
        <v>8</v>
      </c>
      <c r="T2897">
        <v>235</v>
      </c>
      <c r="U2897" s="11">
        <v>-0.97492791218182362</v>
      </c>
      <c r="V2897" s="11">
        <v>-0.22252093395631459</v>
      </c>
      <c r="W2897" s="11">
        <v>-0.77313832557060258</v>
      </c>
      <c r="X2897" s="11">
        <v>-0.63423743939780541</v>
      </c>
      <c r="Y2897">
        <v>1</v>
      </c>
      <c r="Z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6">
        <v>45892</v>
      </c>
      <c r="B2898" t="s">
        <v>36</v>
      </c>
      <c r="C2898" t="s">
        <v>37</v>
      </c>
      <c r="D2898" t="s">
        <v>38</v>
      </c>
      <c r="E2898" t="s">
        <v>39</v>
      </c>
      <c r="F2898">
        <v>125</v>
      </c>
      <c r="G2898">
        <v>320</v>
      </c>
      <c r="H2898">
        <v>196</v>
      </c>
      <c r="I2898">
        <v>83</v>
      </c>
      <c r="J2898" s="8">
        <v>0.66400000000000003</v>
      </c>
      <c r="K2898">
        <v>28</v>
      </c>
      <c r="L2898">
        <v>44</v>
      </c>
      <c r="M2898">
        <v>182</v>
      </c>
      <c r="N2898" s="10">
        <v>640.19000000000005</v>
      </c>
      <c r="O2898" s="7">
        <v>3.5</v>
      </c>
      <c r="P2898" s="7">
        <v>30.3</v>
      </c>
      <c r="Q2898">
        <v>5</v>
      </c>
      <c r="R2898" t="s">
        <v>67</v>
      </c>
      <c r="S2898">
        <v>8</v>
      </c>
      <c r="T2898">
        <v>235</v>
      </c>
      <c r="U2898" s="11">
        <v>-0.97492791218182362</v>
      </c>
      <c r="V2898" s="11">
        <v>-0.22252093395631459</v>
      </c>
      <c r="W2898" s="11">
        <v>-0.77313832557060258</v>
      </c>
      <c r="X2898" s="11">
        <v>-0.63423743939780541</v>
      </c>
      <c r="Y2898">
        <v>1</v>
      </c>
      <c r="Z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6">
        <v>45892</v>
      </c>
      <c r="B2899" t="s">
        <v>41</v>
      </c>
      <c r="C2899" t="s">
        <v>42</v>
      </c>
      <c r="D2899" t="s">
        <v>43</v>
      </c>
      <c r="E2899" t="s">
        <v>44</v>
      </c>
      <c r="F2899">
        <v>85</v>
      </c>
      <c r="G2899">
        <v>210</v>
      </c>
      <c r="H2899">
        <v>147</v>
      </c>
      <c r="I2899">
        <v>64</v>
      </c>
      <c r="J2899" s="8">
        <v>0.75294117647058822</v>
      </c>
      <c r="K2899">
        <v>33</v>
      </c>
      <c r="L2899">
        <v>29</v>
      </c>
      <c r="M2899">
        <v>134</v>
      </c>
      <c r="N2899" s="10">
        <v>642.59</v>
      </c>
      <c r="O2899" s="7">
        <v>3.5</v>
      </c>
      <c r="P2899" s="7">
        <v>30.3</v>
      </c>
      <c r="Q2899">
        <v>5</v>
      </c>
      <c r="R2899" t="s">
        <v>67</v>
      </c>
      <c r="S2899">
        <v>8</v>
      </c>
      <c r="T2899">
        <v>235</v>
      </c>
      <c r="U2899" s="11">
        <v>-0.97492791218182362</v>
      </c>
      <c r="V2899" s="11">
        <v>-0.22252093395631459</v>
      </c>
      <c r="W2899" s="11">
        <v>-0.77313832557060258</v>
      </c>
      <c r="X2899" s="11">
        <v>-0.63423743939780541</v>
      </c>
      <c r="Y2899">
        <v>1</v>
      </c>
      <c r="Z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6">
        <v>45893</v>
      </c>
      <c r="B2900" t="s">
        <v>31</v>
      </c>
      <c r="C2900" t="s">
        <v>32</v>
      </c>
      <c r="D2900" t="s">
        <v>33</v>
      </c>
      <c r="E2900" t="s">
        <v>34</v>
      </c>
      <c r="F2900">
        <v>140</v>
      </c>
      <c r="G2900">
        <v>360</v>
      </c>
      <c r="H2900">
        <v>212</v>
      </c>
      <c r="I2900">
        <v>93</v>
      </c>
      <c r="J2900" s="8">
        <v>0.66428571428571426</v>
      </c>
      <c r="K2900">
        <v>37</v>
      </c>
      <c r="L2900">
        <v>51</v>
      </c>
      <c r="M2900">
        <v>173</v>
      </c>
      <c r="N2900" s="10">
        <v>472.51</v>
      </c>
      <c r="O2900" s="7">
        <v>1.2</v>
      </c>
      <c r="P2900" s="7">
        <v>29.8</v>
      </c>
      <c r="Q2900">
        <v>6</v>
      </c>
      <c r="R2900" t="s">
        <v>60</v>
      </c>
      <c r="S2900">
        <v>8</v>
      </c>
      <c r="T2900">
        <v>236</v>
      </c>
      <c r="U2900" s="11">
        <v>-0.78183148246802991</v>
      </c>
      <c r="V2900" s="11">
        <v>0.62348980185873337</v>
      </c>
      <c r="W2900" s="11">
        <v>-0.78393381668292006</v>
      </c>
      <c r="X2900" s="11">
        <v>-0.62084440165064703</v>
      </c>
      <c r="Y2900">
        <v>1</v>
      </c>
      <c r="Z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6">
        <v>45893</v>
      </c>
      <c r="B2901" t="s">
        <v>36</v>
      </c>
      <c r="C2901" t="s">
        <v>37</v>
      </c>
      <c r="D2901" t="s">
        <v>38</v>
      </c>
      <c r="E2901" t="s">
        <v>39</v>
      </c>
      <c r="F2901">
        <v>125</v>
      </c>
      <c r="G2901">
        <v>320</v>
      </c>
      <c r="H2901">
        <v>209</v>
      </c>
      <c r="I2901">
        <v>84</v>
      </c>
      <c r="J2901" s="8">
        <v>0.67200000000000004</v>
      </c>
      <c r="K2901">
        <v>26</v>
      </c>
      <c r="L2901">
        <v>37</v>
      </c>
      <c r="M2901">
        <v>180</v>
      </c>
      <c r="N2901" s="10">
        <v>643.39</v>
      </c>
      <c r="O2901" s="7">
        <v>1.2</v>
      </c>
      <c r="P2901" s="7">
        <v>29.8</v>
      </c>
      <c r="Q2901">
        <v>6</v>
      </c>
      <c r="R2901" t="s">
        <v>60</v>
      </c>
      <c r="S2901">
        <v>8</v>
      </c>
      <c r="T2901">
        <v>236</v>
      </c>
      <c r="U2901" s="11">
        <v>-0.78183148246802991</v>
      </c>
      <c r="V2901" s="11">
        <v>0.62348980185873337</v>
      </c>
      <c r="W2901" s="11">
        <v>-0.78393381668292006</v>
      </c>
      <c r="X2901" s="11">
        <v>-0.62084440165064703</v>
      </c>
      <c r="Y2901">
        <v>1</v>
      </c>
      <c r="Z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6">
        <v>45893</v>
      </c>
      <c r="B2902" t="s">
        <v>41</v>
      </c>
      <c r="C2902" t="s">
        <v>42</v>
      </c>
      <c r="D2902" t="s">
        <v>43</v>
      </c>
      <c r="E2902" t="s">
        <v>44</v>
      </c>
      <c r="F2902">
        <v>85</v>
      </c>
      <c r="G2902">
        <v>210</v>
      </c>
      <c r="H2902">
        <v>150</v>
      </c>
      <c r="I2902">
        <v>64</v>
      </c>
      <c r="J2902" s="8">
        <v>0.75294117647058822</v>
      </c>
      <c r="K2902">
        <v>29</v>
      </c>
      <c r="L2902">
        <v>43</v>
      </c>
      <c r="M2902">
        <v>127</v>
      </c>
      <c r="N2902" s="10">
        <v>595.58000000000004</v>
      </c>
      <c r="O2902" s="7">
        <v>1.2</v>
      </c>
      <c r="P2902" s="7">
        <v>29.8</v>
      </c>
      <c r="Q2902">
        <v>6</v>
      </c>
      <c r="R2902" t="s">
        <v>60</v>
      </c>
      <c r="S2902">
        <v>8</v>
      </c>
      <c r="T2902">
        <v>236</v>
      </c>
      <c r="U2902" s="11">
        <v>-0.78183148246802991</v>
      </c>
      <c r="V2902" s="11">
        <v>0.62348980185873337</v>
      </c>
      <c r="W2902" s="11">
        <v>-0.78393381668292006</v>
      </c>
      <c r="X2902" s="11">
        <v>-0.62084440165064703</v>
      </c>
      <c r="Y2902">
        <v>1</v>
      </c>
      <c r="Z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6">
        <v>45894</v>
      </c>
      <c r="B2903" t="s">
        <v>31</v>
      </c>
      <c r="C2903" t="s">
        <v>32</v>
      </c>
      <c r="D2903" t="s">
        <v>33</v>
      </c>
      <c r="E2903" t="s">
        <v>34</v>
      </c>
      <c r="F2903">
        <v>140</v>
      </c>
      <c r="G2903">
        <v>360</v>
      </c>
      <c r="H2903">
        <v>170</v>
      </c>
      <c r="I2903">
        <v>71</v>
      </c>
      <c r="J2903" s="8">
        <v>0.50714285714285712</v>
      </c>
      <c r="K2903">
        <v>40</v>
      </c>
      <c r="L2903">
        <v>19</v>
      </c>
      <c r="M2903">
        <v>147</v>
      </c>
      <c r="N2903" s="10">
        <v>412.07</v>
      </c>
      <c r="O2903" s="7">
        <v>0</v>
      </c>
      <c r="P2903" s="7">
        <v>30.5</v>
      </c>
      <c r="Q2903">
        <v>0</v>
      </c>
      <c r="R2903" t="s">
        <v>62</v>
      </c>
      <c r="S2903">
        <v>8</v>
      </c>
      <c r="T2903">
        <v>237</v>
      </c>
      <c r="U2903" s="11">
        <v>0</v>
      </c>
      <c r="V2903" s="11">
        <v>1</v>
      </c>
      <c r="W2903" s="11">
        <v>-0.79449732916659921</v>
      </c>
      <c r="X2903" s="11">
        <v>-0.60726764605661354</v>
      </c>
      <c r="Y2903">
        <v>0</v>
      </c>
      <c r="Z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6">
        <v>45894</v>
      </c>
      <c r="B2904" t="s">
        <v>36</v>
      </c>
      <c r="C2904" t="s">
        <v>37</v>
      </c>
      <c r="D2904" t="s">
        <v>38</v>
      </c>
      <c r="E2904" t="s">
        <v>39</v>
      </c>
      <c r="F2904">
        <v>125</v>
      </c>
      <c r="G2904">
        <v>320</v>
      </c>
      <c r="H2904">
        <v>165</v>
      </c>
      <c r="I2904">
        <v>66</v>
      </c>
      <c r="J2904" s="8">
        <v>0.52800000000000002</v>
      </c>
      <c r="K2904">
        <v>42</v>
      </c>
      <c r="L2904">
        <v>41</v>
      </c>
      <c r="M2904">
        <v>138</v>
      </c>
      <c r="N2904" s="10">
        <v>578.13</v>
      </c>
      <c r="O2904" s="7">
        <v>0</v>
      </c>
      <c r="P2904" s="7">
        <v>30.5</v>
      </c>
      <c r="Q2904">
        <v>0</v>
      </c>
      <c r="R2904" t="s">
        <v>62</v>
      </c>
      <c r="S2904">
        <v>8</v>
      </c>
      <c r="T2904">
        <v>237</v>
      </c>
      <c r="U2904" s="11">
        <v>0</v>
      </c>
      <c r="V2904" s="11">
        <v>1</v>
      </c>
      <c r="W2904" s="11">
        <v>-0.79449732916659921</v>
      </c>
      <c r="X2904" s="11">
        <v>-0.60726764605661354</v>
      </c>
      <c r="Y2904">
        <v>0</v>
      </c>
      <c r="Z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6">
        <v>45894</v>
      </c>
      <c r="B2905" t="s">
        <v>41</v>
      </c>
      <c r="C2905" t="s">
        <v>42</v>
      </c>
      <c r="D2905" t="s">
        <v>43</v>
      </c>
      <c r="E2905" t="s">
        <v>44</v>
      </c>
      <c r="F2905">
        <v>85</v>
      </c>
      <c r="G2905">
        <v>210</v>
      </c>
      <c r="H2905">
        <v>113</v>
      </c>
      <c r="I2905">
        <v>53</v>
      </c>
      <c r="J2905" s="8">
        <v>0.62352941176470589</v>
      </c>
      <c r="K2905">
        <v>21</v>
      </c>
      <c r="L2905">
        <v>16</v>
      </c>
      <c r="M2905">
        <v>103</v>
      </c>
      <c r="N2905" s="10">
        <v>505.73</v>
      </c>
      <c r="O2905" s="7">
        <v>0</v>
      </c>
      <c r="P2905" s="7">
        <v>30.5</v>
      </c>
      <c r="Q2905">
        <v>0</v>
      </c>
      <c r="R2905" t="s">
        <v>62</v>
      </c>
      <c r="S2905">
        <v>8</v>
      </c>
      <c r="T2905">
        <v>237</v>
      </c>
      <c r="U2905" s="11">
        <v>0</v>
      </c>
      <c r="V2905" s="11">
        <v>1</v>
      </c>
      <c r="W2905" s="11">
        <v>-0.79449732916659921</v>
      </c>
      <c r="X2905" s="11">
        <v>-0.60726764605661354</v>
      </c>
      <c r="Y2905">
        <v>0</v>
      </c>
      <c r="Z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6">
        <v>45895</v>
      </c>
      <c r="B2906" t="s">
        <v>31</v>
      </c>
      <c r="C2906" t="s">
        <v>32</v>
      </c>
      <c r="D2906" t="s">
        <v>33</v>
      </c>
      <c r="E2906" t="s">
        <v>34</v>
      </c>
      <c r="F2906">
        <v>140</v>
      </c>
      <c r="G2906">
        <v>360</v>
      </c>
      <c r="H2906">
        <v>172</v>
      </c>
      <c r="I2906">
        <v>76</v>
      </c>
      <c r="J2906" s="8">
        <v>0.54285714285714282</v>
      </c>
      <c r="K2906">
        <v>25</v>
      </c>
      <c r="L2906">
        <v>36</v>
      </c>
      <c r="M2906">
        <v>162</v>
      </c>
      <c r="N2906" s="10">
        <v>407.4</v>
      </c>
      <c r="O2906" s="7">
        <v>0</v>
      </c>
      <c r="P2906" s="7">
        <v>28.8</v>
      </c>
      <c r="Q2906">
        <v>1</v>
      </c>
      <c r="R2906" t="s">
        <v>63</v>
      </c>
      <c r="S2906">
        <v>8</v>
      </c>
      <c r="T2906">
        <v>238</v>
      </c>
      <c r="U2906" s="11">
        <v>0.7818314824680298</v>
      </c>
      <c r="V2906" s="11">
        <v>0.62348980185873359</v>
      </c>
      <c r="W2906" s="11">
        <v>-0.80482573710834515</v>
      </c>
      <c r="X2906" s="11">
        <v>-0.59351119019611498</v>
      </c>
      <c r="Y2906">
        <v>0</v>
      </c>
      <c r="Z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6">
        <v>45895</v>
      </c>
      <c r="B2907" t="s">
        <v>36</v>
      </c>
      <c r="C2907" t="s">
        <v>37</v>
      </c>
      <c r="D2907" t="s">
        <v>38</v>
      </c>
      <c r="E2907" t="s">
        <v>39</v>
      </c>
      <c r="F2907">
        <v>125</v>
      </c>
      <c r="G2907">
        <v>320</v>
      </c>
      <c r="H2907">
        <v>169</v>
      </c>
      <c r="I2907">
        <v>71</v>
      </c>
      <c r="J2907" s="8">
        <v>0.56799999999999995</v>
      </c>
      <c r="K2907">
        <v>26</v>
      </c>
      <c r="L2907">
        <v>27</v>
      </c>
      <c r="M2907">
        <v>140</v>
      </c>
      <c r="N2907" s="10">
        <v>586.66999999999996</v>
      </c>
      <c r="O2907" s="7">
        <v>0</v>
      </c>
      <c r="P2907" s="7">
        <v>28.8</v>
      </c>
      <c r="Q2907">
        <v>1</v>
      </c>
      <c r="R2907" t="s">
        <v>63</v>
      </c>
      <c r="S2907">
        <v>8</v>
      </c>
      <c r="T2907">
        <v>238</v>
      </c>
      <c r="U2907" s="11">
        <v>0.7818314824680298</v>
      </c>
      <c r="V2907" s="11">
        <v>0.62348980185873359</v>
      </c>
      <c r="W2907" s="11">
        <v>-0.80482573710834515</v>
      </c>
      <c r="X2907" s="11">
        <v>-0.59351119019611498</v>
      </c>
      <c r="Y2907">
        <v>0</v>
      </c>
      <c r="Z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6">
        <v>45895</v>
      </c>
      <c r="B2908" t="s">
        <v>41</v>
      </c>
      <c r="C2908" t="s">
        <v>42</v>
      </c>
      <c r="D2908" t="s">
        <v>43</v>
      </c>
      <c r="E2908" t="s">
        <v>44</v>
      </c>
      <c r="F2908">
        <v>85</v>
      </c>
      <c r="G2908">
        <v>210</v>
      </c>
      <c r="H2908">
        <v>134</v>
      </c>
      <c r="I2908">
        <v>55</v>
      </c>
      <c r="J2908" s="8">
        <v>0.6470588235294118</v>
      </c>
      <c r="K2908">
        <v>30</v>
      </c>
      <c r="L2908">
        <v>24</v>
      </c>
      <c r="M2908">
        <v>113</v>
      </c>
      <c r="N2908" s="10">
        <v>531.62</v>
      </c>
      <c r="O2908" s="7">
        <v>0</v>
      </c>
      <c r="P2908" s="7">
        <v>28.8</v>
      </c>
      <c r="Q2908">
        <v>1</v>
      </c>
      <c r="R2908" t="s">
        <v>63</v>
      </c>
      <c r="S2908">
        <v>8</v>
      </c>
      <c r="T2908">
        <v>238</v>
      </c>
      <c r="U2908" s="11">
        <v>0.7818314824680298</v>
      </c>
      <c r="V2908" s="11">
        <v>0.62348980185873359</v>
      </c>
      <c r="W2908" s="11">
        <v>-0.80482573710834515</v>
      </c>
      <c r="X2908" s="11">
        <v>-0.59351119019611498</v>
      </c>
      <c r="Y2908">
        <v>0</v>
      </c>
      <c r="Z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6">
        <v>45896</v>
      </c>
      <c r="B2909" t="s">
        <v>31</v>
      </c>
      <c r="C2909" t="s">
        <v>32</v>
      </c>
      <c r="D2909" t="s">
        <v>33</v>
      </c>
      <c r="E2909" t="s">
        <v>34</v>
      </c>
      <c r="F2909">
        <v>140</v>
      </c>
      <c r="G2909">
        <v>360</v>
      </c>
      <c r="H2909">
        <v>178</v>
      </c>
      <c r="I2909">
        <v>75</v>
      </c>
      <c r="J2909" s="8">
        <v>0.5357142857142857</v>
      </c>
      <c r="K2909">
        <v>32</v>
      </c>
      <c r="L2909">
        <v>26</v>
      </c>
      <c r="M2909">
        <v>167</v>
      </c>
      <c r="N2909" s="10">
        <v>456.58</v>
      </c>
      <c r="O2909" s="7">
        <v>4.4000000000000004</v>
      </c>
      <c r="P2909" s="7">
        <v>27.9</v>
      </c>
      <c r="Q2909">
        <v>2</v>
      </c>
      <c r="R2909" t="s">
        <v>64</v>
      </c>
      <c r="S2909">
        <v>8</v>
      </c>
      <c r="T2909">
        <v>239</v>
      </c>
      <c r="U2909" s="11">
        <v>0.97492791218182362</v>
      </c>
      <c r="V2909" s="11">
        <v>-0.22252093395631434</v>
      </c>
      <c r="W2909" s="11">
        <v>-0.81491598416607913</v>
      </c>
      <c r="X2909" s="11">
        <v>-0.57957910482576125</v>
      </c>
      <c r="Y2909">
        <v>0</v>
      </c>
      <c r="Z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6">
        <v>45896</v>
      </c>
      <c r="B2910" t="s">
        <v>36</v>
      </c>
      <c r="C2910" t="s">
        <v>37</v>
      </c>
      <c r="D2910" t="s">
        <v>38</v>
      </c>
      <c r="E2910" t="s">
        <v>39</v>
      </c>
      <c r="F2910">
        <v>125</v>
      </c>
      <c r="G2910">
        <v>320</v>
      </c>
      <c r="H2910">
        <v>165</v>
      </c>
      <c r="I2910">
        <v>71</v>
      </c>
      <c r="J2910" s="8">
        <v>0.56799999999999995</v>
      </c>
      <c r="K2910">
        <v>18</v>
      </c>
      <c r="L2910">
        <v>21</v>
      </c>
      <c r="M2910">
        <v>139</v>
      </c>
      <c r="N2910" s="10">
        <v>682.54</v>
      </c>
      <c r="O2910" s="7">
        <v>4.4000000000000004</v>
      </c>
      <c r="P2910" s="7">
        <v>27.9</v>
      </c>
      <c r="Q2910">
        <v>2</v>
      </c>
      <c r="R2910" t="s">
        <v>64</v>
      </c>
      <c r="S2910">
        <v>8</v>
      </c>
      <c r="T2910">
        <v>239</v>
      </c>
      <c r="U2910" s="11">
        <v>0.97492791218182362</v>
      </c>
      <c r="V2910" s="11">
        <v>-0.22252093395631434</v>
      </c>
      <c r="W2910" s="11">
        <v>-0.81491598416607913</v>
      </c>
      <c r="X2910" s="11">
        <v>-0.57957910482576125</v>
      </c>
      <c r="Y2910">
        <v>0</v>
      </c>
      <c r="Z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6">
        <v>45896</v>
      </c>
      <c r="B2911" t="s">
        <v>41</v>
      </c>
      <c r="C2911" t="s">
        <v>42</v>
      </c>
      <c r="D2911" t="s">
        <v>43</v>
      </c>
      <c r="E2911" t="s">
        <v>44</v>
      </c>
      <c r="F2911">
        <v>85</v>
      </c>
      <c r="G2911">
        <v>210</v>
      </c>
      <c r="H2911">
        <v>119</v>
      </c>
      <c r="I2911">
        <v>51</v>
      </c>
      <c r="J2911" s="8">
        <v>0.6</v>
      </c>
      <c r="K2911">
        <v>16</v>
      </c>
      <c r="L2911">
        <v>26</v>
      </c>
      <c r="M2911">
        <v>109</v>
      </c>
      <c r="N2911" s="10">
        <v>512.6</v>
      </c>
      <c r="O2911" s="7">
        <v>4.4000000000000004</v>
      </c>
      <c r="P2911" s="7">
        <v>27.9</v>
      </c>
      <c r="Q2911">
        <v>2</v>
      </c>
      <c r="R2911" t="s">
        <v>64</v>
      </c>
      <c r="S2911">
        <v>8</v>
      </c>
      <c r="T2911">
        <v>239</v>
      </c>
      <c r="U2911" s="11">
        <v>0.97492791218182362</v>
      </c>
      <c r="V2911" s="11">
        <v>-0.22252093395631434</v>
      </c>
      <c r="W2911" s="11">
        <v>-0.81491598416607913</v>
      </c>
      <c r="X2911" s="11">
        <v>-0.57957910482576125</v>
      </c>
      <c r="Y2911">
        <v>0</v>
      </c>
      <c r="Z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6">
        <v>45897</v>
      </c>
      <c r="B2912" t="s">
        <v>31</v>
      </c>
      <c r="C2912" t="s">
        <v>32</v>
      </c>
      <c r="D2912" t="s">
        <v>33</v>
      </c>
      <c r="E2912" t="s">
        <v>34</v>
      </c>
      <c r="F2912">
        <v>140</v>
      </c>
      <c r="G2912">
        <v>360</v>
      </c>
      <c r="H2912">
        <v>177</v>
      </c>
      <c r="I2912">
        <v>77</v>
      </c>
      <c r="J2912" s="8">
        <v>0.55000000000000004</v>
      </c>
      <c r="K2912">
        <v>29</v>
      </c>
      <c r="L2912">
        <v>30</v>
      </c>
      <c r="M2912">
        <v>143</v>
      </c>
      <c r="N2912" s="10">
        <v>409.11</v>
      </c>
      <c r="O2912" s="7">
        <v>0</v>
      </c>
      <c r="P2912" s="7">
        <v>28.6</v>
      </c>
      <c r="Q2912">
        <v>3</v>
      </c>
      <c r="R2912" t="s">
        <v>65</v>
      </c>
      <c r="S2912">
        <v>8</v>
      </c>
      <c r="T2912">
        <v>240</v>
      </c>
      <c r="U2912" s="11">
        <v>0.43388373911755823</v>
      </c>
      <c r="V2912" s="11">
        <v>-0.90096886790241903</v>
      </c>
      <c r="W2912" s="11">
        <v>-0.82476508447336139</v>
      </c>
      <c r="X2912" s="11">
        <v>-0.56547551267375762</v>
      </c>
      <c r="Y2912">
        <v>0</v>
      </c>
      <c r="Z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6">
        <v>45897</v>
      </c>
      <c r="B2913" t="s">
        <v>36</v>
      </c>
      <c r="C2913" t="s">
        <v>37</v>
      </c>
      <c r="D2913" t="s">
        <v>38</v>
      </c>
      <c r="E2913" t="s">
        <v>39</v>
      </c>
      <c r="F2913">
        <v>125</v>
      </c>
      <c r="G2913">
        <v>320</v>
      </c>
      <c r="H2913">
        <v>169</v>
      </c>
      <c r="I2913">
        <v>69</v>
      </c>
      <c r="J2913" s="8">
        <v>0.55200000000000005</v>
      </c>
      <c r="K2913">
        <v>37</v>
      </c>
      <c r="L2913">
        <v>46</v>
      </c>
      <c r="M2913">
        <v>142</v>
      </c>
      <c r="N2913" s="10">
        <v>588.04999999999995</v>
      </c>
      <c r="O2913" s="7">
        <v>0</v>
      </c>
      <c r="P2913" s="7">
        <v>28.6</v>
      </c>
      <c r="Q2913">
        <v>3</v>
      </c>
      <c r="R2913" t="s">
        <v>65</v>
      </c>
      <c r="S2913">
        <v>8</v>
      </c>
      <c r="T2913">
        <v>240</v>
      </c>
      <c r="U2913" s="11">
        <v>0.43388373911755823</v>
      </c>
      <c r="V2913" s="11">
        <v>-0.90096886790241903</v>
      </c>
      <c r="W2913" s="11">
        <v>-0.82476508447336139</v>
      </c>
      <c r="X2913" s="11">
        <v>-0.56547551267375762</v>
      </c>
      <c r="Y2913">
        <v>0</v>
      </c>
      <c r="Z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6">
        <v>45897</v>
      </c>
      <c r="B2914" t="s">
        <v>41</v>
      </c>
      <c r="C2914" t="s">
        <v>42</v>
      </c>
      <c r="D2914" t="s">
        <v>43</v>
      </c>
      <c r="E2914" t="s">
        <v>44</v>
      </c>
      <c r="F2914">
        <v>85</v>
      </c>
      <c r="G2914">
        <v>210</v>
      </c>
      <c r="H2914">
        <v>123</v>
      </c>
      <c r="I2914">
        <v>54</v>
      </c>
      <c r="J2914" s="8">
        <v>0.63529411764705879</v>
      </c>
      <c r="K2914">
        <v>27</v>
      </c>
      <c r="L2914">
        <v>20</v>
      </c>
      <c r="M2914">
        <v>103</v>
      </c>
      <c r="N2914" s="10">
        <v>501.56</v>
      </c>
      <c r="O2914" s="7">
        <v>0</v>
      </c>
      <c r="P2914" s="7">
        <v>28.6</v>
      </c>
      <c r="Q2914">
        <v>3</v>
      </c>
      <c r="R2914" t="s">
        <v>65</v>
      </c>
      <c r="S2914">
        <v>8</v>
      </c>
      <c r="T2914">
        <v>240</v>
      </c>
      <c r="U2914" s="11">
        <v>0.43388373911755823</v>
      </c>
      <c r="V2914" s="11">
        <v>-0.90096886790241903</v>
      </c>
      <c r="W2914" s="11">
        <v>-0.82476508447336139</v>
      </c>
      <c r="X2914" s="11">
        <v>-0.56547551267375762</v>
      </c>
      <c r="Y2914">
        <v>0</v>
      </c>
      <c r="Z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6">
        <v>45898</v>
      </c>
      <c r="B2915" t="s">
        <v>31</v>
      </c>
      <c r="C2915" t="s">
        <v>32</v>
      </c>
      <c r="D2915" t="s">
        <v>33</v>
      </c>
      <c r="E2915" t="s">
        <v>34</v>
      </c>
      <c r="F2915">
        <v>140</v>
      </c>
      <c r="G2915">
        <v>360</v>
      </c>
      <c r="H2915">
        <v>202</v>
      </c>
      <c r="I2915">
        <v>84</v>
      </c>
      <c r="J2915" s="8">
        <v>0.6</v>
      </c>
      <c r="K2915">
        <v>27</v>
      </c>
      <c r="L2915">
        <v>36</v>
      </c>
      <c r="M2915">
        <v>186</v>
      </c>
      <c r="N2915" s="10">
        <v>390.12</v>
      </c>
      <c r="O2915" s="7">
        <v>3.8</v>
      </c>
      <c r="P2915" s="7">
        <v>27.7</v>
      </c>
      <c r="Q2915">
        <v>4</v>
      </c>
      <c r="R2915" t="s">
        <v>66</v>
      </c>
      <c r="S2915">
        <v>8</v>
      </c>
      <c r="T2915">
        <v>241</v>
      </c>
      <c r="U2915" s="11">
        <v>-0.43388373911755801</v>
      </c>
      <c r="V2915" s="11">
        <v>-0.90096886790241915</v>
      </c>
      <c r="W2915" s="11">
        <v>-0.8343701235229537</v>
      </c>
      <c r="X2915" s="11">
        <v>-0.55120458721992771</v>
      </c>
      <c r="Y2915">
        <v>0</v>
      </c>
      <c r="Z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6">
        <v>45898</v>
      </c>
      <c r="B2916" t="s">
        <v>36</v>
      </c>
      <c r="C2916" t="s">
        <v>37</v>
      </c>
      <c r="D2916" t="s">
        <v>38</v>
      </c>
      <c r="E2916" t="s">
        <v>39</v>
      </c>
      <c r="F2916">
        <v>125</v>
      </c>
      <c r="G2916">
        <v>320</v>
      </c>
      <c r="H2916">
        <v>153</v>
      </c>
      <c r="I2916">
        <v>64</v>
      </c>
      <c r="J2916" s="8">
        <v>0.51200000000000001</v>
      </c>
      <c r="K2916">
        <v>26</v>
      </c>
      <c r="L2916">
        <v>26</v>
      </c>
      <c r="M2916">
        <v>132</v>
      </c>
      <c r="N2916" s="10">
        <v>677.18</v>
      </c>
      <c r="O2916" s="7">
        <v>3.8</v>
      </c>
      <c r="P2916" s="7">
        <v>27.7</v>
      </c>
      <c r="Q2916">
        <v>4</v>
      </c>
      <c r="R2916" t="s">
        <v>66</v>
      </c>
      <c r="S2916">
        <v>8</v>
      </c>
      <c r="T2916">
        <v>241</v>
      </c>
      <c r="U2916" s="11">
        <v>-0.43388373911755801</v>
      </c>
      <c r="V2916" s="11">
        <v>-0.90096886790241915</v>
      </c>
      <c r="W2916" s="11">
        <v>-0.8343701235229537</v>
      </c>
      <c r="X2916" s="11">
        <v>-0.55120458721992771</v>
      </c>
      <c r="Y2916">
        <v>0</v>
      </c>
      <c r="Z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6">
        <v>45898</v>
      </c>
      <c r="B2917" t="s">
        <v>41</v>
      </c>
      <c r="C2917" t="s">
        <v>42</v>
      </c>
      <c r="D2917" t="s">
        <v>43</v>
      </c>
      <c r="E2917" t="s">
        <v>44</v>
      </c>
      <c r="F2917">
        <v>85</v>
      </c>
      <c r="G2917">
        <v>210</v>
      </c>
      <c r="H2917">
        <v>118</v>
      </c>
      <c r="I2917">
        <v>53</v>
      </c>
      <c r="J2917" s="8">
        <v>0.62352941176470589</v>
      </c>
      <c r="K2917">
        <v>29</v>
      </c>
      <c r="L2917">
        <v>19</v>
      </c>
      <c r="M2917">
        <v>96</v>
      </c>
      <c r="N2917" s="10">
        <v>516.19000000000005</v>
      </c>
      <c r="O2917" s="7">
        <v>3.8</v>
      </c>
      <c r="P2917" s="7">
        <v>27.7</v>
      </c>
      <c r="Q2917">
        <v>4</v>
      </c>
      <c r="R2917" t="s">
        <v>66</v>
      </c>
      <c r="S2917">
        <v>8</v>
      </c>
      <c r="T2917">
        <v>241</v>
      </c>
      <c r="U2917" s="11">
        <v>-0.43388373911755801</v>
      </c>
      <c r="V2917" s="11">
        <v>-0.90096886790241915</v>
      </c>
      <c r="W2917" s="11">
        <v>-0.8343701235229537</v>
      </c>
      <c r="X2917" s="11">
        <v>-0.55120458721992771</v>
      </c>
      <c r="Y2917">
        <v>0</v>
      </c>
      <c r="Z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6">
        <v>45899</v>
      </c>
      <c r="B2918" t="s">
        <v>31</v>
      </c>
      <c r="C2918" t="s">
        <v>32</v>
      </c>
      <c r="D2918" t="s">
        <v>33</v>
      </c>
      <c r="E2918" t="s">
        <v>34</v>
      </c>
      <c r="F2918">
        <v>140</v>
      </c>
      <c r="G2918">
        <v>360</v>
      </c>
      <c r="H2918">
        <v>196</v>
      </c>
      <c r="I2918">
        <v>82</v>
      </c>
      <c r="J2918" s="8">
        <v>0.58571428571428574</v>
      </c>
      <c r="K2918">
        <v>43</v>
      </c>
      <c r="L2918">
        <v>20</v>
      </c>
      <c r="M2918">
        <v>164</v>
      </c>
      <c r="N2918" s="10">
        <v>484.3</v>
      </c>
      <c r="O2918" s="7">
        <v>1.4</v>
      </c>
      <c r="P2918" s="7">
        <v>28.7</v>
      </c>
      <c r="Q2918">
        <v>5</v>
      </c>
      <c r="R2918" t="s">
        <v>67</v>
      </c>
      <c r="S2918">
        <v>8</v>
      </c>
      <c r="T2918">
        <v>242</v>
      </c>
      <c r="U2918" s="11">
        <v>-0.97492791218182362</v>
      </c>
      <c r="V2918" s="11">
        <v>-0.22252093395631459</v>
      </c>
      <c r="W2918" s="11">
        <v>-0.84372825902927118</v>
      </c>
      <c r="X2918" s="11">
        <v>-0.53677055146071029</v>
      </c>
      <c r="Y2918">
        <v>1</v>
      </c>
      <c r="Z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6">
        <v>45899</v>
      </c>
      <c r="B2919" t="s">
        <v>36</v>
      </c>
      <c r="C2919" t="s">
        <v>37</v>
      </c>
      <c r="D2919" t="s">
        <v>38</v>
      </c>
      <c r="E2919" t="s">
        <v>39</v>
      </c>
      <c r="F2919">
        <v>125</v>
      </c>
      <c r="G2919">
        <v>320</v>
      </c>
      <c r="H2919">
        <v>196</v>
      </c>
      <c r="I2919">
        <v>81</v>
      </c>
      <c r="J2919" s="8">
        <v>0.64800000000000002</v>
      </c>
      <c r="K2919">
        <v>35</v>
      </c>
      <c r="L2919">
        <v>54</v>
      </c>
      <c r="M2919">
        <v>168</v>
      </c>
      <c r="N2919" s="10">
        <v>704.88</v>
      </c>
      <c r="O2919" s="7">
        <v>1.4</v>
      </c>
      <c r="P2919" s="7">
        <v>28.7</v>
      </c>
      <c r="Q2919">
        <v>5</v>
      </c>
      <c r="R2919" t="s">
        <v>67</v>
      </c>
      <c r="S2919">
        <v>8</v>
      </c>
      <c r="T2919">
        <v>242</v>
      </c>
      <c r="U2919" s="11">
        <v>-0.97492791218182362</v>
      </c>
      <c r="V2919" s="11">
        <v>-0.22252093395631459</v>
      </c>
      <c r="W2919" s="11">
        <v>-0.84372825902927118</v>
      </c>
      <c r="X2919" s="11">
        <v>-0.53677055146071029</v>
      </c>
      <c r="Y2919">
        <v>1</v>
      </c>
      <c r="Z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6">
        <v>45899</v>
      </c>
      <c r="B2920" t="s">
        <v>41</v>
      </c>
      <c r="C2920" t="s">
        <v>42</v>
      </c>
      <c r="D2920" t="s">
        <v>43</v>
      </c>
      <c r="E2920" t="s">
        <v>44</v>
      </c>
      <c r="F2920">
        <v>85</v>
      </c>
      <c r="G2920">
        <v>210</v>
      </c>
      <c r="H2920">
        <v>138</v>
      </c>
      <c r="I2920">
        <v>64</v>
      </c>
      <c r="J2920" s="8">
        <v>0.75294117647058822</v>
      </c>
      <c r="K2920">
        <v>31</v>
      </c>
      <c r="L2920">
        <v>22</v>
      </c>
      <c r="M2920">
        <v>128</v>
      </c>
      <c r="N2920" s="10">
        <v>651.04999999999995</v>
      </c>
      <c r="O2920" s="7">
        <v>1.4</v>
      </c>
      <c r="P2920" s="7">
        <v>28.7</v>
      </c>
      <c r="Q2920">
        <v>5</v>
      </c>
      <c r="R2920" t="s">
        <v>67</v>
      </c>
      <c r="S2920">
        <v>8</v>
      </c>
      <c r="T2920">
        <v>242</v>
      </c>
      <c r="U2920" s="11">
        <v>-0.97492791218182362</v>
      </c>
      <c r="V2920" s="11">
        <v>-0.22252093395631459</v>
      </c>
      <c r="W2920" s="11">
        <v>-0.84372825902927118</v>
      </c>
      <c r="X2920" s="11">
        <v>-0.53677055146071029</v>
      </c>
      <c r="Y2920">
        <v>1</v>
      </c>
      <c r="Z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6">
        <v>45900</v>
      </c>
      <c r="B2921" t="s">
        <v>31</v>
      </c>
      <c r="C2921" t="s">
        <v>32</v>
      </c>
      <c r="D2921" t="s">
        <v>33</v>
      </c>
      <c r="E2921" t="s">
        <v>34</v>
      </c>
      <c r="F2921">
        <v>140</v>
      </c>
      <c r="G2921">
        <v>360</v>
      </c>
      <c r="H2921">
        <v>200</v>
      </c>
      <c r="I2921">
        <v>84</v>
      </c>
      <c r="J2921" s="8">
        <v>0.6</v>
      </c>
      <c r="K2921">
        <v>25</v>
      </c>
      <c r="L2921">
        <v>26</v>
      </c>
      <c r="M2921">
        <v>182</v>
      </c>
      <c r="N2921" s="10">
        <v>488.54</v>
      </c>
      <c r="O2921" s="7">
        <v>5.7</v>
      </c>
      <c r="P2921" s="7">
        <v>29.4</v>
      </c>
      <c r="Q2921">
        <v>6</v>
      </c>
      <c r="R2921" t="s">
        <v>60</v>
      </c>
      <c r="S2921">
        <v>8</v>
      </c>
      <c r="T2921">
        <v>243</v>
      </c>
      <c r="U2921" s="11">
        <v>-0.78183148246802991</v>
      </c>
      <c r="V2921" s="11">
        <v>0.62348980185873337</v>
      </c>
      <c r="W2921" s="11">
        <v>-0.85283672176945946</v>
      </c>
      <c r="X2921" s="11">
        <v>-0.52217767665950798</v>
      </c>
      <c r="Y2921">
        <v>1</v>
      </c>
      <c r="Z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6">
        <v>45900</v>
      </c>
      <c r="B2922" t="s">
        <v>36</v>
      </c>
      <c r="C2922" t="s">
        <v>37</v>
      </c>
      <c r="D2922" t="s">
        <v>38</v>
      </c>
      <c r="E2922" t="s">
        <v>39</v>
      </c>
      <c r="F2922">
        <v>125</v>
      </c>
      <c r="G2922">
        <v>320</v>
      </c>
      <c r="H2922">
        <v>200</v>
      </c>
      <c r="I2922">
        <v>81</v>
      </c>
      <c r="J2922" s="8">
        <v>0.64800000000000002</v>
      </c>
      <c r="K2922">
        <v>47</v>
      </c>
      <c r="L2922">
        <v>30</v>
      </c>
      <c r="M2922">
        <v>181</v>
      </c>
      <c r="N2922" s="10">
        <v>706.23</v>
      </c>
      <c r="O2922" s="7">
        <v>5.7</v>
      </c>
      <c r="P2922" s="7">
        <v>29.4</v>
      </c>
      <c r="Q2922">
        <v>6</v>
      </c>
      <c r="R2922" t="s">
        <v>60</v>
      </c>
      <c r="S2922">
        <v>8</v>
      </c>
      <c r="T2922">
        <v>243</v>
      </c>
      <c r="U2922" s="11">
        <v>-0.78183148246802991</v>
      </c>
      <c r="V2922" s="11">
        <v>0.62348980185873337</v>
      </c>
      <c r="W2922" s="11">
        <v>-0.85283672176945946</v>
      </c>
      <c r="X2922" s="11">
        <v>-0.52217767665950798</v>
      </c>
      <c r="Y2922">
        <v>1</v>
      </c>
      <c r="Z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6">
        <v>45900</v>
      </c>
      <c r="B2923" t="s">
        <v>41</v>
      </c>
      <c r="C2923" t="s">
        <v>42</v>
      </c>
      <c r="D2923" t="s">
        <v>43</v>
      </c>
      <c r="E2923" t="s">
        <v>44</v>
      </c>
      <c r="F2923">
        <v>85</v>
      </c>
      <c r="G2923">
        <v>210</v>
      </c>
      <c r="H2923">
        <v>148</v>
      </c>
      <c r="I2923">
        <v>63</v>
      </c>
      <c r="J2923" s="8">
        <v>0.74117647058823533</v>
      </c>
      <c r="K2923">
        <v>34</v>
      </c>
      <c r="L2923">
        <v>36</v>
      </c>
      <c r="M2923">
        <v>130</v>
      </c>
      <c r="N2923" s="10">
        <v>635.67999999999995</v>
      </c>
      <c r="O2923" s="7">
        <v>5.7</v>
      </c>
      <c r="P2923" s="7">
        <v>29.4</v>
      </c>
      <c r="Q2923">
        <v>6</v>
      </c>
      <c r="R2923" t="s">
        <v>60</v>
      </c>
      <c r="S2923">
        <v>8</v>
      </c>
      <c r="T2923">
        <v>243</v>
      </c>
      <c r="U2923" s="11">
        <v>-0.78183148246802991</v>
      </c>
      <c r="V2923" s="11">
        <v>0.62348980185873337</v>
      </c>
      <c r="W2923" s="11">
        <v>-0.85283672176945946</v>
      </c>
      <c r="X2923" s="11">
        <v>-0.52217767665950798</v>
      </c>
      <c r="Y2923">
        <v>1</v>
      </c>
      <c r="Z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6">
        <v>45901</v>
      </c>
      <c r="B2924" t="s">
        <v>31</v>
      </c>
      <c r="C2924" t="s">
        <v>32</v>
      </c>
      <c r="D2924" t="s">
        <v>33</v>
      </c>
      <c r="E2924" t="s">
        <v>34</v>
      </c>
      <c r="F2924">
        <v>140</v>
      </c>
      <c r="G2924">
        <v>360</v>
      </c>
      <c r="H2924">
        <v>189</v>
      </c>
      <c r="I2924">
        <v>80</v>
      </c>
      <c r="J2924" s="8">
        <v>0.5714285714285714</v>
      </c>
      <c r="K2924">
        <v>53</v>
      </c>
      <c r="L2924">
        <v>22</v>
      </c>
      <c r="M2924">
        <v>152</v>
      </c>
      <c r="N2924" s="10">
        <v>460.28</v>
      </c>
      <c r="O2924" s="7">
        <v>1.9</v>
      </c>
      <c r="P2924" s="7">
        <v>29</v>
      </c>
      <c r="Q2924">
        <v>0</v>
      </c>
      <c r="R2924" t="s">
        <v>62</v>
      </c>
      <c r="S2924">
        <v>9</v>
      </c>
      <c r="T2924">
        <v>244</v>
      </c>
      <c r="U2924" s="11">
        <v>0</v>
      </c>
      <c r="V2924" s="11">
        <v>1</v>
      </c>
      <c r="W2924" s="11">
        <v>-0.86169281640285211</v>
      </c>
      <c r="X2924" s="11">
        <v>-0.50743028108275179</v>
      </c>
      <c r="Y2924">
        <v>0</v>
      </c>
      <c r="Z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6">
        <v>45901</v>
      </c>
      <c r="B2925" t="s">
        <v>36</v>
      </c>
      <c r="C2925" t="s">
        <v>37</v>
      </c>
      <c r="D2925" t="s">
        <v>38</v>
      </c>
      <c r="E2925" t="s">
        <v>39</v>
      </c>
      <c r="F2925">
        <v>125</v>
      </c>
      <c r="G2925">
        <v>320</v>
      </c>
      <c r="H2925">
        <v>166</v>
      </c>
      <c r="I2925">
        <v>70</v>
      </c>
      <c r="J2925" s="8">
        <v>0.56000000000000005</v>
      </c>
      <c r="K2925">
        <v>52</v>
      </c>
      <c r="L2925">
        <v>40</v>
      </c>
      <c r="M2925">
        <v>139</v>
      </c>
      <c r="N2925" s="10">
        <v>611.23</v>
      </c>
      <c r="O2925" s="7">
        <v>1.9</v>
      </c>
      <c r="P2925" s="7">
        <v>29</v>
      </c>
      <c r="Q2925">
        <v>0</v>
      </c>
      <c r="R2925" t="s">
        <v>62</v>
      </c>
      <c r="S2925">
        <v>9</v>
      </c>
      <c r="T2925">
        <v>244</v>
      </c>
      <c r="U2925" s="11">
        <v>0</v>
      </c>
      <c r="V2925" s="11">
        <v>1</v>
      </c>
      <c r="W2925" s="11">
        <v>-0.86169281640285211</v>
      </c>
      <c r="X2925" s="11">
        <v>-0.50743028108275179</v>
      </c>
      <c r="Y2925">
        <v>0</v>
      </c>
      <c r="Z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6">
        <v>45901</v>
      </c>
      <c r="B2926" t="s">
        <v>41</v>
      </c>
      <c r="C2926" t="s">
        <v>42</v>
      </c>
      <c r="D2926" t="s">
        <v>43</v>
      </c>
      <c r="E2926" t="s">
        <v>44</v>
      </c>
      <c r="F2926">
        <v>85</v>
      </c>
      <c r="G2926">
        <v>210</v>
      </c>
      <c r="H2926">
        <v>123</v>
      </c>
      <c r="I2926">
        <v>56</v>
      </c>
      <c r="J2926" s="8">
        <v>0.6588235294117647</v>
      </c>
      <c r="K2926">
        <v>29</v>
      </c>
      <c r="L2926">
        <v>26</v>
      </c>
      <c r="M2926">
        <v>103</v>
      </c>
      <c r="N2926" s="10">
        <v>479.01</v>
      </c>
      <c r="O2926" s="7">
        <v>1.9</v>
      </c>
      <c r="P2926" s="7">
        <v>29</v>
      </c>
      <c r="Q2926">
        <v>0</v>
      </c>
      <c r="R2926" t="s">
        <v>62</v>
      </c>
      <c r="S2926">
        <v>9</v>
      </c>
      <c r="T2926">
        <v>244</v>
      </c>
      <c r="U2926" s="11">
        <v>0</v>
      </c>
      <c r="V2926" s="11">
        <v>1</v>
      </c>
      <c r="W2926" s="11">
        <v>-0.86169281640285211</v>
      </c>
      <c r="X2926" s="11">
        <v>-0.50743028108275179</v>
      </c>
      <c r="Y2926">
        <v>0</v>
      </c>
      <c r="Z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6">
        <v>45902</v>
      </c>
      <c r="B2927" t="s">
        <v>31</v>
      </c>
      <c r="C2927" t="s">
        <v>32</v>
      </c>
      <c r="D2927" t="s">
        <v>33</v>
      </c>
      <c r="E2927" t="s">
        <v>34</v>
      </c>
      <c r="F2927">
        <v>140</v>
      </c>
      <c r="G2927">
        <v>360</v>
      </c>
      <c r="H2927">
        <v>202</v>
      </c>
      <c r="I2927">
        <v>88</v>
      </c>
      <c r="J2927" s="8">
        <v>0.62857142857142856</v>
      </c>
      <c r="K2927">
        <v>43</v>
      </c>
      <c r="L2927">
        <v>34</v>
      </c>
      <c r="M2927">
        <v>164</v>
      </c>
      <c r="N2927" s="10">
        <v>428.97</v>
      </c>
      <c r="O2927" s="7">
        <v>0</v>
      </c>
      <c r="P2927" s="7">
        <v>30</v>
      </c>
      <c r="Q2927">
        <v>1</v>
      </c>
      <c r="R2927" t="s">
        <v>63</v>
      </c>
      <c r="S2927">
        <v>9</v>
      </c>
      <c r="T2927">
        <v>245</v>
      </c>
      <c r="U2927" s="11">
        <v>0.7818314824680298</v>
      </c>
      <c r="V2927" s="11">
        <v>0.62348980185873359</v>
      </c>
      <c r="W2927" s="11">
        <v>-0.87029392226856739</v>
      </c>
      <c r="X2927" s="11">
        <v>-0.49253272872205434</v>
      </c>
      <c r="Y2927">
        <v>0</v>
      </c>
      <c r="Z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6">
        <v>45902</v>
      </c>
      <c r="B2928" t="s">
        <v>36</v>
      </c>
      <c r="C2928" t="s">
        <v>37</v>
      </c>
      <c r="D2928" t="s">
        <v>38</v>
      </c>
      <c r="E2928" t="s">
        <v>39</v>
      </c>
      <c r="F2928">
        <v>125</v>
      </c>
      <c r="G2928">
        <v>320</v>
      </c>
      <c r="H2928">
        <v>159</v>
      </c>
      <c r="I2928">
        <v>65</v>
      </c>
      <c r="J2928" s="8">
        <v>0.52</v>
      </c>
      <c r="K2928">
        <v>43</v>
      </c>
      <c r="L2928">
        <v>29</v>
      </c>
      <c r="M2928">
        <v>145</v>
      </c>
      <c r="N2928" s="10">
        <v>561.71</v>
      </c>
      <c r="O2928" s="7">
        <v>0</v>
      </c>
      <c r="P2928" s="7">
        <v>30</v>
      </c>
      <c r="Q2928">
        <v>1</v>
      </c>
      <c r="R2928" t="s">
        <v>63</v>
      </c>
      <c r="S2928">
        <v>9</v>
      </c>
      <c r="T2928">
        <v>245</v>
      </c>
      <c r="U2928" s="11">
        <v>0.7818314824680298</v>
      </c>
      <c r="V2928" s="11">
        <v>0.62348980185873359</v>
      </c>
      <c r="W2928" s="11">
        <v>-0.87029392226856739</v>
      </c>
      <c r="X2928" s="11">
        <v>-0.49253272872205434</v>
      </c>
      <c r="Y2928">
        <v>0</v>
      </c>
      <c r="Z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s="6">
        <v>45902</v>
      </c>
      <c r="B2929" t="s">
        <v>41</v>
      </c>
      <c r="C2929" t="s">
        <v>42</v>
      </c>
      <c r="D2929" t="s">
        <v>43</v>
      </c>
      <c r="E2929" t="s">
        <v>44</v>
      </c>
      <c r="F2929">
        <v>85</v>
      </c>
      <c r="G2929">
        <v>210</v>
      </c>
      <c r="H2929">
        <v>118</v>
      </c>
      <c r="I2929">
        <v>56</v>
      </c>
      <c r="J2929" s="8">
        <v>0.6588235294117647</v>
      </c>
      <c r="K2929">
        <v>34</v>
      </c>
      <c r="L2929">
        <v>15</v>
      </c>
      <c r="M2929">
        <v>109</v>
      </c>
      <c r="N2929" s="10">
        <v>532.32000000000005</v>
      </c>
      <c r="O2929" s="7">
        <v>0</v>
      </c>
      <c r="P2929" s="7">
        <v>30</v>
      </c>
      <c r="Q2929">
        <v>1</v>
      </c>
      <c r="R2929" t="s">
        <v>63</v>
      </c>
      <c r="S2929">
        <v>9</v>
      </c>
      <c r="T2929">
        <v>245</v>
      </c>
      <c r="U2929" s="11">
        <v>0.7818314824680298</v>
      </c>
      <c r="V2929" s="11">
        <v>0.62348980185873359</v>
      </c>
      <c r="W2929" s="11">
        <v>-0.87029392226856739</v>
      </c>
      <c r="X2929" s="11">
        <v>-0.49253272872205434</v>
      </c>
      <c r="Y2929">
        <v>0</v>
      </c>
      <c r="Z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6">
        <v>45903</v>
      </c>
      <c r="B2930" t="s">
        <v>31</v>
      </c>
      <c r="C2930" t="s">
        <v>32</v>
      </c>
      <c r="D2930" t="s">
        <v>33</v>
      </c>
      <c r="E2930" t="s">
        <v>34</v>
      </c>
      <c r="F2930">
        <v>140</v>
      </c>
      <c r="G2930">
        <v>360</v>
      </c>
      <c r="H2930">
        <v>199</v>
      </c>
      <c r="I2930">
        <v>83</v>
      </c>
      <c r="J2930" s="8">
        <v>0.59285714285714286</v>
      </c>
      <c r="K2930">
        <v>58</v>
      </c>
      <c r="L2930">
        <v>57</v>
      </c>
      <c r="M2930">
        <v>182</v>
      </c>
      <c r="N2930" s="10">
        <v>442.72</v>
      </c>
      <c r="O2930" s="7">
        <v>0</v>
      </c>
      <c r="P2930" s="7">
        <v>29.7</v>
      </c>
      <c r="Q2930">
        <v>2</v>
      </c>
      <c r="R2930" t="s">
        <v>64</v>
      </c>
      <c r="S2930">
        <v>9</v>
      </c>
      <c r="T2930">
        <v>246</v>
      </c>
      <c r="U2930" s="11">
        <v>0.97492791218182362</v>
      </c>
      <c r="V2930" s="11">
        <v>-0.22252093395631434</v>
      </c>
      <c r="W2930" s="11">
        <v>-0.87863749416100012</v>
      </c>
      <c r="X2930" s="11">
        <v>-0.47748942800283911</v>
      </c>
      <c r="Y2930">
        <v>0</v>
      </c>
      <c r="Z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6">
        <v>45903</v>
      </c>
      <c r="B2931" t="s">
        <v>36</v>
      </c>
      <c r="C2931" t="s">
        <v>37</v>
      </c>
      <c r="D2931" t="s">
        <v>38</v>
      </c>
      <c r="E2931" t="s">
        <v>39</v>
      </c>
      <c r="F2931">
        <v>125</v>
      </c>
      <c r="G2931">
        <v>320</v>
      </c>
      <c r="H2931">
        <v>168</v>
      </c>
      <c r="I2931">
        <v>70</v>
      </c>
      <c r="J2931" s="8">
        <v>0.56000000000000005</v>
      </c>
      <c r="K2931">
        <v>38</v>
      </c>
      <c r="L2931">
        <v>23</v>
      </c>
      <c r="M2931">
        <v>141</v>
      </c>
      <c r="N2931" s="10">
        <v>676.04</v>
      </c>
      <c r="O2931" s="7">
        <v>0</v>
      </c>
      <c r="P2931" s="7">
        <v>29.7</v>
      </c>
      <c r="Q2931">
        <v>2</v>
      </c>
      <c r="R2931" t="s">
        <v>64</v>
      </c>
      <c r="S2931">
        <v>9</v>
      </c>
      <c r="T2931">
        <v>246</v>
      </c>
      <c r="U2931" s="11">
        <v>0.97492791218182362</v>
      </c>
      <c r="V2931" s="11">
        <v>-0.22252093395631434</v>
      </c>
      <c r="W2931" s="11">
        <v>-0.87863749416100012</v>
      </c>
      <c r="X2931" s="11">
        <v>-0.47748942800283911</v>
      </c>
      <c r="Y2931">
        <v>0</v>
      </c>
      <c r="Z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6">
        <v>45903</v>
      </c>
      <c r="B2932" t="s">
        <v>41</v>
      </c>
      <c r="C2932" t="s">
        <v>42</v>
      </c>
      <c r="D2932" t="s">
        <v>43</v>
      </c>
      <c r="E2932" t="s">
        <v>44</v>
      </c>
      <c r="F2932">
        <v>85</v>
      </c>
      <c r="G2932">
        <v>210</v>
      </c>
      <c r="H2932">
        <v>114</v>
      </c>
      <c r="I2932">
        <v>52</v>
      </c>
      <c r="J2932" s="8">
        <v>0.61176470588235299</v>
      </c>
      <c r="K2932">
        <v>28</v>
      </c>
      <c r="L2932">
        <v>22</v>
      </c>
      <c r="M2932">
        <v>99</v>
      </c>
      <c r="N2932" s="10">
        <v>550.53</v>
      </c>
      <c r="O2932" s="7">
        <v>0</v>
      </c>
      <c r="P2932" s="7">
        <v>29.7</v>
      </c>
      <c r="Q2932">
        <v>2</v>
      </c>
      <c r="R2932" t="s">
        <v>64</v>
      </c>
      <c r="S2932">
        <v>9</v>
      </c>
      <c r="T2932">
        <v>246</v>
      </c>
      <c r="U2932" s="11">
        <v>0.97492791218182362</v>
      </c>
      <c r="V2932" s="11">
        <v>-0.22252093395631434</v>
      </c>
      <c r="W2932" s="11">
        <v>-0.87863749416100012</v>
      </c>
      <c r="X2932" s="11">
        <v>-0.47748942800283911</v>
      </c>
      <c r="Y2932">
        <v>0</v>
      </c>
      <c r="Z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6">
        <v>45904</v>
      </c>
      <c r="B2933" t="s">
        <v>31</v>
      </c>
      <c r="C2933" t="s">
        <v>32</v>
      </c>
      <c r="D2933" t="s">
        <v>33</v>
      </c>
      <c r="E2933" t="s">
        <v>34</v>
      </c>
      <c r="F2933">
        <v>140</v>
      </c>
      <c r="G2933">
        <v>360</v>
      </c>
      <c r="H2933">
        <v>193</v>
      </c>
      <c r="I2933">
        <v>79</v>
      </c>
      <c r="J2933" s="8">
        <v>0.56428571428571428</v>
      </c>
      <c r="K2933">
        <v>47</v>
      </c>
      <c r="L2933">
        <v>34</v>
      </c>
      <c r="M2933">
        <v>174</v>
      </c>
      <c r="N2933" s="10">
        <v>458.42</v>
      </c>
      <c r="O2933" s="7">
        <v>0</v>
      </c>
      <c r="P2933" s="7">
        <v>30.6</v>
      </c>
      <c r="Q2933">
        <v>3</v>
      </c>
      <c r="R2933" t="s">
        <v>65</v>
      </c>
      <c r="S2933">
        <v>9</v>
      </c>
      <c r="T2933">
        <v>247</v>
      </c>
      <c r="U2933" s="11">
        <v>0.43388373911755823</v>
      </c>
      <c r="V2933" s="11">
        <v>-0.90096886790241903</v>
      </c>
      <c r="W2933" s="11">
        <v>-0.88672106308299303</v>
      </c>
      <c r="X2933" s="11">
        <v>-0.46230483047981086</v>
      </c>
      <c r="Y2933">
        <v>0</v>
      </c>
      <c r="Z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6">
        <v>45904</v>
      </c>
      <c r="B2934" t="s">
        <v>36</v>
      </c>
      <c r="C2934" t="s">
        <v>37</v>
      </c>
      <c r="D2934" t="s">
        <v>38</v>
      </c>
      <c r="E2934" t="s">
        <v>39</v>
      </c>
      <c r="F2934">
        <v>125</v>
      </c>
      <c r="G2934">
        <v>320</v>
      </c>
      <c r="H2934">
        <v>172</v>
      </c>
      <c r="I2934">
        <v>73</v>
      </c>
      <c r="J2934" s="8">
        <v>0.58399999999999996</v>
      </c>
      <c r="K2934">
        <v>36</v>
      </c>
      <c r="L2934">
        <v>50</v>
      </c>
      <c r="M2934">
        <v>161</v>
      </c>
      <c r="N2934" s="10">
        <v>618.59</v>
      </c>
      <c r="O2934" s="7">
        <v>0</v>
      </c>
      <c r="P2934" s="7">
        <v>30.6</v>
      </c>
      <c r="Q2934">
        <v>3</v>
      </c>
      <c r="R2934" t="s">
        <v>65</v>
      </c>
      <c r="S2934">
        <v>9</v>
      </c>
      <c r="T2934">
        <v>247</v>
      </c>
      <c r="U2934" s="11">
        <v>0.43388373911755823</v>
      </c>
      <c r="V2934" s="11">
        <v>-0.90096886790241903</v>
      </c>
      <c r="W2934" s="11">
        <v>-0.88672106308299303</v>
      </c>
      <c r="X2934" s="11">
        <v>-0.46230483047981086</v>
      </c>
      <c r="Y2934">
        <v>0</v>
      </c>
      <c r="Z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6">
        <v>45904</v>
      </c>
      <c r="B2935" t="s">
        <v>41</v>
      </c>
      <c r="C2935" t="s">
        <v>42</v>
      </c>
      <c r="D2935" t="s">
        <v>43</v>
      </c>
      <c r="E2935" t="s">
        <v>44</v>
      </c>
      <c r="F2935">
        <v>85</v>
      </c>
      <c r="G2935">
        <v>210</v>
      </c>
      <c r="H2935">
        <v>117</v>
      </c>
      <c r="I2935">
        <v>52</v>
      </c>
      <c r="J2935" s="8">
        <v>0.61176470588235299</v>
      </c>
      <c r="K2935">
        <v>26</v>
      </c>
      <c r="L2935">
        <v>23</v>
      </c>
      <c r="M2935">
        <v>104</v>
      </c>
      <c r="N2935" s="10">
        <v>553.38</v>
      </c>
      <c r="O2935" s="7">
        <v>0</v>
      </c>
      <c r="P2935" s="7">
        <v>30.6</v>
      </c>
      <c r="Q2935">
        <v>3</v>
      </c>
      <c r="R2935" t="s">
        <v>65</v>
      </c>
      <c r="S2935">
        <v>9</v>
      </c>
      <c r="T2935">
        <v>247</v>
      </c>
      <c r="U2935" s="11">
        <v>0.43388373911755823</v>
      </c>
      <c r="V2935" s="11">
        <v>-0.90096886790241903</v>
      </c>
      <c r="W2935" s="11">
        <v>-0.88672106308299303</v>
      </c>
      <c r="X2935" s="11">
        <v>-0.46230483047981086</v>
      </c>
      <c r="Y2935">
        <v>0</v>
      </c>
      <c r="Z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6">
        <v>45905</v>
      </c>
      <c r="B2936" t="s">
        <v>31</v>
      </c>
      <c r="C2936" t="s">
        <v>32</v>
      </c>
      <c r="D2936" t="s">
        <v>33</v>
      </c>
      <c r="E2936" t="s">
        <v>34</v>
      </c>
      <c r="F2936">
        <v>140</v>
      </c>
      <c r="G2936">
        <v>360</v>
      </c>
      <c r="H2936">
        <v>186</v>
      </c>
      <c r="I2936">
        <v>79</v>
      </c>
      <c r="J2936" s="8">
        <v>0.56428571428571428</v>
      </c>
      <c r="K2936">
        <v>45</v>
      </c>
      <c r="L2936">
        <v>28</v>
      </c>
      <c r="M2936">
        <v>149</v>
      </c>
      <c r="N2936" s="10">
        <v>401.32</v>
      </c>
      <c r="O2936" s="7">
        <v>0</v>
      </c>
      <c r="P2936" s="7">
        <v>28</v>
      </c>
      <c r="Q2936">
        <v>4</v>
      </c>
      <c r="R2936" t="s">
        <v>66</v>
      </c>
      <c r="S2936">
        <v>9</v>
      </c>
      <c r="T2936">
        <v>248</v>
      </c>
      <c r="U2936" s="11">
        <v>-0.43388373911755801</v>
      </c>
      <c r="V2936" s="11">
        <v>-0.90096886790241915</v>
      </c>
      <c r="W2936" s="11">
        <v>-0.89454223697644963</v>
      </c>
      <c r="X2936" s="11">
        <v>-0.44698342951967412</v>
      </c>
      <c r="Y2936">
        <v>0</v>
      </c>
      <c r="Z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6">
        <v>45905</v>
      </c>
      <c r="B2937" t="s">
        <v>36</v>
      </c>
      <c r="C2937" t="s">
        <v>37</v>
      </c>
      <c r="D2937" t="s">
        <v>38</v>
      </c>
      <c r="E2937" t="s">
        <v>39</v>
      </c>
      <c r="F2937">
        <v>125</v>
      </c>
      <c r="G2937">
        <v>320</v>
      </c>
      <c r="H2937">
        <v>169</v>
      </c>
      <c r="I2937">
        <v>70</v>
      </c>
      <c r="J2937" s="8">
        <v>0.56000000000000005</v>
      </c>
      <c r="K2937">
        <v>38</v>
      </c>
      <c r="L2937">
        <v>36</v>
      </c>
      <c r="M2937">
        <v>157</v>
      </c>
      <c r="N2937" s="10">
        <v>569.23</v>
      </c>
      <c r="O2937" s="7">
        <v>0</v>
      </c>
      <c r="P2937" s="7">
        <v>28</v>
      </c>
      <c r="Q2937">
        <v>4</v>
      </c>
      <c r="R2937" t="s">
        <v>66</v>
      </c>
      <c r="S2937">
        <v>9</v>
      </c>
      <c r="T2937">
        <v>248</v>
      </c>
      <c r="U2937" s="11">
        <v>-0.43388373911755801</v>
      </c>
      <c r="V2937" s="11">
        <v>-0.90096886790241915</v>
      </c>
      <c r="W2937" s="11">
        <v>-0.89454223697644963</v>
      </c>
      <c r="X2937" s="11">
        <v>-0.44698342951967412</v>
      </c>
      <c r="Y2937">
        <v>0</v>
      </c>
      <c r="Z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6">
        <v>45905</v>
      </c>
      <c r="B2938" t="s">
        <v>41</v>
      </c>
      <c r="C2938" t="s">
        <v>42</v>
      </c>
      <c r="D2938" t="s">
        <v>43</v>
      </c>
      <c r="E2938" t="s">
        <v>44</v>
      </c>
      <c r="F2938">
        <v>85</v>
      </c>
      <c r="G2938">
        <v>210</v>
      </c>
      <c r="H2938">
        <v>110</v>
      </c>
      <c r="I2938">
        <v>49</v>
      </c>
      <c r="J2938" s="8">
        <v>0.57647058823529407</v>
      </c>
      <c r="K2938">
        <v>34</v>
      </c>
      <c r="L2938">
        <v>10</v>
      </c>
      <c r="M2938">
        <v>94</v>
      </c>
      <c r="N2938" s="10">
        <v>579.41999999999996</v>
      </c>
      <c r="O2938" s="7">
        <v>0</v>
      </c>
      <c r="P2938" s="7">
        <v>28</v>
      </c>
      <c r="Q2938">
        <v>4</v>
      </c>
      <c r="R2938" t="s">
        <v>66</v>
      </c>
      <c r="S2938">
        <v>9</v>
      </c>
      <c r="T2938">
        <v>248</v>
      </c>
      <c r="U2938" s="11">
        <v>-0.43388373911755801</v>
      </c>
      <c r="V2938" s="11">
        <v>-0.90096886790241915</v>
      </c>
      <c r="W2938" s="11">
        <v>-0.89454223697644963</v>
      </c>
      <c r="X2938" s="11">
        <v>-0.44698342951967412</v>
      </c>
      <c r="Y2938">
        <v>0</v>
      </c>
      <c r="Z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6">
        <v>45906</v>
      </c>
      <c r="B2939" t="s">
        <v>31</v>
      </c>
      <c r="C2939" t="s">
        <v>32</v>
      </c>
      <c r="D2939" t="s">
        <v>33</v>
      </c>
      <c r="E2939" t="s">
        <v>34</v>
      </c>
      <c r="F2939">
        <v>140</v>
      </c>
      <c r="G2939">
        <v>360</v>
      </c>
      <c r="H2939">
        <v>201</v>
      </c>
      <c r="I2939">
        <v>85</v>
      </c>
      <c r="J2939" s="8">
        <v>0.6071428571428571</v>
      </c>
      <c r="K2939">
        <v>56</v>
      </c>
      <c r="L2939">
        <v>36</v>
      </c>
      <c r="M2939">
        <v>186</v>
      </c>
      <c r="N2939" s="10">
        <v>484.69</v>
      </c>
      <c r="O2939" s="7">
        <v>1.5</v>
      </c>
      <c r="P2939" s="7">
        <v>29</v>
      </c>
      <c r="Q2939">
        <v>5</v>
      </c>
      <c r="R2939" t="s">
        <v>67</v>
      </c>
      <c r="S2939">
        <v>9</v>
      </c>
      <c r="T2939">
        <v>249</v>
      </c>
      <c r="U2939" s="11">
        <v>-0.97492791218182362</v>
      </c>
      <c r="V2939" s="11">
        <v>-0.22252093395631459</v>
      </c>
      <c r="W2939" s="11">
        <v>-0.90209870143018367</v>
      </c>
      <c r="X2939" s="11">
        <v>-0.43152975897147144</v>
      </c>
      <c r="Y2939">
        <v>1</v>
      </c>
      <c r="Z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6">
        <v>45906</v>
      </c>
      <c r="B2940" t="s">
        <v>36</v>
      </c>
      <c r="C2940" t="s">
        <v>37</v>
      </c>
      <c r="D2940" t="s">
        <v>38</v>
      </c>
      <c r="E2940" t="s">
        <v>39</v>
      </c>
      <c r="F2940">
        <v>125</v>
      </c>
      <c r="G2940">
        <v>320</v>
      </c>
      <c r="H2940">
        <v>203</v>
      </c>
      <c r="I2940">
        <v>84</v>
      </c>
      <c r="J2940" s="8">
        <v>0.67200000000000004</v>
      </c>
      <c r="K2940">
        <v>48</v>
      </c>
      <c r="L2940">
        <v>47</v>
      </c>
      <c r="M2940">
        <v>177</v>
      </c>
      <c r="N2940" s="10">
        <v>667.02</v>
      </c>
      <c r="O2940" s="7">
        <v>1.5</v>
      </c>
      <c r="P2940" s="7">
        <v>29</v>
      </c>
      <c r="Q2940">
        <v>5</v>
      </c>
      <c r="R2940" t="s">
        <v>67</v>
      </c>
      <c r="S2940">
        <v>9</v>
      </c>
      <c r="T2940">
        <v>249</v>
      </c>
      <c r="U2940" s="11">
        <v>-0.97492791218182362</v>
      </c>
      <c r="V2940" s="11">
        <v>-0.22252093395631459</v>
      </c>
      <c r="W2940" s="11">
        <v>-0.90209870143018367</v>
      </c>
      <c r="X2940" s="11">
        <v>-0.43152975897147144</v>
      </c>
      <c r="Y2940">
        <v>1</v>
      </c>
      <c r="Z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6">
        <v>45906</v>
      </c>
      <c r="B2941" t="s">
        <v>41</v>
      </c>
      <c r="C2941" t="s">
        <v>42</v>
      </c>
      <c r="D2941" t="s">
        <v>43</v>
      </c>
      <c r="E2941" t="s">
        <v>44</v>
      </c>
      <c r="F2941">
        <v>85</v>
      </c>
      <c r="G2941">
        <v>210</v>
      </c>
      <c r="H2941">
        <v>146</v>
      </c>
      <c r="I2941">
        <v>69</v>
      </c>
      <c r="J2941" s="8">
        <v>0.81176470588235294</v>
      </c>
      <c r="K2941">
        <v>32</v>
      </c>
      <c r="L2941">
        <v>24</v>
      </c>
      <c r="M2941">
        <v>118</v>
      </c>
      <c r="N2941" s="10">
        <v>554.66999999999996</v>
      </c>
      <c r="O2941" s="7">
        <v>1.5</v>
      </c>
      <c r="P2941" s="7">
        <v>29</v>
      </c>
      <c r="Q2941">
        <v>5</v>
      </c>
      <c r="R2941" t="s">
        <v>67</v>
      </c>
      <c r="S2941">
        <v>9</v>
      </c>
      <c r="T2941">
        <v>249</v>
      </c>
      <c r="U2941" s="11">
        <v>-0.97492791218182362</v>
      </c>
      <c r="V2941" s="11">
        <v>-0.22252093395631459</v>
      </c>
      <c r="W2941" s="11">
        <v>-0.90209870143018367</v>
      </c>
      <c r="X2941" s="11">
        <v>-0.43152975897147144</v>
      </c>
      <c r="Y2941">
        <v>1</v>
      </c>
      <c r="Z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6">
        <v>45907</v>
      </c>
      <c r="B2942" t="s">
        <v>31</v>
      </c>
      <c r="C2942" t="s">
        <v>32</v>
      </c>
      <c r="D2942" t="s">
        <v>33</v>
      </c>
      <c r="E2942" t="s">
        <v>34</v>
      </c>
      <c r="F2942">
        <v>140</v>
      </c>
      <c r="G2942">
        <v>360</v>
      </c>
      <c r="H2942">
        <v>223</v>
      </c>
      <c r="I2942">
        <v>96</v>
      </c>
      <c r="J2942" s="8">
        <v>0.68571428571428572</v>
      </c>
      <c r="K2942">
        <v>52</v>
      </c>
      <c r="L2942">
        <v>57</v>
      </c>
      <c r="M2942">
        <v>188</v>
      </c>
      <c r="N2942" s="10">
        <v>463.16</v>
      </c>
      <c r="O2942" s="7">
        <v>1.6</v>
      </c>
      <c r="P2942" s="7">
        <v>29.9</v>
      </c>
      <c r="Q2942">
        <v>6</v>
      </c>
      <c r="R2942" t="s">
        <v>60</v>
      </c>
      <c r="S2942">
        <v>9</v>
      </c>
      <c r="T2942">
        <v>250</v>
      </c>
      <c r="U2942" s="11">
        <v>-0.78183148246802991</v>
      </c>
      <c r="V2942" s="11">
        <v>0.62348980185873337</v>
      </c>
      <c r="W2942" s="11">
        <v>-0.9093882203647925</v>
      </c>
      <c r="X2942" s="11">
        <v>-0.41594839182494209</v>
      </c>
      <c r="Y2942">
        <v>1</v>
      </c>
      <c r="Z2942">
        <v>1</v>
      </c>
      <c r="AA2942" t="s">
        <v>72</v>
      </c>
      <c r="AB2942">
        <v>0</v>
      </c>
      <c r="AC2942">
        <v>0</v>
      </c>
      <c r="AD2942">
        <v>0</v>
      </c>
      <c r="AE2942">
        <v>0</v>
      </c>
    </row>
    <row r="2943" spans="1:31">
      <c r="A2943" s="6">
        <v>45907</v>
      </c>
      <c r="B2943" t="s">
        <v>36</v>
      </c>
      <c r="C2943" t="s">
        <v>37</v>
      </c>
      <c r="D2943" t="s">
        <v>38</v>
      </c>
      <c r="E2943" t="s">
        <v>39</v>
      </c>
      <c r="F2943">
        <v>125</v>
      </c>
      <c r="G2943">
        <v>320</v>
      </c>
      <c r="H2943">
        <v>242</v>
      </c>
      <c r="I2943">
        <v>100</v>
      </c>
      <c r="J2943" s="8">
        <v>0.8</v>
      </c>
      <c r="K2943">
        <v>54</v>
      </c>
      <c r="L2943">
        <v>62</v>
      </c>
      <c r="M2943">
        <v>198</v>
      </c>
      <c r="N2943" s="10">
        <v>730</v>
      </c>
      <c r="O2943" s="7">
        <v>1.6</v>
      </c>
      <c r="P2943" s="7">
        <v>29.9</v>
      </c>
      <c r="Q2943">
        <v>6</v>
      </c>
      <c r="R2943" t="s">
        <v>60</v>
      </c>
      <c r="S2943">
        <v>9</v>
      </c>
      <c r="T2943">
        <v>250</v>
      </c>
      <c r="U2943" s="11">
        <v>-0.78183148246802991</v>
      </c>
      <c r="V2943" s="11">
        <v>0.62348980185873337</v>
      </c>
      <c r="W2943" s="11">
        <v>-0.9093882203647925</v>
      </c>
      <c r="X2943" s="11">
        <v>-0.41594839182494209</v>
      </c>
      <c r="Y2943">
        <v>1</v>
      </c>
      <c r="Z2943">
        <v>1</v>
      </c>
      <c r="AA2943" t="s">
        <v>72</v>
      </c>
      <c r="AB2943">
        <v>0</v>
      </c>
      <c r="AC2943">
        <v>0</v>
      </c>
      <c r="AD2943">
        <v>0</v>
      </c>
      <c r="AE2943">
        <v>0</v>
      </c>
    </row>
    <row r="2944" spans="1:31">
      <c r="A2944" s="6">
        <v>45907</v>
      </c>
      <c r="B2944" t="s">
        <v>41</v>
      </c>
      <c r="C2944" t="s">
        <v>42</v>
      </c>
      <c r="D2944" t="s">
        <v>43</v>
      </c>
      <c r="E2944" t="s">
        <v>44</v>
      </c>
      <c r="F2944">
        <v>85</v>
      </c>
      <c r="G2944">
        <v>210</v>
      </c>
      <c r="H2944">
        <v>161</v>
      </c>
      <c r="I2944">
        <v>68</v>
      </c>
      <c r="J2944" s="8">
        <v>0.8</v>
      </c>
      <c r="K2944">
        <v>24</v>
      </c>
      <c r="L2944">
        <v>39</v>
      </c>
      <c r="M2944">
        <v>134</v>
      </c>
      <c r="N2944" s="10">
        <v>607.1</v>
      </c>
      <c r="O2944" s="7">
        <v>1.6</v>
      </c>
      <c r="P2944" s="7">
        <v>29.9</v>
      </c>
      <c r="Q2944">
        <v>6</v>
      </c>
      <c r="R2944" t="s">
        <v>60</v>
      </c>
      <c r="S2944">
        <v>9</v>
      </c>
      <c r="T2944">
        <v>250</v>
      </c>
      <c r="U2944" s="11">
        <v>-0.78183148246802991</v>
      </c>
      <c r="V2944" s="11">
        <v>0.62348980185873337</v>
      </c>
      <c r="W2944" s="11">
        <v>-0.9093882203647925</v>
      </c>
      <c r="X2944" s="11">
        <v>-0.41594839182494209</v>
      </c>
      <c r="Y2944">
        <v>1</v>
      </c>
      <c r="Z2944">
        <v>1</v>
      </c>
      <c r="AA2944" t="s">
        <v>72</v>
      </c>
      <c r="AB2944">
        <v>0</v>
      </c>
      <c r="AC2944">
        <v>0</v>
      </c>
      <c r="AD2944">
        <v>0</v>
      </c>
      <c r="AE2944">
        <v>0</v>
      </c>
    </row>
    <row r="2945" spans="1:31">
      <c r="A2945" s="6">
        <v>45908</v>
      </c>
      <c r="B2945" t="s">
        <v>31</v>
      </c>
      <c r="C2945" t="s">
        <v>32</v>
      </c>
      <c r="D2945" t="s">
        <v>33</v>
      </c>
      <c r="E2945" t="s">
        <v>34</v>
      </c>
      <c r="F2945">
        <v>140</v>
      </c>
      <c r="G2945">
        <v>360</v>
      </c>
      <c r="H2945">
        <v>181</v>
      </c>
      <c r="I2945">
        <v>80</v>
      </c>
      <c r="J2945" s="8">
        <v>0.5714285714285714</v>
      </c>
      <c r="K2945">
        <v>47</v>
      </c>
      <c r="L2945">
        <v>39</v>
      </c>
      <c r="M2945">
        <v>162</v>
      </c>
      <c r="N2945" s="10">
        <v>418.07</v>
      </c>
      <c r="O2945" s="7">
        <v>0.5</v>
      </c>
      <c r="P2945" s="7">
        <v>29.2</v>
      </c>
      <c r="Q2945">
        <v>0</v>
      </c>
      <c r="R2945" t="s">
        <v>62</v>
      </c>
      <c r="S2945">
        <v>9</v>
      </c>
      <c r="T2945">
        <v>251</v>
      </c>
      <c r="U2945" s="11">
        <v>0</v>
      </c>
      <c r="V2945" s="11">
        <v>1</v>
      </c>
      <c r="W2945" s="11">
        <v>-0.9164086366943458</v>
      </c>
      <c r="X2945" s="11">
        <v>-0.40024393885730558</v>
      </c>
      <c r="Y2945">
        <v>0</v>
      </c>
      <c r="Z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6">
        <v>45908</v>
      </c>
      <c r="B2946" t="s">
        <v>36</v>
      </c>
      <c r="C2946" t="s">
        <v>37</v>
      </c>
      <c r="D2946" t="s">
        <v>38</v>
      </c>
      <c r="E2946" t="s">
        <v>39</v>
      </c>
      <c r="F2946">
        <v>125</v>
      </c>
      <c r="G2946">
        <v>320</v>
      </c>
      <c r="H2946">
        <v>177</v>
      </c>
      <c r="I2946">
        <v>72</v>
      </c>
      <c r="J2946" s="8">
        <v>0.57599999999999996</v>
      </c>
      <c r="K2946">
        <v>21</v>
      </c>
      <c r="L2946">
        <v>16</v>
      </c>
      <c r="M2946">
        <v>149</v>
      </c>
      <c r="N2946" s="10">
        <v>577.22</v>
      </c>
      <c r="O2946" s="7">
        <v>0.5</v>
      </c>
      <c r="P2946" s="7">
        <v>29.2</v>
      </c>
      <c r="Q2946">
        <v>0</v>
      </c>
      <c r="R2946" t="s">
        <v>62</v>
      </c>
      <c r="S2946">
        <v>9</v>
      </c>
      <c r="T2946">
        <v>251</v>
      </c>
      <c r="U2946" s="11">
        <v>0</v>
      </c>
      <c r="V2946" s="11">
        <v>1</v>
      </c>
      <c r="W2946" s="11">
        <v>-0.9164086366943458</v>
      </c>
      <c r="X2946" s="11">
        <v>-0.40024393885730558</v>
      </c>
      <c r="Y2946">
        <v>0</v>
      </c>
      <c r="Z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6">
        <v>45908</v>
      </c>
      <c r="B2947" t="s">
        <v>41</v>
      </c>
      <c r="C2947" t="s">
        <v>42</v>
      </c>
      <c r="D2947" t="s">
        <v>43</v>
      </c>
      <c r="E2947" t="s">
        <v>44</v>
      </c>
      <c r="F2947">
        <v>85</v>
      </c>
      <c r="G2947">
        <v>210</v>
      </c>
      <c r="H2947">
        <v>128</v>
      </c>
      <c r="I2947">
        <v>54</v>
      </c>
      <c r="J2947" s="8">
        <v>0.63529411764705879</v>
      </c>
      <c r="K2947">
        <v>20</v>
      </c>
      <c r="L2947">
        <v>23</v>
      </c>
      <c r="M2947">
        <v>103</v>
      </c>
      <c r="N2947" s="10">
        <v>555.52</v>
      </c>
      <c r="O2947" s="7">
        <v>0.5</v>
      </c>
      <c r="P2947" s="7">
        <v>29.2</v>
      </c>
      <c r="Q2947">
        <v>0</v>
      </c>
      <c r="R2947" t="s">
        <v>62</v>
      </c>
      <c r="S2947">
        <v>9</v>
      </c>
      <c r="T2947">
        <v>251</v>
      </c>
      <c r="U2947" s="11">
        <v>0</v>
      </c>
      <c r="V2947" s="11">
        <v>1</v>
      </c>
      <c r="W2947" s="11">
        <v>-0.9164086366943458</v>
      </c>
      <c r="X2947" s="11">
        <v>-0.40024393885730558</v>
      </c>
      <c r="Y2947">
        <v>0</v>
      </c>
      <c r="Z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6">
        <v>45909</v>
      </c>
      <c r="B2948" t="s">
        <v>31</v>
      </c>
      <c r="C2948" t="s">
        <v>32</v>
      </c>
      <c r="D2948" t="s">
        <v>33</v>
      </c>
      <c r="E2948" t="s">
        <v>34</v>
      </c>
      <c r="F2948">
        <v>140</v>
      </c>
      <c r="G2948">
        <v>360</v>
      </c>
      <c r="H2948">
        <v>198</v>
      </c>
      <c r="I2948">
        <v>84</v>
      </c>
      <c r="J2948" s="8">
        <v>0.6</v>
      </c>
      <c r="K2948">
        <v>25</v>
      </c>
      <c r="L2948">
        <v>28</v>
      </c>
      <c r="M2948">
        <v>182</v>
      </c>
      <c r="N2948" s="10">
        <v>462.86</v>
      </c>
      <c r="O2948" s="7">
        <v>3.5</v>
      </c>
      <c r="P2948" s="7">
        <v>28.8</v>
      </c>
      <c r="Q2948">
        <v>1</v>
      </c>
      <c r="R2948" t="s">
        <v>63</v>
      </c>
      <c r="S2948">
        <v>9</v>
      </c>
      <c r="T2948">
        <v>252</v>
      </c>
      <c r="U2948" s="11">
        <v>0.7818314824680298</v>
      </c>
      <c r="V2948" s="11">
        <v>0.62348980185873359</v>
      </c>
      <c r="W2948" s="11">
        <v>-0.92315787296470386</v>
      </c>
      <c r="X2948" s="11">
        <v>-0.38442104726885545</v>
      </c>
      <c r="Y2948">
        <v>0</v>
      </c>
      <c r="Z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6">
        <v>45909</v>
      </c>
      <c r="B2949" t="s">
        <v>36</v>
      </c>
      <c r="C2949" t="s">
        <v>37</v>
      </c>
      <c r="D2949" t="s">
        <v>38</v>
      </c>
      <c r="E2949" t="s">
        <v>39</v>
      </c>
      <c r="F2949">
        <v>125</v>
      </c>
      <c r="G2949">
        <v>320</v>
      </c>
      <c r="H2949">
        <v>150</v>
      </c>
      <c r="I2949">
        <v>63</v>
      </c>
      <c r="J2949" s="8">
        <v>0.504</v>
      </c>
      <c r="K2949">
        <v>34</v>
      </c>
      <c r="L2949">
        <v>32</v>
      </c>
      <c r="M2949">
        <v>135</v>
      </c>
      <c r="N2949" s="10">
        <v>575.51</v>
      </c>
      <c r="O2949" s="7">
        <v>3.5</v>
      </c>
      <c r="P2949" s="7">
        <v>28.8</v>
      </c>
      <c r="Q2949">
        <v>1</v>
      </c>
      <c r="R2949" t="s">
        <v>63</v>
      </c>
      <c r="S2949">
        <v>9</v>
      </c>
      <c r="T2949">
        <v>252</v>
      </c>
      <c r="U2949" s="11">
        <v>0.7818314824680298</v>
      </c>
      <c r="V2949" s="11">
        <v>0.62348980185873359</v>
      </c>
      <c r="W2949" s="11">
        <v>-0.92315787296470386</v>
      </c>
      <c r="X2949" s="11">
        <v>-0.38442104726885545</v>
      </c>
      <c r="Y2949">
        <v>0</v>
      </c>
      <c r="Z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6">
        <v>45909</v>
      </c>
      <c r="B2950" t="s">
        <v>41</v>
      </c>
      <c r="C2950" t="s">
        <v>42</v>
      </c>
      <c r="D2950" t="s">
        <v>43</v>
      </c>
      <c r="E2950" t="s">
        <v>44</v>
      </c>
      <c r="F2950">
        <v>85</v>
      </c>
      <c r="G2950">
        <v>210</v>
      </c>
      <c r="H2950">
        <v>124</v>
      </c>
      <c r="I2950">
        <v>53</v>
      </c>
      <c r="J2950" s="8">
        <v>0.62352941176470589</v>
      </c>
      <c r="K2950">
        <v>10</v>
      </c>
      <c r="L2950">
        <v>32</v>
      </c>
      <c r="M2950">
        <v>104</v>
      </c>
      <c r="N2950" s="10">
        <v>478.66</v>
      </c>
      <c r="O2950" s="7">
        <v>3.5</v>
      </c>
      <c r="P2950" s="7">
        <v>28.8</v>
      </c>
      <c r="Q2950">
        <v>1</v>
      </c>
      <c r="R2950" t="s">
        <v>63</v>
      </c>
      <c r="S2950">
        <v>9</v>
      </c>
      <c r="T2950">
        <v>252</v>
      </c>
      <c r="U2950" s="11">
        <v>0.7818314824680298</v>
      </c>
      <c r="V2950" s="11">
        <v>0.62348980185873359</v>
      </c>
      <c r="W2950" s="11">
        <v>-0.92315787296470386</v>
      </c>
      <c r="X2950" s="11">
        <v>-0.38442104726885545</v>
      </c>
      <c r="Y2950">
        <v>0</v>
      </c>
      <c r="Z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6">
        <v>45910</v>
      </c>
      <c r="B2951" t="s">
        <v>31</v>
      </c>
      <c r="C2951" t="s">
        <v>32</v>
      </c>
      <c r="D2951" t="s">
        <v>33</v>
      </c>
      <c r="E2951" t="s">
        <v>34</v>
      </c>
      <c r="F2951">
        <v>140</v>
      </c>
      <c r="G2951">
        <v>360</v>
      </c>
      <c r="H2951">
        <v>193</v>
      </c>
      <c r="I2951">
        <v>80</v>
      </c>
      <c r="J2951" s="8">
        <v>0.5714285714285714</v>
      </c>
      <c r="K2951">
        <v>30</v>
      </c>
      <c r="L2951">
        <v>40</v>
      </c>
      <c r="M2951">
        <v>181</v>
      </c>
      <c r="N2951" s="10">
        <v>414.11</v>
      </c>
      <c r="O2951" s="7">
        <v>0</v>
      </c>
      <c r="P2951" s="7">
        <v>30</v>
      </c>
      <c r="Q2951">
        <v>2</v>
      </c>
      <c r="R2951" t="s">
        <v>64</v>
      </c>
      <c r="S2951">
        <v>9</v>
      </c>
      <c r="T2951">
        <v>253</v>
      </c>
      <c r="U2951" s="11">
        <v>0.97492791218182362</v>
      </c>
      <c r="V2951" s="11">
        <v>-0.22252093395631434</v>
      </c>
      <c r="W2951" s="11">
        <v>-0.92963393196826949</v>
      </c>
      <c r="X2951" s="11">
        <v>-0.36848439930777932</v>
      </c>
      <c r="Y2951">
        <v>0</v>
      </c>
      <c r="Z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6">
        <v>45910</v>
      </c>
      <c r="B2952" t="s">
        <v>36</v>
      </c>
      <c r="C2952" t="s">
        <v>37</v>
      </c>
      <c r="D2952" t="s">
        <v>38</v>
      </c>
      <c r="E2952" t="s">
        <v>39</v>
      </c>
      <c r="F2952">
        <v>125</v>
      </c>
      <c r="G2952">
        <v>320</v>
      </c>
      <c r="H2952">
        <v>176</v>
      </c>
      <c r="I2952">
        <v>75</v>
      </c>
      <c r="J2952" s="8">
        <v>0.6</v>
      </c>
      <c r="K2952">
        <v>22</v>
      </c>
      <c r="L2952">
        <v>20</v>
      </c>
      <c r="M2952">
        <v>150</v>
      </c>
      <c r="N2952" s="10">
        <v>657.51</v>
      </c>
      <c r="O2952" s="7">
        <v>0</v>
      </c>
      <c r="P2952" s="7">
        <v>30</v>
      </c>
      <c r="Q2952">
        <v>2</v>
      </c>
      <c r="R2952" t="s">
        <v>64</v>
      </c>
      <c r="S2952">
        <v>9</v>
      </c>
      <c r="T2952">
        <v>253</v>
      </c>
      <c r="U2952" s="11">
        <v>0.97492791218182362</v>
      </c>
      <c r="V2952" s="11">
        <v>-0.22252093395631434</v>
      </c>
      <c r="W2952" s="11">
        <v>-0.92963393196826949</v>
      </c>
      <c r="X2952" s="11">
        <v>-0.36848439930777932</v>
      </c>
      <c r="Y2952">
        <v>0</v>
      </c>
      <c r="Z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6">
        <v>45910</v>
      </c>
      <c r="B2953" t="s">
        <v>41</v>
      </c>
      <c r="C2953" t="s">
        <v>42</v>
      </c>
      <c r="D2953" t="s">
        <v>43</v>
      </c>
      <c r="E2953" t="s">
        <v>44</v>
      </c>
      <c r="F2953">
        <v>85</v>
      </c>
      <c r="G2953">
        <v>210</v>
      </c>
      <c r="H2953">
        <v>136</v>
      </c>
      <c r="I2953">
        <v>59</v>
      </c>
      <c r="J2953" s="8">
        <v>0.69411764705882351</v>
      </c>
      <c r="K2953">
        <v>29</v>
      </c>
      <c r="L2953">
        <v>33</v>
      </c>
      <c r="M2953">
        <v>111</v>
      </c>
      <c r="N2953" s="10">
        <v>562.62</v>
      </c>
      <c r="O2953" s="7">
        <v>0</v>
      </c>
      <c r="P2953" s="7">
        <v>30</v>
      </c>
      <c r="Q2953">
        <v>2</v>
      </c>
      <c r="R2953" t="s">
        <v>64</v>
      </c>
      <c r="S2953">
        <v>9</v>
      </c>
      <c r="T2953">
        <v>253</v>
      </c>
      <c r="U2953" s="11">
        <v>0.97492791218182362</v>
      </c>
      <c r="V2953" s="11">
        <v>-0.22252093395631434</v>
      </c>
      <c r="W2953" s="11">
        <v>-0.92963393196826949</v>
      </c>
      <c r="X2953" s="11">
        <v>-0.36848439930777932</v>
      </c>
      <c r="Y2953">
        <v>0</v>
      </c>
      <c r="Z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6">
        <v>45911</v>
      </c>
      <c r="B2954" t="s">
        <v>31</v>
      </c>
      <c r="C2954" t="s">
        <v>32</v>
      </c>
      <c r="D2954" t="s">
        <v>33</v>
      </c>
      <c r="E2954" t="s">
        <v>34</v>
      </c>
      <c r="F2954">
        <v>140</v>
      </c>
      <c r="G2954">
        <v>360</v>
      </c>
      <c r="H2954">
        <v>206</v>
      </c>
      <c r="I2954">
        <v>86</v>
      </c>
      <c r="J2954" s="8">
        <v>0.61428571428571432</v>
      </c>
      <c r="K2954">
        <v>53</v>
      </c>
      <c r="L2954">
        <v>24</v>
      </c>
      <c r="M2954">
        <v>172</v>
      </c>
      <c r="N2954" s="10">
        <v>459.83</v>
      </c>
      <c r="O2954" s="7">
        <v>0</v>
      </c>
      <c r="P2954" s="7">
        <v>29</v>
      </c>
      <c r="Q2954">
        <v>3</v>
      </c>
      <c r="R2954" t="s">
        <v>65</v>
      </c>
      <c r="S2954">
        <v>9</v>
      </c>
      <c r="T2954">
        <v>254</v>
      </c>
      <c r="U2954" s="11">
        <v>0.43388373911755823</v>
      </c>
      <c r="V2954" s="11">
        <v>-0.90096886790241903</v>
      </c>
      <c r="W2954" s="11">
        <v>-0.93583489733499414</v>
      </c>
      <c r="X2954" s="11">
        <v>-0.35243871088460327</v>
      </c>
      <c r="Y2954">
        <v>0</v>
      </c>
      <c r="Z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6">
        <v>45911</v>
      </c>
      <c r="B2955" t="s">
        <v>36</v>
      </c>
      <c r="C2955" t="s">
        <v>37</v>
      </c>
      <c r="D2955" t="s">
        <v>38</v>
      </c>
      <c r="E2955" t="s">
        <v>39</v>
      </c>
      <c r="F2955">
        <v>125</v>
      </c>
      <c r="G2955">
        <v>320</v>
      </c>
      <c r="H2955">
        <v>159</v>
      </c>
      <c r="I2955">
        <v>67</v>
      </c>
      <c r="J2955" s="8">
        <v>0.53600000000000003</v>
      </c>
      <c r="K2955">
        <v>33</v>
      </c>
      <c r="L2955">
        <v>27</v>
      </c>
      <c r="M2955">
        <v>130</v>
      </c>
      <c r="N2955" s="10">
        <v>674</v>
      </c>
      <c r="O2955" s="7">
        <v>0</v>
      </c>
      <c r="P2955" s="7">
        <v>29</v>
      </c>
      <c r="Q2955">
        <v>3</v>
      </c>
      <c r="R2955" t="s">
        <v>65</v>
      </c>
      <c r="S2955">
        <v>9</v>
      </c>
      <c r="T2955">
        <v>254</v>
      </c>
      <c r="U2955" s="11">
        <v>0.43388373911755823</v>
      </c>
      <c r="V2955" s="11">
        <v>-0.90096886790241903</v>
      </c>
      <c r="W2955" s="11">
        <v>-0.93583489733499414</v>
      </c>
      <c r="X2955" s="11">
        <v>-0.35243871088460327</v>
      </c>
      <c r="Y2955">
        <v>0</v>
      </c>
      <c r="Z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6">
        <v>45911</v>
      </c>
      <c r="B2956" t="s">
        <v>41</v>
      </c>
      <c r="C2956" t="s">
        <v>42</v>
      </c>
      <c r="D2956" t="s">
        <v>43</v>
      </c>
      <c r="E2956" t="s">
        <v>44</v>
      </c>
      <c r="F2956">
        <v>85</v>
      </c>
      <c r="G2956">
        <v>210</v>
      </c>
      <c r="H2956">
        <v>110</v>
      </c>
      <c r="I2956">
        <v>50</v>
      </c>
      <c r="J2956" s="8">
        <v>0.58823529411764708</v>
      </c>
      <c r="K2956">
        <v>27</v>
      </c>
      <c r="L2956">
        <v>12</v>
      </c>
      <c r="M2956">
        <v>103</v>
      </c>
      <c r="N2956" s="10">
        <v>527.51</v>
      </c>
      <c r="O2956" s="7">
        <v>0</v>
      </c>
      <c r="P2956" s="7">
        <v>29</v>
      </c>
      <c r="Q2956">
        <v>3</v>
      </c>
      <c r="R2956" t="s">
        <v>65</v>
      </c>
      <c r="S2956">
        <v>9</v>
      </c>
      <c r="T2956">
        <v>254</v>
      </c>
      <c r="U2956" s="11">
        <v>0.43388373911755823</v>
      </c>
      <c r="V2956" s="11">
        <v>-0.90096886790241903</v>
      </c>
      <c r="W2956" s="11">
        <v>-0.93583489733499414</v>
      </c>
      <c r="X2956" s="11">
        <v>-0.35243871088460327</v>
      </c>
      <c r="Y2956">
        <v>0</v>
      </c>
      <c r="Z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6">
        <v>45912</v>
      </c>
      <c r="B2957" t="s">
        <v>31</v>
      </c>
      <c r="C2957" t="s">
        <v>32</v>
      </c>
      <c r="D2957" t="s">
        <v>33</v>
      </c>
      <c r="E2957" t="s">
        <v>34</v>
      </c>
      <c r="F2957">
        <v>140</v>
      </c>
      <c r="G2957">
        <v>360</v>
      </c>
      <c r="H2957">
        <v>187</v>
      </c>
      <c r="I2957">
        <v>79</v>
      </c>
      <c r="J2957" s="8">
        <v>0.56428571428571428</v>
      </c>
      <c r="K2957">
        <v>54</v>
      </c>
      <c r="L2957">
        <v>30</v>
      </c>
      <c r="M2957">
        <v>152</v>
      </c>
      <c r="N2957" s="10">
        <v>462.04</v>
      </c>
      <c r="O2957" s="7">
        <v>1.1000000000000001</v>
      </c>
      <c r="P2957" s="7">
        <v>30.3</v>
      </c>
      <c r="Q2957">
        <v>4</v>
      </c>
      <c r="R2957" t="s">
        <v>66</v>
      </c>
      <c r="S2957">
        <v>9</v>
      </c>
      <c r="T2957">
        <v>255</v>
      </c>
      <c r="U2957" s="11">
        <v>-0.43388373911755801</v>
      </c>
      <c r="V2957" s="11">
        <v>-0.90096886790241915</v>
      </c>
      <c r="W2957" s="11">
        <v>-0.94175893409946165</v>
      </c>
      <c r="X2957" s="11">
        <v>-0.33628873017668287</v>
      </c>
      <c r="Y2957">
        <v>0</v>
      </c>
      <c r="Z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6">
        <v>45912</v>
      </c>
      <c r="B2958" t="s">
        <v>36</v>
      </c>
      <c r="C2958" t="s">
        <v>37</v>
      </c>
      <c r="D2958" t="s">
        <v>38</v>
      </c>
      <c r="E2958" t="s">
        <v>39</v>
      </c>
      <c r="F2958">
        <v>125</v>
      </c>
      <c r="G2958">
        <v>320</v>
      </c>
      <c r="H2958">
        <v>158</v>
      </c>
      <c r="I2958">
        <v>64</v>
      </c>
      <c r="J2958" s="8">
        <v>0.51200000000000001</v>
      </c>
      <c r="K2958">
        <v>30</v>
      </c>
      <c r="L2958">
        <v>33</v>
      </c>
      <c r="M2958">
        <v>138</v>
      </c>
      <c r="N2958" s="10">
        <v>620.73</v>
      </c>
      <c r="O2958" s="7">
        <v>1.1000000000000001</v>
      </c>
      <c r="P2958" s="7">
        <v>30.3</v>
      </c>
      <c r="Q2958">
        <v>4</v>
      </c>
      <c r="R2958" t="s">
        <v>66</v>
      </c>
      <c r="S2958">
        <v>9</v>
      </c>
      <c r="T2958">
        <v>255</v>
      </c>
      <c r="U2958" s="11">
        <v>-0.43388373911755801</v>
      </c>
      <c r="V2958" s="11">
        <v>-0.90096886790241915</v>
      </c>
      <c r="W2958" s="11">
        <v>-0.94175893409946165</v>
      </c>
      <c r="X2958" s="11">
        <v>-0.33628873017668287</v>
      </c>
      <c r="Y2958">
        <v>0</v>
      </c>
      <c r="Z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6">
        <v>45912</v>
      </c>
      <c r="B2959" t="s">
        <v>41</v>
      </c>
      <c r="C2959" t="s">
        <v>42</v>
      </c>
      <c r="D2959" t="s">
        <v>43</v>
      </c>
      <c r="E2959" t="s">
        <v>44</v>
      </c>
      <c r="F2959">
        <v>85</v>
      </c>
      <c r="G2959">
        <v>210</v>
      </c>
      <c r="H2959">
        <v>109</v>
      </c>
      <c r="I2959">
        <v>50</v>
      </c>
      <c r="J2959" s="8">
        <v>0.58823529411764708</v>
      </c>
      <c r="K2959">
        <v>22</v>
      </c>
      <c r="L2959">
        <v>15</v>
      </c>
      <c r="M2959">
        <v>91</v>
      </c>
      <c r="N2959" s="10">
        <v>525.82000000000005</v>
      </c>
      <c r="O2959" s="7">
        <v>1.1000000000000001</v>
      </c>
      <c r="P2959" s="7">
        <v>30.3</v>
      </c>
      <c r="Q2959">
        <v>4</v>
      </c>
      <c r="R2959" t="s">
        <v>66</v>
      </c>
      <c r="S2959">
        <v>9</v>
      </c>
      <c r="T2959">
        <v>255</v>
      </c>
      <c r="U2959" s="11">
        <v>-0.43388373911755801</v>
      </c>
      <c r="V2959" s="11">
        <v>-0.90096886790241915</v>
      </c>
      <c r="W2959" s="11">
        <v>-0.94175893409946165</v>
      </c>
      <c r="X2959" s="11">
        <v>-0.33628873017668287</v>
      </c>
      <c r="Y2959">
        <v>0</v>
      </c>
      <c r="Z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6">
        <v>45913</v>
      </c>
      <c r="B2960" t="s">
        <v>31</v>
      </c>
      <c r="C2960" t="s">
        <v>32</v>
      </c>
      <c r="D2960" t="s">
        <v>33</v>
      </c>
      <c r="E2960" t="s">
        <v>34</v>
      </c>
      <c r="F2960">
        <v>140</v>
      </c>
      <c r="G2960">
        <v>360</v>
      </c>
      <c r="H2960">
        <v>198</v>
      </c>
      <c r="I2960">
        <v>83</v>
      </c>
      <c r="J2960" s="8">
        <v>0.59285714285714286</v>
      </c>
      <c r="K2960">
        <v>45</v>
      </c>
      <c r="L2960">
        <v>37</v>
      </c>
      <c r="M2960">
        <v>174</v>
      </c>
      <c r="N2960" s="10">
        <v>513.45000000000005</v>
      </c>
      <c r="O2960" s="7">
        <v>0</v>
      </c>
      <c r="P2960" s="7">
        <v>29</v>
      </c>
      <c r="Q2960">
        <v>5</v>
      </c>
      <c r="R2960" t="s">
        <v>67</v>
      </c>
      <c r="S2960">
        <v>9</v>
      </c>
      <c r="T2960">
        <v>256</v>
      </c>
      <c r="U2960" s="11">
        <v>-0.97492791218182362</v>
      </c>
      <c r="V2960" s="11">
        <v>-0.22252093395631459</v>
      </c>
      <c r="W2960" s="11">
        <v>-0.94740428924388453</v>
      </c>
      <c r="X2960" s="11">
        <v>-0.32003923622313857</v>
      </c>
      <c r="Y2960">
        <v>1</v>
      </c>
      <c r="Z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6">
        <v>45913</v>
      </c>
      <c r="B2961" t="s">
        <v>36</v>
      </c>
      <c r="C2961" t="s">
        <v>37</v>
      </c>
      <c r="D2961" t="s">
        <v>38</v>
      </c>
      <c r="E2961" t="s">
        <v>39</v>
      </c>
      <c r="F2961">
        <v>125</v>
      </c>
      <c r="G2961">
        <v>320</v>
      </c>
      <c r="H2961">
        <v>207</v>
      </c>
      <c r="I2961">
        <v>87</v>
      </c>
      <c r="J2961" s="8">
        <v>0.69599999999999995</v>
      </c>
      <c r="K2961">
        <v>35</v>
      </c>
      <c r="L2961">
        <v>35</v>
      </c>
      <c r="M2961">
        <v>167</v>
      </c>
      <c r="N2961" s="10">
        <v>681.3</v>
      </c>
      <c r="O2961" s="7">
        <v>0</v>
      </c>
      <c r="P2961" s="7">
        <v>29</v>
      </c>
      <c r="Q2961">
        <v>5</v>
      </c>
      <c r="R2961" t="s">
        <v>67</v>
      </c>
      <c r="S2961">
        <v>9</v>
      </c>
      <c r="T2961">
        <v>256</v>
      </c>
      <c r="U2961" s="11">
        <v>-0.97492791218182362</v>
      </c>
      <c r="V2961" s="11">
        <v>-0.22252093395631459</v>
      </c>
      <c r="W2961" s="11">
        <v>-0.94740428924388453</v>
      </c>
      <c r="X2961" s="11">
        <v>-0.32003923622313857</v>
      </c>
      <c r="Y2961">
        <v>1</v>
      </c>
      <c r="Z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6">
        <v>45913</v>
      </c>
      <c r="B2962" t="s">
        <v>41</v>
      </c>
      <c r="C2962" t="s">
        <v>42</v>
      </c>
      <c r="D2962" t="s">
        <v>43</v>
      </c>
      <c r="E2962" t="s">
        <v>44</v>
      </c>
      <c r="F2962">
        <v>85</v>
      </c>
      <c r="G2962">
        <v>210</v>
      </c>
      <c r="H2962">
        <v>144</v>
      </c>
      <c r="I2962">
        <v>64</v>
      </c>
      <c r="J2962" s="8">
        <v>0.75294117647058822</v>
      </c>
      <c r="K2962">
        <v>41</v>
      </c>
      <c r="L2962">
        <v>33</v>
      </c>
      <c r="M2962">
        <v>125</v>
      </c>
      <c r="N2962" s="10">
        <v>544.66999999999996</v>
      </c>
      <c r="O2962" s="7">
        <v>0</v>
      </c>
      <c r="P2962" s="7">
        <v>29</v>
      </c>
      <c r="Q2962">
        <v>5</v>
      </c>
      <c r="R2962" t="s">
        <v>67</v>
      </c>
      <c r="S2962">
        <v>9</v>
      </c>
      <c r="T2962">
        <v>256</v>
      </c>
      <c r="U2962" s="11">
        <v>-0.97492791218182362</v>
      </c>
      <c r="V2962" s="11">
        <v>-0.22252093395631459</v>
      </c>
      <c r="W2962" s="11">
        <v>-0.94740428924388453</v>
      </c>
      <c r="X2962" s="11">
        <v>-0.32003923622313857</v>
      </c>
      <c r="Y2962">
        <v>1</v>
      </c>
      <c r="Z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6">
        <v>45914</v>
      </c>
      <c r="B2963" t="s">
        <v>31</v>
      </c>
      <c r="C2963" t="s">
        <v>32</v>
      </c>
      <c r="D2963" t="s">
        <v>33</v>
      </c>
      <c r="E2963" t="s">
        <v>34</v>
      </c>
      <c r="F2963">
        <v>140</v>
      </c>
      <c r="G2963">
        <v>360</v>
      </c>
      <c r="H2963">
        <v>205</v>
      </c>
      <c r="I2963">
        <v>87</v>
      </c>
      <c r="J2963" s="8">
        <v>0.62142857142857144</v>
      </c>
      <c r="K2963">
        <v>51</v>
      </c>
      <c r="L2963">
        <v>26</v>
      </c>
      <c r="M2963">
        <v>187</v>
      </c>
      <c r="N2963" s="10">
        <v>511.31</v>
      </c>
      <c r="O2963" s="7">
        <v>0.2</v>
      </c>
      <c r="P2963" s="7">
        <v>29.7</v>
      </c>
      <c r="Q2963">
        <v>6</v>
      </c>
      <c r="R2963" t="s">
        <v>60</v>
      </c>
      <c r="S2963">
        <v>9</v>
      </c>
      <c r="T2963">
        <v>257</v>
      </c>
      <c r="U2963" s="11">
        <v>-0.78183148246802991</v>
      </c>
      <c r="V2963" s="11">
        <v>0.62348980185873337</v>
      </c>
      <c r="W2963" s="11">
        <v>-0.95276929221685114</v>
      </c>
      <c r="X2963" s="11">
        <v>-0.30369503751065885</v>
      </c>
      <c r="Y2963">
        <v>1</v>
      </c>
      <c r="Z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6">
        <v>45914</v>
      </c>
      <c r="B2964" t="s">
        <v>36</v>
      </c>
      <c r="C2964" t="s">
        <v>37</v>
      </c>
      <c r="D2964" t="s">
        <v>38</v>
      </c>
      <c r="E2964" t="s">
        <v>39</v>
      </c>
      <c r="F2964">
        <v>125</v>
      </c>
      <c r="G2964">
        <v>320</v>
      </c>
      <c r="H2964">
        <v>209</v>
      </c>
      <c r="I2964">
        <v>87</v>
      </c>
      <c r="J2964" s="8">
        <v>0.69599999999999995</v>
      </c>
      <c r="K2964">
        <v>46</v>
      </c>
      <c r="L2964">
        <v>30</v>
      </c>
      <c r="M2964">
        <v>188</v>
      </c>
      <c r="N2964" s="10">
        <v>717.96</v>
      </c>
      <c r="O2964" s="7">
        <v>0.2</v>
      </c>
      <c r="P2964" s="7">
        <v>29.7</v>
      </c>
      <c r="Q2964">
        <v>6</v>
      </c>
      <c r="R2964" t="s">
        <v>60</v>
      </c>
      <c r="S2964">
        <v>9</v>
      </c>
      <c r="T2964">
        <v>257</v>
      </c>
      <c r="U2964" s="11">
        <v>-0.78183148246802991</v>
      </c>
      <c r="V2964" s="11">
        <v>0.62348980185873337</v>
      </c>
      <c r="W2964" s="11">
        <v>-0.95276929221685114</v>
      </c>
      <c r="X2964" s="11">
        <v>-0.30369503751065885</v>
      </c>
      <c r="Y2964">
        <v>1</v>
      </c>
      <c r="Z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6">
        <v>45914</v>
      </c>
      <c r="B2965" t="s">
        <v>41</v>
      </c>
      <c r="C2965" t="s">
        <v>42</v>
      </c>
      <c r="D2965" t="s">
        <v>43</v>
      </c>
      <c r="E2965" t="s">
        <v>44</v>
      </c>
      <c r="F2965">
        <v>85</v>
      </c>
      <c r="G2965">
        <v>210</v>
      </c>
      <c r="H2965">
        <v>140</v>
      </c>
      <c r="I2965">
        <v>63</v>
      </c>
      <c r="J2965" s="8">
        <v>0.74117647058823533</v>
      </c>
      <c r="K2965">
        <v>23</v>
      </c>
      <c r="L2965">
        <v>24</v>
      </c>
      <c r="M2965">
        <v>116</v>
      </c>
      <c r="N2965" s="10">
        <v>603.32000000000005</v>
      </c>
      <c r="O2965" s="7">
        <v>0.2</v>
      </c>
      <c r="P2965" s="7">
        <v>29.7</v>
      </c>
      <c r="Q2965">
        <v>6</v>
      </c>
      <c r="R2965" t="s">
        <v>60</v>
      </c>
      <c r="S2965">
        <v>9</v>
      </c>
      <c r="T2965">
        <v>257</v>
      </c>
      <c r="U2965" s="11">
        <v>-0.78183148246802991</v>
      </c>
      <c r="V2965" s="11">
        <v>0.62348980185873337</v>
      </c>
      <c r="W2965" s="11">
        <v>-0.95276929221685114</v>
      </c>
      <c r="X2965" s="11">
        <v>-0.30369503751065885</v>
      </c>
      <c r="Y2965">
        <v>1</v>
      </c>
      <c r="Z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6">
        <v>45915</v>
      </c>
      <c r="B2966" t="s">
        <v>31</v>
      </c>
      <c r="C2966" t="s">
        <v>32</v>
      </c>
      <c r="D2966" t="s">
        <v>33</v>
      </c>
      <c r="E2966" t="s">
        <v>34</v>
      </c>
      <c r="F2966">
        <v>140</v>
      </c>
      <c r="G2966">
        <v>360</v>
      </c>
      <c r="H2966">
        <v>171</v>
      </c>
      <c r="I2966">
        <v>70</v>
      </c>
      <c r="J2966" s="8">
        <v>0.5</v>
      </c>
      <c r="K2966">
        <v>24</v>
      </c>
      <c r="L2966">
        <v>45</v>
      </c>
      <c r="M2966">
        <v>143</v>
      </c>
      <c r="N2966" s="10">
        <v>439.67</v>
      </c>
      <c r="O2966" s="7">
        <v>3.4</v>
      </c>
      <c r="P2966" s="7">
        <v>30.7</v>
      </c>
      <c r="Q2966">
        <v>0</v>
      </c>
      <c r="R2966" t="s">
        <v>62</v>
      </c>
      <c r="S2966">
        <v>9</v>
      </c>
      <c r="T2966">
        <v>258</v>
      </c>
      <c r="U2966" s="11">
        <v>0</v>
      </c>
      <c r="V2966" s="11">
        <v>1</v>
      </c>
      <c r="W2966" s="11">
        <v>-0.95785235542766689</v>
      </c>
      <c r="X2966" s="11">
        <v>-0.28726097055059635</v>
      </c>
      <c r="Y2966">
        <v>0</v>
      </c>
      <c r="Z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6">
        <v>45915</v>
      </c>
      <c r="B2967" t="s">
        <v>36</v>
      </c>
      <c r="C2967" t="s">
        <v>37</v>
      </c>
      <c r="D2967" t="s">
        <v>38</v>
      </c>
      <c r="E2967" t="s">
        <v>39</v>
      </c>
      <c r="F2967">
        <v>125</v>
      </c>
      <c r="G2967">
        <v>320</v>
      </c>
      <c r="H2967">
        <v>168</v>
      </c>
      <c r="I2967">
        <v>72</v>
      </c>
      <c r="J2967" s="8">
        <v>0.57599999999999996</v>
      </c>
      <c r="K2967">
        <v>26</v>
      </c>
      <c r="L2967">
        <v>47</v>
      </c>
      <c r="M2967">
        <v>138</v>
      </c>
      <c r="N2967" s="10">
        <v>598.53</v>
      </c>
      <c r="O2967" s="7">
        <v>3.4</v>
      </c>
      <c r="P2967" s="7">
        <v>30.7</v>
      </c>
      <c r="Q2967">
        <v>0</v>
      </c>
      <c r="R2967" t="s">
        <v>62</v>
      </c>
      <c r="S2967">
        <v>9</v>
      </c>
      <c r="T2967">
        <v>258</v>
      </c>
      <c r="U2967" s="11">
        <v>0</v>
      </c>
      <c r="V2967" s="11">
        <v>1</v>
      </c>
      <c r="W2967" s="11">
        <v>-0.95785235542766689</v>
      </c>
      <c r="X2967" s="11">
        <v>-0.28726097055059635</v>
      </c>
      <c r="Y2967">
        <v>0</v>
      </c>
      <c r="Z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6">
        <v>45915</v>
      </c>
      <c r="B2968" t="s">
        <v>41</v>
      </c>
      <c r="C2968" t="s">
        <v>42</v>
      </c>
      <c r="D2968" t="s">
        <v>43</v>
      </c>
      <c r="E2968" t="s">
        <v>44</v>
      </c>
      <c r="F2968">
        <v>85</v>
      </c>
      <c r="G2968">
        <v>210</v>
      </c>
      <c r="H2968">
        <v>103</v>
      </c>
      <c r="I2968">
        <v>48</v>
      </c>
      <c r="J2968" s="8">
        <v>0.56470588235294117</v>
      </c>
      <c r="K2968">
        <v>20</v>
      </c>
      <c r="L2968">
        <v>16</v>
      </c>
      <c r="M2968">
        <v>91</v>
      </c>
      <c r="N2968" s="10">
        <v>528.77</v>
      </c>
      <c r="O2968" s="7">
        <v>3.4</v>
      </c>
      <c r="P2968" s="7">
        <v>30.7</v>
      </c>
      <c r="Q2968">
        <v>0</v>
      </c>
      <c r="R2968" t="s">
        <v>62</v>
      </c>
      <c r="S2968">
        <v>9</v>
      </c>
      <c r="T2968">
        <v>258</v>
      </c>
      <c r="U2968" s="11">
        <v>0</v>
      </c>
      <c r="V2968" s="11">
        <v>1</v>
      </c>
      <c r="W2968" s="11">
        <v>-0.95785235542766689</v>
      </c>
      <c r="X2968" s="11">
        <v>-0.28726097055059635</v>
      </c>
      <c r="Y2968">
        <v>0</v>
      </c>
      <c r="Z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6">
        <v>45916</v>
      </c>
      <c r="B2969" t="s">
        <v>31</v>
      </c>
      <c r="C2969" t="s">
        <v>32</v>
      </c>
      <c r="D2969" t="s">
        <v>33</v>
      </c>
      <c r="E2969" t="s">
        <v>34</v>
      </c>
      <c r="F2969">
        <v>140</v>
      </c>
      <c r="G2969">
        <v>360</v>
      </c>
      <c r="H2969">
        <v>190</v>
      </c>
      <c r="I2969">
        <v>79</v>
      </c>
      <c r="J2969" s="8">
        <v>0.56428571428571428</v>
      </c>
      <c r="K2969">
        <v>49</v>
      </c>
      <c r="L2969">
        <v>44</v>
      </c>
      <c r="M2969">
        <v>157</v>
      </c>
      <c r="N2969" s="10">
        <v>415.75</v>
      </c>
      <c r="O2969" s="7">
        <v>2.2999999999999998</v>
      </c>
      <c r="P2969" s="7">
        <v>28.1</v>
      </c>
      <c r="Q2969">
        <v>1</v>
      </c>
      <c r="R2969" t="s">
        <v>63</v>
      </c>
      <c r="S2969">
        <v>9</v>
      </c>
      <c r="T2969">
        <v>259</v>
      </c>
      <c r="U2969" s="11">
        <v>0.7818314824680298</v>
      </c>
      <c r="V2969" s="11">
        <v>0.62348980185873359</v>
      </c>
      <c r="W2969" s="11">
        <v>-0.96265197471614872</v>
      </c>
      <c r="X2969" s="11">
        <v>-0.2707418984477642</v>
      </c>
      <c r="Y2969">
        <v>0</v>
      </c>
      <c r="Z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6">
        <v>45916</v>
      </c>
      <c r="B2970" t="s">
        <v>36</v>
      </c>
      <c r="C2970" t="s">
        <v>37</v>
      </c>
      <c r="D2970" t="s">
        <v>38</v>
      </c>
      <c r="E2970" t="s">
        <v>39</v>
      </c>
      <c r="F2970">
        <v>125</v>
      </c>
      <c r="G2970">
        <v>320</v>
      </c>
      <c r="H2970">
        <v>151</v>
      </c>
      <c r="I2970">
        <v>65</v>
      </c>
      <c r="J2970" s="8">
        <v>0.52</v>
      </c>
      <c r="K2970">
        <v>27</v>
      </c>
      <c r="L2970">
        <v>32</v>
      </c>
      <c r="M2970">
        <v>141</v>
      </c>
      <c r="N2970" s="10">
        <v>603.76</v>
      </c>
      <c r="O2970" s="7">
        <v>2.2999999999999998</v>
      </c>
      <c r="P2970" s="7">
        <v>28.1</v>
      </c>
      <c r="Q2970">
        <v>1</v>
      </c>
      <c r="R2970" t="s">
        <v>63</v>
      </c>
      <c r="S2970">
        <v>9</v>
      </c>
      <c r="T2970">
        <v>259</v>
      </c>
      <c r="U2970" s="11">
        <v>0.7818314824680298</v>
      </c>
      <c r="V2970" s="11">
        <v>0.62348980185873359</v>
      </c>
      <c r="W2970" s="11">
        <v>-0.96265197471614872</v>
      </c>
      <c r="X2970" s="11">
        <v>-0.2707418984477642</v>
      </c>
      <c r="Y2970">
        <v>0</v>
      </c>
      <c r="Z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6">
        <v>45916</v>
      </c>
      <c r="B2971" t="s">
        <v>41</v>
      </c>
      <c r="C2971" t="s">
        <v>42</v>
      </c>
      <c r="D2971" t="s">
        <v>43</v>
      </c>
      <c r="E2971" t="s">
        <v>44</v>
      </c>
      <c r="F2971">
        <v>85</v>
      </c>
      <c r="G2971">
        <v>210</v>
      </c>
      <c r="H2971">
        <v>117</v>
      </c>
      <c r="I2971">
        <v>51</v>
      </c>
      <c r="J2971" s="8">
        <v>0.6</v>
      </c>
      <c r="K2971">
        <v>23</v>
      </c>
      <c r="L2971">
        <v>7</v>
      </c>
      <c r="M2971">
        <v>99</v>
      </c>
      <c r="N2971" s="10">
        <v>499.65</v>
      </c>
      <c r="O2971" s="7">
        <v>2.2999999999999998</v>
      </c>
      <c r="P2971" s="7">
        <v>28.1</v>
      </c>
      <c r="Q2971">
        <v>1</v>
      </c>
      <c r="R2971" t="s">
        <v>63</v>
      </c>
      <c r="S2971">
        <v>9</v>
      </c>
      <c r="T2971">
        <v>259</v>
      </c>
      <c r="U2971" s="11">
        <v>0.7818314824680298</v>
      </c>
      <c r="V2971" s="11">
        <v>0.62348980185873359</v>
      </c>
      <c r="W2971" s="11">
        <v>-0.96265197471614872</v>
      </c>
      <c r="X2971" s="11">
        <v>-0.2707418984477642</v>
      </c>
      <c r="Y2971">
        <v>0</v>
      </c>
      <c r="Z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6">
        <v>45917</v>
      </c>
      <c r="B2972" t="s">
        <v>31</v>
      </c>
      <c r="C2972" t="s">
        <v>32</v>
      </c>
      <c r="D2972" t="s">
        <v>33</v>
      </c>
      <c r="E2972" t="s">
        <v>34</v>
      </c>
      <c r="F2972">
        <v>140</v>
      </c>
      <c r="G2972">
        <v>360</v>
      </c>
      <c r="H2972">
        <v>199</v>
      </c>
      <c r="I2972">
        <v>83</v>
      </c>
      <c r="J2972" s="8">
        <v>0.59285714285714286</v>
      </c>
      <c r="K2972">
        <v>56</v>
      </c>
      <c r="L2972">
        <v>40</v>
      </c>
      <c r="M2972">
        <v>185</v>
      </c>
      <c r="N2972" s="10">
        <v>405.81</v>
      </c>
      <c r="O2972" s="7">
        <v>1.8</v>
      </c>
      <c r="P2972" s="7">
        <v>29.2</v>
      </c>
      <c r="Q2972">
        <v>2</v>
      </c>
      <c r="R2972" t="s">
        <v>64</v>
      </c>
      <c r="S2972">
        <v>9</v>
      </c>
      <c r="T2972">
        <v>260</v>
      </c>
      <c r="U2972" s="11">
        <v>0.97492791218182362</v>
      </c>
      <c r="V2972" s="11">
        <v>-0.22252093395631434</v>
      </c>
      <c r="W2972" s="11">
        <v>-0.96716672979773122</v>
      </c>
      <c r="X2972" s="11">
        <v>-0.25414270946136219</v>
      </c>
      <c r="Y2972">
        <v>0</v>
      </c>
      <c r="Z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6">
        <v>45917</v>
      </c>
      <c r="B2973" t="s">
        <v>36</v>
      </c>
      <c r="C2973" t="s">
        <v>37</v>
      </c>
      <c r="D2973" t="s">
        <v>38</v>
      </c>
      <c r="E2973" t="s">
        <v>39</v>
      </c>
      <c r="F2973">
        <v>125</v>
      </c>
      <c r="G2973">
        <v>320</v>
      </c>
      <c r="H2973">
        <v>161</v>
      </c>
      <c r="I2973">
        <v>65</v>
      </c>
      <c r="J2973" s="8">
        <v>0.52</v>
      </c>
      <c r="K2973">
        <v>42</v>
      </c>
      <c r="L2973">
        <v>43</v>
      </c>
      <c r="M2973">
        <v>129</v>
      </c>
      <c r="N2973" s="10">
        <v>631.59</v>
      </c>
      <c r="O2973" s="7">
        <v>1.8</v>
      </c>
      <c r="P2973" s="7">
        <v>29.2</v>
      </c>
      <c r="Q2973">
        <v>2</v>
      </c>
      <c r="R2973" t="s">
        <v>64</v>
      </c>
      <c r="S2973">
        <v>9</v>
      </c>
      <c r="T2973">
        <v>260</v>
      </c>
      <c r="U2973" s="11">
        <v>0.97492791218182362</v>
      </c>
      <c r="V2973" s="11">
        <v>-0.22252093395631434</v>
      </c>
      <c r="W2973" s="11">
        <v>-0.96716672979773122</v>
      </c>
      <c r="X2973" s="11">
        <v>-0.25414270946136219</v>
      </c>
      <c r="Y2973">
        <v>0</v>
      </c>
      <c r="Z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6">
        <v>45917</v>
      </c>
      <c r="B2974" t="s">
        <v>41</v>
      </c>
      <c r="C2974" t="s">
        <v>42</v>
      </c>
      <c r="D2974" t="s">
        <v>43</v>
      </c>
      <c r="E2974" t="s">
        <v>44</v>
      </c>
      <c r="F2974">
        <v>85</v>
      </c>
      <c r="G2974">
        <v>210</v>
      </c>
      <c r="H2974">
        <v>112</v>
      </c>
      <c r="I2974">
        <v>52</v>
      </c>
      <c r="J2974" s="8">
        <v>0.61176470588235299</v>
      </c>
      <c r="K2974">
        <v>21</v>
      </c>
      <c r="L2974">
        <v>19</v>
      </c>
      <c r="M2974">
        <v>94</v>
      </c>
      <c r="N2974" s="10">
        <v>497.99</v>
      </c>
      <c r="O2974" s="7">
        <v>1.8</v>
      </c>
      <c r="P2974" s="7">
        <v>29.2</v>
      </c>
      <c r="Q2974">
        <v>2</v>
      </c>
      <c r="R2974" t="s">
        <v>64</v>
      </c>
      <c r="S2974">
        <v>9</v>
      </c>
      <c r="T2974">
        <v>260</v>
      </c>
      <c r="U2974" s="11">
        <v>0.97492791218182362</v>
      </c>
      <c r="V2974" s="11">
        <v>-0.22252093395631434</v>
      </c>
      <c r="W2974" s="11">
        <v>-0.96716672979773122</v>
      </c>
      <c r="X2974" s="11">
        <v>-0.25414270946136219</v>
      </c>
      <c r="Y2974">
        <v>0</v>
      </c>
      <c r="Z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6">
        <v>45918</v>
      </c>
      <c r="B2975" t="s">
        <v>31</v>
      </c>
      <c r="C2975" t="s">
        <v>32</v>
      </c>
      <c r="D2975" t="s">
        <v>33</v>
      </c>
      <c r="E2975" t="s">
        <v>34</v>
      </c>
      <c r="F2975">
        <v>140</v>
      </c>
      <c r="G2975">
        <v>360</v>
      </c>
      <c r="H2975">
        <v>194</v>
      </c>
      <c r="I2975">
        <v>82</v>
      </c>
      <c r="J2975" s="8">
        <v>0.58571428571428574</v>
      </c>
      <c r="K2975">
        <v>26</v>
      </c>
      <c r="L2975">
        <v>28</v>
      </c>
      <c r="M2975">
        <v>163</v>
      </c>
      <c r="N2975" s="10">
        <v>446.6</v>
      </c>
      <c r="O2975" s="7">
        <v>0</v>
      </c>
      <c r="P2975" s="7">
        <v>29.1</v>
      </c>
      <c r="Q2975">
        <v>3</v>
      </c>
      <c r="R2975" t="s">
        <v>65</v>
      </c>
      <c r="S2975">
        <v>9</v>
      </c>
      <c r="T2975">
        <v>261</v>
      </c>
      <c r="U2975" s="11">
        <v>0.43388373911755823</v>
      </c>
      <c r="V2975" s="11">
        <v>-0.90096886790241903</v>
      </c>
      <c r="W2975" s="11">
        <v>-0.97139528468375003</v>
      </c>
      <c r="X2975" s="11">
        <v>-0.23746831555846842</v>
      </c>
      <c r="Y2975">
        <v>0</v>
      </c>
      <c r="Z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6">
        <v>45918</v>
      </c>
      <c r="B2976" t="s">
        <v>36</v>
      </c>
      <c r="C2976" t="s">
        <v>37</v>
      </c>
      <c r="D2976" t="s">
        <v>38</v>
      </c>
      <c r="E2976" t="s">
        <v>39</v>
      </c>
      <c r="F2976">
        <v>125</v>
      </c>
      <c r="G2976">
        <v>320</v>
      </c>
      <c r="H2976">
        <v>170</v>
      </c>
      <c r="I2976">
        <v>71</v>
      </c>
      <c r="J2976" s="8">
        <v>0.56799999999999995</v>
      </c>
      <c r="K2976">
        <v>26</v>
      </c>
      <c r="L2976">
        <v>46</v>
      </c>
      <c r="M2976">
        <v>151</v>
      </c>
      <c r="N2976" s="10">
        <v>675.23</v>
      </c>
      <c r="O2976" s="7">
        <v>0</v>
      </c>
      <c r="P2976" s="7">
        <v>29.1</v>
      </c>
      <c r="Q2976">
        <v>3</v>
      </c>
      <c r="R2976" t="s">
        <v>65</v>
      </c>
      <c r="S2976">
        <v>9</v>
      </c>
      <c r="T2976">
        <v>261</v>
      </c>
      <c r="U2976" s="11">
        <v>0.43388373911755823</v>
      </c>
      <c r="V2976" s="11">
        <v>-0.90096886790241903</v>
      </c>
      <c r="W2976" s="11">
        <v>-0.97139528468375003</v>
      </c>
      <c r="X2976" s="11">
        <v>-0.23746831555846842</v>
      </c>
      <c r="Y2976">
        <v>0</v>
      </c>
      <c r="Z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6">
        <v>45918</v>
      </c>
      <c r="B2977" t="s">
        <v>41</v>
      </c>
      <c r="C2977" t="s">
        <v>42</v>
      </c>
      <c r="D2977" t="s">
        <v>43</v>
      </c>
      <c r="E2977" t="s">
        <v>44</v>
      </c>
      <c r="F2977">
        <v>85</v>
      </c>
      <c r="G2977">
        <v>210</v>
      </c>
      <c r="H2977">
        <v>113</v>
      </c>
      <c r="I2977">
        <v>49</v>
      </c>
      <c r="J2977" s="8">
        <v>0.57647058823529407</v>
      </c>
      <c r="K2977">
        <v>21</v>
      </c>
      <c r="L2977">
        <v>15</v>
      </c>
      <c r="M2977">
        <v>95</v>
      </c>
      <c r="N2977" s="10">
        <v>511.57</v>
      </c>
      <c r="O2977" s="7">
        <v>0</v>
      </c>
      <c r="P2977" s="7">
        <v>29.1</v>
      </c>
      <c r="Q2977">
        <v>3</v>
      </c>
      <c r="R2977" t="s">
        <v>65</v>
      </c>
      <c r="S2977">
        <v>9</v>
      </c>
      <c r="T2977">
        <v>261</v>
      </c>
      <c r="U2977" s="11">
        <v>0.43388373911755823</v>
      </c>
      <c r="V2977" s="11">
        <v>-0.90096886790241903</v>
      </c>
      <c r="W2977" s="11">
        <v>-0.97139528468375003</v>
      </c>
      <c r="X2977" s="11">
        <v>-0.23746831555846842</v>
      </c>
      <c r="Y2977">
        <v>0</v>
      </c>
      <c r="Z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6">
        <v>45919</v>
      </c>
      <c r="B2978" t="s">
        <v>31</v>
      </c>
      <c r="C2978" t="s">
        <v>32</v>
      </c>
      <c r="D2978" t="s">
        <v>33</v>
      </c>
      <c r="E2978" t="s">
        <v>34</v>
      </c>
      <c r="F2978">
        <v>140</v>
      </c>
      <c r="G2978">
        <v>360</v>
      </c>
      <c r="H2978">
        <v>182</v>
      </c>
      <c r="I2978">
        <v>78</v>
      </c>
      <c r="J2978" s="8">
        <v>0.55714285714285716</v>
      </c>
      <c r="K2978">
        <v>27</v>
      </c>
      <c r="L2978">
        <v>41</v>
      </c>
      <c r="M2978">
        <v>166</v>
      </c>
      <c r="N2978" s="10">
        <v>409.65</v>
      </c>
      <c r="O2978" s="7">
        <v>0</v>
      </c>
      <c r="P2978" s="7">
        <v>29.2</v>
      </c>
      <c r="Q2978">
        <v>4</v>
      </c>
      <c r="R2978" t="s">
        <v>66</v>
      </c>
      <c r="S2978">
        <v>9</v>
      </c>
      <c r="T2978">
        <v>262</v>
      </c>
      <c r="U2978" s="11">
        <v>-0.43388373911755801</v>
      </c>
      <c r="V2978" s="11">
        <v>-0.90096886790241915</v>
      </c>
      <c r="W2978" s="11">
        <v>-0.97533638807678369</v>
      </c>
      <c r="X2978" s="11">
        <v>-0.2207236509605022</v>
      </c>
      <c r="Y2978">
        <v>0</v>
      </c>
      <c r="Z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6">
        <v>45919</v>
      </c>
      <c r="B2979" t="s">
        <v>36</v>
      </c>
      <c r="C2979" t="s">
        <v>37</v>
      </c>
      <c r="D2979" t="s">
        <v>38</v>
      </c>
      <c r="E2979" t="s">
        <v>39</v>
      </c>
      <c r="F2979">
        <v>125</v>
      </c>
      <c r="G2979">
        <v>320</v>
      </c>
      <c r="H2979">
        <v>171</v>
      </c>
      <c r="I2979">
        <v>71</v>
      </c>
      <c r="J2979" s="8">
        <v>0.56799999999999995</v>
      </c>
      <c r="K2979">
        <v>42</v>
      </c>
      <c r="L2979">
        <v>22</v>
      </c>
      <c r="M2979">
        <v>151</v>
      </c>
      <c r="N2979" s="10">
        <v>570.29</v>
      </c>
      <c r="O2979" s="7">
        <v>0</v>
      </c>
      <c r="P2979" s="7">
        <v>29.2</v>
      </c>
      <c r="Q2979">
        <v>4</v>
      </c>
      <c r="R2979" t="s">
        <v>66</v>
      </c>
      <c r="S2979">
        <v>9</v>
      </c>
      <c r="T2979">
        <v>262</v>
      </c>
      <c r="U2979" s="11">
        <v>-0.43388373911755801</v>
      </c>
      <c r="V2979" s="11">
        <v>-0.90096886790241915</v>
      </c>
      <c r="W2979" s="11">
        <v>-0.97533638807678369</v>
      </c>
      <c r="X2979" s="11">
        <v>-0.2207236509605022</v>
      </c>
      <c r="Y2979">
        <v>0</v>
      </c>
      <c r="Z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6">
        <v>45919</v>
      </c>
      <c r="B2980" t="s">
        <v>41</v>
      </c>
      <c r="C2980" t="s">
        <v>42</v>
      </c>
      <c r="D2980" t="s">
        <v>43</v>
      </c>
      <c r="E2980" t="s">
        <v>44</v>
      </c>
      <c r="F2980">
        <v>85</v>
      </c>
      <c r="G2980">
        <v>210</v>
      </c>
      <c r="H2980">
        <v>119</v>
      </c>
      <c r="I2980">
        <v>51</v>
      </c>
      <c r="J2980" s="8">
        <v>0.6</v>
      </c>
      <c r="K2980">
        <v>21</v>
      </c>
      <c r="L2980">
        <v>32</v>
      </c>
      <c r="M2980">
        <v>99</v>
      </c>
      <c r="N2980" s="10">
        <v>494.61</v>
      </c>
      <c r="O2980" s="7">
        <v>0</v>
      </c>
      <c r="P2980" s="7">
        <v>29.2</v>
      </c>
      <c r="Q2980">
        <v>4</v>
      </c>
      <c r="R2980" t="s">
        <v>66</v>
      </c>
      <c r="S2980">
        <v>9</v>
      </c>
      <c r="T2980">
        <v>262</v>
      </c>
      <c r="U2980" s="11">
        <v>-0.43388373911755801</v>
      </c>
      <c r="V2980" s="11">
        <v>-0.90096886790241915</v>
      </c>
      <c r="W2980" s="11">
        <v>-0.97533638807678369</v>
      </c>
      <c r="X2980" s="11">
        <v>-0.2207236509605022</v>
      </c>
      <c r="Y2980">
        <v>0</v>
      </c>
      <c r="Z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6">
        <v>45920</v>
      </c>
      <c r="B2981" t="s">
        <v>31</v>
      </c>
      <c r="C2981" t="s">
        <v>32</v>
      </c>
      <c r="D2981" t="s">
        <v>33</v>
      </c>
      <c r="E2981" t="s">
        <v>34</v>
      </c>
      <c r="F2981">
        <v>140</v>
      </c>
      <c r="G2981">
        <v>360</v>
      </c>
      <c r="H2981">
        <v>217</v>
      </c>
      <c r="I2981">
        <v>93</v>
      </c>
      <c r="J2981" s="8">
        <v>0.66428571428571426</v>
      </c>
      <c r="K2981">
        <v>58</v>
      </c>
      <c r="L2981">
        <v>31</v>
      </c>
      <c r="M2981">
        <v>183</v>
      </c>
      <c r="N2981" s="10">
        <v>455.1</v>
      </c>
      <c r="O2981" s="7">
        <v>0.8</v>
      </c>
      <c r="P2981" s="7">
        <v>29.5</v>
      </c>
      <c r="Q2981">
        <v>5</v>
      </c>
      <c r="R2981" t="s">
        <v>67</v>
      </c>
      <c r="S2981">
        <v>9</v>
      </c>
      <c r="T2981">
        <v>263</v>
      </c>
      <c r="U2981" s="11">
        <v>-0.97492791218182362</v>
      </c>
      <c r="V2981" s="11">
        <v>-0.22252093395631459</v>
      </c>
      <c r="W2981" s="11">
        <v>-0.97898887374093191</v>
      </c>
      <c r="X2981" s="11">
        <v>-0.20391367068311472</v>
      </c>
      <c r="Y2981">
        <v>1</v>
      </c>
      <c r="Z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6">
        <v>45920</v>
      </c>
      <c r="B2982" t="s">
        <v>36</v>
      </c>
      <c r="C2982" t="s">
        <v>37</v>
      </c>
      <c r="D2982" t="s">
        <v>38</v>
      </c>
      <c r="E2982" t="s">
        <v>39</v>
      </c>
      <c r="F2982">
        <v>125</v>
      </c>
      <c r="G2982">
        <v>320</v>
      </c>
      <c r="H2982">
        <v>202</v>
      </c>
      <c r="I2982">
        <v>83</v>
      </c>
      <c r="J2982" s="8">
        <v>0.66400000000000003</v>
      </c>
      <c r="K2982">
        <v>34</v>
      </c>
      <c r="L2982">
        <v>32</v>
      </c>
      <c r="M2982">
        <v>188</v>
      </c>
      <c r="N2982" s="10">
        <v>710.78</v>
      </c>
      <c r="O2982" s="7">
        <v>0.8</v>
      </c>
      <c r="P2982" s="7">
        <v>29.5</v>
      </c>
      <c r="Q2982">
        <v>5</v>
      </c>
      <c r="R2982" t="s">
        <v>67</v>
      </c>
      <c r="S2982">
        <v>9</v>
      </c>
      <c r="T2982">
        <v>263</v>
      </c>
      <c r="U2982" s="11">
        <v>-0.97492791218182362</v>
      </c>
      <c r="V2982" s="11">
        <v>-0.22252093395631459</v>
      </c>
      <c r="W2982" s="11">
        <v>-0.97898887374093191</v>
      </c>
      <c r="X2982" s="11">
        <v>-0.20391367068311472</v>
      </c>
      <c r="Y2982">
        <v>1</v>
      </c>
      <c r="Z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6">
        <v>45920</v>
      </c>
      <c r="B2983" t="s">
        <v>41</v>
      </c>
      <c r="C2983" t="s">
        <v>42</v>
      </c>
      <c r="D2983" t="s">
        <v>43</v>
      </c>
      <c r="E2983" t="s">
        <v>44</v>
      </c>
      <c r="F2983">
        <v>85</v>
      </c>
      <c r="G2983">
        <v>210</v>
      </c>
      <c r="H2983">
        <v>149</v>
      </c>
      <c r="I2983">
        <v>65</v>
      </c>
      <c r="J2983" s="8">
        <v>0.76470588235294112</v>
      </c>
      <c r="K2983">
        <v>42</v>
      </c>
      <c r="L2983">
        <v>30</v>
      </c>
      <c r="M2983">
        <v>129</v>
      </c>
      <c r="N2983" s="10">
        <v>536.57000000000005</v>
      </c>
      <c r="O2983" s="7">
        <v>0.8</v>
      </c>
      <c r="P2983" s="7">
        <v>29.5</v>
      </c>
      <c r="Q2983">
        <v>5</v>
      </c>
      <c r="R2983" t="s">
        <v>67</v>
      </c>
      <c r="S2983">
        <v>9</v>
      </c>
      <c r="T2983">
        <v>263</v>
      </c>
      <c r="U2983" s="11">
        <v>-0.97492791218182362</v>
      </c>
      <c r="V2983" s="11">
        <v>-0.22252093395631459</v>
      </c>
      <c r="W2983" s="11">
        <v>-0.97898887374093191</v>
      </c>
      <c r="X2983" s="11">
        <v>-0.20391367068311472</v>
      </c>
      <c r="Y2983">
        <v>1</v>
      </c>
      <c r="Z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6">
        <v>45921</v>
      </c>
      <c r="B2984" t="s">
        <v>31</v>
      </c>
      <c r="C2984" t="s">
        <v>32</v>
      </c>
      <c r="D2984" t="s">
        <v>33</v>
      </c>
      <c r="E2984" t="s">
        <v>34</v>
      </c>
      <c r="F2984">
        <v>140</v>
      </c>
      <c r="G2984">
        <v>360</v>
      </c>
      <c r="H2984">
        <v>195</v>
      </c>
      <c r="I2984">
        <v>87</v>
      </c>
      <c r="J2984" s="8">
        <v>0.62142857142857144</v>
      </c>
      <c r="K2984">
        <v>40</v>
      </c>
      <c r="L2984">
        <v>39</v>
      </c>
      <c r="M2984">
        <v>168</v>
      </c>
      <c r="N2984" s="10">
        <v>482.58</v>
      </c>
      <c r="O2984" s="7">
        <v>0.8</v>
      </c>
      <c r="P2984" s="7">
        <v>29.3</v>
      </c>
      <c r="Q2984">
        <v>6</v>
      </c>
      <c r="R2984" t="s">
        <v>60</v>
      </c>
      <c r="S2984">
        <v>9</v>
      </c>
      <c r="T2984">
        <v>264</v>
      </c>
      <c r="U2984" s="11">
        <v>-0.78183148246802991</v>
      </c>
      <c r="V2984" s="11">
        <v>0.62348980185873337</v>
      </c>
      <c r="W2984" s="11">
        <v>-0.98235166084692371</v>
      </c>
      <c r="X2984" s="11">
        <v>-0.18704334906991657</v>
      </c>
      <c r="Y2984">
        <v>1</v>
      </c>
      <c r="Z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6">
        <v>45921</v>
      </c>
      <c r="B2985" t="s">
        <v>36</v>
      </c>
      <c r="C2985" t="s">
        <v>37</v>
      </c>
      <c r="D2985" t="s">
        <v>38</v>
      </c>
      <c r="E2985" t="s">
        <v>39</v>
      </c>
      <c r="F2985">
        <v>125</v>
      </c>
      <c r="G2985">
        <v>320</v>
      </c>
      <c r="H2985">
        <v>213</v>
      </c>
      <c r="I2985">
        <v>87</v>
      </c>
      <c r="J2985" s="8">
        <v>0.69599999999999995</v>
      </c>
      <c r="K2985">
        <v>37</v>
      </c>
      <c r="L2985">
        <v>45</v>
      </c>
      <c r="M2985">
        <v>186</v>
      </c>
      <c r="N2985" s="10">
        <v>687.43</v>
      </c>
      <c r="O2985" s="7">
        <v>0.8</v>
      </c>
      <c r="P2985" s="7">
        <v>29.3</v>
      </c>
      <c r="Q2985">
        <v>6</v>
      </c>
      <c r="R2985" t="s">
        <v>60</v>
      </c>
      <c r="S2985">
        <v>9</v>
      </c>
      <c r="T2985">
        <v>264</v>
      </c>
      <c r="U2985" s="11">
        <v>-0.78183148246802991</v>
      </c>
      <c r="V2985" s="11">
        <v>0.62348980185873337</v>
      </c>
      <c r="W2985" s="11">
        <v>-0.98235166084692371</v>
      </c>
      <c r="X2985" s="11">
        <v>-0.18704334906991657</v>
      </c>
      <c r="Y2985">
        <v>1</v>
      </c>
      <c r="Z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6">
        <v>45921</v>
      </c>
      <c r="B2986" t="s">
        <v>41</v>
      </c>
      <c r="C2986" t="s">
        <v>42</v>
      </c>
      <c r="D2986" t="s">
        <v>43</v>
      </c>
      <c r="E2986" t="s">
        <v>44</v>
      </c>
      <c r="F2986">
        <v>85</v>
      </c>
      <c r="G2986">
        <v>210</v>
      </c>
      <c r="H2986">
        <v>129</v>
      </c>
      <c r="I2986">
        <v>59</v>
      </c>
      <c r="J2986" s="8">
        <v>0.69411764705882351</v>
      </c>
      <c r="K2986">
        <v>16</v>
      </c>
      <c r="L2986">
        <v>20</v>
      </c>
      <c r="M2986">
        <v>121</v>
      </c>
      <c r="N2986" s="10">
        <v>548.01</v>
      </c>
      <c r="O2986" s="7">
        <v>0.8</v>
      </c>
      <c r="P2986" s="7">
        <v>29.3</v>
      </c>
      <c r="Q2986">
        <v>6</v>
      </c>
      <c r="R2986" t="s">
        <v>60</v>
      </c>
      <c r="S2986">
        <v>9</v>
      </c>
      <c r="T2986">
        <v>264</v>
      </c>
      <c r="U2986" s="11">
        <v>-0.78183148246802991</v>
      </c>
      <c r="V2986" s="11">
        <v>0.62348980185873337</v>
      </c>
      <c r="W2986" s="11">
        <v>-0.98235166084692371</v>
      </c>
      <c r="X2986" s="11">
        <v>-0.18704334906991657</v>
      </c>
      <c r="Y2986">
        <v>1</v>
      </c>
      <c r="Z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6">
        <v>45922</v>
      </c>
      <c r="B2987" t="s">
        <v>31</v>
      </c>
      <c r="C2987" t="s">
        <v>32</v>
      </c>
      <c r="D2987" t="s">
        <v>33</v>
      </c>
      <c r="E2987" t="s">
        <v>34</v>
      </c>
      <c r="F2987">
        <v>140</v>
      </c>
      <c r="G2987">
        <v>360</v>
      </c>
      <c r="H2987">
        <v>181</v>
      </c>
      <c r="I2987">
        <v>78</v>
      </c>
      <c r="J2987" s="8">
        <v>0.55714285714285716</v>
      </c>
      <c r="K2987">
        <v>46</v>
      </c>
      <c r="L2987">
        <v>34</v>
      </c>
      <c r="M2987">
        <v>148</v>
      </c>
      <c r="N2987" s="10">
        <v>394.69</v>
      </c>
      <c r="O2987" s="7">
        <v>0.8</v>
      </c>
      <c r="P2987" s="7">
        <v>28.8</v>
      </c>
      <c r="Q2987">
        <v>0</v>
      </c>
      <c r="R2987" t="s">
        <v>62</v>
      </c>
      <c r="S2987">
        <v>9</v>
      </c>
      <c r="T2987">
        <v>265</v>
      </c>
      <c r="U2987" s="11">
        <v>0</v>
      </c>
      <c r="V2987" s="11">
        <v>1</v>
      </c>
      <c r="W2987" s="11">
        <v>-0.98542375429195239</v>
      </c>
      <c r="X2987" s="11">
        <v>-0.17011767832049052</v>
      </c>
      <c r="Y2987">
        <v>0</v>
      </c>
      <c r="Z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6">
        <v>45922</v>
      </c>
      <c r="B2988" t="s">
        <v>36</v>
      </c>
      <c r="C2988" t="s">
        <v>37</v>
      </c>
      <c r="D2988" t="s">
        <v>38</v>
      </c>
      <c r="E2988" t="s">
        <v>39</v>
      </c>
      <c r="F2988">
        <v>125</v>
      </c>
      <c r="G2988">
        <v>320</v>
      </c>
      <c r="H2988">
        <v>167</v>
      </c>
      <c r="I2988">
        <v>69</v>
      </c>
      <c r="J2988" s="8">
        <v>0.55200000000000005</v>
      </c>
      <c r="K2988">
        <v>18</v>
      </c>
      <c r="L2988">
        <v>21</v>
      </c>
      <c r="M2988">
        <v>140</v>
      </c>
      <c r="N2988" s="10">
        <v>642.6</v>
      </c>
      <c r="O2988" s="7">
        <v>0.8</v>
      </c>
      <c r="P2988" s="7">
        <v>28.8</v>
      </c>
      <c r="Q2988">
        <v>0</v>
      </c>
      <c r="R2988" t="s">
        <v>62</v>
      </c>
      <c r="S2988">
        <v>9</v>
      </c>
      <c r="T2988">
        <v>265</v>
      </c>
      <c r="U2988" s="11">
        <v>0</v>
      </c>
      <c r="V2988" s="11">
        <v>1</v>
      </c>
      <c r="W2988" s="11">
        <v>-0.98542375429195239</v>
      </c>
      <c r="X2988" s="11">
        <v>-0.17011767832049052</v>
      </c>
      <c r="Y2988">
        <v>0</v>
      </c>
      <c r="Z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6">
        <v>45922</v>
      </c>
      <c r="B2989" t="s">
        <v>41</v>
      </c>
      <c r="C2989" t="s">
        <v>42</v>
      </c>
      <c r="D2989" t="s">
        <v>43</v>
      </c>
      <c r="E2989" t="s">
        <v>44</v>
      </c>
      <c r="F2989">
        <v>85</v>
      </c>
      <c r="G2989">
        <v>210</v>
      </c>
      <c r="H2989">
        <v>108</v>
      </c>
      <c r="I2989">
        <v>47</v>
      </c>
      <c r="J2989" s="8">
        <v>0.55294117647058827</v>
      </c>
      <c r="K2989">
        <v>18</v>
      </c>
      <c r="L2989">
        <v>24</v>
      </c>
      <c r="M2989">
        <v>94</v>
      </c>
      <c r="N2989" s="10">
        <v>521.21</v>
      </c>
      <c r="O2989" s="7">
        <v>0.8</v>
      </c>
      <c r="P2989" s="7">
        <v>28.8</v>
      </c>
      <c r="Q2989">
        <v>0</v>
      </c>
      <c r="R2989" t="s">
        <v>62</v>
      </c>
      <c r="S2989">
        <v>9</v>
      </c>
      <c r="T2989">
        <v>265</v>
      </c>
      <c r="U2989" s="11">
        <v>0</v>
      </c>
      <c r="V2989" s="11">
        <v>1</v>
      </c>
      <c r="W2989" s="11">
        <v>-0.98542375429195239</v>
      </c>
      <c r="X2989" s="11">
        <v>-0.17011767832049052</v>
      </c>
      <c r="Y2989">
        <v>0</v>
      </c>
      <c r="Z2989">
        <v>0</v>
      </c>
      <c r="AB2989">
        <v>0</v>
      </c>
      <c r="AC2989">
        <v>0</v>
      </c>
      <c r="AD2989">
        <v>0</v>
      </c>
      <c r="AE2989">
        <v>0</v>
      </c>
    </row>
    <row r="2990" spans="1:31">
      <c r="A2990" s="6">
        <v>45923</v>
      </c>
      <c r="B2990" t="s">
        <v>31</v>
      </c>
      <c r="C2990" t="s">
        <v>32</v>
      </c>
      <c r="D2990" t="s">
        <v>33</v>
      </c>
      <c r="E2990" t="s">
        <v>34</v>
      </c>
      <c r="F2990">
        <v>140</v>
      </c>
      <c r="G2990">
        <v>360</v>
      </c>
      <c r="H2990">
        <v>178</v>
      </c>
      <c r="I2990">
        <v>76</v>
      </c>
      <c r="J2990" s="8">
        <v>0.54285714285714282</v>
      </c>
      <c r="K2990">
        <v>37</v>
      </c>
      <c r="L2990">
        <v>20</v>
      </c>
      <c r="M2990">
        <v>144</v>
      </c>
      <c r="N2990" s="10">
        <v>405.07</v>
      </c>
      <c r="O2990" s="7">
        <v>4.0999999999999996</v>
      </c>
      <c r="P2990" s="7">
        <v>30</v>
      </c>
      <c r="Q2990">
        <v>1</v>
      </c>
      <c r="R2990" t="s">
        <v>63</v>
      </c>
      <c r="S2990">
        <v>9</v>
      </c>
      <c r="T2990">
        <v>266</v>
      </c>
      <c r="U2990" s="11">
        <v>0.7818314824680298</v>
      </c>
      <c r="V2990" s="11">
        <v>0.62348980185873359</v>
      </c>
      <c r="W2990" s="11">
        <v>-0.98820424499414217</v>
      </c>
      <c r="X2990" s="11">
        <v>-0.15314166701312007</v>
      </c>
      <c r="Y2990">
        <v>0</v>
      </c>
      <c r="Z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6">
        <v>45923</v>
      </c>
      <c r="B2991" t="s">
        <v>36</v>
      </c>
      <c r="C2991" t="s">
        <v>37</v>
      </c>
      <c r="D2991" t="s">
        <v>38</v>
      </c>
      <c r="E2991" t="s">
        <v>39</v>
      </c>
      <c r="F2991">
        <v>125</v>
      </c>
      <c r="G2991">
        <v>320</v>
      </c>
      <c r="H2991">
        <v>175</v>
      </c>
      <c r="I2991">
        <v>75</v>
      </c>
      <c r="J2991" s="8">
        <v>0.6</v>
      </c>
      <c r="K2991">
        <v>38</v>
      </c>
      <c r="L2991">
        <v>37</v>
      </c>
      <c r="M2991">
        <v>155</v>
      </c>
      <c r="N2991" s="10">
        <v>602.66999999999996</v>
      </c>
      <c r="O2991" s="7">
        <v>4.0999999999999996</v>
      </c>
      <c r="P2991" s="7">
        <v>30</v>
      </c>
      <c r="Q2991">
        <v>1</v>
      </c>
      <c r="R2991" t="s">
        <v>63</v>
      </c>
      <c r="S2991">
        <v>9</v>
      </c>
      <c r="T2991">
        <v>266</v>
      </c>
      <c r="U2991" s="11">
        <v>0.7818314824680298</v>
      </c>
      <c r="V2991" s="11">
        <v>0.62348980185873359</v>
      </c>
      <c r="W2991" s="11">
        <v>-0.98820424499414217</v>
      </c>
      <c r="X2991" s="11">
        <v>-0.15314166701312007</v>
      </c>
      <c r="Y2991">
        <v>0</v>
      </c>
      <c r="Z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6">
        <v>45923</v>
      </c>
      <c r="B2992" t="s">
        <v>41</v>
      </c>
      <c r="C2992" t="s">
        <v>42</v>
      </c>
      <c r="D2992" t="s">
        <v>43</v>
      </c>
      <c r="E2992" t="s">
        <v>44</v>
      </c>
      <c r="F2992">
        <v>85</v>
      </c>
      <c r="G2992">
        <v>210</v>
      </c>
      <c r="H2992">
        <v>131</v>
      </c>
      <c r="I2992">
        <v>58</v>
      </c>
      <c r="J2992" s="8">
        <v>0.68235294117647061</v>
      </c>
      <c r="K2992">
        <v>29</v>
      </c>
      <c r="L2992">
        <v>34</v>
      </c>
      <c r="M2992">
        <v>116</v>
      </c>
      <c r="N2992" s="10">
        <v>577.54</v>
      </c>
      <c r="O2992" s="7">
        <v>4.0999999999999996</v>
      </c>
      <c r="P2992" s="7">
        <v>30</v>
      </c>
      <c r="Q2992">
        <v>1</v>
      </c>
      <c r="R2992" t="s">
        <v>63</v>
      </c>
      <c r="S2992">
        <v>9</v>
      </c>
      <c r="T2992">
        <v>266</v>
      </c>
      <c r="U2992" s="11">
        <v>0.7818314824680298</v>
      </c>
      <c r="V2992" s="11">
        <v>0.62348980185873359</v>
      </c>
      <c r="W2992" s="11">
        <v>-0.98820424499414217</v>
      </c>
      <c r="X2992" s="11">
        <v>-0.15314166701312007</v>
      </c>
      <c r="Y2992">
        <v>0</v>
      </c>
      <c r="Z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6">
        <v>45924</v>
      </c>
      <c r="B2993" t="s">
        <v>31</v>
      </c>
      <c r="C2993" t="s">
        <v>32</v>
      </c>
      <c r="D2993" t="s">
        <v>33</v>
      </c>
      <c r="E2993" t="s">
        <v>34</v>
      </c>
      <c r="F2993">
        <v>140</v>
      </c>
      <c r="G2993">
        <v>360</v>
      </c>
      <c r="H2993">
        <v>182</v>
      </c>
      <c r="I2993">
        <v>79</v>
      </c>
      <c r="J2993" s="8">
        <v>0.56428571428571428</v>
      </c>
      <c r="K2993">
        <v>22</v>
      </c>
      <c r="L2993">
        <v>45</v>
      </c>
      <c r="M2993">
        <v>147</v>
      </c>
      <c r="N2993" s="10">
        <v>403.96</v>
      </c>
      <c r="O2993" s="7">
        <v>0</v>
      </c>
      <c r="P2993" s="7">
        <v>29.3</v>
      </c>
      <c r="Q2993">
        <v>2</v>
      </c>
      <c r="R2993" t="s">
        <v>64</v>
      </c>
      <c r="S2993">
        <v>9</v>
      </c>
      <c r="T2993">
        <v>267</v>
      </c>
      <c r="U2993" s="11">
        <v>0.97492791218182362</v>
      </c>
      <c r="V2993" s="11">
        <v>-0.22252093395631434</v>
      </c>
      <c r="W2993" s="11">
        <v>-0.9906923101615609</v>
      </c>
      <c r="X2993" s="11">
        <v>-0.13612033862266704</v>
      </c>
      <c r="Y2993">
        <v>0</v>
      </c>
      <c r="Z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6">
        <v>45924</v>
      </c>
      <c r="B2994" t="s">
        <v>36</v>
      </c>
      <c r="C2994" t="s">
        <v>37</v>
      </c>
      <c r="D2994" t="s">
        <v>38</v>
      </c>
      <c r="E2994" t="s">
        <v>39</v>
      </c>
      <c r="F2994">
        <v>125</v>
      </c>
      <c r="G2994">
        <v>320</v>
      </c>
      <c r="H2994">
        <v>164</v>
      </c>
      <c r="I2994">
        <v>69</v>
      </c>
      <c r="J2994" s="8">
        <v>0.55200000000000005</v>
      </c>
      <c r="K2994">
        <v>25</v>
      </c>
      <c r="L2994">
        <v>32</v>
      </c>
      <c r="M2994">
        <v>144</v>
      </c>
      <c r="N2994" s="10">
        <v>666.34</v>
      </c>
      <c r="O2994" s="7">
        <v>0</v>
      </c>
      <c r="P2994" s="7">
        <v>29.3</v>
      </c>
      <c r="Q2994">
        <v>2</v>
      </c>
      <c r="R2994" t="s">
        <v>64</v>
      </c>
      <c r="S2994">
        <v>9</v>
      </c>
      <c r="T2994">
        <v>267</v>
      </c>
      <c r="U2994" s="11">
        <v>0.97492791218182362</v>
      </c>
      <c r="V2994" s="11">
        <v>-0.22252093395631434</v>
      </c>
      <c r="W2994" s="11">
        <v>-0.9906923101615609</v>
      </c>
      <c r="X2994" s="11">
        <v>-0.13612033862266704</v>
      </c>
      <c r="Y2994">
        <v>0</v>
      </c>
      <c r="Z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6">
        <v>45924</v>
      </c>
      <c r="B2995" t="s">
        <v>41</v>
      </c>
      <c r="C2995" t="s">
        <v>42</v>
      </c>
      <c r="D2995" t="s">
        <v>43</v>
      </c>
      <c r="E2995" t="s">
        <v>44</v>
      </c>
      <c r="F2995">
        <v>85</v>
      </c>
      <c r="G2995">
        <v>210</v>
      </c>
      <c r="H2995">
        <v>109</v>
      </c>
      <c r="I2995">
        <v>51</v>
      </c>
      <c r="J2995" s="8">
        <v>0.6</v>
      </c>
      <c r="K2995">
        <v>21</v>
      </c>
      <c r="L2995">
        <v>16</v>
      </c>
      <c r="M2995">
        <v>97</v>
      </c>
      <c r="N2995" s="10">
        <v>573.36</v>
      </c>
      <c r="O2995" s="7">
        <v>0</v>
      </c>
      <c r="P2995" s="7">
        <v>29.3</v>
      </c>
      <c r="Q2995">
        <v>2</v>
      </c>
      <c r="R2995" t="s">
        <v>64</v>
      </c>
      <c r="S2995">
        <v>9</v>
      </c>
      <c r="T2995">
        <v>267</v>
      </c>
      <c r="U2995" s="11">
        <v>0.97492791218182362</v>
      </c>
      <c r="V2995" s="11">
        <v>-0.22252093395631434</v>
      </c>
      <c r="W2995" s="11">
        <v>-0.9906923101615609</v>
      </c>
      <c r="X2995" s="11">
        <v>-0.13612033862266704</v>
      </c>
      <c r="Y2995">
        <v>0</v>
      </c>
      <c r="Z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6">
        <v>45925</v>
      </c>
      <c r="B2996" t="s">
        <v>31</v>
      </c>
      <c r="C2996" t="s">
        <v>32</v>
      </c>
      <c r="D2996" t="s">
        <v>33</v>
      </c>
      <c r="E2996" t="s">
        <v>34</v>
      </c>
      <c r="F2996">
        <v>140</v>
      </c>
      <c r="G2996">
        <v>360</v>
      </c>
      <c r="H2996">
        <v>193</v>
      </c>
      <c r="I2996">
        <v>82</v>
      </c>
      <c r="J2996" s="8">
        <v>0.58571428571428574</v>
      </c>
      <c r="K2996">
        <v>45</v>
      </c>
      <c r="L2996">
        <v>43</v>
      </c>
      <c r="M2996">
        <v>167</v>
      </c>
      <c r="N2996" s="10">
        <v>418.04</v>
      </c>
      <c r="O2996" s="7">
        <v>4</v>
      </c>
      <c r="P2996" s="7">
        <v>28.8</v>
      </c>
      <c r="Q2996">
        <v>3</v>
      </c>
      <c r="R2996" t="s">
        <v>65</v>
      </c>
      <c r="S2996">
        <v>9</v>
      </c>
      <c r="T2996">
        <v>268</v>
      </c>
      <c r="U2996" s="11">
        <v>0.43388373911755823</v>
      </c>
      <c r="V2996" s="11">
        <v>-0.90096886790241903</v>
      </c>
      <c r="W2996" s="11">
        <v>-0.9928872135356962</v>
      </c>
      <c r="X2996" s="11">
        <v>-0.11905873003404988</v>
      </c>
      <c r="Y2996">
        <v>0</v>
      </c>
      <c r="Z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6">
        <v>45925</v>
      </c>
      <c r="B2997" t="s">
        <v>36</v>
      </c>
      <c r="C2997" t="s">
        <v>37</v>
      </c>
      <c r="D2997" t="s">
        <v>38</v>
      </c>
      <c r="E2997" t="s">
        <v>39</v>
      </c>
      <c r="F2997">
        <v>125</v>
      </c>
      <c r="G2997">
        <v>320</v>
      </c>
      <c r="H2997">
        <v>164</v>
      </c>
      <c r="I2997">
        <v>68</v>
      </c>
      <c r="J2997" s="8">
        <v>0.54400000000000004</v>
      </c>
      <c r="K2997">
        <v>38</v>
      </c>
      <c r="L2997">
        <v>32</v>
      </c>
      <c r="M2997">
        <v>145</v>
      </c>
      <c r="N2997" s="10">
        <v>613.63</v>
      </c>
      <c r="O2997" s="7">
        <v>4</v>
      </c>
      <c r="P2997" s="7">
        <v>28.8</v>
      </c>
      <c r="Q2997">
        <v>3</v>
      </c>
      <c r="R2997" t="s">
        <v>65</v>
      </c>
      <c r="S2997">
        <v>9</v>
      </c>
      <c r="T2997">
        <v>268</v>
      </c>
      <c r="U2997" s="11">
        <v>0.43388373911755823</v>
      </c>
      <c r="V2997" s="11">
        <v>-0.90096886790241903</v>
      </c>
      <c r="W2997" s="11">
        <v>-0.9928872135356962</v>
      </c>
      <c r="X2997" s="11">
        <v>-0.11905873003404988</v>
      </c>
      <c r="Y2997">
        <v>0</v>
      </c>
      <c r="Z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6">
        <v>45925</v>
      </c>
      <c r="B2998" t="s">
        <v>41</v>
      </c>
      <c r="C2998" t="s">
        <v>42</v>
      </c>
      <c r="D2998" t="s">
        <v>43</v>
      </c>
      <c r="E2998" t="s">
        <v>44</v>
      </c>
      <c r="F2998">
        <v>85</v>
      </c>
      <c r="G2998">
        <v>210</v>
      </c>
      <c r="H2998">
        <v>123</v>
      </c>
      <c r="I2998">
        <v>54</v>
      </c>
      <c r="J2998" s="8">
        <v>0.63529411764705879</v>
      </c>
      <c r="K2998">
        <v>31</v>
      </c>
      <c r="L2998">
        <v>17</v>
      </c>
      <c r="M2998">
        <v>103</v>
      </c>
      <c r="N2998" s="10">
        <v>536.59</v>
      </c>
      <c r="O2998" s="7">
        <v>4</v>
      </c>
      <c r="P2998" s="7">
        <v>28.8</v>
      </c>
      <c r="Q2998">
        <v>3</v>
      </c>
      <c r="R2998" t="s">
        <v>65</v>
      </c>
      <c r="S2998">
        <v>9</v>
      </c>
      <c r="T2998">
        <v>268</v>
      </c>
      <c r="U2998" s="11">
        <v>0.43388373911755823</v>
      </c>
      <c r="V2998" s="11">
        <v>-0.90096886790241903</v>
      </c>
      <c r="W2998" s="11">
        <v>-0.9928872135356962</v>
      </c>
      <c r="X2998" s="11">
        <v>-0.11905873003404988</v>
      </c>
      <c r="Y2998">
        <v>0</v>
      </c>
      <c r="Z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6">
        <v>45926</v>
      </c>
      <c r="B2999" t="s">
        <v>31</v>
      </c>
      <c r="C2999" t="s">
        <v>32</v>
      </c>
      <c r="D2999" t="s">
        <v>33</v>
      </c>
      <c r="E2999" t="s">
        <v>34</v>
      </c>
      <c r="F2999">
        <v>140</v>
      </c>
      <c r="G2999">
        <v>360</v>
      </c>
      <c r="H2999">
        <v>200</v>
      </c>
      <c r="I2999">
        <v>83</v>
      </c>
      <c r="J2999" s="8">
        <v>0.59285714285714286</v>
      </c>
      <c r="K2999">
        <v>36</v>
      </c>
      <c r="L2999">
        <v>37</v>
      </c>
      <c r="M2999">
        <v>175</v>
      </c>
      <c r="N2999" s="10">
        <v>453.34</v>
      </c>
      <c r="O2999" s="7">
        <v>0</v>
      </c>
      <c r="P2999" s="7">
        <v>31.2</v>
      </c>
      <c r="Q2999">
        <v>4</v>
      </c>
      <c r="R2999" t="s">
        <v>66</v>
      </c>
      <c r="S2999">
        <v>9</v>
      </c>
      <c r="T2999">
        <v>269</v>
      </c>
      <c r="U2999" s="11">
        <v>-0.43388373911755801</v>
      </c>
      <c r="V2999" s="11">
        <v>-0.90096886790241915</v>
      </c>
      <c r="W2999" s="11">
        <v>-0.99478830560932696</v>
      </c>
      <c r="X2999" s="11">
        <v>-0.10196189005174576</v>
      </c>
      <c r="Y2999">
        <v>0</v>
      </c>
      <c r="Z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6">
        <v>45926</v>
      </c>
      <c r="B3000" t="s">
        <v>36</v>
      </c>
      <c r="C3000" t="s">
        <v>37</v>
      </c>
      <c r="D3000" t="s">
        <v>38</v>
      </c>
      <c r="E3000" t="s">
        <v>39</v>
      </c>
      <c r="F3000">
        <v>125</v>
      </c>
      <c r="G3000">
        <v>320</v>
      </c>
      <c r="H3000">
        <v>151</v>
      </c>
      <c r="I3000">
        <v>62</v>
      </c>
      <c r="J3000" s="8">
        <v>0.496</v>
      </c>
      <c r="K3000">
        <v>46</v>
      </c>
      <c r="L3000">
        <v>20</v>
      </c>
      <c r="M3000">
        <v>142</v>
      </c>
      <c r="N3000" s="10">
        <v>620.77</v>
      </c>
      <c r="O3000" s="7">
        <v>0</v>
      </c>
      <c r="P3000" s="7">
        <v>31.2</v>
      </c>
      <c r="Q3000">
        <v>4</v>
      </c>
      <c r="R3000" t="s">
        <v>66</v>
      </c>
      <c r="S3000">
        <v>9</v>
      </c>
      <c r="T3000">
        <v>269</v>
      </c>
      <c r="U3000" s="11">
        <v>-0.43388373911755801</v>
      </c>
      <c r="V3000" s="11">
        <v>-0.90096886790241915</v>
      </c>
      <c r="W3000" s="11">
        <v>-0.99478830560932696</v>
      </c>
      <c r="X3000" s="11">
        <v>-0.10196189005174576</v>
      </c>
      <c r="Y3000">
        <v>0</v>
      </c>
      <c r="Z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6">
        <v>45926</v>
      </c>
      <c r="B3001" t="s">
        <v>41</v>
      </c>
      <c r="C3001" t="s">
        <v>42</v>
      </c>
      <c r="D3001" t="s">
        <v>43</v>
      </c>
      <c r="E3001" t="s">
        <v>44</v>
      </c>
      <c r="F3001">
        <v>85</v>
      </c>
      <c r="G3001">
        <v>210</v>
      </c>
      <c r="H3001">
        <v>127</v>
      </c>
      <c r="I3001">
        <v>55</v>
      </c>
      <c r="J3001" s="8">
        <v>0.6470588235294118</v>
      </c>
      <c r="K3001">
        <v>31</v>
      </c>
      <c r="L3001">
        <v>28</v>
      </c>
      <c r="M3001">
        <v>111</v>
      </c>
      <c r="N3001" s="10">
        <v>529.48</v>
      </c>
      <c r="O3001" s="7">
        <v>0</v>
      </c>
      <c r="P3001" s="7">
        <v>31.2</v>
      </c>
      <c r="Q3001">
        <v>4</v>
      </c>
      <c r="R3001" t="s">
        <v>66</v>
      </c>
      <c r="S3001">
        <v>9</v>
      </c>
      <c r="T3001">
        <v>269</v>
      </c>
      <c r="U3001" s="11">
        <v>-0.43388373911755801</v>
      </c>
      <c r="V3001" s="11">
        <v>-0.90096886790241915</v>
      </c>
      <c r="W3001" s="11">
        <v>-0.99478830560932696</v>
      </c>
      <c r="X3001" s="11">
        <v>-0.10196189005174576</v>
      </c>
      <c r="Y3001">
        <v>0</v>
      </c>
      <c r="Z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6">
        <v>45927</v>
      </c>
      <c r="B3002" t="s">
        <v>31</v>
      </c>
      <c r="C3002" t="s">
        <v>32</v>
      </c>
      <c r="D3002" t="s">
        <v>33</v>
      </c>
      <c r="E3002" t="s">
        <v>34</v>
      </c>
      <c r="F3002">
        <v>140</v>
      </c>
      <c r="G3002">
        <v>360</v>
      </c>
      <c r="H3002">
        <v>217</v>
      </c>
      <c r="I3002">
        <v>93</v>
      </c>
      <c r="J3002" s="8">
        <v>0.66428571428571426</v>
      </c>
      <c r="K3002">
        <v>29</v>
      </c>
      <c r="L3002">
        <v>49</v>
      </c>
      <c r="M3002">
        <v>204</v>
      </c>
      <c r="N3002" s="10">
        <v>455.63</v>
      </c>
      <c r="O3002" s="7">
        <v>0.6</v>
      </c>
      <c r="P3002" s="7">
        <v>29.6</v>
      </c>
      <c r="Q3002">
        <v>5</v>
      </c>
      <c r="R3002" t="s">
        <v>67</v>
      </c>
      <c r="S3002">
        <v>9</v>
      </c>
      <c r="T3002">
        <v>270</v>
      </c>
      <c r="U3002" s="11">
        <v>-0.97492791218182362</v>
      </c>
      <c r="V3002" s="11">
        <v>-0.22252093395631459</v>
      </c>
      <c r="W3002" s="11">
        <v>-0.99639502381872314</v>
      </c>
      <c r="X3002" s="11">
        <v>-8.4834877905765382E-2</v>
      </c>
      <c r="Y3002">
        <v>1</v>
      </c>
      <c r="Z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6">
        <v>45927</v>
      </c>
      <c r="B3003" t="s">
        <v>36</v>
      </c>
      <c r="C3003" t="s">
        <v>37</v>
      </c>
      <c r="D3003" t="s">
        <v>38</v>
      </c>
      <c r="E3003" t="s">
        <v>39</v>
      </c>
      <c r="F3003">
        <v>125</v>
      </c>
      <c r="G3003">
        <v>320</v>
      </c>
      <c r="H3003">
        <v>192</v>
      </c>
      <c r="I3003">
        <v>79</v>
      </c>
      <c r="J3003" s="8">
        <v>0.63200000000000001</v>
      </c>
      <c r="K3003">
        <v>40</v>
      </c>
      <c r="L3003">
        <v>29</v>
      </c>
      <c r="M3003">
        <v>155</v>
      </c>
      <c r="N3003" s="10">
        <v>705.53</v>
      </c>
      <c r="O3003" s="7">
        <v>0.6</v>
      </c>
      <c r="P3003" s="7">
        <v>29.6</v>
      </c>
      <c r="Q3003">
        <v>5</v>
      </c>
      <c r="R3003" t="s">
        <v>67</v>
      </c>
      <c r="S3003">
        <v>9</v>
      </c>
      <c r="T3003">
        <v>270</v>
      </c>
      <c r="U3003" s="11">
        <v>-0.97492791218182362</v>
      </c>
      <c r="V3003" s="11">
        <v>-0.22252093395631459</v>
      </c>
      <c r="W3003" s="11">
        <v>-0.99639502381872314</v>
      </c>
      <c r="X3003" s="11">
        <v>-8.4834877905765382E-2</v>
      </c>
      <c r="Y3003">
        <v>1</v>
      </c>
      <c r="Z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6">
        <v>45927</v>
      </c>
      <c r="B3004" t="s">
        <v>41</v>
      </c>
      <c r="C3004" t="s">
        <v>42</v>
      </c>
      <c r="D3004" t="s">
        <v>43</v>
      </c>
      <c r="E3004" t="s">
        <v>44</v>
      </c>
      <c r="F3004">
        <v>85</v>
      </c>
      <c r="G3004">
        <v>210</v>
      </c>
      <c r="H3004">
        <v>136</v>
      </c>
      <c r="I3004">
        <v>61</v>
      </c>
      <c r="J3004" s="8">
        <v>0.71764705882352942</v>
      </c>
      <c r="K3004">
        <v>23</v>
      </c>
      <c r="L3004">
        <v>26</v>
      </c>
      <c r="M3004">
        <v>125</v>
      </c>
      <c r="N3004" s="10">
        <v>581.52</v>
      </c>
      <c r="O3004" s="7">
        <v>0.6</v>
      </c>
      <c r="P3004" s="7">
        <v>29.6</v>
      </c>
      <c r="Q3004">
        <v>5</v>
      </c>
      <c r="R3004" t="s">
        <v>67</v>
      </c>
      <c r="S3004">
        <v>9</v>
      </c>
      <c r="T3004">
        <v>270</v>
      </c>
      <c r="U3004" s="11">
        <v>-0.97492791218182362</v>
      </c>
      <c r="V3004" s="11">
        <v>-0.22252093395631459</v>
      </c>
      <c r="W3004" s="11">
        <v>-0.99639502381872314</v>
      </c>
      <c r="X3004" s="11">
        <v>-8.4834877905765382E-2</v>
      </c>
      <c r="Y3004">
        <v>1</v>
      </c>
      <c r="Z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6">
        <v>45928</v>
      </c>
      <c r="B3005" t="s">
        <v>31</v>
      </c>
      <c r="C3005" t="s">
        <v>32</v>
      </c>
      <c r="D3005" t="s">
        <v>33</v>
      </c>
      <c r="E3005" t="s">
        <v>34</v>
      </c>
      <c r="F3005">
        <v>140</v>
      </c>
      <c r="G3005">
        <v>360</v>
      </c>
      <c r="H3005">
        <v>220</v>
      </c>
      <c r="I3005">
        <v>90</v>
      </c>
      <c r="J3005" s="8">
        <v>0.6428571428571429</v>
      </c>
      <c r="K3005">
        <v>49</v>
      </c>
      <c r="L3005">
        <v>58</v>
      </c>
      <c r="M3005">
        <v>205</v>
      </c>
      <c r="N3005" s="10">
        <v>460.76</v>
      </c>
      <c r="O3005" s="7">
        <v>0</v>
      </c>
      <c r="P3005" s="7">
        <v>29.1</v>
      </c>
      <c r="Q3005">
        <v>6</v>
      </c>
      <c r="R3005" t="s">
        <v>60</v>
      </c>
      <c r="S3005">
        <v>9</v>
      </c>
      <c r="T3005">
        <v>271</v>
      </c>
      <c r="U3005" s="11">
        <v>-0.78183148246802991</v>
      </c>
      <c r="V3005" s="11">
        <v>0.62348980185873337</v>
      </c>
      <c r="W3005" s="11">
        <v>-0.99770689271011681</v>
      </c>
      <c r="X3005" s="11">
        <v>-6.7682761754551624E-2</v>
      </c>
      <c r="Y3005">
        <v>1</v>
      </c>
      <c r="Z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6">
        <v>45928</v>
      </c>
      <c r="B3006" t="s">
        <v>36</v>
      </c>
      <c r="C3006" t="s">
        <v>37</v>
      </c>
      <c r="D3006" t="s">
        <v>38</v>
      </c>
      <c r="E3006" t="s">
        <v>39</v>
      </c>
      <c r="F3006">
        <v>125</v>
      </c>
      <c r="G3006">
        <v>320</v>
      </c>
      <c r="H3006">
        <v>174</v>
      </c>
      <c r="I3006">
        <v>74</v>
      </c>
      <c r="J3006" s="8">
        <v>0.59199999999999997</v>
      </c>
      <c r="K3006">
        <v>31</v>
      </c>
      <c r="L3006">
        <v>35</v>
      </c>
      <c r="M3006">
        <v>154</v>
      </c>
      <c r="N3006" s="10">
        <v>742.12</v>
      </c>
      <c r="O3006" s="7">
        <v>0</v>
      </c>
      <c r="P3006" s="7">
        <v>29.1</v>
      </c>
      <c r="Q3006">
        <v>6</v>
      </c>
      <c r="R3006" t="s">
        <v>60</v>
      </c>
      <c r="S3006">
        <v>9</v>
      </c>
      <c r="T3006">
        <v>271</v>
      </c>
      <c r="U3006" s="11">
        <v>-0.78183148246802991</v>
      </c>
      <c r="V3006" s="11">
        <v>0.62348980185873337</v>
      </c>
      <c r="W3006" s="11">
        <v>-0.99770689271011681</v>
      </c>
      <c r="X3006" s="11">
        <v>-6.7682761754551624E-2</v>
      </c>
      <c r="Y3006">
        <v>1</v>
      </c>
      <c r="Z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6">
        <v>45928</v>
      </c>
      <c r="B3007" t="s">
        <v>41</v>
      </c>
      <c r="C3007" t="s">
        <v>42</v>
      </c>
      <c r="D3007" t="s">
        <v>43</v>
      </c>
      <c r="E3007" t="s">
        <v>44</v>
      </c>
      <c r="F3007">
        <v>85</v>
      </c>
      <c r="G3007">
        <v>210</v>
      </c>
      <c r="H3007">
        <v>133</v>
      </c>
      <c r="I3007">
        <v>60</v>
      </c>
      <c r="J3007" s="8">
        <v>0.70588235294117652</v>
      </c>
      <c r="K3007">
        <v>39</v>
      </c>
      <c r="L3007">
        <v>16</v>
      </c>
      <c r="M3007">
        <v>121</v>
      </c>
      <c r="N3007" s="10">
        <v>606.22</v>
      </c>
      <c r="O3007" s="7">
        <v>0</v>
      </c>
      <c r="P3007" s="7">
        <v>29.1</v>
      </c>
      <c r="Q3007">
        <v>6</v>
      </c>
      <c r="R3007" t="s">
        <v>60</v>
      </c>
      <c r="S3007">
        <v>9</v>
      </c>
      <c r="T3007">
        <v>271</v>
      </c>
      <c r="U3007" s="11">
        <v>-0.78183148246802991</v>
      </c>
      <c r="V3007" s="11">
        <v>0.62348980185873337</v>
      </c>
      <c r="W3007" s="11">
        <v>-0.99770689271011681</v>
      </c>
      <c r="X3007" s="11">
        <v>-6.7682761754551624E-2</v>
      </c>
      <c r="Y3007">
        <v>1</v>
      </c>
      <c r="Z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6">
        <v>45929</v>
      </c>
      <c r="B3008" t="s">
        <v>31</v>
      </c>
      <c r="C3008" t="s">
        <v>32</v>
      </c>
      <c r="D3008" t="s">
        <v>33</v>
      </c>
      <c r="E3008" t="s">
        <v>34</v>
      </c>
      <c r="F3008">
        <v>140</v>
      </c>
      <c r="G3008">
        <v>360</v>
      </c>
      <c r="H3008">
        <v>192</v>
      </c>
      <c r="I3008">
        <v>80</v>
      </c>
      <c r="J3008" s="8">
        <v>0.5714285714285714</v>
      </c>
      <c r="K3008">
        <v>43</v>
      </c>
      <c r="L3008">
        <v>33</v>
      </c>
      <c r="M3008">
        <v>157</v>
      </c>
      <c r="N3008" s="10">
        <v>388.8</v>
      </c>
      <c r="O3008" s="7">
        <v>0</v>
      </c>
      <c r="P3008" s="7">
        <v>30.9</v>
      </c>
      <c r="Q3008">
        <v>0</v>
      </c>
      <c r="R3008" t="s">
        <v>62</v>
      </c>
      <c r="S3008">
        <v>9</v>
      </c>
      <c r="T3008">
        <v>272</v>
      </c>
      <c r="U3008" s="11">
        <v>0</v>
      </c>
      <c r="V3008" s="11">
        <v>1</v>
      </c>
      <c r="W3008" s="11">
        <v>-0.99872352408039722</v>
      </c>
      <c r="X3008" s="11">
        <v>-5.0510617185222886E-2</v>
      </c>
      <c r="Y3008">
        <v>0</v>
      </c>
      <c r="Z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6">
        <v>45929</v>
      </c>
      <c r="B3009" t="s">
        <v>36</v>
      </c>
      <c r="C3009" t="s">
        <v>37</v>
      </c>
      <c r="D3009" t="s">
        <v>38</v>
      </c>
      <c r="E3009" t="s">
        <v>39</v>
      </c>
      <c r="F3009">
        <v>125</v>
      </c>
      <c r="G3009">
        <v>320</v>
      </c>
      <c r="H3009">
        <v>165</v>
      </c>
      <c r="I3009">
        <v>70</v>
      </c>
      <c r="J3009" s="8">
        <v>0.56000000000000005</v>
      </c>
      <c r="K3009">
        <v>47</v>
      </c>
      <c r="L3009">
        <v>30</v>
      </c>
      <c r="M3009">
        <v>138</v>
      </c>
      <c r="N3009" s="10">
        <v>650.19000000000005</v>
      </c>
      <c r="O3009" s="7">
        <v>0</v>
      </c>
      <c r="P3009" s="7">
        <v>30.9</v>
      </c>
      <c r="Q3009">
        <v>0</v>
      </c>
      <c r="R3009" t="s">
        <v>62</v>
      </c>
      <c r="S3009">
        <v>9</v>
      </c>
      <c r="T3009">
        <v>272</v>
      </c>
      <c r="U3009" s="11">
        <v>0</v>
      </c>
      <c r="V3009" s="11">
        <v>1</v>
      </c>
      <c r="W3009" s="11">
        <v>-0.99872352408039722</v>
      </c>
      <c r="X3009" s="11">
        <v>-5.0510617185222886E-2</v>
      </c>
      <c r="Y3009">
        <v>0</v>
      </c>
      <c r="Z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6">
        <v>45929</v>
      </c>
      <c r="B3010" t="s">
        <v>41</v>
      </c>
      <c r="C3010" t="s">
        <v>42</v>
      </c>
      <c r="D3010" t="s">
        <v>43</v>
      </c>
      <c r="E3010" t="s">
        <v>44</v>
      </c>
      <c r="F3010">
        <v>85</v>
      </c>
      <c r="G3010">
        <v>210</v>
      </c>
      <c r="H3010">
        <v>108</v>
      </c>
      <c r="I3010">
        <v>49</v>
      </c>
      <c r="J3010" s="8">
        <v>0.57647058823529407</v>
      </c>
      <c r="K3010">
        <v>19</v>
      </c>
      <c r="L3010">
        <v>8</v>
      </c>
      <c r="M3010">
        <v>93</v>
      </c>
      <c r="N3010" s="10">
        <v>543.07000000000005</v>
      </c>
      <c r="O3010" s="7">
        <v>0</v>
      </c>
      <c r="P3010" s="7">
        <v>30.9</v>
      </c>
      <c r="Q3010">
        <v>0</v>
      </c>
      <c r="R3010" t="s">
        <v>62</v>
      </c>
      <c r="S3010">
        <v>9</v>
      </c>
      <c r="T3010">
        <v>272</v>
      </c>
      <c r="U3010" s="11">
        <v>0</v>
      </c>
      <c r="V3010" s="11">
        <v>1</v>
      </c>
      <c r="W3010" s="11">
        <v>-0.99872352408039722</v>
      </c>
      <c r="X3010" s="11">
        <v>-5.0510617185222886E-2</v>
      </c>
      <c r="Y3010">
        <v>0</v>
      </c>
      <c r="Z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6">
        <v>45930</v>
      </c>
      <c r="B3011" t="s">
        <v>31</v>
      </c>
      <c r="C3011" t="s">
        <v>32</v>
      </c>
      <c r="D3011" t="s">
        <v>33</v>
      </c>
      <c r="E3011" t="s">
        <v>34</v>
      </c>
      <c r="F3011">
        <v>140</v>
      </c>
      <c r="G3011">
        <v>360</v>
      </c>
      <c r="H3011">
        <v>172</v>
      </c>
      <c r="I3011">
        <v>74</v>
      </c>
      <c r="J3011" s="8">
        <v>0.52857142857142858</v>
      </c>
      <c r="K3011">
        <v>35</v>
      </c>
      <c r="L3011">
        <v>23</v>
      </c>
      <c r="M3011">
        <v>158</v>
      </c>
      <c r="N3011" s="10">
        <v>430.68</v>
      </c>
      <c r="O3011" s="7">
        <v>2.5</v>
      </c>
      <c r="P3011" s="7">
        <v>29.1</v>
      </c>
      <c r="Q3011">
        <v>1</v>
      </c>
      <c r="R3011" t="s">
        <v>63</v>
      </c>
      <c r="S3011">
        <v>9</v>
      </c>
      <c r="T3011">
        <v>273</v>
      </c>
      <c r="U3011" s="11">
        <v>0.7818314824680298</v>
      </c>
      <c r="V3011" s="11">
        <v>0.62348980185873359</v>
      </c>
      <c r="W3011" s="11">
        <v>-0.99944461709198584</v>
      </c>
      <c r="X3011" s="11">
        <v>-3.3323525711631344E-2</v>
      </c>
      <c r="Y3011">
        <v>0</v>
      </c>
      <c r="Z3011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s="6">
        <v>45930</v>
      </c>
      <c r="B3012" t="s">
        <v>36</v>
      </c>
      <c r="C3012" t="s">
        <v>37</v>
      </c>
      <c r="D3012" t="s">
        <v>38</v>
      </c>
      <c r="E3012" t="s">
        <v>39</v>
      </c>
      <c r="F3012">
        <v>125</v>
      </c>
      <c r="G3012">
        <v>320</v>
      </c>
      <c r="H3012">
        <v>169</v>
      </c>
      <c r="I3012">
        <v>70</v>
      </c>
      <c r="J3012" s="8">
        <v>0.56000000000000005</v>
      </c>
      <c r="K3012">
        <v>38</v>
      </c>
      <c r="L3012">
        <v>37</v>
      </c>
      <c r="M3012">
        <v>141</v>
      </c>
      <c r="N3012" s="10">
        <v>613.45000000000005</v>
      </c>
      <c r="O3012" s="7">
        <v>2.5</v>
      </c>
      <c r="P3012" s="7">
        <v>29.1</v>
      </c>
      <c r="Q3012">
        <v>1</v>
      </c>
      <c r="R3012" t="s">
        <v>63</v>
      </c>
      <c r="S3012">
        <v>9</v>
      </c>
      <c r="T3012">
        <v>273</v>
      </c>
      <c r="U3012" s="11">
        <v>0.7818314824680298</v>
      </c>
      <c r="V3012" s="11">
        <v>0.62348980185873359</v>
      </c>
      <c r="W3012" s="11">
        <v>-0.99944461709198584</v>
      </c>
      <c r="X3012" s="11">
        <v>-3.3323525711631344E-2</v>
      </c>
      <c r="Y3012">
        <v>0</v>
      </c>
      <c r="Z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6">
        <v>45930</v>
      </c>
      <c r="B3013" t="s">
        <v>41</v>
      </c>
      <c r="C3013" t="s">
        <v>42</v>
      </c>
      <c r="D3013" t="s">
        <v>43</v>
      </c>
      <c r="E3013" t="s">
        <v>44</v>
      </c>
      <c r="F3013">
        <v>85</v>
      </c>
      <c r="G3013">
        <v>210</v>
      </c>
      <c r="H3013">
        <v>118</v>
      </c>
      <c r="I3013">
        <v>51</v>
      </c>
      <c r="J3013" s="8">
        <v>0.6</v>
      </c>
      <c r="K3013">
        <v>23</v>
      </c>
      <c r="L3013">
        <v>24</v>
      </c>
      <c r="M3013">
        <v>97</v>
      </c>
      <c r="N3013" s="10">
        <v>496.91</v>
      </c>
      <c r="O3013" s="7">
        <v>2.5</v>
      </c>
      <c r="P3013" s="7">
        <v>29.1</v>
      </c>
      <c r="Q3013">
        <v>1</v>
      </c>
      <c r="R3013" t="s">
        <v>63</v>
      </c>
      <c r="S3013">
        <v>9</v>
      </c>
      <c r="T3013">
        <v>273</v>
      </c>
      <c r="U3013" s="11">
        <v>0.7818314824680298</v>
      </c>
      <c r="V3013" s="11">
        <v>0.62348980185873359</v>
      </c>
      <c r="W3013" s="11">
        <v>-0.99944461709198584</v>
      </c>
      <c r="X3013" s="11">
        <v>-3.3323525711631344E-2</v>
      </c>
      <c r="Y3013">
        <v>0</v>
      </c>
      <c r="Z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6">
        <v>45931</v>
      </c>
      <c r="B3014" t="s">
        <v>31</v>
      </c>
      <c r="C3014" t="s">
        <v>32</v>
      </c>
      <c r="D3014" t="s">
        <v>33</v>
      </c>
      <c r="E3014" t="s">
        <v>34</v>
      </c>
      <c r="F3014">
        <v>140</v>
      </c>
      <c r="G3014">
        <v>360</v>
      </c>
      <c r="H3014">
        <v>174</v>
      </c>
      <c r="I3014">
        <v>74</v>
      </c>
      <c r="J3014" s="8">
        <v>0.52857142857142858</v>
      </c>
      <c r="K3014">
        <v>40</v>
      </c>
      <c r="L3014">
        <v>24</v>
      </c>
      <c r="M3014">
        <v>145</v>
      </c>
      <c r="N3014" s="10">
        <v>456.86</v>
      </c>
      <c r="O3014" s="7">
        <v>0</v>
      </c>
      <c r="P3014" s="7">
        <v>28.6</v>
      </c>
      <c r="Q3014">
        <v>2</v>
      </c>
      <c r="R3014" t="s">
        <v>64</v>
      </c>
      <c r="S3014">
        <v>10</v>
      </c>
      <c r="T3014">
        <v>274</v>
      </c>
      <c r="U3014" s="11">
        <v>0.97492791218182362</v>
      </c>
      <c r="V3014" s="11">
        <v>-0.22252093395631434</v>
      </c>
      <c r="W3014" s="11">
        <v>-0.99986995836185921</v>
      </c>
      <c r="X3014" s="11">
        <v>-1.6126573270657762E-2</v>
      </c>
      <c r="Y3014">
        <v>0</v>
      </c>
      <c r="Z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6">
        <v>45931</v>
      </c>
      <c r="B3015" t="s">
        <v>36</v>
      </c>
      <c r="C3015" t="s">
        <v>37</v>
      </c>
      <c r="D3015" t="s">
        <v>38</v>
      </c>
      <c r="E3015" t="s">
        <v>39</v>
      </c>
      <c r="F3015">
        <v>125</v>
      </c>
      <c r="G3015">
        <v>320</v>
      </c>
      <c r="H3015">
        <v>180</v>
      </c>
      <c r="I3015">
        <v>74</v>
      </c>
      <c r="J3015" s="8">
        <v>0.59199999999999997</v>
      </c>
      <c r="K3015">
        <v>36</v>
      </c>
      <c r="L3015">
        <v>46</v>
      </c>
      <c r="M3015">
        <v>153</v>
      </c>
      <c r="N3015" s="10">
        <v>647.72</v>
      </c>
      <c r="O3015" s="7">
        <v>0</v>
      </c>
      <c r="P3015" s="7">
        <v>28.6</v>
      </c>
      <c r="Q3015">
        <v>2</v>
      </c>
      <c r="R3015" t="s">
        <v>64</v>
      </c>
      <c r="S3015">
        <v>10</v>
      </c>
      <c r="T3015">
        <v>274</v>
      </c>
      <c r="U3015" s="11">
        <v>0.97492791218182362</v>
      </c>
      <c r="V3015" s="11">
        <v>-0.22252093395631434</v>
      </c>
      <c r="W3015" s="11">
        <v>-0.99986995836185921</v>
      </c>
      <c r="X3015" s="11">
        <v>-1.6126573270657762E-2</v>
      </c>
      <c r="Y3015">
        <v>0</v>
      </c>
      <c r="Z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6">
        <v>45931</v>
      </c>
      <c r="B3016" t="s">
        <v>41</v>
      </c>
      <c r="C3016" t="s">
        <v>42</v>
      </c>
      <c r="D3016" t="s">
        <v>43</v>
      </c>
      <c r="E3016" t="s">
        <v>44</v>
      </c>
      <c r="F3016">
        <v>85</v>
      </c>
      <c r="G3016">
        <v>210</v>
      </c>
      <c r="H3016">
        <v>116</v>
      </c>
      <c r="I3016">
        <v>48</v>
      </c>
      <c r="J3016" s="8">
        <v>0.56470588235294117</v>
      </c>
      <c r="K3016">
        <v>19</v>
      </c>
      <c r="L3016">
        <v>15</v>
      </c>
      <c r="M3016">
        <v>105</v>
      </c>
      <c r="N3016" s="10">
        <v>557.70000000000005</v>
      </c>
      <c r="O3016" s="7">
        <v>0</v>
      </c>
      <c r="P3016" s="7">
        <v>28.6</v>
      </c>
      <c r="Q3016">
        <v>2</v>
      </c>
      <c r="R3016" t="s">
        <v>64</v>
      </c>
      <c r="S3016">
        <v>10</v>
      </c>
      <c r="T3016">
        <v>274</v>
      </c>
      <c r="U3016" s="11">
        <v>0.97492791218182362</v>
      </c>
      <c r="V3016" s="11">
        <v>-0.22252093395631434</v>
      </c>
      <c r="W3016" s="11">
        <v>-0.99986995836185921</v>
      </c>
      <c r="X3016" s="11">
        <v>-1.6126573270657762E-2</v>
      </c>
      <c r="Y3016">
        <v>0</v>
      </c>
      <c r="Z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6">
        <v>45932</v>
      </c>
      <c r="B3017" t="s">
        <v>31</v>
      </c>
      <c r="C3017" t="s">
        <v>32</v>
      </c>
      <c r="D3017" t="s">
        <v>33</v>
      </c>
      <c r="E3017" t="s">
        <v>34</v>
      </c>
      <c r="F3017">
        <v>140</v>
      </c>
      <c r="G3017">
        <v>360</v>
      </c>
      <c r="H3017">
        <v>197</v>
      </c>
      <c r="I3017">
        <v>82</v>
      </c>
      <c r="J3017" s="8">
        <v>0.58571428571428574</v>
      </c>
      <c r="K3017">
        <v>38</v>
      </c>
      <c r="L3017">
        <v>47</v>
      </c>
      <c r="M3017">
        <v>179</v>
      </c>
      <c r="N3017" s="10">
        <v>413.58</v>
      </c>
      <c r="O3017" s="7">
        <v>0</v>
      </c>
      <c r="P3017" s="7">
        <v>28.6</v>
      </c>
      <c r="Q3017">
        <v>3</v>
      </c>
      <c r="R3017" t="s">
        <v>65</v>
      </c>
      <c r="S3017">
        <v>10</v>
      </c>
      <c r="T3017">
        <v>275</v>
      </c>
      <c r="U3017" s="11">
        <v>0.43388373911755823</v>
      </c>
      <c r="V3017" s="11">
        <v>-0.90096886790241903</v>
      </c>
      <c r="W3017" s="11">
        <v>-0.9999994220246925</v>
      </c>
      <c r="X3017" s="11">
        <v>1.0751512827982259E-3</v>
      </c>
      <c r="Y3017">
        <v>0</v>
      </c>
      <c r="Z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6">
        <v>45932</v>
      </c>
      <c r="B3018" t="s">
        <v>36</v>
      </c>
      <c r="C3018" t="s">
        <v>37</v>
      </c>
      <c r="D3018" t="s">
        <v>38</v>
      </c>
      <c r="E3018" t="s">
        <v>39</v>
      </c>
      <c r="F3018">
        <v>125</v>
      </c>
      <c r="G3018">
        <v>320</v>
      </c>
      <c r="H3018">
        <v>163</v>
      </c>
      <c r="I3018">
        <v>68</v>
      </c>
      <c r="J3018" s="8">
        <v>0.54400000000000004</v>
      </c>
      <c r="K3018">
        <v>15</v>
      </c>
      <c r="L3018">
        <v>38</v>
      </c>
      <c r="M3018">
        <v>147</v>
      </c>
      <c r="N3018" s="10">
        <v>588.79999999999995</v>
      </c>
      <c r="O3018" s="7">
        <v>0</v>
      </c>
      <c r="P3018" s="7">
        <v>28.6</v>
      </c>
      <c r="Q3018">
        <v>3</v>
      </c>
      <c r="R3018" t="s">
        <v>65</v>
      </c>
      <c r="S3018">
        <v>10</v>
      </c>
      <c r="T3018">
        <v>275</v>
      </c>
      <c r="U3018" s="11">
        <v>0.43388373911755823</v>
      </c>
      <c r="V3018" s="11">
        <v>-0.90096886790241903</v>
      </c>
      <c r="W3018" s="11">
        <v>-0.9999994220246925</v>
      </c>
      <c r="X3018" s="11">
        <v>1.0751512827982259E-3</v>
      </c>
      <c r="Y3018">
        <v>0</v>
      </c>
      <c r="Z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6">
        <v>45932</v>
      </c>
      <c r="B3019" t="s">
        <v>41</v>
      </c>
      <c r="C3019" t="s">
        <v>42</v>
      </c>
      <c r="D3019" t="s">
        <v>43</v>
      </c>
      <c r="E3019" t="s">
        <v>44</v>
      </c>
      <c r="F3019">
        <v>85</v>
      </c>
      <c r="G3019">
        <v>210</v>
      </c>
      <c r="H3019">
        <v>126</v>
      </c>
      <c r="I3019">
        <v>54</v>
      </c>
      <c r="J3019" s="8">
        <v>0.63529411764705879</v>
      </c>
      <c r="K3019">
        <v>23</v>
      </c>
      <c r="L3019">
        <v>33</v>
      </c>
      <c r="M3019">
        <v>103</v>
      </c>
      <c r="N3019" s="10">
        <v>537.79999999999995</v>
      </c>
      <c r="O3019" s="7">
        <v>0</v>
      </c>
      <c r="P3019" s="7">
        <v>28.6</v>
      </c>
      <c r="Q3019">
        <v>3</v>
      </c>
      <c r="R3019" t="s">
        <v>65</v>
      </c>
      <c r="S3019">
        <v>10</v>
      </c>
      <c r="T3019">
        <v>275</v>
      </c>
      <c r="U3019" s="11">
        <v>0.43388373911755823</v>
      </c>
      <c r="V3019" s="11">
        <v>-0.90096886790241903</v>
      </c>
      <c r="W3019" s="11">
        <v>-0.9999994220246925</v>
      </c>
      <c r="X3019" s="11">
        <v>1.0751512827982259E-3</v>
      </c>
      <c r="Y3019">
        <v>0</v>
      </c>
      <c r="Z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6">
        <v>45933</v>
      </c>
      <c r="B3020" t="s">
        <v>31</v>
      </c>
      <c r="C3020" t="s">
        <v>32</v>
      </c>
      <c r="D3020" t="s">
        <v>33</v>
      </c>
      <c r="E3020" t="s">
        <v>34</v>
      </c>
      <c r="F3020">
        <v>140</v>
      </c>
      <c r="G3020">
        <v>360</v>
      </c>
      <c r="H3020">
        <v>192</v>
      </c>
      <c r="I3020">
        <v>82</v>
      </c>
      <c r="J3020" s="8">
        <v>0.58571428571428574</v>
      </c>
      <c r="K3020">
        <v>36</v>
      </c>
      <c r="L3020">
        <v>24</v>
      </c>
      <c r="M3020">
        <v>164</v>
      </c>
      <c r="N3020" s="10">
        <v>409.47</v>
      </c>
      <c r="O3020" s="7">
        <v>1.6</v>
      </c>
      <c r="P3020" s="7">
        <v>30.2</v>
      </c>
      <c r="Q3020">
        <v>4</v>
      </c>
      <c r="R3020" t="s">
        <v>66</v>
      </c>
      <c r="S3020">
        <v>10</v>
      </c>
      <c r="T3020">
        <v>276</v>
      </c>
      <c r="U3020" s="11">
        <v>-0.43388373911755801</v>
      </c>
      <c r="V3020" s="11">
        <v>-0.90096886790241915</v>
      </c>
      <c r="W3020" s="11">
        <v>-0.99983296977010505</v>
      </c>
      <c r="X3020" s="11">
        <v>1.8276557681691223E-2</v>
      </c>
      <c r="Y3020">
        <v>0</v>
      </c>
      <c r="Z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6">
        <v>45933</v>
      </c>
      <c r="B3021" t="s">
        <v>36</v>
      </c>
      <c r="C3021" t="s">
        <v>37</v>
      </c>
      <c r="D3021" t="s">
        <v>38</v>
      </c>
      <c r="E3021" t="s">
        <v>39</v>
      </c>
      <c r="F3021">
        <v>125</v>
      </c>
      <c r="G3021">
        <v>320</v>
      </c>
      <c r="H3021">
        <v>142</v>
      </c>
      <c r="I3021">
        <v>60</v>
      </c>
      <c r="J3021" s="8">
        <v>0.48</v>
      </c>
      <c r="K3021">
        <v>21</v>
      </c>
      <c r="L3021">
        <v>37</v>
      </c>
      <c r="M3021">
        <v>121</v>
      </c>
      <c r="N3021" s="10">
        <v>659.53</v>
      </c>
      <c r="O3021" s="7">
        <v>1.6</v>
      </c>
      <c r="P3021" s="7">
        <v>30.2</v>
      </c>
      <c r="Q3021">
        <v>4</v>
      </c>
      <c r="R3021" t="s">
        <v>66</v>
      </c>
      <c r="S3021">
        <v>10</v>
      </c>
      <c r="T3021">
        <v>276</v>
      </c>
      <c r="U3021" s="11">
        <v>-0.43388373911755801</v>
      </c>
      <c r="V3021" s="11">
        <v>-0.90096886790241915</v>
      </c>
      <c r="W3021" s="11">
        <v>-0.99983296977010505</v>
      </c>
      <c r="X3021" s="11">
        <v>1.8276557681691223E-2</v>
      </c>
      <c r="Y3021">
        <v>0</v>
      </c>
      <c r="Z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6">
        <v>45933</v>
      </c>
      <c r="B3022" t="s">
        <v>41</v>
      </c>
      <c r="C3022" t="s">
        <v>42</v>
      </c>
      <c r="D3022" t="s">
        <v>43</v>
      </c>
      <c r="E3022" t="s">
        <v>44</v>
      </c>
      <c r="F3022">
        <v>85</v>
      </c>
      <c r="G3022">
        <v>210</v>
      </c>
      <c r="H3022">
        <v>119</v>
      </c>
      <c r="I3022">
        <v>53</v>
      </c>
      <c r="J3022" s="8">
        <v>0.62352941176470589</v>
      </c>
      <c r="K3022">
        <v>20</v>
      </c>
      <c r="L3022">
        <v>22</v>
      </c>
      <c r="M3022">
        <v>111</v>
      </c>
      <c r="N3022" s="10">
        <v>545.70000000000005</v>
      </c>
      <c r="O3022" s="7">
        <v>1.6</v>
      </c>
      <c r="P3022" s="7">
        <v>30.2</v>
      </c>
      <c r="Q3022">
        <v>4</v>
      </c>
      <c r="R3022" t="s">
        <v>66</v>
      </c>
      <c r="S3022">
        <v>10</v>
      </c>
      <c r="T3022">
        <v>276</v>
      </c>
      <c r="U3022" s="11">
        <v>-0.43388373911755801</v>
      </c>
      <c r="V3022" s="11">
        <v>-0.90096886790241915</v>
      </c>
      <c r="W3022" s="11">
        <v>-0.99983296977010505</v>
      </c>
      <c r="X3022" s="11">
        <v>1.8276557681691223E-2</v>
      </c>
      <c r="Y3022">
        <v>0</v>
      </c>
      <c r="Z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6">
        <v>45934</v>
      </c>
      <c r="B3023" t="s">
        <v>31</v>
      </c>
      <c r="C3023" t="s">
        <v>32</v>
      </c>
      <c r="D3023" t="s">
        <v>33</v>
      </c>
      <c r="E3023" t="s">
        <v>34</v>
      </c>
      <c r="F3023">
        <v>140</v>
      </c>
      <c r="G3023">
        <v>360</v>
      </c>
      <c r="H3023">
        <v>196</v>
      </c>
      <c r="I3023">
        <v>84</v>
      </c>
      <c r="J3023" s="8">
        <v>0.6</v>
      </c>
      <c r="K3023">
        <v>45</v>
      </c>
      <c r="L3023">
        <v>45</v>
      </c>
      <c r="M3023">
        <v>177</v>
      </c>
      <c r="N3023" s="10">
        <v>495.49</v>
      </c>
      <c r="O3023" s="7">
        <v>3.3</v>
      </c>
      <c r="P3023" s="7">
        <v>28.3</v>
      </c>
      <c r="Q3023">
        <v>5</v>
      </c>
      <c r="R3023" t="s">
        <v>67</v>
      </c>
      <c r="S3023">
        <v>10</v>
      </c>
      <c r="T3023">
        <v>277</v>
      </c>
      <c r="U3023" s="11">
        <v>-0.97492791218182362</v>
      </c>
      <c r="V3023" s="11">
        <v>-0.22252093395631459</v>
      </c>
      <c r="W3023" s="11">
        <v>-0.9993706508539969</v>
      </c>
      <c r="X3023" s="11">
        <v>3.5472555753125558E-2</v>
      </c>
      <c r="Y3023">
        <v>1</v>
      </c>
      <c r="Z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6">
        <v>45934</v>
      </c>
      <c r="B3024" t="s">
        <v>36</v>
      </c>
      <c r="C3024" t="s">
        <v>37</v>
      </c>
      <c r="D3024" t="s">
        <v>38</v>
      </c>
      <c r="E3024" t="s">
        <v>39</v>
      </c>
      <c r="F3024">
        <v>125</v>
      </c>
      <c r="G3024">
        <v>320</v>
      </c>
      <c r="H3024">
        <v>185</v>
      </c>
      <c r="I3024">
        <v>81</v>
      </c>
      <c r="J3024" s="8">
        <v>0.64800000000000002</v>
      </c>
      <c r="K3024">
        <v>49</v>
      </c>
      <c r="L3024">
        <v>17</v>
      </c>
      <c r="M3024">
        <v>171</v>
      </c>
      <c r="N3024" s="10">
        <v>633.44000000000005</v>
      </c>
      <c r="O3024" s="7">
        <v>3.3</v>
      </c>
      <c r="P3024" s="7">
        <v>28.3</v>
      </c>
      <c r="Q3024">
        <v>5</v>
      </c>
      <c r="R3024" t="s">
        <v>67</v>
      </c>
      <c r="S3024">
        <v>10</v>
      </c>
      <c r="T3024">
        <v>277</v>
      </c>
      <c r="U3024" s="11">
        <v>-0.97492791218182362</v>
      </c>
      <c r="V3024" s="11">
        <v>-0.22252093395631459</v>
      </c>
      <c r="W3024" s="11">
        <v>-0.9993706508539969</v>
      </c>
      <c r="X3024" s="11">
        <v>3.5472555753125558E-2</v>
      </c>
      <c r="Y3024">
        <v>1</v>
      </c>
      <c r="Z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6">
        <v>45934</v>
      </c>
      <c r="B3025" t="s">
        <v>41</v>
      </c>
      <c r="C3025" t="s">
        <v>42</v>
      </c>
      <c r="D3025" t="s">
        <v>43</v>
      </c>
      <c r="E3025" t="s">
        <v>44</v>
      </c>
      <c r="F3025">
        <v>85</v>
      </c>
      <c r="G3025">
        <v>210</v>
      </c>
      <c r="H3025">
        <v>156</v>
      </c>
      <c r="I3025">
        <v>67</v>
      </c>
      <c r="J3025" s="8">
        <v>0.78823529411764703</v>
      </c>
      <c r="K3025">
        <v>34</v>
      </c>
      <c r="L3025">
        <v>27</v>
      </c>
      <c r="M3025">
        <v>127</v>
      </c>
      <c r="N3025" s="10">
        <v>547.98</v>
      </c>
      <c r="O3025" s="7">
        <v>3.3</v>
      </c>
      <c r="P3025" s="7">
        <v>28.3</v>
      </c>
      <c r="Q3025">
        <v>5</v>
      </c>
      <c r="R3025" t="s">
        <v>67</v>
      </c>
      <c r="S3025">
        <v>10</v>
      </c>
      <c r="T3025">
        <v>277</v>
      </c>
      <c r="U3025" s="11">
        <v>-0.97492791218182362</v>
      </c>
      <c r="V3025" s="11">
        <v>-0.22252093395631459</v>
      </c>
      <c r="W3025" s="11">
        <v>-0.9993706508539969</v>
      </c>
      <c r="X3025" s="11">
        <v>3.5472555753125558E-2</v>
      </c>
      <c r="Y3025">
        <v>1</v>
      </c>
      <c r="Z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6">
        <v>45935</v>
      </c>
      <c r="B3026" t="s">
        <v>31</v>
      </c>
      <c r="C3026" t="s">
        <v>32</v>
      </c>
      <c r="D3026" t="s">
        <v>33</v>
      </c>
      <c r="E3026" t="s">
        <v>34</v>
      </c>
      <c r="F3026">
        <v>140</v>
      </c>
      <c r="G3026">
        <v>360</v>
      </c>
      <c r="H3026">
        <v>214</v>
      </c>
      <c r="I3026">
        <v>89</v>
      </c>
      <c r="J3026" s="8">
        <v>0.63571428571428568</v>
      </c>
      <c r="K3026">
        <v>53</v>
      </c>
      <c r="L3026">
        <v>47</v>
      </c>
      <c r="M3026">
        <v>183</v>
      </c>
      <c r="N3026" s="10">
        <v>472.83</v>
      </c>
      <c r="O3026" s="7">
        <v>0</v>
      </c>
      <c r="P3026" s="7">
        <v>30.3</v>
      </c>
      <c r="Q3026">
        <v>6</v>
      </c>
      <c r="R3026" t="s">
        <v>60</v>
      </c>
      <c r="S3026">
        <v>10</v>
      </c>
      <c r="T3026">
        <v>278</v>
      </c>
      <c r="U3026" s="11">
        <v>-0.78183148246802991</v>
      </c>
      <c r="V3026" s="11">
        <v>0.62348980185873337</v>
      </c>
      <c r="W3026" s="11">
        <v>-0.9986126020839734</v>
      </c>
      <c r="X3026" s="11">
        <v>5.2658056924614005E-2</v>
      </c>
      <c r="Y3026">
        <v>1</v>
      </c>
      <c r="Z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6">
        <v>45935</v>
      </c>
      <c r="B3027" t="s">
        <v>36</v>
      </c>
      <c r="C3027" t="s">
        <v>37</v>
      </c>
      <c r="D3027" t="s">
        <v>38</v>
      </c>
      <c r="E3027" t="s">
        <v>39</v>
      </c>
      <c r="F3027">
        <v>125</v>
      </c>
      <c r="G3027">
        <v>320</v>
      </c>
      <c r="H3027">
        <v>201</v>
      </c>
      <c r="I3027">
        <v>83</v>
      </c>
      <c r="J3027" s="8">
        <v>0.66400000000000003</v>
      </c>
      <c r="K3027">
        <v>30</v>
      </c>
      <c r="L3027">
        <v>22</v>
      </c>
      <c r="M3027">
        <v>182</v>
      </c>
      <c r="N3027" s="10">
        <v>677.67</v>
      </c>
      <c r="O3027" s="7">
        <v>0</v>
      </c>
      <c r="P3027" s="7">
        <v>30.3</v>
      </c>
      <c r="Q3027">
        <v>6</v>
      </c>
      <c r="R3027" t="s">
        <v>60</v>
      </c>
      <c r="S3027">
        <v>10</v>
      </c>
      <c r="T3027">
        <v>278</v>
      </c>
      <c r="U3027" s="11">
        <v>-0.78183148246802991</v>
      </c>
      <c r="V3027" s="11">
        <v>0.62348980185873337</v>
      </c>
      <c r="W3027" s="11">
        <v>-0.9986126020839734</v>
      </c>
      <c r="X3027" s="11">
        <v>5.2658056924614005E-2</v>
      </c>
      <c r="Y3027">
        <v>1</v>
      </c>
      <c r="Z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6">
        <v>45935</v>
      </c>
      <c r="B3028" t="s">
        <v>41</v>
      </c>
      <c r="C3028" t="s">
        <v>42</v>
      </c>
      <c r="D3028" t="s">
        <v>43</v>
      </c>
      <c r="E3028" t="s">
        <v>44</v>
      </c>
      <c r="F3028">
        <v>85</v>
      </c>
      <c r="G3028">
        <v>210</v>
      </c>
      <c r="H3028">
        <v>142</v>
      </c>
      <c r="I3028">
        <v>63</v>
      </c>
      <c r="J3028" s="8">
        <v>0.74117647058823533</v>
      </c>
      <c r="K3028">
        <v>21</v>
      </c>
      <c r="L3028">
        <v>38</v>
      </c>
      <c r="M3028">
        <v>117</v>
      </c>
      <c r="N3028" s="10">
        <v>610.1</v>
      </c>
      <c r="O3028" s="7">
        <v>0</v>
      </c>
      <c r="P3028" s="7">
        <v>30.3</v>
      </c>
      <c r="Q3028">
        <v>6</v>
      </c>
      <c r="R3028" t="s">
        <v>60</v>
      </c>
      <c r="S3028">
        <v>10</v>
      </c>
      <c r="T3028">
        <v>278</v>
      </c>
      <c r="U3028" s="11">
        <v>-0.78183148246802991</v>
      </c>
      <c r="V3028" s="11">
        <v>0.62348980185873337</v>
      </c>
      <c r="W3028" s="11">
        <v>-0.9986126020839734</v>
      </c>
      <c r="X3028" s="11">
        <v>5.2658056924614005E-2</v>
      </c>
      <c r="Y3028">
        <v>1</v>
      </c>
      <c r="Z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6">
        <v>45936</v>
      </c>
      <c r="B3029" t="s">
        <v>31</v>
      </c>
      <c r="C3029" t="s">
        <v>32</v>
      </c>
      <c r="D3029" t="s">
        <v>33</v>
      </c>
      <c r="E3029" t="s">
        <v>34</v>
      </c>
      <c r="F3029">
        <v>140</v>
      </c>
      <c r="G3029">
        <v>360</v>
      </c>
      <c r="H3029">
        <v>169</v>
      </c>
      <c r="I3029">
        <v>71</v>
      </c>
      <c r="J3029" s="8">
        <v>0.50714285714285712</v>
      </c>
      <c r="K3029">
        <v>48</v>
      </c>
      <c r="L3029">
        <v>40</v>
      </c>
      <c r="M3029">
        <v>151</v>
      </c>
      <c r="N3029" s="10">
        <v>455.57</v>
      </c>
      <c r="O3029" s="7">
        <v>4.4000000000000004</v>
      </c>
      <c r="P3029" s="7">
        <v>29.2</v>
      </c>
      <c r="Q3029">
        <v>0</v>
      </c>
      <c r="R3029" t="s">
        <v>62</v>
      </c>
      <c r="S3029">
        <v>10</v>
      </c>
      <c r="T3029">
        <v>279</v>
      </c>
      <c r="U3029" s="11">
        <v>0</v>
      </c>
      <c r="V3029" s="11">
        <v>1</v>
      </c>
      <c r="W3029" s="11">
        <v>-0.99755904777886129</v>
      </c>
      <c r="X3029" s="11">
        <v>6.9827975729870886E-2</v>
      </c>
      <c r="Y3029">
        <v>0</v>
      </c>
      <c r="Z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6">
        <v>45936</v>
      </c>
      <c r="B3030" t="s">
        <v>36</v>
      </c>
      <c r="C3030" t="s">
        <v>37</v>
      </c>
      <c r="D3030" t="s">
        <v>38</v>
      </c>
      <c r="E3030" t="s">
        <v>39</v>
      </c>
      <c r="F3030">
        <v>125</v>
      </c>
      <c r="G3030">
        <v>320</v>
      </c>
      <c r="H3030">
        <v>160</v>
      </c>
      <c r="I3030">
        <v>66</v>
      </c>
      <c r="J3030" s="8">
        <v>0.52800000000000002</v>
      </c>
      <c r="K3030">
        <v>37</v>
      </c>
      <c r="L3030">
        <v>26</v>
      </c>
      <c r="M3030">
        <v>129</v>
      </c>
      <c r="N3030" s="10">
        <v>670.46</v>
      </c>
      <c r="O3030" s="7">
        <v>4.4000000000000004</v>
      </c>
      <c r="P3030" s="7">
        <v>29.2</v>
      </c>
      <c r="Q3030">
        <v>0</v>
      </c>
      <c r="R3030" t="s">
        <v>62</v>
      </c>
      <c r="S3030">
        <v>10</v>
      </c>
      <c r="T3030">
        <v>279</v>
      </c>
      <c r="U3030" s="11">
        <v>0</v>
      </c>
      <c r="V3030" s="11">
        <v>1</v>
      </c>
      <c r="W3030" s="11">
        <v>-0.99755904777886129</v>
      </c>
      <c r="X3030" s="11">
        <v>6.9827975729870886E-2</v>
      </c>
      <c r="Y3030">
        <v>0</v>
      </c>
      <c r="Z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6">
        <v>45936</v>
      </c>
      <c r="B3031" t="s">
        <v>41</v>
      </c>
      <c r="C3031" t="s">
        <v>42</v>
      </c>
      <c r="D3031" t="s">
        <v>43</v>
      </c>
      <c r="E3031" t="s">
        <v>44</v>
      </c>
      <c r="F3031">
        <v>85</v>
      </c>
      <c r="G3031">
        <v>210</v>
      </c>
      <c r="H3031">
        <v>120</v>
      </c>
      <c r="I3031">
        <v>52</v>
      </c>
      <c r="J3031" s="8">
        <v>0.61176470588235299</v>
      </c>
      <c r="K3031">
        <v>25</v>
      </c>
      <c r="L3031">
        <v>24</v>
      </c>
      <c r="M3031">
        <v>98</v>
      </c>
      <c r="N3031" s="10">
        <v>573.74</v>
      </c>
      <c r="O3031" s="7">
        <v>4.4000000000000004</v>
      </c>
      <c r="P3031" s="7">
        <v>29.2</v>
      </c>
      <c r="Q3031">
        <v>0</v>
      </c>
      <c r="R3031" t="s">
        <v>62</v>
      </c>
      <c r="S3031">
        <v>10</v>
      </c>
      <c r="T3031">
        <v>279</v>
      </c>
      <c r="U3031" s="11">
        <v>0</v>
      </c>
      <c r="V3031" s="11">
        <v>1</v>
      </c>
      <c r="W3031" s="11">
        <v>-0.99755904777886129</v>
      </c>
      <c r="X3031" s="11">
        <v>6.9827975729870886E-2</v>
      </c>
      <c r="Y3031">
        <v>0</v>
      </c>
      <c r="Z3031">
        <v>0</v>
      </c>
      <c r="AB3031">
        <v>0</v>
      </c>
      <c r="AC3031">
        <v>0</v>
      </c>
      <c r="AD3031">
        <v>0</v>
      </c>
      <c r="AE3031">
        <v>0</v>
      </c>
    </row>
    <row r="3032" spans="1:31">
      <c r="A3032" s="6">
        <v>45937</v>
      </c>
      <c r="B3032" t="s">
        <v>31</v>
      </c>
      <c r="C3032" t="s">
        <v>32</v>
      </c>
      <c r="D3032" t="s">
        <v>33</v>
      </c>
      <c r="E3032" t="s">
        <v>34</v>
      </c>
      <c r="F3032">
        <v>140</v>
      </c>
      <c r="G3032">
        <v>360</v>
      </c>
      <c r="H3032">
        <v>187</v>
      </c>
      <c r="I3032">
        <v>78</v>
      </c>
      <c r="J3032" s="8">
        <v>0.55714285714285716</v>
      </c>
      <c r="K3032">
        <v>32</v>
      </c>
      <c r="L3032">
        <v>23</v>
      </c>
      <c r="M3032">
        <v>163</v>
      </c>
      <c r="N3032" s="10">
        <v>444.46</v>
      </c>
      <c r="O3032" s="7">
        <v>0</v>
      </c>
      <c r="P3032" s="7">
        <v>29.8</v>
      </c>
      <c r="Q3032">
        <v>1</v>
      </c>
      <c r="R3032" t="s">
        <v>63</v>
      </c>
      <c r="S3032">
        <v>10</v>
      </c>
      <c r="T3032">
        <v>280</v>
      </c>
      <c r="U3032" s="11">
        <v>0.7818314824680298</v>
      </c>
      <c r="V3032" s="11">
        <v>0.62348980185873359</v>
      </c>
      <c r="W3032" s="11">
        <v>-0.99621029970232966</v>
      </c>
      <c r="X3032" s="11">
        <v>8.6977231313686093E-2</v>
      </c>
      <c r="Y3032">
        <v>0</v>
      </c>
      <c r="Z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6">
        <v>45937</v>
      </c>
      <c r="B3033" t="s">
        <v>36</v>
      </c>
      <c r="C3033" t="s">
        <v>37</v>
      </c>
      <c r="D3033" t="s">
        <v>38</v>
      </c>
      <c r="E3033" t="s">
        <v>39</v>
      </c>
      <c r="F3033">
        <v>125</v>
      </c>
      <c r="G3033">
        <v>320</v>
      </c>
      <c r="H3033">
        <v>157</v>
      </c>
      <c r="I3033">
        <v>66</v>
      </c>
      <c r="J3033" s="8">
        <v>0.52800000000000002</v>
      </c>
      <c r="K3033">
        <v>27</v>
      </c>
      <c r="L3033">
        <v>30</v>
      </c>
      <c r="M3033">
        <v>132</v>
      </c>
      <c r="N3033" s="10">
        <v>674.46</v>
      </c>
      <c r="O3033" s="7">
        <v>0</v>
      </c>
      <c r="P3033" s="7">
        <v>29.8</v>
      </c>
      <c r="Q3033">
        <v>1</v>
      </c>
      <c r="R3033" t="s">
        <v>63</v>
      </c>
      <c r="S3033">
        <v>10</v>
      </c>
      <c r="T3033">
        <v>280</v>
      </c>
      <c r="U3033" s="11">
        <v>0.7818314824680298</v>
      </c>
      <c r="V3033" s="11">
        <v>0.62348980185873359</v>
      </c>
      <c r="W3033" s="11">
        <v>-0.99621029970232966</v>
      </c>
      <c r="X3033" s="11">
        <v>8.6977231313686093E-2</v>
      </c>
      <c r="Y3033">
        <v>0</v>
      </c>
      <c r="Z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6">
        <v>45937</v>
      </c>
      <c r="B3034" t="s">
        <v>41</v>
      </c>
      <c r="C3034" t="s">
        <v>42</v>
      </c>
      <c r="D3034" t="s">
        <v>43</v>
      </c>
      <c r="E3034" t="s">
        <v>44</v>
      </c>
      <c r="F3034">
        <v>85</v>
      </c>
      <c r="G3034">
        <v>210</v>
      </c>
      <c r="H3034">
        <v>105</v>
      </c>
      <c r="I3034">
        <v>48</v>
      </c>
      <c r="J3034" s="8">
        <v>0.56470588235294117</v>
      </c>
      <c r="K3034">
        <v>16</v>
      </c>
      <c r="L3034">
        <v>30</v>
      </c>
      <c r="M3034">
        <v>94</v>
      </c>
      <c r="N3034" s="10">
        <v>487.72</v>
      </c>
      <c r="O3034" s="7">
        <v>0</v>
      </c>
      <c r="P3034" s="7">
        <v>29.8</v>
      </c>
      <c r="Q3034">
        <v>1</v>
      </c>
      <c r="R3034" t="s">
        <v>63</v>
      </c>
      <c r="S3034">
        <v>10</v>
      </c>
      <c r="T3034">
        <v>280</v>
      </c>
      <c r="U3034" s="11">
        <v>0.7818314824680298</v>
      </c>
      <c r="V3034" s="11">
        <v>0.62348980185873359</v>
      </c>
      <c r="W3034" s="11">
        <v>-0.99621029970232966</v>
      </c>
      <c r="X3034" s="11">
        <v>8.6977231313686093E-2</v>
      </c>
      <c r="Y3034">
        <v>0</v>
      </c>
      <c r="Z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6">
        <v>45938</v>
      </c>
      <c r="B3035" t="s">
        <v>31</v>
      </c>
      <c r="C3035" t="s">
        <v>32</v>
      </c>
      <c r="D3035" t="s">
        <v>33</v>
      </c>
      <c r="E3035" t="s">
        <v>34</v>
      </c>
      <c r="F3035">
        <v>140</v>
      </c>
      <c r="G3035">
        <v>360</v>
      </c>
      <c r="H3035">
        <v>189</v>
      </c>
      <c r="I3035">
        <v>79</v>
      </c>
      <c r="J3035" s="8">
        <v>0.56428571428571428</v>
      </c>
      <c r="K3035">
        <v>26</v>
      </c>
      <c r="L3035">
        <v>39</v>
      </c>
      <c r="M3035">
        <v>162</v>
      </c>
      <c r="N3035" s="10">
        <v>390.39</v>
      </c>
      <c r="O3035" s="7">
        <v>4.5</v>
      </c>
      <c r="P3035" s="7">
        <v>30.2</v>
      </c>
      <c r="Q3035">
        <v>2</v>
      </c>
      <c r="R3035" t="s">
        <v>64</v>
      </c>
      <c r="S3035">
        <v>10</v>
      </c>
      <c r="T3035">
        <v>281</v>
      </c>
      <c r="U3035" s="11">
        <v>0.97492791218182362</v>
      </c>
      <c r="V3035" s="11">
        <v>-0.22252093395631434</v>
      </c>
      <c r="W3035" s="11">
        <v>-0.99456675697063368</v>
      </c>
      <c r="X3035" s="11">
        <v>0.1041007489354256</v>
      </c>
      <c r="Y3035">
        <v>0</v>
      </c>
      <c r="Z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6">
        <v>45938</v>
      </c>
      <c r="B3036" t="s">
        <v>36</v>
      </c>
      <c r="C3036" t="s">
        <v>37</v>
      </c>
      <c r="D3036" t="s">
        <v>38</v>
      </c>
      <c r="E3036" t="s">
        <v>39</v>
      </c>
      <c r="F3036">
        <v>125</v>
      </c>
      <c r="G3036">
        <v>320</v>
      </c>
      <c r="H3036">
        <v>163</v>
      </c>
      <c r="I3036">
        <v>68</v>
      </c>
      <c r="J3036" s="8">
        <v>0.54400000000000004</v>
      </c>
      <c r="K3036">
        <v>41</v>
      </c>
      <c r="L3036">
        <v>39</v>
      </c>
      <c r="M3036">
        <v>145</v>
      </c>
      <c r="N3036" s="10">
        <v>656.17</v>
      </c>
      <c r="O3036" s="7">
        <v>4.5</v>
      </c>
      <c r="P3036" s="7">
        <v>30.2</v>
      </c>
      <c r="Q3036">
        <v>2</v>
      </c>
      <c r="R3036" t="s">
        <v>64</v>
      </c>
      <c r="S3036">
        <v>10</v>
      </c>
      <c r="T3036">
        <v>281</v>
      </c>
      <c r="U3036" s="11">
        <v>0.97492791218182362</v>
      </c>
      <c r="V3036" s="11">
        <v>-0.22252093395631434</v>
      </c>
      <c r="W3036" s="11">
        <v>-0.99456675697063368</v>
      </c>
      <c r="X3036" s="11">
        <v>0.1041007489354256</v>
      </c>
      <c r="Y3036">
        <v>0</v>
      </c>
      <c r="Z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6">
        <v>45938</v>
      </c>
      <c r="B3037" t="s">
        <v>41</v>
      </c>
      <c r="C3037" t="s">
        <v>42</v>
      </c>
      <c r="D3037" t="s">
        <v>43</v>
      </c>
      <c r="E3037" t="s">
        <v>44</v>
      </c>
      <c r="F3037">
        <v>85</v>
      </c>
      <c r="G3037">
        <v>210</v>
      </c>
      <c r="H3037">
        <v>121</v>
      </c>
      <c r="I3037">
        <v>55</v>
      </c>
      <c r="J3037" s="8">
        <v>0.6470588235294118</v>
      </c>
      <c r="K3037">
        <v>25</v>
      </c>
      <c r="L3037">
        <v>23</v>
      </c>
      <c r="M3037">
        <v>113</v>
      </c>
      <c r="N3037" s="10">
        <v>513.57000000000005</v>
      </c>
      <c r="O3037" s="7">
        <v>4.5</v>
      </c>
      <c r="P3037" s="7">
        <v>30.2</v>
      </c>
      <c r="Q3037">
        <v>2</v>
      </c>
      <c r="R3037" t="s">
        <v>64</v>
      </c>
      <c r="S3037">
        <v>10</v>
      </c>
      <c r="T3037">
        <v>281</v>
      </c>
      <c r="U3037" s="11">
        <v>0.97492791218182362</v>
      </c>
      <c r="V3037" s="11">
        <v>-0.22252093395631434</v>
      </c>
      <c r="W3037" s="11">
        <v>-0.99456675697063368</v>
      </c>
      <c r="X3037" s="11">
        <v>0.1041007489354256</v>
      </c>
      <c r="Y3037">
        <v>0</v>
      </c>
      <c r="Z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6">
        <v>45939</v>
      </c>
      <c r="B3038" t="s">
        <v>31</v>
      </c>
      <c r="C3038" t="s">
        <v>32</v>
      </c>
      <c r="D3038" t="s">
        <v>33</v>
      </c>
      <c r="E3038" t="s">
        <v>34</v>
      </c>
      <c r="F3038">
        <v>140</v>
      </c>
      <c r="G3038">
        <v>360</v>
      </c>
      <c r="H3038">
        <v>185</v>
      </c>
      <c r="I3038">
        <v>77</v>
      </c>
      <c r="J3038" s="8">
        <v>0.55000000000000004</v>
      </c>
      <c r="K3038">
        <v>25</v>
      </c>
      <c r="L3038">
        <v>38</v>
      </c>
      <c r="M3038">
        <v>169</v>
      </c>
      <c r="N3038" s="10">
        <v>423.01</v>
      </c>
      <c r="O3038" s="7">
        <v>1.8</v>
      </c>
      <c r="P3038" s="7">
        <v>30.1</v>
      </c>
      <c r="Q3038">
        <v>3</v>
      </c>
      <c r="R3038" t="s">
        <v>65</v>
      </c>
      <c r="S3038">
        <v>10</v>
      </c>
      <c r="T3038">
        <v>282</v>
      </c>
      <c r="U3038" s="11">
        <v>0.43388373911755823</v>
      </c>
      <c r="V3038" s="11">
        <v>-0.90096886790241903</v>
      </c>
      <c r="W3038" s="11">
        <v>-0.99262890593450948</v>
      </c>
      <c r="X3038" s="11">
        <v>0.12119346147073599</v>
      </c>
      <c r="Y3038">
        <v>0</v>
      </c>
      <c r="Z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6">
        <v>45939</v>
      </c>
      <c r="B3039" t="s">
        <v>36</v>
      </c>
      <c r="C3039" t="s">
        <v>37</v>
      </c>
      <c r="D3039" t="s">
        <v>38</v>
      </c>
      <c r="E3039" t="s">
        <v>39</v>
      </c>
      <c r="F3039">
        <v>125</v>
      </c>
      <c r="G3039">
        <v>320</v>
      </c>
      <c r="H3039">
        <v>174</v>
      </c>
      <c r="I3039">
        <v>72</v>
      </c>
      <c r="J3039" s="8">
        <v>0.57599999999999996</v>
      </c>
      <c r="K3039">
        <v>27</v>
      </c>
      <c r="L3039">
        <v>19</v>
      </c>
      <c r="M3039">
        <v>164</v>
      </c>
      <c r="N3039" s="10">
        <v>610.28</v>
      </c>
      <c r="O3039" s="7">
        <v>1.8</v>
      </c>
      <c r="P3039" s="7">
        <v>30.1</v>
      </c>
      <c r="Q3039">
        <v>3</v>
      </c>
      <c r="R3039" t="s">
        <v>65</v>
      </c>
      <c r="S3039">
        <v>10</v>
      </c>
      <c r="T3039">
        <v>282</v>
      </c>
      <c r="U3039" s="11">
        <v>0.43388373911755823</v>
      </c>
      <c r="V3039" s="11">
        <v>-0.90096886790241903</v>
      </c>
      <c r="W3039" s="11">
        <v>-0.99262890593450948</v>
      </c>
      <c r="X3039" s="11">
        <v>0.12119346147073599</v>
      </c>
      <c r="Y3039">
        <v>0</v>
      </c>
      <c r="Z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6">
        <v>45939</v>
      </c>
      <c r="B3040" t="s">
        <v>41</v>
      </c>
      <c r="C3040" t="s">
        <v>42</v>
      </c>
      <c r="D3040" t="s">
        <v>43</v>
      </c>
      <c r="E3040" t="s">
        <v>44</v>
      </c>
      <c r="F3040">
        <v>85</v>
      </c>
      <c r="G3040">
        <v>210</v>
      </c>
      <c r="H3040">
        <v>127</v>
      </c>
      <c r="I3040">
        <v>54</v>
      </c>
      <c r="J3040" s="8">
        <v>0.63529411764705879</v>
      </c>
      <c r="K3040">
        <v>23</v>
      </c>
      <c r="L3040">
        <v>28</v>
      </c>
      <c r="M3040">
        <v>110</v>
      </c>
      <c r="N3040" s="10">
        <v>533.91</v>
      </c>
      <c r="O3040" s="7">
        <v>1.8</v>
      </c>
      <c r="P3040" s="7">
        <v>30.1</v>
      </c>
      <c r="Q3040">
        <v>3</v>
      </c>
      <c r="R3040" t="s">
        <v>65</v>
      </c>
      <c r="S3040">
        <v>10</v>
      </c>
      <c r="T3040">
        <v>282</v>
      </c>
      <c r="U3040" s="11">
        <v>0.43388373911755823</v>
      </c>
      <c r="V3040" s="11">
        <v>-0.90096886790241903</v>
      </c>
      <c r="W3040" s="11">
        <v>-0.99262890593450948</v>
      </c>
      <c r="X3040" s="11">
        <v>0.12119346147073599</v>
      </c>
      <c r="Y3040">
        <v>0</v>
      </c>
      <c r="Z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6">
        <v>45940</v>
      </c>
      <c r="B3041" t="s">
        <v>31</v>
      </c>
      <c r="C3041" t="s">
        <v>32</v>
      </c>
      <c r="D3041" t="s">
        <v>33</v>
      </c>
      <c r="E3041" t="s">
        <v>34</v>
      </c>
      <c r="F3041">
        <v>140</v>
      </c>
      <c r="G3041">
        <v>360</v>
      </c>
      <c r="H3041">
        <v>196</v>
      </c>
      <c r="I3041">
        <v>85</v>
      </c>
      <c r="J3041" s="8">
        <v>0.6071428571428571</v>
      </c>
      <c r="K3041">
        <v>37</v>
      </c>
      <c r="L3041">
        <v>28</v>
      </c>
      <c r="M3041">
        <v>166</v>
      </c>
      <c r="N3041" s="10">
        <v>428.57</v>
      </c>
      <c r="O3041" s="7">
        <v>1.6</v>
      </c>
      <c r="P3041" s="7">
        <v>28.6</v>
      </c>
      <c r="Q3041">
        <v>4</v>
      </c>
      <c r="R3041" t="s">
        <v>66</v>
      </c>
      <c r="S3041">
        <v>10</v>
      </c>
      <c r="T3041">
        <v>283</v>
      </c>
      <c r="U3041" s="11">
        <v>-0.43388373911755801</v>
      </c>
      <c r="V3041" s="11">
        <v>-0.90096886790241915</v>
      </c>
      <c r="W3041" s="11">
        <v>-0.99039732003525582</v>
      </c>
      <c r="X3041" s="11">
        <v>0.13825031091098189</v>
      </c>
      <c r="Y3041">
        <v>0</v>
      </c>
      <c r="Z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6">
        <v>45940</v>
      </c>
      <c r="B3042" t="s">
        <v>36</v>
      </c>
      <c r="C3042" t="s">
        <v>37</v>
      </c>
      <c r="D3042" t="s">
        <v>38</v>
      </c>
      <c r="E3042" t="s">
        <v>39</v>
      </c>
      <c r="F3042">
        <v>125</v>
      </c>
      <c r="G3042">
        <v>320</v>
      </c>
      <c r="H3042">
        <v>152</v>
      </c>
      <c r="I3042">
        <v>64</v>
      </c>
      <c r="J3042" s="8">
        <v>0.51200000000000001</v>
      </c>
      <c r="K3042">
        <v>32</v>
      </c>
      <c r="L3042">
        <v>38</v>
      </c>
      <c r="M3042">
        <v>134</v>
      </c>
      <c r="N3042" s="10">
        <v>576.02</v>
      </c>
      <c r="O3042" s="7">
        <v>1.6</v>
      </c>
      <c r="P3042" s="7">
        <v>28.6</v>
      </c>
      <c r="Q3042">
        <v>4</v>
      </c>
      <c r="R3042" t="s">
        <v>66</v>
      </c>
      <c r="S3042">
        <v>10</v>
      </c>
      <c r="T3042">
        <v>283</v>
      </c>
      <c r="U3042" s="11">
        <v>-0.43388373911755801</v>
      </c>
      <c r="V3042" s="11">
        <v>-0.90096886790241915</v>
      </c>
      <c r="W3042" s="11">
        <v>-0.99039732003525582</v>
      </c>
      <c r="X3042" s="11">
        <v>0.13825031091098189</v>
      </c>
      <c r="Y3042">
        <v>0</v>
      </c>
      <c r="Z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6">
        <v>45940</v>
      </c>
      <c r="B3043" t="s">
        <v>41</v>
      </c>
      <c r="C3043" t="s">
        <v>42</v>
      </c>
      <c r="D3043" t="s">
        <v>43</v>
      </c>
      <c r="E3043" t="s">
        <v>44</v>
      </c>
      <c r="F3043">
        <v>85</v>
      </c>
      <c r="G3043">
        <v>210</v>
      </c>
      <c r="H3043">
        <v>115</v>
      </c>
      <c r="I3043">
        <v>52</v>
      </c>
      <c r="J3043" s="8">
        <v>0.61176470588235299</v>
      </c>
      <c r="K3043">
        <v>24</v>
      </c>
      <c r="L3043">
        <v>14</v>
      </c>
      <c r="M3043">
        <v>102</v>
      </c>
      <c r="N3043" s="10">
        <v>532.76</v>
      </c>
      <c r="O3043" s="7">
        <v>1.6</v>
      </c>
      <c r="P3043" s="7">
        <v>28.6</v>
      </c>
      <c r="Q3043">
        <v>4</v>
      </c>
      <c r="R3043" t="s">
        <v>66</v>
      </c>
      <c r="S3043">
        <v>10</v>
      </c>
      <c r="T3043">
        <v>283</v>
      </c>
      <c r="U3043" s="11">
        <v>-0.43388373911755801</v>
      </c>
      <c r="V3043" s="11">
        <v>-0.90096886790241915</v>
      </c>
      <c r="W3043" s="11">
        <v>-0.99039732003525582</v>
      </c>
      <c r="X3043" s="11">
        <v>0.13825031091098189</v>
      </c>
      <c r="Y3043">
        <v>0</v>
      </c>
      <c r="Z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6">
        <v>45941</v>
      </c>
      <c r="B3044" t="s">
        <v>31</v>
      </c>
      <c r="C3044" t="s">
        <v>32</v>
      </c>
      <c r="D3044" t="s">
        <v>33</v>
      </c>
      <c r="E3044" t="s">
        <v>34</v>
      </c>
      <c r="F3044">
        <v>140</v>
      </c>
      <c r="G3044">
        <v>360</v>
      </c>
      <c r="H3044">
        <v>209</v>
      </c>
      <c r="I3044">
        <v>89</v>
      </c>
      <c r="J3044" s="8">
        <v>0.63571428571428568</v>
      </c>
      <c r="K3044">
        <v>46</v>
      </c>
      <c r="L3044">
        <v>38</v>
      </c>
      <c r="M3044">
        <v>194</v>
      </c>
      <c r="N3044" s="10">
        <v>510.93</v>
      </c>
      <c r="O3044" s="7">
        <v>0</v>
      </c>
      <c r="P3044" s="7">
        <v>28.9</v>
      </c>
      <c r="Q3044">
        <v>5</v>
      </c>
      <c r="R3044" t="s">
        <v>67</v>
      </c>
      <c r="S3044">
        <v>10</v>
      </c>
      <c r="T3044">
        <v>284</v>
      </c>
      <c r="U3044" s="11">
        <v>-0.97492791218182362</v>
      </c>
      <c r="V3044" s="11">
        <v>-0.22252093395631459</v>
      </c>
      <c r="W3044" s="11">
        <v>-0.98787265963504289</v>
      </c>
      <c r="X3044" s="11">
        <v>0.15526624985999563</v>
      </c>
      <c r="Y3044">
        <v>1</v>
      </c>
      <c r="Z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6">
        <v>45941</v>
      </c>
      <c r="B3045" t="s">
        <v>36</v>
      </c>
      <c r="C3045" t="s">
        <v>37</v>
      </c>
      <c r="D3045" t="s">
        <v>38</v>
      </c>
      <c r="E3045" t="s">
        <v>39</v>
      </c>
      <c r="F3045">
        <v>125</v>
      </c>
      <c r="G3045">
        <v>320</v>
      </c>
      <c r="H3045">
        <v>186</v>
      </c>
      <c r="I3045">
        <v>77</v>
      </c>
      <c r="J3045" s="8">
        <v>0.61599999999999999</v>
      </c>
      <c r="K3045">
        <v>32</v>
      </c>
      <c r="L3045">
        <v>40</v>
      </c>
      <c r="M3045">
        <v>154</v>
      </c>
      <c r="N3045" s="10">
        <v>661.1</v>
      </c>
      <c r="O3045" s="7">
        <v>0</v>
      </c>
      <c r="P3045" s="7">
        <v>28.9</v>
      </c>
      <c r="Q3045">
        <v>5</v>
      </c>
      <c r="R3045" t="s">
        <v>67</v>
      </c>
      <c r="S3045">
        <v>10</v>
      </c>
      <c r="T3045">
        <v>284</v>
      </c>
      <c r="U3045" s="11">
        <v>-0.97492791218182362</v>
      </c>
      <c r="V3045" s="11">
        <v>-0.22252093395631459</v>
      </c>
      <c r="W3045" s="11">
        <v>-0.98787265963504289</v>
      </c>
      <c r="X3045" s="11">
        <v>0.15526624985999563</v>
      </c>
      <c r="Y3045">
        <v>1</v>
      </c>
      <c r="Z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6">
        <v>45941</v>
      </c>
      <c r="B3046" t="s">
        <v>41</v>
      </c>
      <c r="C3046" t="s">
        <v>42</v>
      </c>
      <c r="D3046" t="s">
        <v>43</v>
      </c>
      <c r="E3046" t="s">
        <v>44</v>
      </c>
      <c r="F3046">
        <v>85</v>
      </c>
      <c r="G3046">
        <v>210</v>
      </c>
      <c r="H3046">
        <v>138</v>
      </c>
      <c r="I3046">
        <v>63</v>
      </c>
      <c r="J3046" s="8">
        <v>0.74117647058823533</v>
      </c>
      <c r="K3046">
        <v>35</v>
      </c>
      <c r="L3046">
        <v>33</v>
      </c>
      <c r="M3046">
        <v>119</v>
      </c>
      <c r="N3046" s="10">
        <v>588.55999999999995</v>
      </c>
      <c r="O3046" s="7">
        <v>0</v>
      </c>
      <c r="P3046" s="7">
        <v>28.9</v>
      </c>
      <c r="Q3046">
        <v>5</v>
      </c>
      <c r="R3046" t="s">
        <v>67</v>
      </c>
      <c r="S3046">
        <v>10</v>
      </c>
      <c r="T3046">
        <v>284</v>
      </c>
      <c r="U3046" s="11">
        <v>-0.97492791218182362</v>
      </c>
      <c r="V3046" s="11">
        <v>-0.22252093395631459</v>
      </c>
      <c r="W3046" s="11">
        <v>-0.98787265963504289</v>
      </c>
      <c r="X3046" s="11">
        <v>0.15526624985999563</v>
      </c>
      <c r="Y3046">
        <v>1</v>
      </c>
      <c r="Z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6">
        <v>45942</v>
      </c>
      <c r="B3047" t="s">
        <v>31</v>
      </c>
      <c r="C3047" t="s">
        <v>32</v>
      </c>
      <c r="D3047" t="s">
        <v>33</v>
      </c>
      <c r="E3047" t="s">
        <v>34</v>
      </c>
      <c r="F3047">
        <v>140</v>
      </c>
      <c r="G3047">
        <v>360</v>
      </c>
      <c r="H3047">
        <v>219</v>
      </c>
      <c r="I3047">
        <v>95</v>
      </c>
      <c r="J3047" s="8">
        <v>0.6785714285714286</v>
      </c>
      <c r="K3047">
        <v>64</v>
      </c>
      <c r="L3047">
        <v>48</v>
      </c>
      <c r="M3047">
        <v>195</v>
      </c>
      <c r="N3047" s="10">
        <v>436.5</v>
      </c>
      <c r="O3047" s="7">
        <v>0.4</v>
      </c>
      <c r="P3047" s="7">
        <v>28.2</v>
      </c>
      <c r="Q3047">
        <v>6</v>
      </c>
      <c r="R3047" t="s">
        <v>60</v>
      </c>
      <c r="S3047">
        <v>10</v>
      </c>
      <c r="T3047">
        <v>285</v>
      </c>
      <c r="U3047" s="11">
        <v>-0.78183148246802991</v>
      </c>
      <c r="V3047" s="11">
        <v>0.62348980185873337</v>
      </c>
      <c r="W3047" s="11">
        <v>-0.98505567182150133</v>
      </c>
      <c r="X3047" s="11">
        <v>0.17223624302768201</v>
      </c>
      <c r="Y3047">
        <v>1</v>
      </c>
      <c r="Z3047">
        <v>1</v>
      </c>
      <c r="AA3047" t="s">
        <v>73</v>
      </c>
      <c r="AB3047">
        <v>0</v>
      </c>
      <c r="AC3047">
        <v>0</v>
      </c>
      <c r="AD3047">
        <v>0</v>
      </c>
      <c r="AE3047">
        <v>0</v>
      </c>
    </row>
    <row r="3048" spans="1:31">
      <c r="A3048" s="6">
        <v>45942</v>
      </c>
      <c r="B3048" t="s">
        <v>36</v>
      </c>
      <c r="C3048" t="s">
        <v>37</v>
      </c>
      <c r="D3048" t="s">
        <v>38</v>
      </c>
      <c r="E3048" t="s">
        <v>39</v>
      </c>
      <c r="F3048">
        <v>125</v>
      </c>
      <c r="G3048">
        <v>320</v>
      </c>
      <c r="H3048">
        <v>198</v>
      </c>
      <c r="I3048">
        <v>84</v>
      </c>
      <c r="J3048" s="8">
        <v>0.67200000000000004</v>
      </c>
      <c r="K3048">
        <v>37</v>
      </c>
      <c r="L3048">
        <v>21</v>
      </c>
      <c r="M3048">
        <v>168</v>
      </c>
      <c r="N3048" s="10">
        <v>665.36</v>
      </c>
      <c r="O3048" s="7">
        <v>0.4</v>
      </c>
      <c r="P3048" s="7">
        <v>28.2</v>
      </c>
      <c r="Q3048">
        <v>6</v>
      </c>
      <c r="R3048" t="s">
        <v>60</v>
      </c>
      <c r="S3048">
        <v>10</v>
      </c>
      <c r="T3048">
        <v>285</v>
      </c>
      <c r="U3048" s="11">
        <v>-0.78183148246802991</v>
      </c>
      <c r="V3048" s="11">
        <v>0.62348980185873337</v>
      </c>
      <c r="W3048" s="11">
        <v>-0.98505567182150133</v>
      </c>
      <c r="X3048" s="11">
        <v>0.17223624302768201</v>
      </c>
      <c r="Y3048">
        <v>1</v>
      </c>
      <c r="Z3048">
        <v>1</v>
      </c>
      <c r="AA3048" t="s">
        <v>73</v>
      </c>
      <c r="AB3048">
        <v>0</v>
      </c>
      <c r="AC3048">
        <v>0</v>
      </c>
      <c r="AD3048">
        <v>0</v>
      </c>
      <c r="AE3048">
        <v>0</v>
      </c>
    </row>
    <row r="3049" spans="1:31">
      <c r="A3049" s="6">
        <v>45942</v>
      </c>
      <c r="B3049" t="s">
        <v>41</v>
      </c>
      <c r="C3049" t="s">
        <v>42</v>
      </c>
      <c r="D3049" t="s">
        <v>43</v>
      </c>
      <c r="E3049" t="s">
        <v>44</v>
      </c>
      <c r="F3049">
        <v>85</v>
      </c>
      <c r="G3049">
        <v>210</v>
      </c>
      <c r="H3049">
        <v>158</v>
      </c>
      <c r="I3049">
        <v>69</v>
      </c>
      <c r="J3049" s="8">
        <v>0.81176470588235294</v>
      </c>
      <c r="K3049">
        <v>23</v>
      </c>
      <c r="L3049">
        <v>45</v>
      </c>
      <c r="M3049">
        <v>127</v>
      </c>
      <c r="N3049" s="10">
        <v>603.02</v>
      </c>
      <c r="O3049" s="7">
        <v>0.4</v>
      </c>
      <c r="P3049" s="7">
        <v>28.2</v>
      </c>
      <c r="Q3049">
        <v>6</v>
      </c>
      <c r="R3049" t="s">
        <v>60</v>
      </c>
      <c r="S3049">
        <v>10</v>
      </c>
      <c r="T3049">
        <v>285</v>
      </c>
      <c r="U3049" s="11">
        <v>-0.78183148246802991</v>
      </c>
      <c r="V3049" s="11">
        <v>0.62348980185873337</v>
      </c>
      <c r="W3049" s="11">
        <v>-0.98505567182150133</v>
      </c>
      <c r="X3049" s="11">
        <v>0.17223624302768201</v>
      </c>
      <c r="Y3049">
        <v>1</v>
      </c>
      <c r="Z3049">
        <v>1</v>
      </c>
      <c r="AA3049" t="s">
        <v>73</v>
      </c>
      <c r="AB3049">
        <v>0</v>
      </c>
      <c r="AC3049">
        <v>0</v>
      </c>
      <c r="AD3049">
        <v>0</v>
      </c>
      <c r="AE3049">
        <v>0</v>
      </c>
    </row>
    <row r="3050" spans="1:31">
      <c r="A3050" s="6">
        <v>45943</v>
      </c>
      <c r="B3050" t="s">
        <v>31</v>
      </c>
      <c r="C3050" t="s">
        <v>32</v>
      </c>
      <c r="D3050" t="s">
        <v>33</v>
      </c>
      <c r="E3050" t="s">
        <v>34</v>
      </c>
      <c r="F3050">
        <v>140</v>
      </c>
      <c r="G3050">
        <v>360</v>
      </c>
      <c r="H3050">
        <v>192</v>
      </c>
      <c r="I3050">
        <v>84</v>
      </c>
      <c r="J3050" s="8">
        <v>0.6</v>
      </c>
      <c r="K3050">
        <v>32</v>
      </c>
      <c r="L3050">
        <v>18</v>
      </c>
      <c r="M3050">
        <v>171</v>
      </c>
      <c r="N3050" s="10">
        <v>433.68</v>
      </c>
      <c r="O3050" s="7">
        <v>0</v>
      </c>
      <c r="P3050" s="7">
        <v>30</v>
      </c>
      <c r="Q3050">
        <v>0</v>
      </c>
      <c r="R3050" t="s">
        <v>62</v>
      </c>
      <c r="S3050">
        <v>10</v>
      </c>
      <c r="T3050">
        <v>286</v>
      </c>
      <c r="U3050" s="11">
        <v>0</v>
      </c>
      <c r="V3050" s="11">
        <v>1</v>
      </c>
      <c r="W3050" s="11">
        <v>-0.981947190186646</v>
      </c>
      <c r="X3050" s="11">
        <v>0.18915526872004093</v>
      </c>
      <c r="Y3050">
        <v>0</v>
      </c>
      <c r="Z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6">
        <v>45943</v>
      </c>
      <c r="B3051" t="s">
        <v>36</v>
      </c>
      <c r="C3051" t="s">
        <v>37</v>
      </c>
      <c r="D3051" t="s">
        <v>38</v>
      </c>
      <c r="E3051" t="s">
        <v>39</v>
      </c>
      <c r="F3051">
        <v>125</v>
      </c>
      <c r="G3051">
        <v>320</v>
      </c>
      <c r="H3051">
        <v>184</v>
      </c>
      <c r="I3051">
        <v>76</v>
      </c>
      <c r="J3051" s="8">
        <v>0.60799999999999998</v>
      </c>
      <c r="K3051">
        <v>23</v>
      </c>
      <c r="L3051">
        <v>33</v>
      </c>
      <c r="M3051">
        <v>163</v>
      </c>
      <c r="N3051" s="10">
        <v>571.82000000000005</v>
      </c>
      <c r="O3051" s="7">
        <v>0</v>
      </c>
      <c r="P3051" s="7">
        <v>30</v>
      </c>
      <c r="Q3051">
        <v>0</v>
      </c>
      <c r="R3051" t="s">
        <v>62</v>
      </c>
      <c r="S3051">
        <v>10</v>
      </c>
      <c r="T3051">
        <v>286</v>
      </c>
      <c r="U3051" s="11">
        <v>0</v>
      </c>
      <c r="V3051" s="11">
        <v>1</v>
      </c>
      <c r="W3051" s="11">
        <v>-0.981947190186646</v>
      </c>
      <c r="X3051" s="11">
        <v>0.18915526872004093</v>
      </c>
      <c r="Y3051">
        <v>0</v>
      </c>
      <c r="Z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6">
        <v>45943</v>
      </c>
      <c r="B3052" t="s">
        <v>41</v>
      </c>
      <c r="C3052" t="s">
        <v>42</v>
      </c>
      <c r="D3052" t="s">
        <v>43</v>
      </c>
      <c r="E3052" t="s">
        <v>44</v>
      </c>
      <c r="F3052">
        <v>85</v>
      </c>
      <c r="G3052">
        <v>210</v>
      </c>
      <c r="H3052">
        <v>118</v>
      </c>
      <c r="I3052">
        <v>51</v>
      </c>
      <c r="J3052" s="8">
        <v>0.6</v>
      </c>
      <c r="K3052">
        <v>30</v>
      </c>
      <c r="L3052">
        <v>24</v>
      </c>
      <c r="M3052">
        <v>103</v>
      </c>
      <c r="N3052" s="10">
        <v>534.71</v>
      </c>
      <c r="O3052" s="7">
        <v>0</v>
      </c>
      <c r="P3052" s="7">
        <v>30</v>
      </c>
      <c r="Q3052">
        <v>0</v>
      </c>
      <c r="R3052" t="s">
        <v>62</v>
      </c>
      <c r="S3052">
        <v>10</v>
      </c>
      <c r="T3052">
        <v>286</v>
      </c>
      <c r="U3052" s="11">
        <v>0</v>
      </c>
      <c r="V3052" s="11">
        <v>1</v>
      </c>
      <c r="W3052" s="11">
        <v>-0.981947190186646</v>
      </c>
      <c r="X3052" s="11">
        <v>0.18915526872004093</v>
      </c>
      <c r="Y3052">
        <v>0</v>
      </c>
      <c r="Z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6">
        <v>45944</v>
      </c>
      <c r="B3053" t="s">
        <v>31</v>
      </c>
      <c r="C3053" t="s">
        <v>32</v>
      </c>
      <c r="D3053" t="s">
        <v>33</v>
      </c>
      <c r="E3053" t="s">
        <v>34</v>
      </c>
      <c r="F3053">
        <v>140</v>
      </c>
      <c r="G3053">
        <v>360</v>
      </c>
      <c r="H3053">
        <v>164</v>
      </c>
      <c r="I3053">
        <v>73</v>
      </c>
      <c r="J3053" s="8">
        <v>0.52142857142857146</v>
      </c>
      <c r="K3053">
        <v>43</v>
      </c>
      <c r="L3053">
        <v>36</v>
      </c>
      <c r="M3053">
        <v>149</v>
      </c>
      <c r="N3053" s="10">
        <v>441</v>
      </c>
      <c r="O3053" s="7">
        <v>3.1</v>
      </c>
      <c r="P3053" s="7">
        <v>30.6</v>
      </c>
      <c r="Q3053">
        <v>1</v>
      </c>
      <c r="R3053" t="s">
        <v>63</v>
      </c>
      <c r="S3053">
        <v>10</v>
      </c>
      <c r="T3053">
        <v>287</v>
      </c>
      <c r="U3053" s="11">
        <v>0.7818314824680298</v>
      </c>
      <c r="V3053" s="11">
        <v>0.62348980185873359</v>
      </c>
      <c r="W3053" s="11">
        <v>-0.97854813458020307</v>
      </c>
      <c r="X3053" s="11">
        <v>0.20601832032517084</v>
      </c>
      <c r="Y3053">
        <v>0</v>
      </c>
      <c r="Z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6">
        <v>45944</v>
      </c>
      <c r="B3054" t="s">
        <v>36</v>
      </c>
      <c r="C3054" t="s">
        <v>37</v>
      </c>
      <c r="D3054" t="s">
        <v>38</v>
      </c>
      <c r="E3054" t="s">
        <v>39</v>
      </c>
      <c r="F3054">
        <v>125</v>
      </c>
      <c r="G3054">
        <v>320</v>
      </c>
      <c r="H3054">
        <v>152</v>
      </c>
      <c r="I3054">
        <v>62</v>
      </c>
      <c r="J3054" s="8">
        <v>0.496</v>
      </c>
      <c r="K3054">
        <v>31</v>
      </c>
      <c r="L3054">
        <v>25</v>
      </c>
      <c r="M3054">
        <v>131</v>
      </c>
      <c r="N3054" s="10">
        <v>674.28</v>
      </c>
      <c r="O3054" s="7">
        <v>3.1</v>
      </c>
      <c r="P3054" s="7">
        <v>30.6</v>
      </c>
      <c r="Q3054">
        <v>1</v>
      </c>
      <c r="R3054" t="s">
        <v>63</v>
      </c>
      <c r="S3054">
        <v>10</v>
      </c>
      <c r="T3054">
        <v>287</v>
      </c>
      <c r="U3054" s="11">
        <v>0.7818314824680298</v>
      </c>
      <c r="V3054" s="11">
        <v>0.62348980185873359</v>
      </c>
      <c r="W3054" s="11">
        <v>-0.97854813458020307</v>
      </c>
      <c r="X3054" s="11">
        <v>0.20601832032517084</v>
      </c>
      <c r="Y3054">
        <v>0</v>
      </c>
      <c r="Z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6">
        <v>45944</v>
      </c>
      <c r="B3055" t="s">
        <v>41</v>
      </c>
      <c r="C3055" t="s">
        <v>42</v>
      </c>
      <c r="D3055" t="s">
        <v>43</v>
      </c>
      <c r="E3055" t="s">
        <v>44</v>
      </c>
      <c r="F3055">
        <v>85</v>
      </c>
      <c r="G3055">
        <v>210</v>
      </c>
      <c r="H3055">
        <v>112</v>
      </c>
      <c r="I3055">
        <v>52</v>
      </c>
      <c r="J3055" s="8">
        <v>0.61176470588235299</v>
      </c>
      <c r="K3055">
        <v>20</v>
      </c>
      <c r="L3055">
        <v>22</v>
      </c>
      <c r="M3055">
        <v>105</v>
      </c>
      <c r="N3055" s="10">
        <v>575.46</v>
      </c>
      <c r="O3055" s="7">
        <v>3.1</v>
      </c>
      <c r="P3055" s="7">
        <v>30.6</v>
      </c>
      <c r="Q3055">
        <v>1</v>
      </c>
      <c r="R3055" t="s">
        <v>63</v>
      </c>
      <c r="S3055">
        <v>10</v>
      </c>
      <c r="T3055">
        <v>287</v>
      </c>
      <c r="U3055" s="11">
        <v>0.7818314824680298</v>
      </c>
      <c r="V3055" s="11">
        <v>0.62348980185873359</v>
      </c>
      <c r="W3055" s="11">
        <v>-0.97854813458020307</v>
      </c>
      <c r="X3055" s="11">
        <v>0.20601832032517084</v>
      </c>
      <c r="Y3055">
        <v>0</v>
      </c>
      <c r="Z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6">
        <v>45945</v>
      </c>
      <c r="B3056" t="s">
        <v>31</v>
      </c>
      <c r="C3056" t="s">
        <v>32</v>
      </c>
      <c r="D3056" t="s">
        <v>33</v>
      </c>
      <c r="E3056" t="s">
        <v>34</v>
      </c>
      <c r="F3056">
        <v>140</v>
      </c>
      <c r="G3056">
        <v>360</v>
      </c>
      <c r="H3056">
        <v>186</v>
      </c>
      <c r="I3056">
        <v>78</v>
      </c>
      <c r="J3056" s="8">
        <v>0.55714285714285716</v>
      </c>
      <c r="K3056">
        <v>39</v>
      </c>
      <c r="L3056">
        <v>49</v>
      </c>
      <c r="M3056">
        <v>165</v>
      </c>
      <c r="N3056" s="10">
        <v>411.15</v>
      </c>
      <c r="O3056" s="7">
        <v>1.9</v>
      </c>
      <c r="P3056" s="7">
        <v>28.3</v>
      </c>
      <c r="Q3056">
        <v>2</v>
      </c>
      <c r="R3056" t="s">
        <v>64</v>
      </c>
      <c r="S3056">
        <v>10</v>
      </c>
      <c r="T3056">
        <v>288</v>
      </c>
      <c r="U3056" s="11">
        <v>0.97492791218182362</v>
      </c>
      <c r="V3056" s="11">
        <v>-0.22252093395631434</v>
      </c>
      <c r="W3056" s="11">
        <v>-0.97485951083741251</v>
      </c>
      <c r="X3056" s="11">
        <v>0.22282040779479959</v>
      </c>
      <c r="Y3056">
        <v>0</v>
      </c>
      <c r="Z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6">
        <v>45945</v>
      </c>
      <c r="B3057" t="s">
        <v>36</v>
      </c>
      <c r="C3057" t="s">
        <v>37</v>
      </c>
      <c r="D3057" t="s">
        <v>38</v>
      </c>
      <c r="E3057" t="s">
        <v>39</v>
      </c>
      <c r="F3057">
        <v>125</v>
      </c>
      <c r="G3057">
        <v>320</v>
      </c>
      <c r="H3057">
        <v>161</v>
      </c>
      <c r="I3057">
        <v>66</v>
      </c>
      <c r="J3057" s="8">
        <v>0.52800000000000002</v>
      </c>
      <c r="K3057">
        <v>41</v>
      </c>
      <c r="L3057">
        <v>32</v>
      </c>
      <c r="M3057">
        <v>133</v>
      </c>
      <c r="N3057" s="10">
        <v>612.22</v>
      </c>
      <c r="O3057" s="7">
        <v>1.9</v>
      </c>
      <c r="P3057" s="7">
        <v>28.3</v>
      </c>
      <c r="Q3057">
        <v>2</v>
      </c>
      <c r="R3057" t="s">
        <v>64</v>
      </c>
      <c r="S3057">
        <v>10</v>
      </c>
      <c r="T3057">
        <v>288</v>
      </c>
      <c r="U3057" s="11">
        <v>0.97492791218182362</v>
      </c>
      <c r="V3057" s="11">
        <v>-0.22252093395631434</v>
      </c>
      <c r="W3057" s="11">
        <v>-0.97485951083741251</v>
      </c>
      <c r="X3057" s="11">
        <v>0.22282040779479959</v>
      </c>
      <c r="Y3057">
        <v>0</v>
      </c>
      <c r="Z3057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s="6">
        <v>45945</v>
      </c>
      <c r="B3058" t="s">
        <v>41</v>
      </c>
      <c r="C3058" t="s">
        <v>42</v>
      </c>
      <c r="D3058" t="s">
        <v>43</v>
      </c>
      <c r="E3058" t="s">
        <v>44</v>
      </c>
      <c r="F3058">
        <v>85</v>
      </c>
      <c r="G3058">
        <v>210</v>
      </c>
      <c r="H3058">
        <v>124</v>
      </c>
      <c r="I3058">
        <v>57</v>
      </c>
      <c r="J3058" s="8">
        <v>0.6705882352941176</v>
      </c>
      <c r="K3058">
        <v>22</v>
      </c>
      <c r="L3058">
        <v>25</v>
      </c>
      <c r="M3058">
        <v>107</v>
      </c>
      <c r="N3058" s="10">
        <v>519.24</v>
      </c>
      <c r="O3058" s="7">
        <v>1.9</v>
      </c>
      <c r="P3058" s="7">
        <v>28.3</v>
      </c>
      <c r="Q3058">
        <v>2</v>
      </c>
      <c r="R3058" t="s">
        <v>64</v>
      </c>
      <c r="S3058">
        <v>10</v>
      </c>
      <c r="T3058">
        <v>288</v>
      </c>
      <c r="U3058" s="11">
        <v>0.97492791218182362</v>
      </c>
      <c r="V3058" s="11">
        <v>-0.22252093395631434</v>
      </c>
      <c r="W3058" s="11">
        <v>-0.97485951083741251</v>
      </c>
      <c r="X3058" s="11">
        <v>0.22282040779479959</v>
      </c>
      <c r="Y3058">
        <v>0</v>
      </c>
      <c r="Z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s="6">
        <v>45946</v>
      </c>
      <c r="B3059" t="s">
        <v>31</v>
      </c>
      <c r="C3059" t="s">
        <v>32</v>
      </c>
      <c r="D3059" t="s">
        <v>33</v>
      </c>
      <c r="E3059" t="s">
        <v>34</v>
      </c>
      <c r="F3059">
        <v>140</v>
      </c>
      <c r="G3059">
        <v>360</v>
      </c>
      <c r="H3059">
        <v>193</v>
      </c>
      <c r="I3059">
        <v>81</v>
      </c>
      <c r="J3059" s="8">
        <v>0.57857142857142863</v>
      </c>
      <c r="K3059">
        <v>42</v>
      </c>
      <c r="L3059">
        <v>27</v>
      </c>
      <c r="M3059">
        <v>178</v>
      </c>
      <c r="N3059" s="10">
        <v>411.78</v>
      </c>
      <c r="O3059" s="7">
        <v>3.8</v>
      </c>
      <c r="P3059" s="7">
        <v>30.4</v>
      </c>
      <c r="Q3059">
        <v>3</v>
      </c>
      <c r="R3059" t="s">
        <v>65</v>
      </c>
      <c r="S3059">
        <v>10</v>
      </c>
      <c r="T3059">
        <v>289</v>
      </c>
      <c r="U3059" s="11">
        <v>0.43388373911755823</v>
      </c>
      <c r="V3059" s="11">
        <v>-0.90096886790241903</v>
      </c>
      <c r="W3059" s="11">
        <v>-0.97088241048138357</v>
      </c>
      <c r="X3059" s="11">
        <v>0.23955655912092708</v>
      </c>
      <c r="Y3059">
        <v>0</v>
      </c>
      <c r="Z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6">
        <v>45946</v>
      </c>
      <c r="B3060" t="s">
        <v>36</v>
      </c>
      <c r="C3060" t="s">
        <v>37</v>
      </c>
      <c r="D3060" t="s">
        <v>38</v>
      </c>
      <c r="E3060" t="s">
        <v>39</v>
      </c>
      <c r="F3060">
        <v>125</v>
      </c>
      <c r="G3060">
        <v>320</v>
      </c>
      <c r="H3060">
        <v>177</v>
      </c>
      <c r="I3060">
        <v>71</v>
      </c>
      <c r="J3060" s="8">
        <v>0.56799999999999995</v>
      </c>
      <c r="K3060">
        <v>40</v>
      </c>
      <c r="L3060">
        <v>42</v>
      </c>
      <c r="M3060">
        <v>152</v>
      </c>
      <c r="N3060" s="10">
        <v>564.77</v>
      </c>
      <c r="O3060" s="7">
        <v>3.8</v>
      </c>
      <c r="P3060" s="7">
        <v>30.4</v>
      </c>
      <c r="Q3060">
        <v>3</v>
      </c>
      <c r="R3060" t="s">
        <v>65</v>
      </c>
      <c r="S3060">
        <v>10</v>
      </c>
      <c r="T3060">
        <v>289</v>
      </c>
      <c r="U3060" s="11">
        <v>0.43388373911755823</v>
      </c>
      <c r="V3060" s="11">
        <v>-0.90096886790241903</v>
      </c>
      <c r="W3060" s="11">
        <v>-0.97088241048138357</v>
      </c>
      <c r="X3060" s="11">
        <v>0.23955655912092708</v>
      </c>
      <c r="Y3060">
        <v>0</v>
      </c>
      <c r="Z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6">
        <v>45946</v>
      </c>
      <c r="B3061" t="s">
        <v>41</v>
      </c>
      <c r="C3061" t="s">
        <v>42</v>
      </c>
      <c r="D3061" t="s">
        <v>43</v>
      </c>
      <c r="E3061" t="s">
        <v>44</v>
      </c>
      <c r="F3061">
        <v>85</v>
      </c>
      <c r="G3061">
        <v>210</v>
      </c>
      <c r="H3061">
        <v>118</v>
      </c>
      <c r="I3061">
        <v>51</v>
      </c>
      <c r="J3061" s="8">
        <v>0.6</v>
      </c>
      <c r="K3061">
        <v>35</v>
      </c>
      <c r="L3061">
        <v>23</v>
      </c>
      <c r="M3061">
        <v>105</v>
      </c>
      <c r="N3061" s="10">
        <v>553.04999999999995</v>
      </c>
      <c r="O3061" s="7">
        <v>3.8</v>
      </c>
      <c r="P3061" s="7">
        <v>30.4</v>
      </c>
      <c r="Q3061">
        <v>3</v>
      </c>
      <c r="R3061" t="s">
        <v>65</v>
      </c>
      <c r="S3061">
        <v>10</v>
      </c>
      <c r="T3061">
        <v>289</v>
      </c>
      <c r="U3061" s="11">
        <v>0.43388373911755823</v>
      </c>
      <c r="V3061" s="11">
        <v>-0.90096886790241903</v>
      </c>
      <c r="W3061" s="11">
        <v>-0.97088241048138357</v>
      </c>
      <c r="X3061" s="11">
        <v>0.23955655912092708</v>
      </c>
      <c r="Y3061">
        <v>0</v>
      </c>
      <c r="Z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6">
        <v>45947</v>
      </c>
      <c r="B3062" t="s">
        <v>31</v>
      </c>
      <c r="C3062" t="s">
        <v>32</v>
      </c>
      <c r="D3062" t="s">
        <v>33</v>
      </c>
      <c r="E3062" t="s">
        <v>34</v>
      </c>
      <c r="F3062">
        <v>140</v>
      </c>
      <c r="G3062">
        <v>360</v>
      </c>
      <c r="H3062">
        <v>178</v>
      </c>
      <c r="I3062">
        <v>76</v>
      </c>
      <c r="J3062" s="8">
        <v>0.54285714285714282</v>
      </c>
      <c r="K3062">
        <v>42</v>
      </c>
      <c r="L3062">
        <v>27</v>
      </c>
      <c r="M3062">
        <v>151</v>
      </c>
      <c r="N3062" s="10">
        <v>447.58</v>
      </c>
      <c r="O3062" s="7">
        <v>0.5</v>
      </c>
      <c r="P3062" s="7">
        <v>30.1</v>
      </c>
      <c r="Q3062">
        <v>4</v>
      </c>
      <c r="R3062" t="s">
        <v>66</v>
      </c>
      <c r="S3062">
        <v>10</v>
      </c>
      <c r="T3062">
        <v>290</v>
      </c>
      <c r="U3062" s="11">
        <v>-0.43388373911755801</v>
      </c>
      <c r="V3062" s="11">
        <v>-0.90096886790241915</v>
      </c>
      <c r="W3062" s="11">
        <v>-0.96661801040009721</v>
      </c>
      <c r="X3062" s="11">
        <v>0.25622182180711628</v>
      </c>
      <c r="Y3062">
        <v>0</v>
      </c>
      <c r="Z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6">
        <v>45947</v>
      </c>
      <c r="B3063" t="s">
        <v>36</v>
      </c>
      <c r="C3063" t="s">
        <v>37</v>
      </c>
      <c r="D3063" t="s">
        <v>38</v>
      </c>
      <c r="E3063" t="s">
        <v>39</v>
      </c>
      <c r="F3063">
        <v>125</v>
      </c>
      <c r="G3063">
        <v>320</v>
      </c>
      <c r="H3063">
        <v>160</v>
      </c>
      <c r="I3063">
        <v>65</v>
      </c>
      <c r="J3063" s="8">
        <v>0.52</v>
      </c>
      <c r="K3063">
        <v>30</v>
      </c>
      <c r="L3063">
        <v>30</v>
      </c>
      <c r="M3063">
        <v>140</v>
      </c>
      <c r="N3063" s="10">
        <v>598.9</v>
      </c>
      <c r="O3063" s="7">
        <v>0.5</v>
      </c>
      <c r="P3063" s="7">
        <v>30.1</v>
      </c>
      <c r="Q3063">
        <v>4</v>
      </c>
      <c r="R3063" t="s">
        <v>66</v>
      </c>
      <c r="S3063">
        <v>10</v>
      </c>
      <c r="T3063">
        <v>290</v>
      </c>
      <c r="U3063" s="11">
        <v>-0.43388373911755801</v>
      </c>
      <c r="V3063" s="11">
        <v>-0.90096886790241915</v>
      </c>
      <c r="W3063" s="11">
        <v>-0.96661801040009721</v>
      </c>
      <c r="X3063" s="11">
        <v>0.25622182180711628</v>
      </c>
      <c r="Y3063">
        <v>0</v>
      </c>
      <c r="Z3063">
        <v>0</v>
      </c>
      <c r="AB3063">
        <v>0</v>
      </c>
      <c r="AC3063">
        <v>0</v>
      </c>
      <c r="AD3063">
        <v>0</v>
      </c>
      <c r="AE3063">
        <v>0</v>
      </c>
    </row>
    <row r="3064" spans="1:31">
      <c r="A3064" s="6">
        <v>45947</v>
      </c>
      <c r="B3064" t="s">
        <v>41</v>
      </c>
      <c r="C3064" t="s">
        <v>42</v>
      </c>
      <c r="D3064" t="s">
        <v>43</v>
      </c>
      <c r="E3064" t="s">
        <v>44</v>
      </c>
      <c r="F3064">
        <v>85</v>
      </c>
      <c r="G3064">
        <v>210</v>
      </c>
      <c r="H3064">
        <v>117</v>
      </c>
      <c r="I3064">
        <v>51</v>
      </c>
      <c r="J3064" s="8">
        <v>0.6</v>
      </c>
      <c r="K3064">
        <v>23</v>
      </c>
      <c r="L3064">
        <v>33</v>
      </c>
      <c r="M3064">
        <v>101</v>
      </c>
      <c r="N3064" s="10">
        <v>528.01</v>
      </c>
      <c r="O3064" s="7">
        <v>0.5</v>
      </c>
      <c r="P3064" s="7">
        <v>30.1</v>
      </c>
      <c r="Q3064">
        <v>4</v>
      </c>
      <c r="R3064" t="s">
        <v>66</v>
      </c>
      <c r="S3064">
        <v>10</v>
      </c>
      <c r="T3064">
        <v>290</v>
      </c>
      <c r="U3064" s="11">
        <v>-0.43388373911755801</v>
      </c>
      <c r="V3064" s="11">
        <v>-0.90096886790241915</v>
      </c>
      <c r="W3064" s="11">
        <v>-0.96661801040009721</v>
      </c>
      <c r="X3064" s="11">
        <v>0.25622182180711628</v>
      </c>
      <c r="Y3064">
        <v>0</v>
      </c>
      <c r="Z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6">
        <v>45948</v>
      </c>
      <c r="B3065" t="s">
        <v>31</v>
      </c>
      <c r="C3065" t="s">
        <v>32</v>
      </c>
      <c r="D3065" t="s">
        <v>33</v>
      </c>
      <c r="E3065" t="s">
        <v>34</v>
      </c>
      <c r="F3065">
        <v>140</v>
      </c>
      <c r="G3065">
        <v>360</v>
      </c>
      <c r="H3065">
        <v>203</v>
      </c>
      <c r="I3065">
        <v>88</v>
      </c>
      <c r="J3065" s="8">
        <v>0.62857142857142856</v>
      </c>
      <c r="K3065">
        <v>31</v>
      </c>
      <c r="L3065">
        <v>32</v>
      </c>
      <c r="M3065">
        <v>171</v>
      </c>
      <c r="N3065" s="10">
        <v>453.05</v>
      </c>
      <c r="O3065" s="7">
        <v>0.1</v>
      </c>
      <c r="P3065" s="7">
        <v>29.4</v>
      </c>
      <c r="Q3065">
        <v>5</v>
      </c>
      <c r="R3065" t="s">
        <v>67</v>
      </c>
      <c r="S3065">
        <v>10</v>
      </c>
      <c r="T3065">
        <v>291</v>
      </c>
      <c r="U3065" s="11">
        <v>-0.97492791218182362</v>
      </c>
      <c r="V3065" s="11">
        <v>-0.22252093395631459</v>
      </c>
      <c r="W3065" s="11">
        <v>-0.96206757249814523</v>
      </c>
      <c r="X3065" s="11">
        <v>0.27281126433401914</v>
      </c>
      <c r="Y3065">
        <v>1</v>
      </c>
      <c r="Z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6">
        <v>45948</v>
      </c>
      <c r="B3066" t="s">
        <v>36</v>
      </c>
      <c r="C3066" t="s">
        <v>37</v>
      </c>
      <c r="D3066" t="s">
        <v>38</v>
      </c>
      <c r="E3066" t="s">
        <v>39</v>
      </c>
      <c r="F3066">
        <v>125</v>
      </c>
      <c r="G3066">
        <v>320</v>
      </c>
      <c r="H3066">
        <v>174</v>
      </c>
      <c r="I3066">
        <v>75</v>
      </c>
      <c r="J3066" s="8">
        <v>0.6</v>
      </c>
      <c r="K3066">
        <v>40</v>
      </c>
      <c r="L3066">
        <v>21</v>
      </c>
      <c r="M3066">
        <v>142</v>
      </c>
      <c r="N3066" s="10">
        <v>745.98</v>
      </c>
      <c r="O3066" s="7">
        <v>0.1</v>
      </c>
      <c r="P3066" s="7">
        <v>29.4</v>
      </c>
      <c r="Q3066">
        <v>5</v>
      </c>
      <c r="R3066" t="s">
        <v>67</v>
      </c>
      <c r="S3066">
        <v>10</v>
      </c>
      <c r="T3066">
        <v>291</v>
      </c>
      <c r="U3066" s="11">
        <v>-0.97492791218182362</v>
      </c>
      <c r="V3066" s="11">
        <v>-0.22252093395631459</v>
      </c>
      <c r="W3066" s="11">
        <v>-0.96206757249814523</v>
      </c>
      <c r="X3066" s="11">
        <v>0.27281126433401914</v>
      </c>
      <c r="Y3066">
        <v>1</v>
      </c>
      <c r="Z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6">
        <v>45948</v>
      </c>
      <c r="B3067" t="s">
        <v>41</v>
      </c>
      <c r="C3067" t="s">
        <v>42</v>
      </c>
      <c r="D3067" t="s">
        <v>43</v>
      </c>
      <c r="E3067" t="s">
        <v>44</v>
      </c>
      <c r="F3067">
        <v>85</v>
      </c>
      <c r="G3067">
        <v>210</v>
      </c>
      <c r="H3067">
        <v>143</v>
      </c>
      <c r="I3067">
        <v>66</v>
      </c>
      <c r="J3067" s="8">
        <v>0.77647058823529413</v>
      </c>
      <c r="K3067">
        <v>35</v>
      </c>
      <c r="L3067">
        <v>30</v>
      </c>
      <c r="M3067">
        <v>128</v>
      </c>
      <c r="N3067" s="10">
        <v>575.57000000000005</v>
      </c>
      <c r="O3067" s="7">
        <v>0.1</v>
      </c>
      <c r="P3067" s="7">
        <v>29.4</v>
      </c>
      <c r="Q3067">
        <v>5</v>
      </c>
      <c r="R3067" t="s">
        <v>67</v>
      </c>
      <c r="S3067">
        <v>10</v>
      </c>
      <c r="T3067">
        <v>291</v>
      </c>
      <c r="U3067" s="11">
        <v>-0.97492791218182362</v>
      </c>
      <c r="V3067" s="11">
        <v>-0.22252093395631459</v>
      </c>
      <c r="W3067" s="11">
        <v>-0.96206757249814523</v>
      </c>
      <c r="X3067" s="11">
        <v>0.27281126433401914</v>
      </c>
      <c r="Y3067">
        <v>1</v>
      </c>
      <c r="Z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6">
        <v>45949</v>
      </c>
      <c r="B3068" t="s">
        <v>31</v>
      </c>
      <c r="C3068" t="s">
        <v>32</v>
      </c>
      <c r="D3068" t="s">
        <v>33</v>
      </c>
      <c r="E3068" t="s">
        <v>34</v>
      </c>
      <c r="F3068">
        <v>140</v>
      </c>
      <c r="G3068">
        <v>360</v>
      </c>
      <c r="H3068">
        <v>212</v>
      </c>
      <c r="I3068">
        <v>90</v>
      </c>
      <c r="J3068" s="8">
        <v>0.6428571428571429</v>
      </c>
      <c r="K3068">
        <v>51</v>
      </c>
      <c r="L3068">
        <v>21</v>
      </c>
      <c r="M3068">
        <v>199</v>
      </c>
      <c r="N3068" s="10">
        <v>510.38</v>
      </c>
      <c r="O3068" s="7">
        <v>3.1</v>
      </c>
      <c r="P3068" s="7">
        <v>30.4</v>
      </c>
      <c r="Q3068">
        <v>6</v>
      </c>
      <c r="R3068" t="s">
        <v>60</v>
      </c>
      <c r="S3068">
        <v>10</v>
      </c>
      <c r="T3068">
        <v>292</v>
      </c>
      <c r="U3068" s="11">
        <v>-0.78183148246802991</v>
      </c>
      <c r="V3068" s="11">
        <v>0.62348980185873337</v>
      </c>
      <c r="W3068" s="11">
        <v>-0.95723244332331203</v>
      </c>
      <c r="X3068" s="11">
        <v>0.28931997761869527</v>
      </c>
      <c r="Y3068">
        <v>1</v>
      </c>
      <c r="Z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6">
        <v>45949</v>
      </c>
      <c r="B3069" t="s">
        <v>36</v>
      </c>
      <c r="C3069" t="s">
        <v>37</v>
      </c>
      <c r="D3069" t="s">
        <v>38</v>
      </c>
      <c r="E3069" t="s">
        <v>39</v>
      </c>
      <c r="F3069">
        <v>125</v>
      </c>
      <c r="G3069">
        <v>320</v>
      </c>
      <c r="H3069">
        <v>208</v>
      </c>
      <c r="I3069">
        <v>90</v>
      </c>
      <c r="J3069" s="8">
        <v>0.72</v>
      </c>
      <c r="K3069">
        <v>50</v>
      </c>
      <c r="L3069">
        <v>38</v>
      </c>
      <c r="M3069">
        <v>181</v>
      </c>
      <c r="N3069" s="10">
        <v>751.27</v>
      </c>
      <c r="O3069" s="7">
        <v>3.1</v>
      </c>
      <c r="P3069" s="7">
        <v>30.4</v>
      </c>
      <c r="Q3069">
        <v>6</v>
      </c>
      <c r="R3069" t="s">
        <v>60</v>
      </c>
      <c r="S3069">
        <v>10</v>
      </c>
      <c r="T3069">
        <v>292</v>
      </c>
      <c r="U3069" s="11">
        <v>-0.78183148246802991</v>
      </c>
      <c r="V3069" s="11">
        <v>0.62348980185873337</v>
      </c>
      <c r="W3069" s="11">
        <v>-0.95723244332331203</v>
      </c>
      <c r="X3069" s="11">
        <v>0.28931997761869527</v>
      </c>
      <c r="Y3069">
        <v>1</v>
      </c>
      <c r="Z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6">
        <v>45949</v>
      </c>
      <c r="B3070" t="s">
        <v>41</v>
      </c>
      <c r="C3070" t="s">
        <v>42</v>
      </c>
      <c r="D3070" t="s">
        <v>43</v>
      </c>
      <c r="E3070" t="s">
        <v>44</v>
      </c>
      <c r="F3070">
        <v>85</v>
      </c>
      <c r="G3070">
        <v>210</v>
      </c>
      <c r="H3070">
        <v>146</v>
      </c>
      <c r="I3070">
        <v>65</v>
      </c>
      <c r="J3070" s="8">
        <v>0.76470588235294112</v>
      </c>
      <c r="K3070">
        <v>24</v>
      </c>
      <c r="L3070">
        <v>29</v>
      </c>
      <c r="M3070">
        <v>127</v>
      </c>
      <c r="N3070" s="10">
        <v>642.11</v>
      </c>
      <c r="O3070" s="7">
        <v>3.1</v>
      </c>
      <c r="P3070" s="7">
        <v>30.4</v>
      </c>
      <c r="Q3070">
        <v>6</v>
      </c>
      <c r="R3070" t="s">
        <v>60</v>
      </c>
      <c r="S3070">
        <v>10</v>
      </c>
      <c r="T3070">
        <v>292</v>
      </c>
      <c r="U3070" s="11">
        <v>-0.78183148246802991</v>
      </c>
      <c r="V3070" s="11">
        <v>0.62348980185873337</v>
      </c>
      <c r="W3070" s="11">
        <v>-0.95723244332331203</v>
      </c>
      <c r="X3070" s="11">
        <v>0.28931997761869527</v>
      </c>
      <c r="Y3070">
        <v>1</v>
      </c>
      <c r="Z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6">
        <v>45950</v>
      </c>
      <c r="B3071" t="s">
        <v>31</v>
      </c>
      <c r="C3071" t="s">
        <v>32</v>
      </c>
      <c r="D3071" t="s">
        <v>33</v>
      </c>
      <c r="E3071" t="s">
        <v>34</v>
      </c>
      <c r="F3071">
        <v>140</v>
      </c>
      <c r="G3071">
        <v>360</v>
      </c>
      <c r="H3071">
        <v>186</v>
      </c>
      <c r="I3071">
        <v>80</v>
      </c>
      <c r="J3071" s="8">
        <v>0.5714285714285714</v>
      </c>
      <c r="K3071">
        <v>43</v>
      </c>
      <c r="L3071">
        <v>27</v>
      </c>
      <c r="M3071">
        <v>166</v>
      </c>
      <c r="N3071" s="10">
        <v>444.17</v>
      </c>
      <c r="O3071" s="7">
        <v>0</v>
      </c>
      <c r="P3071" s="7">
        <v>29.8</v>
      </c>
      <c r="Q3071">
        <v>0</v>
      </c>
      <c r="R3071" t="s">
        <v>62</v>
      </c>
      <c r="S3071">
        <v>10</v>
      </c>
      <c r="T3071">
        <v>293</v>
      </c>
      <c r="U3071" s="11">
        <v>0</v>
      </c>
      <c r="V3071" s="11">
        <v>1</v>
      </c>
      <c r="W3071" s="11">
        <v>-0.95211405366811019</v>
      </c>
      <c r="X3071" s="11">
        <v>0.3057430764672831</v>
      </c>
      <c r="Y3071">
        <v>0</v>
      </c>
      <c r="Z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6">
        <v>45950</v>
      </c>
      <c r="B3072" t="s">
        <v>36</v>
      </c>
      <c r="C3072" t="s">
        <v>37</v>
      </c>
      <c r="D3072" t="s">
        <v>38</v>
      </c>
      <c r="E3072" t="s">
        <v>39</v>
      </c>
      <c r="F3072">
        <v>125</v>
      </c>
      <c r="G3072">
        <v>320</v>
      </c>
      <c r="H3072">
        <v>175</v>
      </c>
      <c r="I3072">
        <v>75</v>
      </c>
      <c r="J3072" s="8">
        <v>0.6</v>
      </c>
      <c r="K3072">
        <v>46</v>
      </c>
      <c r="L3072">
        <v>31</v>
      </c>
      <c r="M3072">
        <v>144</v>
      </c>
      <c r="N3072" s="10">
        <v>601.89</v>
      </c>
      <c r="O3072" s="7">
        <v>0</v>
      </c>
      <c r="P3072" s="7">
        <v>29.8</v>
      </c>
      <c r="Q3072">
        <v>0</v>
      </c>
      <c r="R3072" t="s">
        <v>62</v>
      </c>
      <c r="S3072">
        <v>10</v>
      </c>
      <c r="T3072">
        <v>293</v>
      </c>
      <c r="U3072" s="11">
        <v>0</v>
      </c>
      <c r="V3072" s="11">
        <v>1</v>
      </c>
      <c r="W3072" s="11">
        <v>-0.95211405366811019</v>
      </c>
      <c r="X3072" s="11">
        <v>0.3057430764672831</v>
      </c>
      <c r="Y3072">
        <v>0</v>
      </c>
      <c r="Z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6">
        <v>45950</v>
      </c>
      <c r="B3073" t="s">
        <v>41</v>
      </c>
      <c r="C3073" t="s">
        <v>42</v>
      </c>
      <c r="D3073" t="s">
        <v>43</v>
      </c>
      <c r="E3073" t="s">
        <v>44</v>
      </c>
      <c r="F3073">
        <v>85</v>
      </c>
      <c r="G3073">
        <v>210</v>
      </c>
      <c r="H3073">
        <v>115</v>
      </c>
      <c r="I3073">
        <v>50</v>
      </c>
      <c r="J3073" s="8">
        <v>0.58823529411764708</v>
      </c>
      <c r="K3073">
        <v>16</v>
      </c>
      <c r="L3073">
        <v>12</v>
      </c>
      <c r="M3073">
        <v>104</v>
      </c>
      <c r="N3073" s="10">
        <v>509.14</v>
      </c>
      <c r="O3073" s="7">
        <v>0</v>
      </c>
      <c r="P3073" s="7">
        <v>29.8</v>
      </c>
      <c r="Q3073">
        <v>0</v>
      </c>
      <c r="R3073" t="s">
        <v>62</v>
      </c>
      <c r="S3073">
        <v>10</v>
      </c>
      <c r="T3073">
        <v>293</v>
      </c>
      <c r="U3073" s="11">
        <v>0</v>
      </c>
      <c r="V3073" s="11">
        <v>1</v>
      </c>
      <c r="W3073" s="11">
        <v>-0.95211405366811019</v>
      </c>
      <c r="X3073" s="11">
        <v>0.3057430764672831</v>
      </c>
      <c r="Y3073">
        <v>0</v>
      </c>
      <c r="Z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6">
        <v>45951</v>
      </c>
      <c r="B3074" t="s">
        <v>31</v>
      </c>
      <c r="C3074" t="s">
        <v>32</v>
      </c>
      <c r="D3074" t="s">
        <v>33</v>
      </c>
      <c r="E3074" t="s">
        <v>34</v>
      </c>
      <c r="F3074">
        <v>140</v>
      </c>
      <c r="G3074">
        <v>360</v>
      </c>
      <c r="H3074">
        <v>187</v>
      </c>
      <c r="I3074">
        <v>80</v>
      </c>
      <c r="J3074" s="8">
        <v>0.5714285714285714</v>
      </c>
      <c r="K3074">
        <v>24</v>
      </c>
      <c r="L3074">
        <v>19</v>
      </c>
      <c r="M3074">
        <v>154</v>
      </c>
      <c r="N3074" s="10">
        <v>400.61</v>
      </c>
      <c r="O3074" s="7">
        <v>3.5</v>
      </c>
      <c r="P3074" s="7">
        <v>29.1</v>
      </c>
      <c r="Q3074">
        <v>1</v>
      </c>
      <c r="R3074" t="s">
        <v>63</v>
      </c>
      <c r="S3074">
        <v>10</v>
      </c>
      <c r="T3074">
        <v>294</v>
      </c>
      <c r="U3074" s="11">
        <v>0.7818314824680298</v>
      </c>
      <c r="V3074" s="11">
        <v>0.62348980185873359</v>
      </c>
      <c r="W3074" s="11">
        <v>-0.94671391814638617</v>
      </c>
      <c r="X3074" s="11">
        <v>0.32207570102061039</v>
      </c>
      <c r="Y3074">
        <v>0</v>
      </c>
      <c r="Z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6">
        <v>45951</v>
      </c>
      <c r="B3075" t="s">
        <v>36</v>
      </c>
      <c r="C3075" t="s">
        <v>37</v>
      </c>
      <c r="D3075" t="s">
        <v>38</v>
      </c>
      <c r="E3075" t="s">
        <v>39</v>
      </c>
      <c r="F3075">
        <v>125</v>
      </c>
      <c r="G3075">
        <v>320</v>
      </c>
      <c r="H3075">
        <v>169</v>
      </c>
      <c r="I3075">
        <v>68</v>
      </c>
      <c r="J3075" s="8">
        <v>0.54400000000000004</v>
      </c>
      <c r="K3075">
        <v>38</v>
      </c>
      <c r="L3075">
        <v>19</v>
      </c>
      <c r="M3075">
        <v>144</v>
      </c>
      <c r="N3075" s="10">
        <v>654.03</v>
      </c>
      <c r="O3075" s="7">
        <v>3.5</v>
      </c>
      <c r="P3075" s="7">
        <v>29.1</v>
      </c>
      <c r="Q3075">
        <v>1</v>
      </c>
      <c r="R3075" t="s">
        <v>63</v>
      </c>
      <c r="S3075">
        <v>10</v>
      </c>
      <c r="T3075">
        <v>294</v>
      </c>
      <c r="U3075" s="11">
        <v>0.7818314824680298</v>
      </c>
      <c r="V3075" s="11">
        <v>0.62348980185873359</v>
      </c>
      <c r="W3075" s="11">
        <v>-0.94671391814638617</v>
      </c>
      <c r="X3075" s="11">
        <v>0.32207570102061039</v>
      </c>
      <c r="Y3075">
        <v>0</v>
      </c>
      <c r="Z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6">
        <v>45951</v>
      </c>
      <c r="B3076" t="s">
        <v>41</v>
      </c>
      <c r="C3076" t="s">
        <v>42</v>
      </c>
      <c r="D3076" t="s">
        <v>43</v>
      </c>
      <c r="E3076" t="s">
        <v>44</v>
      </c>
      <c r="F3076">
        <v>85</v>
      </c>
      <c r="G3076">
        <v>210</v>
      </c>
      <c r="H3076">
        <v>89</v>
      </c>
      <c r="I3076">
        <v>46</v>
      </c>
      <c r="J3076" s="8">
        <v>0.54117647058823526</v>
      </c>
      <c r="K3076">
        <v>18</v>
      </c>
      <c r="L3076">
        <v>10</v>
      </c>
      <c r="M3076">
        <v>73</v>
      </c>
      <c r="N3076" s="10">
        <v>560.13</v>
      </c>
      <c r="O3076" s="7">
        <v>3.5</v>
      </c>
      <c r="P3076" s="7">
        <v>29.1</v>
      </c>
      <c r="Q3076">
        <v>1</v>
      </c>
      <c r="R3076" t="s">
        <v>63</v>
      </c>
      <c r="S3076">
        <v>10</v>
      </c>
      <c r="T3076">
        <v>294</v>
      </c>
      <c r="U3076" s="11">
        <v>0.7818314824680298</v>
      </c>
      <c r="V3076" s="11">
        <v>0.62348980185873359</v>
      </c>
      <c r="W3076" s="11">
        <v>-0.94671391814638617</v>
      </c>
      <c r="X3076" s="11">
        <v>0.32207570102061039</v>
      </c>
      <c r="Y3076">
        <v>0</v>
      </c>
      <c r="Z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6">
        <v>45952</v>
      </c>
      <c r="B3077" t="s">
        <v>31</v>
      </c>
      <c r="C3077" t="s">
        <v>32</v>
      </c>
      <c r="D3077" t="s">
        <v>33</v>
      </c>
      <c r="E3077" t="s">
        <v>34</v>
      </c>
      <c r="F3077">
        <v>140</v>
      </c>
      <c r="G3077">
        <v>360</v>
      </c>
      <c r="H3077">
        <v>169</v>
      </c>
      <c r="I3077">
        <v>74</v>
      </c>
      <c r="J3077" s="8">
        <v>0.52857142857142858</v>
      </c>
      <c r="K3077">
        <v>29</v>
      </c>
      <c r="L3077">
        <v>23</v>
      </c>
      <c r="M3077">
        <v>142</v>
      </c>
      <c r="N3077" s="10">
        <v>432.52</v>
      </c>
      <c r="O3077" s="7">
        <v>5.6</v>
      </c>
      <c r="P3077" s="7">
        <v>29.1</v>
      </c>
      <c r="Q3077">
        <v>2</v>
      </c>
      <c r="R3077" t="s">
        <v>64</v>
      </c>
      <c r="S3077">
        <v>10</v>
      </c>
      <c r="T3077">
        <v>295</v>
      </c>
      <c r="U3077" s="11">
        <v>0.97492791218182362</v>
      </c>
      <c r="V3077" s="11">
        <v>-0.22252093395631434</v>
      </c>
      <c r="W3077" s="11">
        <v>-0.9410336347451197</v>
      </c>
      <c r="X3077" s="11">
        <v>0.33831301819230758</v>
      </c>
      <c r="Y3077">
        <v>0</v>
      </c>
      <c r="Z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6">
        <v>45952</v>
      </c>
      <c r="B3078" t="s">
        <v>36</v>
      </c>
      <c r="C3078" t="s">
        <v>37</v>
      </c>
      <c r="D3078" t="s">
        <v>38</v>
      </c>
      <c r="E3078" t="s">
        <v>39</v>
      </c>
      <c r="F3078">
        <v>125</v>
      </c>
      <c r="G3078">
        <v>320</v>
      </c>
      <c r="H3078">
        <v>145</v>
      </c>
      <c r="I3078">
        <v>58</v>
      </c>
      <c r="J3078" s="8">
        <v>0.46400000000000002</v>
      </c>
      <c r="K3078">
        <v>37</v>
      </c>
      <c r="L3078">
        <v>25</v>
      </c>
      <c r="M3078">
        <v>133</v>
      </c>
      <c r="N3078" s="10">
        <v>647.16</v>
      </c>
      <c r="O3078" s="7">
        <v>5.6</v>
      </c>
      <c r="P3078" s="7">
        <v>29.1</v>
      </c>
      <c r="Q3078">
        <v>2</v>
      </c>
      <c r="R3078" t="s">
        <v>64</v>
      </c>
      <c r="S3078">
        <v>10</v>
      </c>
      <c r="T3078">
        <v>295</v>
      </c>
      <c r="U3078" s="11">
        <v>0.97492791218182362</v>
      </c>
      <c r="V3078" s="11">
        <v>-0.22252093395631434</v>
      </c>
      <c r="W3078" s="11">
        <v>-0.9410336347451197</v>
      </c>
      <c r="X3078" s="11">
        <v>0.33831301819230758</v>
      </c>
      <c r="Y3078">
        <v>0</v>
      </c>
      <c r="Z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6">
        <v>45952</v>
      </c>
      <c r="B3079" t="s">
        <v>41</v>
      </c>
      <c r="C3079" t="s">
        <v>42</v>
      </c>
      <c r="D3079" t="s">
        <v>43</v>
      </c>
      <c r="E3079" t="s">
        <v>44</v>
      </c>
      <c r="F3079">
        <v>85</v>
      </c>
      <c r="G3079">
        <v>210</v>
      </c>
      <c r="H3079">
        <v>116</v>
      </c>
      <c r="I3079">
        <v>50</v>
      </c>
      <c r="J3079" s="8">
        <v>0.58823529411764708</v>
      </c>
      <c r="K3079">
        <v>20</v>
      </c>
      <c r="L3079">
        <v>14</v>
      </c>
      <c r="M3079">
        <v>102</v>
      </c>
      <c r="N3079" s="10">
        <v>532.99</v>
      </c>
      <c r="O3079" s="7">
        <v>5.6</v>
      </c>
      <c r="P3079" s="7">
        <v>29.1</v>
      </c>
      <c r="Q3079">
        <v>2</v>
      </c>
      <c r="R3079" t="s">
        <v>64</v>
      </c>
      <c r="S3079">
        <v>10</v>
      </c>
      <c r="T3079">
        <v>295</v>
      </c>
      <c r="U3079" s="11">
        <v>0.97492791218182362</v>
      </c>
      <c r="V3079" s="11">
        <v>-0.22252093395631434</v>
      </c>
      <c r="W3079" s="11">
        <v>-0.9410336347451197</v>
      </c>
      <c r="X3079" s="11">
        <v>0.33831301819230758</v>
      </c>
      <c r="Y3079">
        <v>0</v>
      </c>
      <c r="Z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6">
        <v>45953</v>
      </c>
      <c r="B3080" t="s">
        <v>31</v>
      </c>
      <c r="C3080" t="s">
        <v>32</v>
      </c>
      <c r="D3080" t="s">
        <v>33</v>
      </c>
      <c r="E3080" t="s">
        <v>34</v>
      </c>
      <c r="F3080">
        <v>140</v>
      </c>
      <c r="G3080">
        <v>360</v>
      </c>
      <c r="H3080">
        <v>173</v>
      </c>
      <c r="I3080">
        <v>75</v>
      </c>
      <c r="J3080" s="8">
        <v>0.5357142857142857</v>
      </c>
      <c r="K3080">
        <v>27</v>
      </c>
      <c r="L3080">
        <v>31</v>
      </c>
      <c r="M3080">
        <v>141</v>
      </c>
      <c r="N3080" s="10">
        <v>402.48</v>
      </c>
      <c r="O3080" s="7">
        <v>1.4</v>
      </c>
      <c r="P3080" s="7">
        <v>29.4</v>
      </c>
      <c r="Q3080">
        <v>3</v>
      </c>
      <c r="R3080" t="s">
        <v>65</v>
      </c>
      <c r="S3080">
        <v>10</v>
      </c>
      <c r="T3080">
        <v>296</v>
      </c>
      <c r="U3080" s="11">
        <v>0.43388373911755823</v>
      </c>
      <c r="V3080" s="11">
        <v>-0.90096886790241903</v>
      </c>
      <c r="W3080" s="11">
        <v>-0.93507488435155739</v>
      </c>
      <c r="X3080" s="11">
        <v>0.35445022309898688</v>
      </c>
      <c r="Y3080">
        <v>0</v>
      </c>
      <c r="Z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6">
        <v>45953</v>
      </c>
      <c r="B3081" t="s">
        <v>36</v>
      </c>
      <c r="C3081" t="s">
        <v>37</v>
      </c>
      <c r="D3081" t="s">
        <v>38</v>
      </c>
      <c r="E3081" t="s">
        <v>39</v>
      </c>
      <c r="F3081">
        <v>125</v>
      </c>
      <c r="G3081">
        <v>320</v>
      </c>
      <c r="H3081">
        <v>153</v>
      </c>
      <c r="I3081">
        <v>65</v>
      </c>
      <c r="J3081" s="8">
        <v>0.52</v>
      </c>
      <c r="K3081">
        <v>37</v>
      </c>
      <c r="L3081">
        <v>22</v>
      </c>
      <c r="M3081">
        <v>129</v>
      </c>
      <c r="N3081" s="10">
        <v>610.25</v>
      </c>
      <c r="O3081" s="7">
        <v>1.4</v>
      </c>
      <c r="P3081" s="7">
        <v>29.4</v>
      </c>
      <c r="Q3081">
        <v>3</v>
      </c>
      <c r="R3081" t="s">
        <v>65</v>
      </c>
      <c r="S3081">
        <v>10</v>
      </c>
      <c r="T3081">
        <v>296</v>
      </c>
      <c r="U3081" s="11">
        <v>0.43388373911755823</v>
      </c>
      <c r="V3081" s="11">
        <v>-0.90096886790241903</v>
      </c>
      <c r="W3081" s="11">
        <v>-0.93507488435155739</v>
      </c>
      <c r="X3081" s="11">
        <v>0.35445022309898688</v>
      </c>
      <c r="Y3081">
        <v>0</v>
      </c>
      <c r="Z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6">
        <v>45953</v>
      </c>
      <c r="B3082" t="s">
        <v>41</v>
      </c>
      <c r="C3082" t="s">
        <v>42</v>
      </c>
      <c r="D3082" t="s">
        <v>43</v>
      </c>
      <c r="E3082" t="s">
        <v>44</v>
      </c>
      <c r="F3082">
        <v>85</v>
      </c>
      <c r="G3082">
        <v>210</v>
      </c>
      <c r="H3082">
        <v>121</v>
      </c>
      <c r="I3082">
        <v>55</v>
      </c>
      <c r="J3082" s="8">
        <v>0.6470588235294118</v>
      </c>
      <c r="K3082">
        <v>11</v>
      </c>
      <c r="L3082">
        <v>15</v>
      </c>
      <c r="M3082">
        <v>108</v>
      </c>
      <c r="N3082" s="10">
        <v>580.38</v>
      </c>
      <c r="O3082" s="7">
        <v>1.4</v>
      </c>
      <c r="P3082" s="7">
        <v>29.4</v>
      </c>
      <c r="Q3082">
        <v>3</v>
      </c>
      <c r="R3082" t="s">
        <v>65</v>
      </c>
      <c r="S3082">
        <v>10</v>
      </c>
      <c r="T3082">
        <v>296</v>
      </c>
      <c r="U3082" s="11">
        <v>0.43388373911755823</v>
      </c>
      <c r="V3082" s="11">
        <v>-0.90096886790241903</v>
      </c>
      <c r="W3082" s="11">
        <v>-0.93507488435155739</v>
      </c>
      <c r="X3082" s="11">
        <v>0.35445022309898688</v>
      </c>
      <c r="Y3082">
        <v>0</v>
      </c>
      <c r="Z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6">
        <v>45954</v>
      </c>
      <c r="B3083" t="s">
        <v>31</v>
      </c>
      <c r="C3083" t="s">
        <v>32</v>
      </c>
      <c r="D3083" t="s">
        <v>33</v>
      </c>
      <c r="E3083" t="s">
        <v>34</v>
      </c>
      <c r="F3083">
        <v>140</v>
      </c>
      <c r="G3083">
        <v>360</v>
      </c>
      <c r="H3083">
        <v>200</v>
      </c>
      <c r="I3083">
        <v>87</v>
      </c>
      <c r="J3083" s="8">
        <v>0.62142857142857144</v>
      </c>
      <c r="K3083">
        <v>50</v>
      </c>
      <c r="L3083">
        <v>54</v>
      </c>
      <c r="M3083">
        <v>161</v>
      </c>
      <c r="N3083" s="10">
        <v>425.91</v>
      </c>
      <c r="O3083" s="7">
        <v>2</v>
      </c>
      <c r="P3083" s="7">
        <v>29.1</v>
      </c>
      <c r="Q3083">
        <v>4</v>
      </c>
      <c r="R3083" t="s">
        <v>66</v>
      </c>
      <c r="S3083">
        <v>10</v>
      </c>
      <c r="T3083">
        <v>297</v>
      </c>
      <c r="U3083" s="11">
        <v>-0.43388373911755801</v>
      </c>
      <c r="V3083" s="11">
        <v>-0.90096886790241915</v>
      </c>
      <c r="W3083" s="11">
        <v>-0.92883943025580684</v>
      </c>
      <c r="X3083" s="11">
        <v>0.37048254048209628</v>
      </c>
      <c r="Y3083">
        <v>0</v>
      </c>
      <c r="Z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6">
        <v>45954</v>
      </c>
      <c r="B3084" t="s">
        <v>36</v>
      </c>
      <c r="C3084" t="s">
        <v>37</v>
      </c>
      <c r="D3084" t="s">
        <v>38</v>
      </c>
      <c r="E3084" t="s">
        <v>39</v>
      </c>
      <c r="F3084">
        <v>125</v>
      </c>
      <c r="G3084">
        <v>320</v>
      </c>
      <c r="H3084">
        <v>162</v>
      </c>
      <c r="I3084">
        <v>69</v>
      </c>
      <c r="J3084" s="8">
        <v>0.55200000000000005</v>
      </c>
      <c r="K3084">
        <v>23</v>
      </c>
      <c r="L3084">
        <v>19</v>
      </c>
      <c r="M3084">
        <v>144</v>
      </c>
      <c r="N3084" s="10">
        <v>602.69000000000005</v>
      </c>
      <c r="O3084" s="7">
        <v>2</v>
      </c>
      <c r="P3084" s="7">
        <v>29.1</v>
      </c>
      <c r="Q3084">
        <v>4</v>
      </c>
      <c r="R3084" t="s">
        <v>66</v>
      </c>
      <c r="S3084">
        <v>10</v>
      </c>
      <c r="T3084">
        <v>297</v>
      </c>
      <c r="U3084" s="11">
        <v>-0.43388373911755801</v>
      </c>
      <c r="V3084" s="11">
        <v>-0.90096886790241915</v>
      </c>
      <c r="W3084" s="11">
        <v>-0.92883943025580684</v>
      </c>
      <c r="X3084" s="11">
        <v>0.37048254048209628</v>
      </c>
      <c r="Y3084">
        <v>0</v>
      </c>
      <c r="Z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6">
        <v>45954</v>
      </c>
      <c r="B3085" t="s">
        <v>41</v>
      </c>
      <c r="C3085" t="s">
        <v>42</v>
      </c>
      <c r="D3085" t="s">
        <v>43</v>
      </c>
      <c r="E3085" t="s">
        <v>44</v>
      </c>
      <c r="F3085">
        <v>85</v>
      </c>
      <c r="G3085">
        <v>210</v>
      </c>
      <c r="H3085">
        <v>136</v>
      </c>
      <c r="I3085">
        <v>61</v>
      </c>
      <c r="J3085" s="8">
        <v>0.71764705882352942</v>
      </c>
      <c r="K3085">
        <v>37</v>
      </c>
      <c r="L3085">
        <v>20</v>
      </c>
      <c r="M3085">
        <v>120</v>
      </c>
      <c r="N3085" s="10">
        <v>519.84</v>
      </c>
      <c r="O3085" s="7">
        <v>2</v>
      </c>
      <c r="P3085" s="7">
        <v>29.1</v>
      </c>
      <c r="Q3085">
        <v>4</v>
      </c>
      <c r="R3085" t="s">
        <v>66</v>
      </c>
      <c r="S3085">
        <v>10</v>
      </c>
      <c r="T3085">
        <v>297</v>
      </c>
      <c r="U3085" s="11">
        <v>-0.43388373911755801</v>
      </c>
      <c r="V3085" s="11">
        <v>-0.90096886790241915</v>
      </c>
      <c r="W3085" s="11">
        <v>-0.92883943025580684</v>
      </c>
      <c r="X3085" s="11">
        <v>0.37048254048209628</v>
      </c>
      <c r="Y3085">
        <v>0</v>
      </c>
      <c r="Z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6">
        <v>45955</v>
      </c>
      <c r="B3086" t="s">
        <v>31</v>
      </c>
      <c r="C3086" t="s">
        <v>32</v>
      </c>
      <c r="D3086" t="s">
        <v>33</v>
      </c>
      <c r="E3086" t="s">
        <v>34</v>
      </c>
      <c r="F3086">
        <v>140</v>
      </c>
      <c r="G3086">
        <v>360</v>
      </c>
      <c r="H3086">
        <v>200</v>
      </c>
      <c r="I3086">
        <v>85</v>
      </c>
      <c r="J3086" s="8">
        <v>0.6071428571428571</v>
      </c>
      <c r="K3086">
        <v>51</v>
      </c>
      <c r="L3086">
        <v>48</v>
      </c>
      <c r="M3086">
        <v>165</v>
      </c>
      <c r="N3086" s="10">
        <v>512.86</v>
      </c>
      <c r="O3086" s="7">
        <v>0.4</v>
      </c>
      <c r="P3086" s="7">
        <v>29.5</v>
      </c>
      <c r="Q3086">
        <v>5</v>
      </c>
      <c r="R3086" t="s">
        <v>67</v>
      </c>
      <c r="S3086">
        <v>10</v>
      </c>
      <c r="T3086">
        <v>298</v>
      </c>
      <c r="U3086" s="11">
        <v>-0.97492791218182362</v>
      </c>
      <c r="V3086" s="11">
        <v>-0.22252093395631459</v>
      </c>
      <c r="W3086" s="11">
        <v>-0.92232911762905445</v>
      </c>
      <c r="X3086" s="11">
        <v>0.38640522612098532</v>
      </c>
      <c r="Y3086">
        <v>1</v>
      </c>
      <c r="Z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6">
        <v>45955</v>
      </c>
      <c r="B3087" t="s">
        <v>36</v>
      </c>
      <c r="C3087" t="s">
        <v>37</v>
      </c>
      <c r="D3087" t="s">
        <v>38</v>
      </c>
      <c r="E3087" t="s">
        <v>39</v>
      </c>
      <c r="F3087">
        <v>125</v>
      </c>
      <c r="G3087">
        <v>320</v>
      </c>
      <c r="H3087">
        <v>183</v>
      </c>
      <c r="I3087">
        <v>78</v>
      </c>
      <c r="J3087" s="8">
        <v>0.624</v>
      </c>
      <c r="K3087">
        <v>50</v>
      </c>
      <c r="L3087">
        <v>50</v>
      </c>
      <c r="M3087">
        <v>156</v>
      </c>
      <c r="N3087" s="10">
        <v>686.09</v>
      </c>
      <c r="O3087" s="7">
        <v>0.4</v>
      </c>
      <c r="P3087" s="7">
        <v>29.5</v>
      </c>
      <c r="Q3087">
        <v>5</v>
      </c>
      <c r="R3087" t="s">
        <v>67</v>
      </c>
      <c r="S3087">
        <v>10</v>
      </c>
      <c r="T3087">
        <v>298</v>
      </c>
      <c r="U3087" s="11">
        <v>-0.97492791218182362</v>
      </c>
      <c r="V3087" s="11">
        <v>-0.22252093395631459</v>
      </c>
      <c r="W3087" s="11">
        <v>-0.92232911762905445</v>
      </c>
      <c r="X3087" s="11">
        <v>0.38640522612098532</v>
      </c>
      <c r="Y3087">
        <v>1</v>
      </c>
      <c r="Z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6">
        <v>45955</v>
      </c>
      <c r="B3088" t="s">
        <v>41</v>
      </c>
      <c r="C3088" t="s">
        <v>42</v>
      </c>
      <c r="D3088" t="s">
        <v>43</v>
      </c>
      <c r="E3088" t="s">
        <v>44</v>
      </c>
      <c r="F3088">
        <v>85</v>
      </c>
      <c r="G3088">
        <v>210</v>
      </c>
      <c r="H3088">
        <v>138</v>
      </c>
      <c r="I3088">
        <v>64</v>
      </c>
      <c r="J3088" s="8">
        <v>0.75294117647058822</v>
      </c>
      <c r="K3088">
        <v>21</v>
      </c>
      <c r="L3088">
        <v>29</v>
      </c>
      <c r="M3088">
        <v>126</v>
      </c>
      <c r="N3088" s="10">
        <v>589.59</v>
      </c>
      <c r="O3088" s="7">
        <v>0.4</v>
      </c>
      <c r="P3088" s="7">
        <v>29.5</v>
      </c>
      <c r="Q3088">
        <v>5</v>
      </c>
      <c r="R3088" t="s">
        <v>67</v>
      </c>
      <c r="S3088">
        <v>10</v>
      </c>
      <c r="T3088">
        <v>298</v>
      </c>
      <c r="U3088" s="11">
        <v>-0.97492791218182362</v>
      </c>
      <c r="V3088" s="11">
        <v>-0.22252093395631459</v>
      </c>
      <c r="W3088" s="11">
        <v>-0.92232911762905445</v>
      </c>
      <c r="X3088" s="11">
        <v>0.38640522612098532</v>
      </c>
      <c r="Y3088">
        <v>1</v>
      </c>
      <c r="Z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6">
        <v>45956</v>
      </c>
      <c r="B3089" t="s">
        <v>31</v>
      </c>
      <c r="C3089" t="s">
        <v>32</v>
      </c>
      <c r="D3089" t="s">
        <v>33</v>
      </c>
      <c r="E3089" t="s">
        <v>34</v>
      </c>
      <c r="F3089">
        <v>140</v>
      </c>
      <c r="G3089">
        <v>360</v>
      </c>
      <c r="H3089">
        <v>213</v>
      </c>
      <c r="I3089">
        <v>88</v>
      </c>
      <c r="J3089" s="8">
        <v>0.62857142857142856</v>
      </c>
      <c r="K3089">
        <v>53</v>
      </c>
      <c r="L3089">
        <v>55</v>
      </c>
      <c r="M3089">
        <v>189</v>
      </c>
      <c r="N3089" s="10">
        <v>444.91</v>
      </c>
      <c r="O3089" s="7">
        <v>0</v>
      </c>
      <c r="P3089" s="7">
        <v>29.3</v>
      </c>
      <c r="Q3089">
        <v>6</v>
      </c>
      <c r="R3089" t="s">
        <v>60</v>
      </c>
      <c r="S3089">
        <v>10</v>
      </c>
      <c r="T3089">
        <v>299</v>
      </c>
      <c r="U3089" s="11">
        <v>-0.78183148246802991</v>
      </c>
      <c r="V3089" s="11">
        <v>0.62348980185873337</v>
      </c>
      <c r="W3089" s="11">
        <v>-0.91554587297754675</v>
      </c>
      <c r="X3089" s="11">
        <v>0.40221356823680365</v>
      </c>
      <c r="Y3089">
        <v>1</v>
      </c>
      <c r="Z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6">
        <v>45956</v>
      </c>
      <c r="B3090" t="s">
        <v>36</v>
      </c>
      <c r="C3090" t="s">
        <v>37</v>
      </c>
      <c r="D3090" t="s">
        <v>38</v>
      </c>
      <c r="E3090" t="s">
        <v>39</v>
      </c>
      <c r="F3090">
        <v>125</v>
      </c>
      <c r="G3090">
        <v>320</v>
      </c>
      <c r="H3090">
        <v>182</v>
      </c>
      <c r="I3090">
        <v>80</v>
      </c>
      <c r="J3090" s="8">
        <v>0.64</v>
      </c>
      <c r="K3090">
        <v>42</v>
      </c>
      <c r="L3090">
        <v>43</v>
      </c>
      <c r="M3090">
        <v>156</v>
      </c>
      <c r="N3090" s="10">
        <v>720.72</v>
      </c>
      <c r="O3090" s="7">
        <v>0</v>
      </c>
      <c r="P3090" s="7">
        <v>29.3</v>
      </c>
      <c r="Q3090">
        <v>6</v>
      </c>
      <c r="R3090" t="s">
        <v>60</v>
      </c>
      <c r="S3090">
        <v>10</v>
      </c>
      <c r="T3090">
        <v>299</v>
      </c>
      <c r="U3090" s="11">
        <v>-0.78183148246802991</v>
      </c>
      <c r="V3090" s="11">
        <v>0.62348980185873337</v>
      </c>
      <c r="W3090" s="11">
        <v>-0.91554587297754675</v>
      </c>
      <c r="X3090" s="11">
        <v>0.40221356823680365</v>
      </c>
      <c r="Y3090">
        <v>1</v>
      </c>
      <c r="Z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6">
        <v>45956</v>
      </c>
      <c r="B3091" t="s">
        <v>41</v>
      </c>
      <c r="C3091" t="s">
        <v>42</v>
      </c>
      <c r="D3091" t="s">
        <v>43</v>
      </c>
      <c r="E3091" t="s">
        <v>44</v>
      </c>
      <c r="F3091">
        <v>85</v>
      </c>
      <c r="G3091">
        <v>210</v>
      </c>
      <c r="H3091">
        <v>144</v>
      </c>
      <c r="I3091">
        <v>67</v>
      </c>
      <c r="J3091" s="8">
        <v>0.78823529411764703</v>
      </c>
      <c r="K3091">
        <v>38</v>
      </c>
      <c r="L3091">
        <v>20</v>
      </c>
      <c r="M3091">
        <v>126</v>
      </c>
      <c r="N3091" s="10">
        <v>560.91</v>
      </c>
      <c r="O3091" s="7">
        <v>0</v>
      </c>
      <c r="P3091" s="7">
        <v>29.3</v>
      </c>
      <c r="Q3091">
        <v>6</v>
      </c>
      <c r="R3091" t="s">
        <v>60</v>
      </c>
      <c r="S3091">
        <v>10</v>
      </c>
      <c r="T3091">
        <v>299</v>
      </c>
      <c r="U3091" s="11">
        <v>-0.78183148246802991</v>
      </c>
      <c r="V3091" s="11">
        <v>0.62348980185873337</v>
      </c>
      <c r="W3091" s="11">
        <v>-0.91554587297754675</v>
      </c>
      <c r="X3091" s="11">
        <v>0.40221356823680365</v>
      </c>
      <c r="Y3091">
        <v>1</v>
      </c>
      <c r="Z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6">
        <v>45957</v>
      </c>
      <c r="B3092" t="s">
        <v>31</v>
      </c>
      <c r="C3092" t="s">
        <v>32</v>
      </c>
      <c r="D3092" t="s">
        <v>33</v>
      </c>
      <c r="E3092" t="s">
        <v>34</v>
      </c>
      <c r="F3092">
        <v>140</v>
      </c>
      <c r="G3092">
        <v>360</v>
      </c>
      <c r="H3092">
        <v>205</v>
      </c>
      <c r="I3092">
        <v>85</v>
      </c>
      <c r="J3092" s="8">
        <v>0.6071428571428571</v>
      </c>
      <c r="K3092">
        <v>34</v>
      </c>
      <c r="L3092">
        <v>40</v>
      </c>
      <c r="M3092">
        <v>172</v>
      </c>
      <c r="N3092" s="10">
        <v>442.85</v>
      </c>
      <c r="O3092" s="7">
        <v>1.6</v>
      </c>
      <c r="P3092" s="7">
        <v>28.6</v>
      </c>
      <c r="Q3092">
        <v>0</v>
      </c>
      <c r="R3092" t="s">
        <v>62</v>
      </c>
      <c r="S3092">
        <v>10</v>
      </c>
      <c r="T3092">
        <v>300</v>
      </c>
      <c r="U3092" s="11">
        <v>0</v>
      </c>
      <c r="V3092" s="11">
        <v>1</v>
      </c>
      <c r="W3092" s="11">
        <v>-0.90849170357250819</v>
      </c>
      <c r="X3092" s="11">
        <v>0.41790288888678667</v>
      </c>
      <c r="Y3092">
        <v>0</v>
      </c>
      <c r="Z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6">
        <v>45957</v>
      </c>
      <c r="B3093" t="s">
        <v>36</v>
      </c>
      <c r="C3093" t="s">
        <v>37</v>
      </c>
      <c r="D3093" t="s">
        <v>38</v>
      </c>
      <c r="E3093" t="s">
        <v>39</v>
      </c>
      <c r="F3093">
        <v>125</v>
      </c>
      <c r="G3093">
        <v>320</v>
      </c>
      <c r="H3093">
        <v>136</v>
      </c>
      <c r="I3093">
        <v>57</v>
      </c>
      <c r="J3093" s="8">
        <v>0.45600000000000002</v>
      </c>
      <c r="K3093">
        <v>23</v>
      </c>
      <c r="L3093">
        <v>23</v>
      </c>
      <c r="M3093">
        <v>125</v>
      </c>
      <c r="N3093" s="10">
        <v>579</v>
      </c>
      <c r="O3093" s="7">
        <v>1.6</v>
      </c>
      <c r="P3093" s="7">
        <v>28.6</v>
      </c>
      <c r="Q3093">
        <v>0</v>
      </c>
      <c r="R3093" t="s">
        <v>62</v>
      </c>
      <c r="S3093">
        <v>10</v>
      </c>
      <c r="T3093">
        <v>300</v>
      </c>
      <c r="U3093" s="11">
        <v>0</v>
      </c>
      <c r="V3093" s="11">
        <v>1</v>
      </c>
      <c r="W3093" s="11">
        <v>-0.90849170357250819</v>
      </c>
      <c r="X3093" s="11">
        <v>0.41790288888678667</v>
      </c>
      <c r="Y3093">
        <v>0</v>
      </c>
      <c r="Z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6">
        <v>45957</v>
      </c>
      <c r="B3094" t="s">
        <v>41</v>
      </c>
      <c r="C3094" t="s">
        <v>42</v>
      </c>
      <c r="D3094" t="s">
        <v>43</v>
      </c>
      <c r="E3094" t="s">
        <v>44</v>
      </c>
      <c r="F3094">
        <v>85</v>
      </c>
      <c r="G3094">
        <v>210</v>
      </c>
      <c r="H3094">
        <v>115</v>
      </c>
      <c r="I3094">
        <v>53</v>
      </c>
      <c r="J3094" s="8">
        <v>0.62352941176470589</v>
      </c>
      <c r="K3094">
        <v>32</v>
      </c>
      <c r="L3094">
        <v>15</v>
      </c>
      <c r="M3094">
        <v>94</v>
      </c>
      <c r="N3094" s="10">
        <v>488.04</v>
      </c>
      <c r="O3094" s="7">
        <v>1.6</v>
      </c>
      <c r="P3094" s="7">
        <v>28.6</v>
      </c>
      <c r="Q3094">
        <v>0</v>
      </c>
      <c r="R3094" t="s">
        <v>62</v>
      </c>
      <c r="S3094">
        <v>10</v>
      </c>
      <c r="T3094">
        <v>300</v>
      </c>
      <c r="U3094" s="11">
        <v>0</v>
      </c>
      <c r="V3094" s="11">
        <v>1</v>
      </c>
      <c r="W3094" s="11">
        <v>-0.90849170357250819</v>
      </c>
      <c r="X3094" s="11">
        <v>0.41790288888678667</v>
      </c>
      <c r="Y3094">
        <v>0</v>
      </c>
      <c r="Z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6">
        <v>45958</v>
      </c>
      <c r="B3095" t="s">
        <v>31</v>
      </c>
      <c r="C3095" t="s">
        <v>32</v>
      </c>
      <c r="D3095" t="s">
        <v>33</v>
      </c>
      <c r="E3095" t="s">
        <v>34</v>
      </c>
      <c r="F3095">
        <v>140</v>
      </c>
      <c r="G3095">
        <v>360</v>
      </c>
      <c r="H3095">
        <v>200</v>
      </c>
      <c r="I3095">
        <v>84</v>
      </c>
      <c r="J3095" s="8">
        <v>0.6</v>
      </c>
      <c r="K3095">
        <v>35</v>
      </c>
      <c r="L3095">
        <v>50</v>
      </c>
      <c r="M3095">
        <v>187</v>
      </c>
      <c r="N3095" s="10">
        <v>404.39</v>
      </c>
      <c r="O3095" s="7">
        <v>0</v>
      </c>
      <c r="P3095" s="7">
        <v>29.6</v>
      </c>
      <c r="Q3095">
        <v>1</v>
      </c>
      <c r="R3095" t="s">
        <v>63</v>
      </c>
      <c r="S3095">
        <v>10</v>
      </c>
      <c r="T3095">
        <v>301</v>
      </c>
      <c r="U3095" s="11">
        <v>0.7818314824680298</v>
      </c>
      <c r="V3095" s="11">
        <v>0.62348980185873359</v>
      </c>
      <c r="W3095" s="11">
        <v>-0.90116869685615686</v>
      </c>
      <c r="X3095" s="11">
        <v>0.43346854534853629</v>
      </c>
      <c r="Y3095">
        <v>0</v>
      </c>
      <c r="Z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6">
        <v>45958</v>
      </c>
      <c r="B3096" t="s">
        <v>36</v>
      </c>
      <c r="C3096" t="s">
        <v>37</v>
      </c>
      <c r="D3096" t="s">
        <v>38</v>
      </c>
      <c r="E3096" t="s">
        <v>39</v>
      </c>
      <c r="F3096">
        <v>125</v>
      </c>
      <c r="G3096">
        <v>320</v>
      </c>
      <c r="H3096">
        <v>161</v>
      </c>
      <c r="I3096">
        <v>67</v>
      </c>
      <c r="J3096" s="8">
        <v>0.53600000000000003</v>
      </c>
      <c r="K3096">
        <v>44</v>
      </c>
      <c r="L3096">
        <v>40</v>
      </c>
      <c r="M3096">
        <v>141</v>
      </c>
      <c r="N3096" s="10">
        <v>636.13</v>
      </c>
      <c r="O3096" s="7">
        <v>0</v>
      </c>
      <c r="P3096" s="7">
        <v>29.6</v>
      </c>
      <c r="Q3096">
        <v>1</v>
      </c>
      <c r="R3096" t="s">
        <v>63</v>
      </c>
      <c r="S3096">
        <v>10</v>
      </c>
      <c r="T3096">
        <v>301</v>
      </c>
      <c r="U3096" s="11">
        <v>0.7818314824680298</v>
      </c>
      <c r="V3096" s="11">
        <v>0.62348980185873359</v>
      </c>
      <c r="W3096" s="11">
        <v>-0.90116869685615686</v>
      </c>
      <c r="X3096" s="11">
        <v>0.43346854534853629</v>
      </c>
      <c r="Y3096">
        <v>0</v>
      </c>
      <c r="Z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6">
        <v>45958</v>
      </c>
      <c r="B3097" t="s">
        <v>41</v>
      </c>
      <c r="C3097" t="s">
        <v>42</v>
      </c>
      <c r="D3097" t="s">
        <v>43</v>
      </c>
      <c r="E3097" t="s">
        <v>44</v>
      </c>
      <c r="F3097">
        <v>85</v>
      </c>
      <c r="G3097">
        <v>210</v>
      </c>
      <c r="H3097">
        <v>111</v>
      </c>
      <c r="I3097">
        <v>50</v>
      </c>
      <c r="J3097" s="8">
        <v>0.58823529411764708</v>
      </c>
      <c r="K3097">
        <v>25</v>
      </c>
      <c r="L3097">
        <v>13</v>
      </c>
      <c r="M3097">
        <v>97</v>
      </c>
      <c r="N3097" s="10">
        <v>547.09</v>
      </c>
      <c r="O3097" s="7">
        <v>0</v>
      </c>
      <c r="P3097" s="7">
        <v>29.6</v>
      </c>
      <c r="Q3097">
        <v>1</v>
      </c>
      <c r="R3097" t="s">
        <v>63</v>
      </c>
      <c r="S3097">
        <v>10</v>
      </c>
      <c r="T3097">
        <v>301</v>
      </c>
      <c r="U3097" s="11">
        <v>0.7818314824680298</v>
      </c>
      <c r="V3097" s="11">
        <v>0.62348980185873359</v>
      </c>
      <c r="W3097" s="11">
        <v>-0.90116869685615686</v>
      </c>
      <c r="X3097" s="11">
        <v>0.43346854534853629</v>
      </c>
      <c r="Y3097">
        <v>0</v>
      </c>
      <c r="Z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6">
        <v>45959</v>
      </c>
      <c r="B3098" t="s">
        <v>31</v>
      </c>
      <c r="C3098" t="s">
        <v>32</v>
      </c>
      <c r="D3098" t="s">
        <v>33</v>
      </c>
      <c r="E3098" t="s">
        <v>34</v>
      </c>
      <c r="F3098">
        <v>140</v>
      </c>
      <c r="G3098">
        <v>360</v>
      </c>
      <c r="H3098">
        <v>163</v>
      </c>
      <c r="I3098">
        <v>72</v>
      </c>
      <c r="J3098" s="8">
        <v>0.51428571428571423</v>
      </c>
      <c r="K3098">
        <v>38</v>
      </c>
      <c r="L3098">
        <v>16</v>
      </c>
      <c r="M3098">
        <v>136</v>
      </c>
      <c r="N3098" s="10">
        <v>444.57</v>
      </c>
      <c r="O3098" s="7">
        <v>0.5</v>
      </c>
      <c r="P3098" s="7">
        <v>28.6</v>
      </c>
      <c r="Q3098">
        <v>2</v>
      </c>
      <c r="R3098" t="s">
        <v>64</v>
      </c>
      <c r="S3098">
        <v>10</v>
      </c>
      <c r="T3098">
        <v>302</v>
      </c>
      <c r="U3098" s="11">
        <v>0.97492791218182362</v>
      </c>
      <c r="V3098" s="11">
        <v>-0.22252093395631434</v>
      </c>
      <c r="W3098" s="11">
        <v>-0.89357901982399524</v>
      </c>
      <c r="X3098" s="11">
        <v>0.44890593149387981</v>
      </c>
      <c r="Y3098">
        <v>0</v>
      </c>
      <c r="Z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6">
        <v>45959</v>
      </c>
      <c r="B3099" t="s">
        <v>36</v>
      </c>
      <c r="C3099" t="s">
        <v>37</v>
      </c>
      <c r="D3099" t="s">
        <v>38</v>
      </c>
      <c r="E3099" t="s">
        <v>39</v>
      </c>
      <c r="F3099">
        <v>125</v>
      </c>
      <c r="G3099">
        <v>320</v>
      </c>
      <c r="H3099">
        <v>163</v>
      </c>
      <c r="I3099">
        <v>69</v>
      </c>
      <c r="J3099" s="8">
        <v>0.55200000000000005</v>
      </c>
      <c r="K3099">
        <v>37</v>
      </c>
      <c r="L3099">
        <v>26</v>
      </c>
      <c r="M3099">
        <v>133</v>
      </c>
      <c r="N3099" s="10">
        <v>646.54999999999995</v>
      </c>
      <c r="O3099" s="7">
        <v>0.5</v>
      </c>
      <c r="P3099" s="7">
        <v>28.6</v>
      </c>
      <c r="Q3099">
        <v>2</v>
      </c>
      <c r="R3099" t="s">
        <v>64</v>
      </c>
      <c r="S3099">
        <v>10</v>
      </c>
      <c r="T3099">
        <v>302</v>
      </c>
      <c r="U3099" s="11">
        <v>0.97492791218182362</v>
      </c>
      <c r="V3099" s="11">
        <v>-0.22252093395631434</v>
      </c>
      <c r="W3099" s="11">
        <v>-0.89357901982399524</v>
      </c>
      <c r="X3099" s="11">
        <v>0.44890593149387981</v>
      </c>
      <c r="Y3099">
        <v>0</v>
      </c>
      <c r="Z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6">
        <v>45959</v>
      </c>
      <c r="B3100" t="s">
        <v>41</v>
      </c>
      <c r="C3100" t="s">
        <v>42</v>
      </c>
      <c r="D3100" t="s">
        <v>43</v>
      </c>
      <c r="E3100" t="s">
        <v>44</v>
      </c>
      <c r="F3100">
        <v>85</v>
      </c>
      <c r="G3100">
        <v>210</v>
      </c>
      <c r="H3100">
        <v>116</v>
      </c>
      <c r="I3100">
        <v>53</v>
      </c>
      <c r="J3100" s="8">
        <v>0.62352941176470589</v>
      </c>
      <c r="K3100">
        <v>23</v>
      </c>
      <c r="L3100">
        <v>17</v>
      </c>
      <c r="M3100">
        <v>101</v>
      </c>
      <c r="N3100" s="10">
        <v>492.37</v>
      </c>
      <c r="O3100" s="7">
        <v>0.5</v>
      </c>
      <c r="P3100" s="7">
        <v>28.6</v>
      </c>
      <c r="Q3100">
        <v>2</v>
      </c>
      <c r="R3100" t="s">
        <v>64</v>
      </c>
      <c r="S3100">
        <v>10</v>
      </c>
      <c r="T3100">
        <v>302</v>
      </c>
      <c r="U3100" s="11">
        <v>0.97492791218182362</v>
      </c>
      <c r="V3100" s="11">
        <v>-0.22252093395631434</v>
      </c>
      <c r="W3100" s="11">
        <v>-0.89357901982399524</v>
      </c>
      <c r="X3100" s="11">
        <v>0.44890593149387981</v>
      </c>
      <c r="Y3100">
        <v>0</v>
      </c>
      <c r="Z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6">
        <v>45960</v>
      </c>
      <c r="B3101" t="s">
        <v>31</v>
      </c>
      <c r="C3101" t="s">
        <v>32</v>
      </c>
      <c r="D3101" t="s">
        <v>33</v>
      </c>
      <c r="E3101" t="s">
        <v>34</v>
      </c>
      <c r="F3101">
        <v>140</v>
      </c>
      <c r="G3101">
        <v>360</v>
      </c>
      <c r="H3101">
        <v>198</v>
      </c>
      <c r="I3101">
        <v>83</v>
      </c>
      <c r="J3101" s="8">
        <v>0.59285714285714286</v>
      </c>
      <c r="K3101">
        <v>46</v>
      </c>
      <c r="L3101">
        <v>23</v>
      </c>
      <c r="M3101">
        <v>159</v>
      </c>
      <c r="N3101" s="10">
        <v>463.44</v>
      </c>
      <c r="O3101" s="7">
        <v>1.4</v>
      </c>
      <c r="P3101" s="7">
        <v>30.3</v>
      </c>
      <c r="Q3101">
        <v>3</v>
      </c>
      <c r="R3101" t="s">
        <v>65</v>
      </c>
      <c r="S3101">
        <v>10</v>
      </c>
      <c r="T3101">
        <v>303</v>
      </c>
      <c r="U3101" s="11">
        <v>0.43388373911755823</v>
      </c>
      <c r="V3101" s="11">
        <v>-0.90096886790241903</v>
      </c>
      <c r="W3101" s="11">
        <v>-0.88572491838356371</v>
      </c>
      <c r="X3101" s="11">
        <v>0.46421047915189229</v>
      </c>
      <c r="Y3101">
        <v>0</v>
      </c>
      <c r="Z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6">
        <v>45960</v>
      </c>
      <c r="B3102" t="s">
        <v>36</v>
      </c>
      <c r="C3102" t="s">
        <v>37</v>
      </c>
      <c r="D3102" t="s">
        <v>38</v>
      </c>
      <c r="E3102" t="s">
        <v>39</v>
      </c>
      <c r="F3102">
        <v>125</v>
      </c>
      <c r="G3102">
        <v>320</v>
      </c>
      <c r="H3102">
        <v>148</v>
      </c>
      <c r="I3102">
        <v>64</v>
      </c>
      <c r="J3102" s="8">
        <v>0.51200000000000001</v>
      </c>
      <c r="K3102">
        <v>38</v>
      </c>
      <c r="L3102">
        <v>21</v>
      </c>
      <c r="M3102">
        <v>123</v>
      </c>
      <c r="N3102" s="10">
        <v>594.07000000000005</v>
      </c>
      <c r="O3102" s="7">
        <v>1.4</v>
      </c>
      <c r="P3102" s="7">
        <v>30.3</v>
      </c>
      <c r="Q3102">
        <v>3</v>
      </c>
      <c r="R3102" t="s">
        <v>65</v>
      </c>
      <c r="S3102">
        <v>10</v>
      </c>
      <c r="T3102">
        <v>303</v>
      </c>
      <c r="U3102" s="11">
        <v>0.43388373911755823</v>
      </c>
      <c r="V3102" s="11">
        <v>-0.90096886790241903</v>
      </c>
      <c r="W3102" s="11">
        <v>-0.88572491838356371</v>
      </c>
      <c r="X3102" s="11">
        <v>0.46421047915189229</v>
      </c>
      <c r="Y3102">
        <v>0</v>
      </c>
      <c r="Z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6">
        <v>45960</v>
      </c>
      <c r="B3103" t="s">
        <v>41</v>
      </c>
      <c r="C3103" t="s">
        <v>42</v>
      </c>
      <c r="D3103" t="s">
        <v>43</v>
      </c>
      <c r="E3103" t="s">
        <v>44</v>
      </c>
      <c r="F3103">
        <v>85</v>
      </c>
      <c r="G3103">
        <v>210</v>
      </c>
      <c r="H3103">
        <v>118</v>
      </c>
      <c r="I3103">
        <v>51</v>
      </c>
      <c r="J3103" s="8">
        <v>0.6</v>
      </c>
      <c r="K3103">
        <v>18</v>
      </c>
      <c r="L3103">
        <v>15</v>
      </c>
      <c r="M3103">
        <v>99</v>
      </c>
      <c r="N3103" s="10">
        <v>576.96</v>
      </c>
      <c r="O3103" s="7">
        <v>1.4</v>
      </c>
      <c r="P3103" s="7">
        <v>30.3</v>
      </c>
      <c r="Q3103">
        <v>3</v>
      </c>
      <c r="R3103" t="s">
        <v>65</v>
      </c>
      <c r="S3103">
        <v>10</v>
      </c>
      <c r="T3103">
        <v>303</v>
      </c>
      <c r="U3103" s="11">
        <v>0.43388373911755823</v>
      </c>
      <c r="V3103" s="11">
        <v>-0.90096886790241903</v>
      </c>
      <c r="W3103" s="11">
        <v>-0.88572491838356371</v>
      </c>
      <c r="X3103" s="11">
        <v>0.46421047915189229</v>
      </c>
      <c r="Y3103">
        <v>0</v>
      </c>
      <c r="Z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6">
        <v>45961</v>
      </c>
      <c r="B3104" t="s">
        <v>31</v>
      </c>
      <c r="C3104" t="s">
        <v>32</v>
      </c>
      <c r="D3104" t="s">
        <v>33</v>
      </c>
      <c r="E3104" t="s">
        <v>34</v>
      </c>
      <c r="F3104">
        <v>140</v>
      </c>
      <c r="G3104">
        <v>360</v>
      </c>
      <c r="H3104">
        <v>162</v>
      </c>
      <c r="I3104">
        <v>68</v>
      </c>
      <c r="J3104" s="8">
        <v>0.48571428571428571</v>
      </c>
      <c r="K3104">
        <v>45</v>
      </c>
      <c r="L3104">
        <v>35</v>
      </c>
      <c r="M3104">
        <v>150</v>
      </c>
      <c r="N3104" s="10">
        <v>422.45</v>
      </c>
      <c r="O3104" s="7">
        <v>1.2</v>
      </c>
      <c r="P3104" s="7">
        <v>29.1</v>
      </c>
      <c r="Q3104">
        <v>4</v>
      </c>
      <c r="R3104" t="s">
        <v>66</v>
      </c>
      <c r="S3104">
        <v>10</v>
      </c>
      <c r="T3104">
        <v>304</v>
      </c>
      <c r="U3104" s="11">
        <v>-0.43388373911755801</v>
      </c>
      <c r="V3104" s="11">
        <v>-0.90096886790241915</v>
      </c>
      <c r="W3104" s="11">
        <v>-0.8776087166898392</v>
      </c>
      <c r="X3104" s="11">
        <v>0.47937765946069449</v>
      </c>
      <c r="Y3104">
        <v>0</v>
      </c>
      <c r="Z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6">
        <v>45961</v>
      </c>
      <c r="B3105" t="s">
        <v>36</v>
      </c>
      <c r="C3105" t="s">
        <v>37</v>
      </c>
      <c r="D3105" t="s">
        <v>38</v>
      </c>
      <c r="E3105" t="s">
        <v>39</v>
      </c>
      <c r="F3105">
        <v>125</v>
      </c>
      <c r="G3105">
        <v>320</v>
      </c>
      <c r="H3105">
        <v>150</v>
      </c>
      <c r="I3105">
        <v>62</v>
      </c>
      <c r="J3105" s="8">
        <v>0.496</v>
      </c>
      <c r="K3105">
        <v>33</v>
      </c>
      <c r="L3105">
        <v>31</v>
      </c>
      <c r="M3105">
        <v>137</v>
      </c>
      <c r="N3105" s="10">
        <v>573.83000000000004</v>
      </c>
      <c r="O3105" s="7">
        <v>1.2</v>
      </c>
      <c r="P3105" s="7">
        <v>29.1</v>
      </c>
      <c r="Q3105">
        <v>4</v>
      </c>
      <c r="R3105" t="s">
        <v>66</v>
      </c>
      <c r="S3105">
        <v>10</v>
      </c>
      <c r="T3105">
        <v>304</v>
      </c>
      <c r="U3105" s="11">
        <v>-0.43388373911755801</v>
      </c>
      <c r="V3105" s="11">
        <v>-0.90096886790241915</v>
      </c>
      <c r="W3105" s="11">
        <v>-0.8776087166898392</v>
      </c>
      <c r="X3105" s="11">
        <v>0.47937765946069449</v>
      </c>
      <c r="Y3105">
        <v>0</v>
      </c>
      <c r="Z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6">
        <v>45961</v>
      </c>
      <c r="B3106" t="s">
        <v>41</v>
      </c>
      <c r="C3106" t="s">
        <v>42</v>
      </c>
      <c r="D3106" t="s">
        <v>43</v>
      </c>
      <c r="E3106" t="s">
        <v>44</v>
      </c>
      <c r="F3106">
        <v>85</v>
      </c>
      <c r="G3106">
        <v>210</v>
      </c>
      <c r="H3106">
        <v>126</v>
      </c>
      <c r="I3106">
        <v>54</v>
      </c>
      <c r="J3106" s="8">
        <v>0.63529411764705879</v>
      </c>
      <c r="K3106">
        <v>30</v>
      </c>
      <c r="L3106">
        <v>16</v>
      </c>
      <c r="M3106">
        <v>112</v>
      </c>
      <c r="N3106" s="10">
        <v>503.59</v>
      </c>
      <c r="O3106" s="7">
        <v>1.2</v>
      </c>
      <c r="P3106" s="7">
        <v>29.1</v>
      </c>
      <c r="Q3106">
        <v>4</v>
      </c>
      <c r="R3106" t="s">
        <v>66</v>
      </c>
      <c r="S3106">
        <v>10</v>
      </c>
      <c r="T3106">
        <v>304</v>
      </c>
      <c r="U3106" s="11">
        <v>-0.43388373911755801</v>
      </c>
      <c r="V3106" s="11">
        <v>-0.90096886790241915</v>
      </c>
      <c r="W3106" s="11">
        <v>-0.8776087166898392</v>
      </c>
      <c r="X3106" s="11">
        <v>0.47937765946069449</v>
      </c>
      <c r="Y3106">
        <v>0</v>
      </c>
      <c r="Z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6">
        <v>45962</v>
      </c>
      <c r="B3107" t="s">
        <v>31</v>
      </c>
      <c r="C3107" t="s">
        <v>32</v>
      </c>
      <c r="D3107" t="s">
        <v>33</v>
      </c>
      <c r="E3107" t="s">
        <v>34</v>
      </c>
      <c r="F3107">
        <v>140</v>
      </c>
      <c r="G3107">
        <v>360</v>
      </c>
      <c r="H3107">
        <v>196</v>
      </c>
      <c r="I3107">
        <v>85</v>
      </c>
      <c r="J3107" s="8">
        <v>0.6071428571428571</v>
      </c>
      <c r="K3107">
        <v>35</v>
      </c>
      <c r="L3107">
        <v>44</v>
      </c>
      <c r="M3107">
        <v>171</v>
      </c>
      <c r="N3107" s="10">
        <v>474.68</v>
      </c>
      <c r="O3107" s="7">
        <v>0.1</v>
      </c>
      <c r="P3107" s="7">
        <v>30.1</v>
      </c>
      <c r="Q3107">
        <v>5</v>
      </c>
      <c r="R3107" t="s">
        <v>67</v>
      </c>
      <c r="S3107">
        <v>11</v>
      </c>
      <c r="T3107">
        <v>305</v>
      </c>
      <c r="U3107" s="11">
        <v>-0.97492791218182362</v>
      </c>
      <c r="V3107" s="11">
        <v>-0.22252093395631459</v>
      </c>
      <c r="W3107" s="11">
        <v>-0.86923281645747918</v>
      </c>
      <c r="X3107" s="11">
        <v>0.49440298420761813</v>
      </c>
      <c r="Y3107">
        <v>1</v>
      </c>
      <c r="Z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6">
        <v>45962</v>
      </c>
      <c r="B3108" t="s">
        <v>36</v>
      </c>
      <c r="C3108" t="s">
        <v>37</v>
      </c>
      <c r="D3108" t="s">
        <v>38</v>
      </c>
      <c r="E3108" t="s">
        <v>39</v>
      </c>
      <c r="F3108">
        <v>125</v>
      </c>
      <c r="G3108">
        <v>320</v>
      </c>
      <c r="H3108">
        <v>190</v>
      </c>
      <c r="I3108">
        <v>78</v>
      </c>
      <c r="J3108" s="8">
        <v>0.624</v>
      </c>
      <c r="K3108">
        <v>48</v>
      </c>
      <c r="L3108">
        <v>25</v>
      </c>
      <c r="M3108">
        <v>174</v>
      </c>
      <c r="N3108" s="10">
        <v>748.85</v>
      </c>
      <c r="O3108" s="7">
        <v>0.1</v>
      </c>
      <c r="P3108" s="7">
        <v>30.1</v>
      </c>
      <c r="Q3108">
        <v>5</v>
      </c>
      <c r="R3108" t="s">
        <v>67</v>
      </c>
      <c r="S3108">
        <v>11</v>
      </c>
      <c r="T3108">
        <v>305</v>
      </c>
      <c r="U3108" s="11">
        <v>-0.97492791218182362</v>
      </c>
      <c r="V3108" s="11">
        <v>-0.22252093395631459</v>
      </c>
      <c r="W3108" s="11">
        <v>-0.86923281645747918</v>
      </c>
      <c r="X3108" s="11">
        <v>0.49440298420761813</v>
      </c>
      <c r="Y3108">
        <v>1</v>
      </c>
      <c r="Z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6">
        <v>45962</v>
      </c>
      <c r="B3109" t="s">
        <v>41</v>
      </c>
      <c r="C3109" t="s">
        <v>42</v>
      </c>
      <c r="D3109" t="s">
        <v>43</v>
      </c>
      <c r="E3109" t="s">
        <v>44</v>
      </c>
      <c r="F3109">
        <v>85</v>
      </c>
      <c r="G3109">
        <v>210</v>
      </c>
      <c r="H3109">
        <v>141</v>
      </c>
      <c r="I3109">
        <v>62</v>
      </c>
      <c r="J3109" s="8">
        <v>0.72941176470588232</v>
      </c>
      <c r="K3109">
        <v>21</v>
      </c>
      <c r="L3109">
        <v>28</v>
      </c>
      <c r="M3109">
        <v>113</v>
      </c>
      <c r="N3109" s="10">
        <v>553.72</v>
      </c>
      <c r="O3109" s="7">
        <v>0.1</v>
      </c>
      <c r="P3109" s="7">
        <v>30.1</v>
      </c>
      <c r="Q3109">
        <v>5</v>
      </c>
      <c r="R3109" t="s">
        <v>67</v>
      </c>
      <c r="S3109">
        <v>11</v>
      </c>
      <c r="T3109">
        <v>305</v>
      </c>
      <c r="U3109" s="11">
        <v>-0.97492791218182362</v>
      </c>
      <c r="V3109" s="11">
        <v>-0.22252093395631459</v>
      </c>
      <c r="W3109" s="11">
        <v>-0.86923281645747918</v>
      </c>
      <c r="X3109" s="11">
        <v>0.49440298420761813</v>
      </c>
      <c r="Y3109">
        <v>1</v>
      </c>
      <c r="Z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6">
        <v>45963</v>
      </c>
      <c r="B3110" t="s">
        <v>31</v>
      </c>
      <c r="C3110" t="s">
        <v>32</v>
      </c>
      <c r="D3110" t="s">
        <v>33</v>
      </c>
      <c r="E3110" t="s">
        <v>34</v>
      </c>
      <c r="F3110">
        <v>140</v>
      </c>
      <c r="G3110">
        <v>360</v>
      </c>
      <c r="H3110">
        <v>229</v>
      </c>
      <c r="I3110">
        <v>97</v>
      </c>
      <c r="J3110" s="8">
        <v>0.69285714285714284</v>
      </c>
      <c r="K3110">
        <v>56</v>
      </c>
      <c r="L3110">
        <v>54</v>
      </c>
      <c r="M3110">
        <v>200</v>
      </c>
      <c r="N3110" s="10">
        <v>436.74</v>
      </c>
      <c r="O3110" s="7">
        <v>0</v>
      </c>
      <c r="P3110" s="7">
        <v>28.8</v>
      </c>
      <c r="Q3110">
        <v>6</v>
      </c>
      <c r="R3110" t="s">
        <v>60</v>
      </c>
      <c r="S3110">
        <v>11</v>
      </c>
      <c r="T3110">
        <v>306</v>
      </c>
      <c r="U3110" s="11">
        <v>-0.78183148246802991</v>
      </c>
      <c r="V3110" s="11">
        <v>0.62348980185873337</v>
      </c>
      <c r="W3110" s="11">
        <v>-0.86059969625011812</v>
      </c>
      <c r="X3110" s="11">
        <v>0.50928200715733563</v>
      </c>
      <c r="Y3110">
        <v>1</v>
      </c>
      <c r="Z3110">
        <v>1</v>
      </c>
      <c r="AA3110" t="s">
        <v>74</v>
      </c>
      <c r="AB3110">
        <v>0</v>
      </c>
      <c r="AC3110">
        <v>0</v>
      </c>
      <c r="AD3110">
        <v>0</v>
      </c>
      <c r="AE3110">
        <v>0</v>
      </c>
    </row>
    <row r="3111" spans="1:31">
      <c r="A3111" s="6">
        <v>45963</v>
      </c>
      <c r="B3111" t="s">
        <v>36</v>
      </c>
      <c r="C3111" t="s">
        <v>37</v>
      </c>
      <c r="D3111" t="s">
        <v>38</v>
      </c>
      <c r="E3111" t="s">
        <v>39</v>
      </c>
      <c r="F3111">
        <v>125</v>
      </c>
      <c r="G3111">
        <v>320</v>
      </c>
      <c r="H3111">
        <v>201</v>
      </c>
      <c r="I3111">
        <v>84</v>
      </c>
      <c r="J3111" s="8">
        <v>0.67200000000000004</v>
      </c>
      <c r="K3111">
        <v>32</v>
      </c>
      <c r="L3111">
        <v>22</v>
      </c>
      <c r="M3111">
        <v>185</v>
      </c>
      <c r="N3111" s="10">
        <v>701.5</v>
      </c>
      <c r="O3111" s="7">
        <v>0</v>
      </c>
      <c r="P3111" s="7">
        <v>28.8</v>
      </c>
      <c r="Q3111">
        <v>6</v>
      </c>
      <c r="R3111" t="s">
        <v>60</v>
      </c>
      <c r="S3111">
        <v>11</v>
      </c>
      <c r="T3111">
        <v>306</v>
      </c>
      <c r="U3111" s="11">
        <v>-0.78183148246802991</v>
      </c>
      <c r="V3111" s="11">
        <v>0.62348980185873337</v>
      </c>
      <c r="W3111" s="11">
        <v>-0.86059969625011812</v>
      </c>
      <c r="X3111" s="11">
        <v>0.50928200715733563</v>
      </c>
      <c r="Y3111">
        <v>1</v>
      </c>
      <c r="Z3111">
        <v>1</v>
      </c>
      <c r="AA3111" t="s">
        <v>74</v>
      </c>
      <c r="AB3111">
        <v>0</v>
      </c>
      <c r="AC3111">
        <v>0</v>
      </c>
      <c r="AD3111">
        <v>0</v>
      </c>
      <c r="AE3111">
        <v>0</v>
      </c>
    </row>
    <row r="3112" spans="1:31">
      <c r="A3112" s="6">
        <v>45963</v>
      </c>
      <c r="B3112" t="s">
        <v>41</v>
      </c>
      <c r="C3112" t="s">
        <v>42</v>
      </c>
      <c r="D3112" t="s">
        <v>43</v>
      </c>
      <c r="E3112" t="s">
        <v>44</v>
      </c>
      <c r="F3112">
        <v>85</v>
      </c>
      <c r="G3112">
        <v>210</v>
      </c>
      <c r="H3112">
        <v>163</v>
      </c>
      <c r="I3112">
        <v>68</v>
      </c>
      <c r="J3112" s="8">
        <v>0.8</v>
      </c>
      <c r="K3112">
        <v>26</v>
      </c>
      <c r="L3112">
        <v>30</v>
      </c>
      <c r="M3112">
        <v>147</v>
      </c>
      <c r="N3112" s="10">
        <v>552.25</v>
      </c>
      <c r="O3112" s="7">
        <v>0</v>
      </c>
      <c r="P3112" s="7">
        <v>28.8</v>
      </c>
      <c r="Q3112">
        <v>6</v>
      </c>
      <c r="R3112" t="s">
        <v>60</v>
      </c>
      <c r="S3112">
        <v>11</v>
      </c>
      <c r="T3112">
        <v>306</v>
      </c>
      <c r="U3112" s="11">
        <v>-0.78183148246802991</v>
      </c>
      <c r="V3112" s="11">
        <v>0.62348980185873337</v>
      </c>
      <c r="W3112" s="11">
        <v>-0.86059969625011812</v>
      </c>
      <c r="X3112" s="11">
        <v>0.50928200715733563</v>
      </c>
      <c r="Y3112">
        <v>1</v>
      </c>
      <c r="Z3112">
        <v>1</v>
      </c>
      <c r="AA3112" t="s">
        <v>74</v>
      </c>
      <c r="AB3112">
        <v>0</v>
      </c>
      <c r="AC3112">
        <v>0</v>
      </c>
      <c r="AD3112">
        <v>0</v>
      </c>
      <c r="AE3112">
        <v>0</v>
      </c>
    </row>
    <row r="3113" spans="1:31">
      <c r="A3113" s="6">
        <v>45964</v>
      </c>
      <c r="B3113" t="s">
        <v>31</v>
      </c>
      <c r="C3113" t="s">
        <v>32</v>
      </c>
      <c r="D3113" t="s">
        <v>33</v>
      </c>
      <c r="E3113" t="s">
        <v>34</v>
      </c>
      <c r="F3113">
        <v>140</v>
      </c>
      <c r="G3113">
        <v>360</v>
      </c>
      <c r="H3113">
        <v>188</v>
      </c>
      <c r="I3113">
        <v>83</v>
      </c>
      <c r="J3113" s="8">
        <v>0.59285714285714286</v>
      </c>
      <c r="K3113">
        <v>30</v>
      </c>
      <c r="L3113">
        <v>22</v>
      </c>
      <c r="M3113">
        <v>166</v>
      </c>
      <c r="N3113" s="10">
        <v>456.41</v>
      </c>
      <c r="O3113" s="7">
        <v>1.9</v>
      </c>
      <c r="P3113" s="7">
        <v>30.7</v>
      </c>
      <c r="Q3113">
        <v>0</v>
      </c>
      <c r="R3113" t="s">
        <v>62</v>
      </c>
      <c r="S3113">
        <v>11</v>
      </c>
      <c r="T3113">
        <v>307</v>
      </c>
      <c r="U3113" s="11">
        <v>0</v>
      </c>
      <c r="V3113" s="11">
        <v>1</v>
      </c>
      <c r="W3113" s="11">
        <v>-0.85171191074691888</v>
      </c>
      <c r="X3113" s="11">
        <v>0.52401032536757564</v>
      </c>
      <c r="Y3113">
        <v>0</v>
      </c>
      <c r="Z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6">
        <v>45964</v>
      </c>
      <c r="B3114" t="s">
        <v>36</v>
      </c>
      <c r="C3114" t="s">
        <v>37</v>
      </c>
      <c r="D3114" t="s">
        <v>38</v>
      </c>
      <c r="E3114" t="s">
        <v>39</v>
      </c>
      <c r="F3114">
        <v>125</v>
      </c>
      <c r="G3114">
        <v>320</v>
      </c>
      <c r="H3114">
        <v>162</v>
      </c>
      <c r="I3114">
        <v>67</v>
      </c>
      <c r="J3114" s="8">
        <v>0.53600000000000003</v>
      </c>
      <c r="K3114">
        <v>31</v>
      </c>
      <c r="L3114">
        <v>22</v>
      </c>
      <c r="M3114">
        <v>144</v>
      </c>
      <c r="N3114" s="10">
        <v>641.57000000000005</v>
      </c>
      <c r="O3114" s="7">
        <v>1.9</v>
      </c>
      <c r="P3114" s="7">
        <v>30.7</v>
      </c>
      <c r="Q3114">
        <v>0</v>
      </c>
      <c r="R3114" t="s">
        <v>62</v>
      </c>
      <c r="S3114">
        <v>11</v>
      </c>
      <c r="T3114">
        <v>307</v>
      </c>
      <c r="U3114" s="11">
        <v>0</v>
      </c>
      <c r="V3114" s="11">
        <v>1</v>
      </c>
      <c r="W3114" s="11">
        <v>-0.85171191074691888</v>
      </c>
      <c r="X3114" s="11">
        <v>0.52401032536757564</v>
      </c>
      <c r="Y3114">
        <v>0</v>
      </c>
      <c r="Z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6">
        <v>45964</v>
      </c>
      <c r="B3115" t="s">
        <v>41</v>
      </c>
      <c r="C3115" t="s">
        <v>42</v>
      </c>
      <c r="D3115" t="s">
        <v>43</v>
      </c>
      <c r="E3115" t="s">
        <v>44</v>
      </c>
      <c r="F3115">
        <v>85</v>
      </c>
      <c r="G3115">
        <v>210</v>
      </c>
      <c r="H3115">
        <v>108</v>
      </c>
      <c r="I3115">
        <v>50</v>
      </c>
      <c r="J3115" s="8">
        <v>0.58823529411764708</v>
      </c>
      <c r="K3115">
        <v>21</v>
      </c>
      <c r="L3115">
        <v>23</v>
      </c>
      <c r="M3115">
        <v>96</v>
      </c>
      <c r="N3115" s="10">
        <v>500.65</v>
      </c>
      <c r="O3115" s="7">
        <v>1.9</v>
      </c>
      <c r="P3115" s="7">
        <v>30.7</v>
      </c>
      <c r="Q3115">
        <v>0</v>
      </c>
      <c r="R3115" t="s">
        <v>62</v>
      </c>
      <c r="S3115">
        <v>11</v>
      </c>
      <c r="T3115">
        <v>307</v>
      </c>
      <c r="U3115" s="11">
        <v>0</v>
      </c>
      <c r="V3115" s="11">
        <v>1</v>
      </c>
      <c r="W3115" s="11">
        <v>-0.85171191074691888</v>
      </c>
      <c r="X3115" s="11">
        <v>0.52401032536757564</v>
      </c>
      <c r="Y3115">
        <v>0</v>
      </c>
      <c r="Z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6">
        <v>45965</v>
      </c>
      <c r="B3116" t="s">
        <v>31</v>
      </c>
      <c r="C3116" t="s">
        <v>32</v>
      </c>
      <c r="D3116" t="s">
        <v>33</v>
      </c>
      <c r="E3116" t="s">
        <v>34</v>
      </c>
      <c r="F3116">
        <v>140</v>
      </c>
      <c r="G3116">
        <v>360</v>
      </c>
      <c r="H3116">
        <v>190</v>
      </c>
      <c r="I3116">
        <v>81</v>
      </c>
      <c r="J3116" s="8">
        <v>0.57857142857142863</v>
      </c>
      <c r="K3116">
        <v>41</v>
      </c>
      <c r="L3116">
        <v>42</v>
      </c>
      <c r="M3116">
        <v>175</v>
      </c>
      <c r="N3116" s="10">
        <v>412.15</v>
      </c>
      <c r="O3116" s="7">
        <v>0.1</v>
      </c>
      <c r="P3116" s="7">
        <v>29.6</v>
      </c>
      <c r="Q3116">
        <v>1</v>
      </c>
      <c r="R3116" t="s">
        <v>63</v>
      </c>
      <c r="S3116">
        <v>11</v>
      </c>
      <c r="T3116">
        <v>308</v>
      </c>
      <c r="U3116" s="11">
        <v>0.7818314824680298</v>
      </c>
      <c r="V3116" s="11">
        <v>0.62348980185873359</v>
      </c>
      <c r="W3116" s="11">
        <v>-0.84257208998660316</v>
      </c>
      <c r="X3116" s="11">
        <v>0.53858358049202315</v>
      </c>
      <c r="Y3116">
        <v>0</v>
      </c>
      <c r="Z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6">
        <v>45965</v>
      </c>
      <c r="B3117" t="s">
        <v>36</v>
      </c>
      <c r="C3117" t="s">
        <v>37</v>
      </c>
      <c r="D3117" t="s">
        <v>38</v>
      </c>
      <c r="E3117" t="s">
        <v>39</v>
      </c>
      <c r="F3117">
        <v>125</v>
      </c>
      <c r="G3117">
        <v>320</v>
      </c>
      <c r="H3117">
        <v>168</v>
      </c>
      <c r="I3117">
        <v>71</v>
      </c>
      <c r="J3117" s="8">
        <v>0.56799999999999995</v>
      </c>
      <c r="K3117">
        <v>32</v>
      </c>
      <c r="L3117">
        <v>38</v>
      </c>
      <c r="M3117">
        <v>155</v>
      </c>
      <c r="N3117" s="10">
        <v>647.65</v>
      </c>
      <c r="O3117" s="7">
        <v>0.1</v>
      </c>
      <c r="P3117" s="7">
        <v>29.6</v>
      </c>
      <c r="Q3117">
        <v>1</v>
      </c>
      <c r="R3117" t="s">
        <v>63</v>
      </c>
      <c r="S3117">
        <v>11</v>
      </c>
      <c r="T3117">
        <v>308</v>
      </c>
      <c r="U3117" s="11">
        <v>0.7818314824680298</v>
      </c>
      <c r="V3117" s="11">
        <v>0.62348980185873359</v>
      </c>
      <c r="W3117" s="11">
        <v>-0.84257208998660316</v>
      </c>
      <c r="X3117" s="11">
        <v>0.53858358049202315</v>
      </c>
      <c r="Y3117">
        <v>0</v>
      </c>
      <c r="Z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6">
        <v>45965</v>
      </c>
      <c r="B3118" t="s">
        <v>41</v>
      </c>
      <c r="C3118" t="s">
        <v>42</v>
      </c>
      <c r="D3118" t="s">
        <v>43</v>
      </c>
      <c r="E3118" t="s">
        <v>44</v>
      </c>
      <c r="F3118">
        <v>85</v>
      </c>
      <c r="G3118">
        <v>210</v>
      </c>
      <c r="H3118">
        <v>119</v>
      </c>
      <c r="I3118">
        <v>51</v>
      </c>
      <c r="J3118" s="8">
        <v>0.6</v>
      </c>
      <c r="K3118">
        <v>19</v>
      </c>
      <c r="L3118">
        <v>20</v>
      </c>
      <c r="M3118">
        <v>105</v>
      </c>
      <c r="N3118" s="10">
        <v>488.97</v>
      </c>
      <c r="O3118" s="7">
        <v>0.1</v>
      </c>
      <c r="P3118" s="7">
        <v>29.6</v>
      </c>
      <c r="Q3118">
        <v>1</v>
      </c>
      <c r="R3118" t="s">
        <v>63</v>
      </c>
      <c r="S3118">
        <v>11</v>
      </c>
      <c r="T3118">
        <v>308</v>
      </c>
      <c r="U3118" s="11">
        <v>0.7818314824680298</v>
      </c>
      <c r="V3118" s="11">
        <v>0.62348980185873359</v>
      </c>
      <c r="W3118" s="11">
        <v>-0.84257208998660316</v>
      </c>
      <c r="X3118" s="11">
        <v>0.53858358049202315</v>
      </c>
      <c r="Y3118">
        <v>0</v>
      </c>
      <c r="Z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6">
        <v>45966</v>
      </c>
      <c r="B3119" t="s">
        <v>31</v>
      </c>
      <c r="C3119" t="s">
        <v>32</v>
      </c>
      <c r="D3119" t="s">
        <v>33</v>
      </c>
      <c r="E3119" t="s">
        <v>34</v>
      </c>
      <c r="F3119">
        <v>140</v>
      </c>
      <c r="G3119">
        <v>360</v>
      </c>
      <c r="H3119">
        <v>189</v>
      </c>
      <c r="I3119">
        <v>81</v>
      </c>
      <c r="J3119" s="8">
        <v>0.57857142857142863</v>
      </c>
      <c r="K3119">
        <v>41</v>
      </c>
      <c r="L3119">
        <v>24</v>
      </c>
      <c r="M3119">
        <v>175</v>
      </c>
      <c r="N3119" s="10">
        <v>390.54</v>
      </c>
      <c r="O3119" s="7">
        <v>0</v>
      </c>
      <c r="P3119" s="7">
        <v>29.3</v>
      </c>
      <c r="Q3119">
        <v>2</v>
      </c>
      <c r="R3119" t="s">
        <v>64</v>
      </c>
      <c r="S3119">
        <v>11</v>
      </c>
      <c r="T3119">
        <v>309</v>
      </c>
      <c r="U3119" s="11">
        <v>0.97492791218182362</v>
      </c>
      <c r="V3119" s="11">
        <v>-0.22252093395631434</v>
      </c>
      <c r="W3119" s="11">
        <v>-0.83318293858917847</v>
      </c>
      <c r="X3119" s="11">
        <v>0.55299746007002715</v>
      </c>
      <c r="Y3119">
        <v>0</v>
      </c>
      <c r="Z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6">
        <v>45966</v>
      </c>
      <c r="B3120" t="s">
        <v>36</v>
      </c>
      <c r="C3120" t="s">
        <v>37</v>
      </c>
      <c r="D3120" t="s">
        <v>38</v>
      </c>
      <c r="E3120" t="s">
        <v>39</v>
      </c>
      <c r="F3120">
        <v>125</v>
      </c>
      <c r="G3120">
        <v>320</v>
      </c>
      <c r="H3120">
        <v>157</v>
      </c>
      <c r="I3120">
        <v>68</v>
      </c>
      <c r="J3120" s="8">
        <v>0.54400000000000004</v>
      </c>
      <c r="K3120">
        <v>26</v>
      </c>
      <c r="L3120">
        <v>27</v>
      </c>
      <c r="M3120">
        <v>135</v>
      </c>
      <c r="N3120" s="10">
        <v>572.34</v>
      </c>
      <c r="O3120" s="7">
        <v>0</v>
      </c>
      <c r="P3120" s="7">
        <v>29.3</v>
      </c>
      <c r="Q3120">
        <v>2</v>
      </c>
      <c r="R3120" t="s">
        <v>64</v>
      </c>
      <c r="S3120">
        <v>11</v>
      </c>
      <c r="T3120">
        <v>309</v>
      </c>
      <c r="U3120" s="11">
        <v>0.97492791218182362</v>
      </c>
      <c r="V3120" s="11">
        <v>-0.22252093395631434</v>
      </c>
      <c r="W3120" s="11">
        <v>-0.83318293858917847</v>
      </c>
      <c r="X3120" s="11">
        <v>0.55299746007002715</v>
      </c>
      <c r="Y3120">
        <v>0</v>
      </c>
      <c r="Z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6">
        <v>45966</v>
      </c>
      <c r="B3121" t="s">
        <v>41</v>
      </c>
      <c r="C3121" t="s">
        <v>42</v>
      </c>
      <c r="D3121" t="s">
        <v>43</v>
      </c>
      <c r="E3121" t="s">
        <v>44</v>
      </c>
      <c r="F3121">
        <v>85</v>
      </c>
      <c r="G3121">
        <v>210</v>
      </c>
      <c r="H3121">
        <v>118</v>
      </c>
      <c r="I3121">
        <v>53</v>
      </c>
      <c r="J3121" s="8">
        <v>0.62352941176470589</v>
      </c>
      <c r="K3121">
        <v>26</v>
      </c>
      <c r="L3121">
        <v>22</v>
      </c>
      <c r="M3121">
        <v>110</v>
      </c>
      <c r="N3121" s="10">
        <v>508.28</v>
      </c>
      <c r="O3121" s="7">
        <v>0</v>
      </c>
      <c r="P3121" s="7">
        <v>29.3</v>
      </c>
      <c r="Q3121">
        <v>2</v>
      </c>
      <c r="R3121" t="s">
        <v>64</v>
      </c>
      <c r="S3121">
        <v>11</v>
      </c>
      <c r="T3121">
        <v>309</v>
      </c>
      <c r="U3121" s="11">
        <v>0.97492791218182362</v>
      </c>
      <c r="V3121" s="11">
        <v>-0.22252093395631434</v>
      </c>
      <c r="W3121" s="11">
        <v>-0.83318293858917847</v>
      </c>
      <c r="X3121" s="11">
        <v>0.55299746007002715</v>
      </c>
      <c r="Y3121">
        <v>0</v>
      </c>
      <c r="Z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6">
        <v>45967</v>
      </c>
      <c r="B3122" t="s">
        <v>31</v>
      </c>
      <c r="C3122" t="s">
        <v>32</v>
      </c>
      <c r="D3122" t="s">
        <v>33</v>
      </c>
      <c r="E3122" t="s">
        <v>34</v>
      </c>
      <c r="F3122">
        <v>140</v>
      </c>
      <c r="G3122">
        <v>360</v>
      </c>
      <c r="H3122">
        <v>182</v>
      </c>
      <c r="I3122">
        <v>78</v>
      </c>
      <c r="J3122" s="8">
        <v>0.55714285714285716</v>
      </c>
      <c r="K3122">
        <v>47</v>
      </c>
      <c r="L3122">
        <v>37</v>
      </c>
      <c r="M3122">
        <v>164</v>
      </c>
      <c r="N3122" s="10">
        <v>427.22</v>
      </c>
      <c r="O3122" s="7">
        <v>0</v>
      </c>
      <c r="P3122" s="7">
        <v>29.6</v>
      </c>
      <c r="Q3122">
        <v>3</v>
      </c>
      <c r="R3122" t="s">
        <v>65</v>
      </c>
      <c r="S3122">
        <v>11</v>
      </c>
      <c r="T3122">
        <v>310</v>
      </c>
      <c r="U3122" s="11">
        <v>0.43388373911755823</v>
      </c>
      <c r="V3122" s="11">
        <v>-0.90096886790241903</v>
      </c>
      <c r="W3122" s="11">
        <v>-0.82354723495560067</v>
      </c>
      <c r="X3122" s="11">
        <v>0.56724769880272286</v>
      </c>
      <c r="Y3122">
        <v>0</v>
      </c>
      <c r="Z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6">
        <v>45967</v>
      </c>
      <c r="B3123" t="s">
        <v>36</v>
      </c>
      <c r="C3123" t="s">
        <v>37</v>
      </c>
      <c r="D3123" t="s">
        <v>38</v>
      </c>
      <c r="E3123" t="s">
        <v>39</v>
      </c>
      <c r="F3123">
        <v>125</v>
      </c>
      <c r="G3123">
        <v>320</v>
      </c>
      <c r="H3123">
        <v>131</v>
      </c>
      <c r="I3123">
        <v>57</v>
      </c>
      <c r="J3123" s="8">
        <v>0.45600000000000002</v>
      </c>
      <c r="K3123">
        <v>15</v>
      </c>
      <c r="L3123">
        <v>16</v>
      </c>
      <c r="M3123">
        <v>122</v>
      </c>
      <c r="N3123" s="10">
        <v>630.9</v>
      </c>
      <c r="O3123" s="7">
        <v>0</v>
      </c>
      <c r="P3123" s="7">
        <v>29.6</v>
      </c>
      <c r="Q3123">
        <v>3</v>
      </c>
      <c r="R3123" t="s">
        <v>65</v>
      </c>
      <c r="S3123">
        <v>11</v>
      </c>
      <c r="T3123">
        <v>310</v>
      </c>
      <c r="U3123" s="11">
        <v>0.43388373911755823</v>
      </c>
      <c r="V3123" s="11">
        <v>-0.90096886790241903</v>
      </c>
      <c r="W3123" s="11">
        <v>-0.82354723495560067</v>
      </c>
      <c r="X3123" s="11">
        <v>0.56724769880272286</v>
      </c>
      <c r="Y3123">
        <v>0</v>
      </c>
      <c r="Z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6">
        <v>45967</v>
      </c>
      <c r="B3124" t="s">
        <v>41</v>
      </c>
      <c r="C3124" t="s">
        <v>42</v>
      </c>
      <c r="D3124" t="s">
        <v>43</v>
      </c>
      <c r="E3124" t="s">
        <v>44</v>
      </c>
      <c r="F3124">
        <v>85</v>
      </c>
      <c r="G3124">
        <v>210</v>
      </c>
      <c r="H3124">
        <v>115</v>
      </c>
      <c r="I3124">
        <v>51</v>
      </c>
      <c r="J3124" s="8">
        <v>0.6</v>
      </c>
      <c r="K3124">
        <v>36</v>
      </c>
      <c r="L3124">
        <v>20</v>
      </c>
      <c r="M3124">
        <v>103</v>
      </c>
      <c r="N3124" s="10">
        <v>564.76</v>
      </c>
      <c r="O3124" s="7">
        <v>0</v>
      </c>
      <c r="P3124" s="7">
        <v>29.6</v>
      </c>
      <c r="Q3124">
        <v>3</v>
      </c>
      <c r="R3124" t="s">
        <v>65</v>
      </c>
      <c r="S3124">
        <v>11</v>
      </c>
      <c r="T3124">
        <v>310</v>
      </c>
      <c r="U3124" s="11">
        <v>0.43388373911755823</v>
      </c>
      <c r="V3124" s="11">
        <v>-0.90096886790241903</v>
      </c>
      <c r="W3124" s="11">
        <v>-0.82354723495560067</v>
      </c>
      <c r="X3124" s="11">
        <v>0.56724769880272286</v>
      </c>
      <c r="Y3124">
        <v>0</v>
      </c>
      <c r="Z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6">
        <v>45968</v>
      </c>
      <c r="B3125" t="s">
        <v>31</v>
      </c>
      <c r="C3125" t="s">
        <v>32</v>
      </c>
      <c r="D3125" t="s">
        <v>33</v>
      </c>
      <c r="E3125" t="s">
        <v>34</v>
      </c>
      <c r="F3125">
        <v>140</v>
      </c>
      <c r="G3125">
        <v>360</v>
      </c>
      <c r="H3125">
        <v>184</v>
      </c>
      <c r="I3125">
        <v>76</v>
      </c>
      <c r="J3125" s="8">
        <v>0.54285714285714282</v>
      </c>
      <c r="K3125">
        <v>42</v>
      </c>
      <c r="L3125">
        <v>30</v>
      </c>
      <c r="M3125">
        <v>158</v>
      </c>
      <c r="N3125" s="10">
        <v>453.61</v>
      </c>
      <c r="O3125" s="7">
        <v>7.1</v>
      </c>
      <c r="P3125" s="7">
        <v>29.4</v>
      </c>
      <c r="Q3125">
        <v>4</v>
      </c>
      <c r="R3125" t="s">
        <v>66</v>
      </c>
      <c r="S3125">
        <v>11</v>
      </c>
      <c r="T3125">
        <v>311</v>
      </c>
      <c r="U3125" s="11">
        <v>-0.43388373911755801</v>
      </c>
      <c r="V3125" s="11">
        <v>-0.90096886790241915</v>
      </c>
      <c r="W3125" s="11">
        <v>-0.81366783044559909</v>
      </c>
      <c r="X3125" s="11">
        <v>0.58133007981520424</v>
      </c>
      <c r="Y3125">
        <v>0</v>
      </c>
      <c r="Z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6">
        <v>45968</v>
      </c>
      <c r="B3126" t="s">
        <v>36</v>
      </c>
      <c r="C3126" t="s">
        <v>37</v>
      </c>
      <c r="D3126" t="s">
        <v>38</v>
      </c>
      <c r="E3126" t="s">
        <v>39</v>
      </c>
      <c r="F3126">
        <v>125</v>
      </c>
      <c r="G3126">
        <v>320</v>
      </c>
      <c r="H3126">
        <v>150</v>
      </c>
      <c r="I3126">
        <v>63</v>
      </c>
      <c r="J3126" s="8">
        <v>0.504</v>
      </c>
      <c r="K3126">
        <v>37</v>
      </c>
      <c r="L3126">
        <v>27</v>
      </c>
      <c r="M3126">
        <v>133</v>
      </c>
      <c r="N3126" s="10">
        <v>641.30999999999995</v>
      </c>
      <c r="O3126" s="7">
        <v>7.1</v>
      </c>
      <c r="P3126" s="7">
        <v>29.4</v>
      </c>
      <c r="Q3126">
        <v>4</v>
      </c>
      <c r="R3126" t="s">
        <v>66</v>
      </c>
      <c r="S3126">
        <v>11</v>
      </c>
      <c r="T3126">
        <v>311</v>
      </c>
      <c r="U3126" s="11">
        <v>-0.43388373911755801</v>
      </c>
      <c r="V3126" s="11">
        <v>-0.90096886790241915</v>
      </c>
      <c r="W3126" s="11">
        <v>-0.81366783044559909</v>
      </c>
      <c r="X3126" s="11">
        <v>0.58133007981520424</v>
      </c>
      <c r="Y3126">
        <v>0</v>
      </c>
      <c r="Z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6">
        <v>45968</v>
      </c>
      <c r="B3127" t="s">
        <v>41</v>
      </c>
      <c r="C3127" t="s">
        <v>42</v>
      </c>
      <c r="D3127" t="s">
        <v>43</v>
      </c>
      <c r="E3127" t="s">
        <v>44</v>
      </c>
      <c r="F3127">
        <v>85</v>
      </c>
      <c r="G3127">
        <v>210</v>
      </c>
      <c r="H3127">
        <v>125</v>
      </c>
      <c r="I3127">
        <v>55</v>
      </c>
      <c r="J3127" s="8">
        <v>0.6470588235294118</v>
      </c>
      <c r="K3127">
        <v>28</v>
      </c>
      <c r="L3127">
        <v>12</v>
      </c>
      <c r="M3127">
        <v>114</v>
      </c>
      <c r="N3127" s="10">
        <v>480.02</v>
      </c>
      <c r="O3127" s="7">
        <v>7.1</v>
      </c>
      <c r="P3127" s="7">
        <v>29.4</v>
      </c>
      <c r="Q3127">
        <v>4</v>
      </c>
      <c r="R3127" t="s">
        <v>66</v>
      </c>
      <c r="S3127">
        <v>11</v>
      </c>
      <c r="T3127">
        <v>311</v>
      </c>
      <c r="U3127" s="11">
        <v>-0.43388373911755801</v>
      </c>
      <c r="V3127" s="11">
        <v>-0.90096886790241915</v>
      </c>
      <c r="W3127" s="11">
        <v>-0.81366783044559909</v>
      </c>
      <c r="X3127" s="11">
        <v>0.58133007981520424</v>
      </c>
      <c r="Y3127">
        <v>0</v>
      </c>
      <c r="Z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6">
        <v>45969</v>
      </c>
      <c r="B3128" t="s">
        <v>31</v>
      </c>
      <c r="C3128" t="s">
        <v>32</v>
      </c>
      <c r="D3128" t="s">
        <v>33</v>
      </c>
      <c r="E3128" t="s">
        <v>34</v>
      </c>
      <c r="F3128">
        <v>140</v>
      </c>
      <c r="G3128">
        <v>360</v>
      </c>
      <c r="H3128">
        <v>218</v>
      </c>
      <c r="I3128">
        <v>93</v>
      </c>
      <c r="J3128" s="8">
        <v>0.66428571428571426</v>
      </c>
      <c r="K3128">
        <v>59</v>
      </c>
      <c r="L3128">
        <v>27</v>
      </c>
      <c r="M3128">
        <v>200</v>
      </c>
      <c r="N3128" s="10">
        <v>513.16999999999996</v>
      </c>
      <c r="O3128" s="7">
        <v>0</v>
      </c>
      <c r="P3128" s="7">
        <v>29.1</v>
      </c>
      <c r="Q3128">
        <v>5</v>
      </c>
      <c r="R3128" t="s">
        <v>67</v>
      </c>
      <c r="S3128">
        <v>11</v>
      </c>
      <c r="T3128">
        <v>312</v>
      </c>
      <c r="U3128" s="11">
        <v>-0.97492791218182362</v>
      </c>
      <c r="V3128" s="11">
        <v>-0.22252093395631459</v>
      </c>
      <c r="W3128" s="11">
        <v>-0.80354764853391158</v>
      </c>
      <c r="X3128" s="11">
        <v>0.59524043590436737</v>
      </c>
      <c r="Y3128">
        <v>1</v>
      </c>
      <c r="Z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6">
        <v>45969</v>
      </c>
      <c r="B3129" t="s">
        <v>36</v>
      </c>
      <c r="C3129" t="s">
        <v>37</v>
      </c>
      <c r="D3129" t="s">
        <v>38</v>
      </c>
      <c r="E3129" t="s">
        <v>39</v>
      </c>
      <c r="F3129">
        <v>125</v>
      </c>
      <c r="G3129">
        <v>320</v>
      </c>
      <c r="H3129">
        <v>206</v>
      </c>
      <c r="I3129">
        <v>85</v>
      </c>
      <c r="J3129" s="8">
        <v>0.68</v>
      </c>
      <c r="K3129">
        <v>52</v>
      </c>
      <c r="L3129">
        <v>36</v>
      </c>
      <c r="M3129">
        <v>189</v>
      </c>
      <c r="N3129" s="10">
        <v>669.71</v>
      </c>
      <c r="O3129" s="7">
        <v>0</v>
      </c>
      <c r="P3129" s="7">
        <v>29.1</v>
      </c>
      <c r="Q3129">
        <v>5</v>
      </c>
      <c r="R3129" t="s">
        <v>67</v>
      </c>
      <c r="S3129">
        <v>11</v>
      </c>
      <c r="T3129">
        <v>312</v>
      </c>
      <c r="U3129" s="11">
        <v>-0.97492791218182362</v>
      </c>
      <c r="V3129" s="11">
        <v>-0.22252093395631459</v>
      </c>
      <c r="W3129" s="11">
        <v>-0.80354764853391158</v>
      </c>
      <c r="X3129" s="11">
        <v>0.59524043590436737</v>
      </c>
      <c r="Y3129">
        <v>1</v>
      </c>
      <c r="Z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6">
        <v>45969</v>
      </c>
      <c r="B3130" t="s">
        <v>41</v>
      </c>
      <c r="C3130" t="s">
        <v>42</v>
      </c>
      <c r="D3130" t="s">
        <v>43</v>
      </c>
      <c r="E3130" t="s">
        <v>44</v>
      </c>
      <c r="F3130">
        <v>85</v>
      </c>
      <c r="G3130">
        <v>210</v>
      </c>
      <c r="H3130">
        <v>135</v>
      </c>
      <c r="I3130">
        <v>60</v>
      </c>
      <c r="J3130" s="8">
        <v>0.70588235294117652</v>
      </c>
      <c r="K3130">
        <v>28</v>
      </c>
      <c r="L3130">
        <v>14</v>
      </c>
      <c r="M3130">
        <v>112</v>
      </c>
      <c r="N3130" s="10">
        <v>617.59</v>
      </c>
      <c r="O3130" s="7">
        <v>0</v>
      </c>
      <c r="P3130" s="7">
        <v>29.1</v>
      </c>
      <c r="Q3130">
        <v>5</v>
      </c>
      <c r="R3130" t="s">
        <v>67</v>
      </c>
      <c r="S3130">
        <v>11</v>
      </c>
      <c r="T3130">
        <v>312</v>
      </c>
      <c r="U3130" s="11">
        <v>-0.97492791218182362</v>
      </c>
      <c r="V3130" s="11">
        <v>-0.22252093395631459</v>
      </c>
      <c r="W3130" s="11">
        <v>-0.80354764853391158</v>
      </c>
      <c r="X3130" s="11">
        <v>0.59524043590436737</v>
      </c>
      <c r="Y3130">
        <v>1</v>
      </c>
      <c r="Z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6">
        <v>45970</v>
      </c>
      <c r="B3131" t="s">
        <v>31</v>
      </c>
      <c r="C3131" t="s">
        <v>32</v>
      </c>
      <c r="D3131" t="s">
        <v>33</v>
      </c>
      <c r="E3131" t="s">
        <v>34</v>
      </c>
      <c r="F3131">
        <v>140</v>
      </c>
      <c r="G3131">
        <v>360</v>
      </c>
      <c r="H3131">
        <v>207</v>
      </c>
      <c r="I3131">
        <v>88</v>
      </c>
      <c r="J3131" s="8">
        <v>0.62857142857142856</v>
      </c>
      <c r="K3131">
        <v>28</v>
      </c>
      <c r="L3131">
        <v>24</v>
      </c>
      <c r="M3131">
        <v>188</v>
      </c>
      <c r="N3131" s="10">
        <v>500.41</v>
      </c>
      <c r="O3131" s="7">
        <v>0.7</v>
      </c>
      <c r="P3131" s="7">
        <v>29.7</v>
      </c>
      <c r="Q3131">
        <v>6</v>
      </c>
      <c r="R3131" t="s">
        <v>60</v>
      </c>
      <c r="S3131">
        <v>11</v>
      </c>
      <c r="T3131">
        <v>313</v>
      </c>
      <c r="U3131" s="11">
        <v>-0.78183148246802991</v>
      </c>
      <c r="V3131" s="11">
        <v>0.62348980185873337</v>
      </c>
      <c r="W3131" s="11">
        <v>-0.7931896839451843</v>
      </c>
      <c r="X3131" s="11">
        <v>0.6089746507720486</v>
      </c>
      <c r="Y3131">
        <v>1</v>
      </c>
      <c r="Z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6">
        <v>45970</v>
      </c>
      <c r="B3132" t="s">
        <v>36</v>
      </c>
      <c r="C3132" t="s">
        <v>37</v>
      </c>
      <c r="D3132" t="s">
        <v>38</v>
      </c>
      <c r="E3132" t="s">
        <v>39</v>
      </c>
      <c r="F3132">
        <v>125</v>
      </c>
      <c r="G3132">
        <v>320</v>
      </c>
      <c r="H3132">
        <v>183</v>
      </c>
      <c r="I3132">
        <v>75</v>
      </c>
      <c r="J3132" s="8">
        <v>0.6</v>
      </c>
      <c r="K3132">
        <v>24</v>
      </c>
      <c r="L3132">
        <v>49</v>
      </c>
      <c r="M3132">
        <v>164</v>
      </c>
      <c r="N3132" s="10">
        <v>746.88</v>
      </c>
      <c r="O3132" s="7">
        <v>0.7</v>
      </c>
      <c r="P3132" s="7">
        <v>29.7</v>
      </c>
      <c r="Q3132">
        <v>6</v>
      </c>
      <c r="R3132" t="s">
        <v>60</v>
      </c>
      <c r="S3132">
        <v>11</v>
      </c>
      <c r="T3132">
        <v>313</v>
      </c>
      <c r="U3132" s="11">
        <v>-0.78183148246802991</v>
      </c>
      <c r="V3132" s="11">
        <v>0.62348980185873337</v>
      </c>
      <c r="W3132" s="11">
        <v>-0.7931896839451843</v>
      </c>
      <c r="X3132" s="11">
        <v>0.6089746507720486</v>
      </c>
      <c r="Y3132">
        <v>1</v>
      </c>
      <c r="Z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6">
        <v>45970</v>
      </c>
      <c r="B3133" t="s">
        <v>41</v>
      </c>
      <c r="C3133" t="s">
        <v>42</v>
      </c>
      <c r="D3133" t="s">
        <v>43</v>
      </c>
      <c r="E3133" t="s">
        <v>44</v>
      </c>
      <c r="F3133">
        <v>85</v>
      </c>
      <c r="G3133">
        <v>210</v>
      </c>
      <c r="H3133">
        <v>147</v>
      </c>
      <c r="I3133">
        <v>67</v>
      </c>
      <c r="J3133" s="8">
        <v>0.78823529411764703</v>
      </c>
      <c r="K3133">
        <v>18</v>
      </c>
      <c r="L3133">
        <v>34</v>
      </c>
      <c r="M3133">
        <v>126</v>
      </c>
      <c r="N3133" s="10">
        <v>558.29</v>
      </c>
      <c r="O3133" s="7">
        <v>0.7</v>
      </c>
      <c r="P3133" s="7">
        <v>29.7</v>
      </c>
      <c r="Q3133">
        <v>6</v>
      </c>
      <c r="R3133" t="s">
        <v>60</v>
      </c>
      <c r="S3133">
        <v>11</v>
      </c>
      <c r="T3133">
        <v>313</v>
      </c>
      <c r="U3133" s="11">
        <v>-0.78183148246802991</v>
      </c>
      <c r="V3133" s="11">
        <v>0.62348980185873337</v>
      </c>
      <c r="W3133" s="11">
        <v>-0.7931896839451843</v>
      </c>
      <c r="X3133" s="11">
        <v>0.6089746507720486</v>
      </c>
      <c r="Y3133">
        <v>1</v>
      </c>
      <c r="Z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6">
        <v>45971</v>
      </c>
      <c r="B3134" t="s">
        <v>31</v>
      </c>
      <c r="C3134" t="s">
        <v>32</v>
      </c>
      <c r="D3134" t="s">
        <v>33</v>
      </c>
      <c r="E3134" t="s">
        <v>34</v>
      </c>
      <c r="F3134">
        <v>140</v>
      </c>
      <c r="G3134">
        <v>360</v>
      </c>
      <c r="H3134">
        <v>206</v>
      </c>
      <c r="I3134">
        <v>87</v>
      </c>
      <c r="J3134" s="8">
        <v>0.62142857142857144</v>
      </c>
      <c r="K3134">
        <v>51</v>
      </c>
      <c r="L3134">
        <v>25</v>
      </c>
      <c r="M3134">
        <v>187</v>
      </c>
      <c r="N3134" s="10">
        <v>432.24</v>
      </c>
      <c r="O3134" s="7">
        <v>4.0999999999999996</v>
      </c>
      <c r="P3134" s="7">
        <v>28.1</v>
      </c>
      <c r="Q3134">
        <v>0</v>
      </c>
      <c r="R3134" t="s">
        <v>62</v>
      </c>
      <c r="S3134">
        <v>11</v>
      </c>
      <c r="T3134">
        <v>314</v>
      </c>
      <c r="U3134" s="11">
        <v>0</v>
      </c>
      <c r="V3134" s="11">
        <v>1</v>
      </c>
      <c r="W3134" s="11">
        <v>-0.78259700176778335</v>
      </c>
      <c r="X3134" s="11">
        <v>0.62252866024310571</v>
      </c>
      <c r="Y3134">
        <v>0</v>
      </c>
      <c r="Z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6">
        <v>45971</v>
      </c>
      <c r="B3135" t="s">
        <v>36</v>
      </c>
      <c r="C3135" t="s">
        <v>37</v>
      </c>
      <c r="D3135" t="s">
        <v>38</v>
      </c>
      <c r="E3135" t="s">
        <v>39</v>
      </c>
      <c r="F3135">
        <v>125</v>
      </c>
      <c r="G3135">
        <v>320</v>
      </c>
      <c r="H3135">
        <v>148</v>
      </c>
      <c r="I3135">
        <v>61</v>
      </c>
      <c r="J3135" s="8">
        <v>0.48799999999999999</v>
      </c>
      <c r="K3135">
        <v>41</v>
      </c>
      <c r="L3135">
        <v>35</v>
      </c>
      <c r="M3135">
        <v>138</v>
      </c>
      <c r="N3135" s="10">
        <v>602.55999999999995</v>
      </c>
      <c r="O3135" s="7">
        <v>4.0999999999999996</v>
      </c>
      <c r="P3135" s="7">
        <v>28.1</v>
      </c>
      <c r="Q3135">
        <v>0</v>
      </c>
      <c r="R3135" t="s">
        <v>62</v>
      </c>
      <c r="S3135">
        <v>11</v>
      </c>
      <c r="T3135">
        <v>314</v>
      </c>
      <c r="U3135" s="11">
        <v>0</v>
      </c>
      <c r="V3135" s="11">
        <v>1</v>
      </c>
      <c r="W3135" s="11">
        <v>-0.78259700176778335</v>
      </c>
      <c r="X3135" s="11">
        <v>0.62252866024310571</v>
      </c>
      <c r="Y3135">
        <v>0</v>
      </c>
      <c r="Z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6">
        <v>45971</v>
      </c>
      <c r="B3136" t="s">
        <v>41</v>
      </c>
      <c r="C3136" t="s">
        <v>42</v>
      </c>
      <c r="D3136" t="s">
        <v>43</v>
      </c>
      <c r="E3136" t="s">
        <v>44</v>
      </c>
      <c r="F3136">
        <v>85</v>
      </c>
      <c r="G3136">
        <v>210</v>
      </c>
      <c r="H3136">
        <v>122</v>
      </c>
      <c r="I3136">
        <v>50</v>
      </c>
      <c r="J3136" s="8">
        <v>0.58823529411764708</v>
      </c>
      <c r="K3136">
        <v>14</v>
      </c>
      <c r="L3136">
        <v>22</v>
      </c>
      <c r="M3136">
        <v>98</v>
      </c>
      <c r="N3136" s="10">
        <v>568.1</v>
      </c>
      <c r="O3136" s="7">
        <v>4.0999999999999996</v>
      </c>
      <c r="P3136" s="7">
        <v>28.1</v>
      </c>
      <c r="Q3136">
        <v>0</v>
      </c>
      <c r="R3136" t="s">
        <v>62</v>
      </c>
      <c r="S3136">
        <v>11</v>
      </c>
      <c r="T3136">
        <v>314</v>
      </c>
      <c r="U3136" s="11">
        <v>0</v>
      </c>
      <c r="V3136" s="11">
        <v>1</v>
      </c>
      <c r="W3136" s="11">
        <v>-0.78259700176778335</v>
      </c>
      <c r="X3136" s="11">
        <v>0.62252866024310571</v>
      </c>
      <c r="Y3136">
        <v>0</v>
      </c>
      <c r="Z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6">
        <v>45972</v>
      </c>
      <c r="B3137" t="s">
        <v>31</v>
      </c>
      <c r="C3137" t="s">
        <v>32</v>
      </c>
      <c r="D3137" t="s">
        <v>33</v>
      </c>
      <c r="E3137" t="s">
        <v>34</v>
      </c>
      <c r="F3137">
        <v>140</v>
      </c>
      <c r="G3137">
        <v>360</v>
      </c>
      <c r="H3137">
        <v>189</v>
      </c>
      <c r="I3137">
        <v>79</v>
      </c>
      <c r="J3137" s="8">
        <v>0.56428571428571428</v>
      </c>
      <c r="K3137">
        <v>26</v>
      </c>
      <c r="L3137">
        <v>54</v>
      </c>
      <c r="M3137">
        <v>157</v>
      </c>
      <c r="N3137" s="10">
        <v>463.61</v>
      </c>
      <c r="O3137" s="7">
        <v>1.6</v>
      </c>
      <c r="P3137" s="7">
        <v>30.7</v>
      </c>
      <c r="Q3137">
        <v>1</v>
      </c>
      <c r="R3137" t="s">
        <v>63</v>
      </c>
      <c r="S3137">
        <v>11</v>
      </c>
      <c r="T3137">
        <v>315</v>
      </c>
      <c r="U3137" s="11">
        <v>0.7818314824680298</v>
      </c>
      <c r="V3137" s="11">
        <v>0.62348980185873359</v>
      </c>
      <c r="W3137" s="11">
        <v>-0.77177273654678369</v>
      </c>
      <c r="X3137" s="11">
        <v>0.6358984534680745</v>
      </c>
      <c r="Y3137">
        <v>0</v>
      </c>
      <c r="Z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6">
        <v>45972</v>
      </c>
      <c r="B3138" t="s">
        <v>36</v>
      </c>
      <c r="C3138" t="s">
        <v>37</v>
      </c>
      <c r="D3138" t="s">
        <v>38</v>
      </c>
      <c r="E3138" t="s">
        <v>39</v>
      </c>
      <c r="F3138">
        <v>125</v>
      </c>
      <c r="G3138">
        <v>320</v>
      </c>
      <c r="H3138">
        <v>160</v>
      </c>
      <c r="I3138">
        <v>68</v>
      </c>
      <c r="J3138" s="8">
        <v>0.54400000000000004</v>
      </c>
      <c r="K3138">
        <v>25</v>
      </c>
      <c r="L3138">
        <v>39</v>
      </c>
      <c r="M3138">
        <v>132</v>
      </c>
      <c r="N3138" s="10">
        <v>611.41</v>
      </c>
      <c r="O3138" s="7">
        <v>1.6</v>
      </c>
      <c r="P3138" s="7">
        <v>30.7</v>
      </c>
      <c r="Q3138">
        <v>1</v>
      </c>
      <c r="R3138" t="s">
        <v>63</v>
      </c>
      <c r="S3138">
        <v>11</v>
      </c>
      <c r="T3138">
        <v>315</v>
      </c>
      <c r="U3138" s="11">
        <v>0.7818314824680298</v>
      </c>
      <c r="V3138" s="11">
        <v>0.62348980185873359</v>
      </c>
      <c r="W3138" s="11">
        <v>-0.77177273654678369</v>
      </c>
      <c r="X3138" s="11">
        <v>0.6358984534680745</v>
      </c>
      <c r="Y3138">
        <v>0</v>
      </c>
      <c r="Z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6">
        <v>45972</v>
      </c>
      <c r="B3139" t="s">
        <v>41</v>
      </c>
      <c r="C3139" t="s">
        <v>42</v>
      </c>
      <c r="D3139" t="s">
        <v>43</v>
      </c>
      <c r="E3139" t="s">
        <v>44</v>
      </c>
      <c r="F3139">
        <v>85</v>
      </c>
      <c r="G3139">
        <v>210</v>
      </c>
      <c r="H3139">
        <v>128</v>
      </c>
      <c r="I3139">
        <v>55</v>
      </c>
      <c r="J3139" s="8">
        <v>0.6470588235294118</v>
      </c>
      <c r="K3139">
        <v>40</v>
      </c>
      <c r="L3139">
        <v>25</v>
      </c>
      <c r="M3139">
        <v>103</v>
      </c>
      <c r="N3139" s="10">
        <v>541.30999999999995</v>
      </c>
      <c r="O3139" s="7">
        <v>1.6</v>
      </c>
      <c r="P3139" s="7">
        <v>30.7</v>
      </c>
      <c r="Q3139">
        <v>1</v>
      </c>
      <c r="R3139" t="s">
        <v>63</v>
      </c>
      <c r="S3139">
        <v>11</v>
      </c>
      <c r="T3139">
        <v>315</v>
      </c>
      <c r="U3139" s="11">
        <v>0.7818314824680298</v>
      </c>
      <c r="V3139" s="11">
        <v>0.62348980185873359</v>
      </c>
      <c r="W3139" s="11">
        <v>-0.77177273654678369</v>
      </c>
      <c r="X3139" s="11">
        <v>0.6358984534680745</v>
      </c>
      <c r="Y3139">
        <v>0</v>
      </c>
      <c r="Z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6">
        <v>45973</v>
      </c>
      <c r="B3140" t="s">
        <v>31</v>
      </c>
      <c r="C3140" t="s">
        <v>32</v>
      </c>
      <c r="D3140" t="s">
        <v>33</v>
      </c>
      <c r="E3140" t="s">
        <v>34</v>
      </c>
      <c r="F3140">
        <v>140</v>
      </c>
      <c r="G3140">
        <v>360</v>
      </c>
      <c r="H3140">
        <v>182</v>
      </c>
      <c r="I3140">
        <v>75</v>
      </c>
      <c r="J3140" s="8">
        <v>0.5357142857142857</v>
      </c>
      <c r="K3140">
        <v>24</v>
      </c>
      <c r="L3140">
        <v>23</v>
      </c>
      <c r="M3140">
        <v>147</v>
      </c>
      <c r="N3140" s="10">
        <v>416.59</v>
      </c>
      <c r="O3140" s="7">
        <v>0.1</v>
      </c>
      <c r="P3140" s="7">
        <v>29.2</v>
      </c>
      <c r="Q3140">
        <v>2</v>
      </c>
      <c r="R3140" t="s">
        <v>64</v>
      </c>
      <c r="S3140">
        <v>11</v>
      </c>
      <c r="T3140">
        <v>316</v>
      </c>
      <c r="U3140" s="11">
        <v>0.97492791218182362</v>
      </c>
      <c r="V3140" s="11">
        <v>-0.22252093395631434</v>
      </c>
      <c r="W3140" s="11">
        <v>-0.76072009135641039</v>
      </c>
      <c r="X3140" s="11">
        <v>0.64908007411003976</v>
      </c>
      <c r="Y3140">
        <v>0</v>
      </c>
      <c r="Z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6">
        <v>45973</v>
      </c>
      <c r="B3141" t="s">
        <v>36</v>
      </c>
      <c r="C3141" t="s">
        <v>37</v>
      </c>
      <c r="D3141" t="s">
        <v>38</v>
      </c>
      <c r="E3141" t="s">
        <v>39</v>
      </c>
      <c r="F3141">
        <v>125</v>
      </c>
      <c r="G3141">
        <v>320</v>
      </c>
      <c r="H3141">
        <v>160</v>
      </c>
      <c r="I3141">
        <v>68</v>
      </c>
      <c r="J3141" s="8">
        <v>0.54400000000000004</v>
      </c>
      <c r="K3141">
        <v>26</v>
      </c>
      <c r="L3141">
        <v>42</v>
      </c>
      <c r="M3141">
        <v>148</v>
      </c>
      <c r="N3141" s="10">
        <v>676.16</v>
      </c>
      <c r="O3141" s="7">
        <v>0.1</v>
      </c>
      <c r="P3141" s="7">
        <v>29.2</v>
      </c>
      <c r="Q3141">
        <v>2</v>
      </c>
      <c r="R3141" t="s">
        <v>64</v>
      </c>
      <c r="S3141">
        <v>11</v>
      </c>
      <c r="T3141">
        <v>316</v>
      </c>
      <c r="U3141" s="11">
        <v>0.97492791218182362</v>
      </c>
      <c r="V3141" s="11">
        <v>-0.22252093395631434</v>
      </c>
      <c r="W3141" s="11">
        <v>-0.76072009135641039</v>
      </c>
      <c r="X3141" s="11">
        <v>0.64908007411003976</v>
      </c>
      <c r="Y3141">
        <v>0</v>
      </c>
      <c r="Z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6">
        <v>45973</v>
      </c>
      <c r="B3142" t="s">
        <v>41</v>
      </c>
      <c r="C3142" t="s">
        <v>42</v>
      </c>
      <c r="D3142" t="s">
        <v>43</v>
      </c>
      <c r="E3142" t="s">
        <v>44</v>
      </c>
      <c r="F3142">
        <v>85</v>
      </c>
      <c r="G3142">
        <v>210</v>
      </c>
      <c r="H3142">
        <v>121</v>
      </c>
      <c r="I3142">
        <v>50</v>
      </c>
      <c r="J3142" s="8">
        <v>0.58823529411764708</v>
      </c>
      <c r="K3142">
        <v>27</v>
      </c>
      <c r="L3142">
        <v>17</v>
      </c>
      <c r="M3142">
        <v>105</v>
      </c>
      <c r="N3142" s="10">
        <v>509.67</v>
      </c>
      <c r="O3142" s="7">
        <v>0.1</v>
      </c>
      <c r="P3142" s="7">
        <v>29.2</v>
      </c>
      <c r="Q3142">
        <v>2</v>
      </c>
      <c r="R3142" t="s">
        <v>64</v>
      </c>
      <c r="S3142">
        <v>11</v>
      </c>
      <c r="T3142">
        <v>316</v>
      </c>
      <c r="U3142" s="11">
        <v>0.97492791218182362</v>
      </c>
      <c r="V3142" s="11">
        <v>-0.22252093395631434</v>
      </c>
      <c r="W3142" s="11">
        <v>-0.76072009135641039</v>
      </c>
      <c r="X3142" s="11">
        <v>0.64908007411003976</v>
      </c>
      <c r="Y3142">
        <v>0</v>
      </c>
      <c r="Z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6">
        <v>45974</v>
      </c>
      <c r="B3143" t="s">
        <v>31</v>
      </c>
      <c r="C3143" t="s">
        <v>32</v>
      </c>
      <c r="D3143" t="s">
        <v>33</v>
      </c>
      <c r="E3143" t="s">
        <v>34</v>
      </c>
      <c r="F3143">
        <v>140</v>
      </c>
      <c r="G3143">
        <v>360</v>
      </c>
      <c r="H3143">
        <v>184</v>
      </c>
      <c r="I3143">
        <v>78</v>
      </c>
      <c r="J3143" s="8">
        <v>0.55714285714285716</v>
      </c>
      <c r="K3143">
        <v>29</v>
      </c>
      <c r="L3143">
        <v>46</v>
      </c>
      <c r="M3143">
        <v>168</v>
      </c>
      <c r="N3143" s="10">
        <v>433.56</v>
      </c>
      <c r="O3143" s="7">
        <v>1.9</v>
      </c>
      <c r="P3143" s="7">
        <v>30.6</v>
      </c>
      <c r="Q3143">
        <v>3</v>
      </c>
      <c r="R3143" t="s">
        <v>65</v>
      </c>
      <c r="S3143">
        <v>11</v>
      </c>
      <c r="T3143">
        <v>317</v>
      </c>
      <c r="U3143" s="11">
        <v>0.43388373911755823</v>
      </c>
      <c r="V3143" s="11">
        <v>-0.90096886790241903</v>
      </c>
      <c r="W3143" s="11">
        <v>-0.7494423368521953</v>
      </c>
      <c r="X3143" s="11">
        <v>0.66206962151538151</v>
      </c>
      <c r="Y3143">
        <v>0</v>
      </c>
      <c r="Z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6">
        <v>45974</v>
      </c>
      <c r="B3144" t="s">
        <v>36</v>
      </c>
      <c r="C3144" t="s">
        <v>37</v>
      </c>
      <c r="D3144" t="s">
        <v>38</v>
      </c>
      <c r="E3144" t="s">
        <v>39</v>
      </c>
      <c r="F3144">
        <v>125</v>
      </c>
      <c r="G3144">
        <v>320</v>
      </c>
      <c r="H3144">
        <v>170</v>
      </c>
      <c r="I3144">
        <v>67</v>
      </c>
      <c r="J3144" s="8">
        <v>0.53600000000000003</v>
      </c>
      <c r="K3144">
        <v>19</v>
      </c>
      <c r="L3144">
        <v>27</v>
      </c>
      <c r="M3144">
        <v>153</v>
      </c>
      <c r="N3144" s="10">
        <v>635.09</v>
      </c>
      <c r="O3144" s="7">
        <v>1.9</v>
      </c>
      <c r="P3144" s="7">
        <v>30.6</v>
      </c>
      <c r="Q3144">
        <v>3</v>
      </c>
      <c r="R3144" t="s">
        <v>65</v>
      </c>
      <c r="S3144">
        <v>11</v>
      </c>
      <c r="T3144">
        <v>317</v>
      </c>
      <c r="U3144" s="11">
        <v>0.43388373911755823</v>
      </c>
      <c r="V3144" s="11">
        <v>-0.90096886790241903</v>
      </c>
      <c r="W3144" s="11">
        <v>-0.7494423368521953</v>
      </c>
      <c r="X3144" s="11">
        <v>0.66206962151538151</v>
      </c>
      <c r="Y3144">
        <v>0</v>
      </c>
      <c r="Z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6">
        <v>45974</v>
      </c>
      <c r="B3145" t="s">
        <v>41</v>
      </c>
      <c r="C3145" t="s">
        <v>42</v>
      </c>
      <c r="D3145" t="s">
        <v>43</v>
      </c>
      <c r="E3145" t="s">
        <v>44</v>
      </c>
      <c r="F3145">
        <v>85</v>
      </c>
      <c r="G3145">
        <v>210</v>
      </c>
      <c r="H3145">
        <v>116</v>
      </c>
      <c r="I3145">
        <v>51</v>
      </c>
      <c r="J3145" s="8">
        <v>0.6</v>
      </c>
      <c r="K3145">
        <v>26</v>
      </c>
      <c r="L3145">
        <v>20</v>
      </c>
      <c r="M3145">
        <v>98</v>
      </c>
      <c r="N3145" s="10">
        <v>530.39</v>
      </c>
      <c r="O3145" s="7">
        <v>1.9</v>
      </c>
      <c r="P3145" s="7">
        <v>30.6</v>
      </c>
      <c r="Q3145">
        <v>3</v>
      </c>
      <c r="R3145" t="s">
        <v>65</v>
      </c>
      <c r="S3145">
        <v>11</v>
      </c>
      <c r="T3145">
        <v>317</v>
      </c>
      <c r="U3145" s="11">
        <v>0.43388373911755823</v>
      </c>
      <c r="V3145" s="11">
        <v>-0.90096886790241903</v>
      </c>
      <c r="W3145" s="11">
        <v>-0.7494423368521953</v>
      </c>
      <c r="X3145" s="11">
        <v>0.66206962151538151</v>
      </c>
      <c r="Y3145">
        <v>0</v>
      </c>
      <c r="Z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6">
        <v>45975</v>
      </c>
      <c r="B3146" t="s">
        <v>31</v>
      </c>
      <c r="C3146" t="s">
        <v>32</v>
      </c>
      <c r="D3146" t="s">
        <v>33</v>
      </c>
      <c r="E3146" t="s">
        <v>34</v>
      </c>
      <c r="F3146">
        <v>140</v>
      </c>
      <c r="G3146">
        <v>360</v>
      </c>
      <c r="H3146">
        <v>203</v>
      </c>
      <c r="I3146">
        <v>85</v>
      </c>
      <c r="J3146" s="8">
        <v>0.6071428571428571</v>
      </c>
      <c r="K3146">
        <v>35</v>
      </c>
      <c r="L3146">
        <v>32</v>
      </c>
      <c r="M3146">
        <v>175</v>
      </c>
      <c r="N3146" s="10">
        <v>433.14</v>
      </c>
      <c r="O3146" s="7">
        <v>0.1</v>
      </c>
      <c r="P3146" s="7">
        <v>29</v>
      </c>
      <c r="Q3146">
        <v>4</v>
      </c>
      <c r="R3146" t="s">
        <v>66</v>
      </c>
      <c r="S3146">
        <v>11</v>
      </c>
      <c r="T3146">
        <v>318</v>
      </c>
      <c r="U3146" s="11">
        <v>-0.43388373911755801</v>
      </c>
      <c r="V3146" s="11">
        <v>-0.90096886790241915</v>
      </c>
      <c r="W3146" s="11">
        <v>-0.73794281030313857</v>
      </c>
      <c r="X3146" s="11">
        <v>0.6748632518680403</v>
      </c>
      <c r="Y3146">
        <v>0</v>
      </c>
      <c r="Z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6">
        <v>45975</v>
      </c>
      <c r="B3147" t="s">
        <v>36</v>
      </c>
      <c r="C3147" t="s">
        <v>37</v>
      </c>
      <c r="D3147" t="s">
        <v>38</v>
      </c>
      <c r="E3147" t="s">
        <v>39</v>
      </c>
      <c r="F3147">
        <v>125</v>
      </c>
      <c r="G3147">
        <v>320</v>
      </c>
      <c r="H3147">
        <v>172</v>
      </c>
      <c r="I3147">
        <v>71</v>
      </c>
      <c r="J3147" s="8">
        <v>0.56799999999999995</v>
      </c>
      <c r="K3147">
        <v>39</v>
      </c>
      <c r="L3147">
        <v>45</v>
      </c>
      <c r="M3147">
        <v>159</v>
      </c>
      <c r="N3147" s="10">
        <v>601</v>
      </c>
      <c r="O3147" s="7">
        <v>0.1</v>
      </c>
      <c r="P3147" s="7">
        <v>29</v>
      </c>
      <c r="Q3147">
        <v>4</v>
      </c>
      <c r="R3147" t="s">
        <v>66</v>
      </c>
      <c r="S3147">
        <v>11</v>
      </c>
      <c r="T3147">
        <v>318</v>
      </c>
      <c r="U3147" s="11">
        <v>-0.43388373911755801</v>
      </c>
      <c r="V3147" s="11">
        <v>-0.90096886790241915</v>
      </c>
      <c r="W3147" s="11">
        <v>-0.73794281030313857</v>
      </c>
      <c r="X3147" s="11">
        <v>0.6748632518680403</v>
      </c>
      <c r="Y3147">
        <v>0</v>
      </c>
      <c r="Z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6">
        <v>45975</v>
      </c>
      <c r="B3148" t="s">
        <v>41</v>
      </c>
      <c r="C3148" t="s">
        <v>42</v>
      </c>
      <c r="D3148" t="s">
        <v>43</v>
      </c>
      <c r="E3148" t="s">
        <v>44</v>
      </c>
      <c r="F3148">
        <v>85</v>
      </c>
      <c r="G3148">
        <v>210</v>
      </c>
      <c r="H3148">
        <v>108</v>
      </c>
      <c r="I3148">
        <v>47</v>
      </c>
      <c r="J3148" s="8">
        <v>0.55294117647058827</v>
      </c>
      <c r="K3148">
        <v>22</v>
      </c>
      <c r="L3148">
        <v>13</v>
      </c>
      <c r="M3148">
        <v>91</v>
      </c>
      <c r="N3148" s="10">
        <v>486.58</v>
      </c>
      <c r="O3148" s="7">
        <v>0.1</v>
      </c>
      <c r="P3148" s="7">
        <v>29</v>
      </c>
      <c r="Q3148">
        <v>4</v>
      </c>
      <c r="R3148" t="s">
        <v>66</v>
      </c>
      <c r="S3148">
        <v>11</v>
      </c>
      <c r="T3148">
        <v>318</v>
      </c>
      <c r="U3148" s="11">
        <v>-0.43388373911755801</v>
      </c>
      <c r="V3148" s="11">
        <v>-0.90096886790241915</v>
      </c>
      <c r="W3148" s="11">
        <v>-0.73794281030313857</v>
      </c>
      <c r="X3148" s="11">
        <v>0.6748632518680403</v>
      </c>
      <c r="Y3148">
        <v>0</v>
      </c>
      <c r="Z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6">
        <v>45976</v>
      </c>
      <c r="B3149" t="s">
        <v>31</v>
      </c>
      <c r="C3149" t="s">
        <v>32</v>
      </c>
      <c r="D3149" t="s">
        <v>33</v>
      </c>
      <c r="E3149" t="s">
        <v>34</v>
      </c>
      <c r="F3149">
        <v>140</v>
      </c>
      <c r="G3149">
        <v>360</v>
      </c>
      <c r="H3149">
        <v>228</v>
      </c>
      <c r="I3149">
        <v>101</v>
      </c>
      <c r="J3149" s="8">
        <v>0.72142857142857142</v>
      </c>
      <c r="K3149">
        <v>31</v>
      </c>
      <c r="L3149">
        <v>28</v>
      </c>
      <c r="M3149">
        <v>186</v>
      </c>
      <c r="N3149" s="10">
        <v>479.43</v>
      </c>
      <c r="O3149" s="7">
        <v>0.4</v>
      </c>
      <c r="P3149" s="7">
        <v>29.6</v>
      </c>
      <c r="Q3149">
        <v>5</v>
      </c>
      <c r="R3149" t="s">
        <v>67</v>
      </c>
      <c r="S3149">
        <v>11</v>
      </c>
      <c r="T3149">
        <v>319</v>
      </c>
      <c r="U3149" s="11">
        <v>-0.97492791218182362</v>
      </c>
      <c r="V3149" s="11">
        <v>-0.22252093395631459</v>
      </c>
      <c r="W3149" s="11">
        <v>-0.72622491460415428</v>
      </c>
      <c r="X3149" s="11">
        <v>0.68745717932696637</v>
      </c>
      <c r="Y3149">
        <v>1</v>
      </c>
      <c r="Z3149">
        <v>1</v>
      </c>
      <c r="AA3149" t="s">
        <v>75</v>
      </c>
      <c r="AB3149">
        <v>0</v>
      </c>
      <c r="AC3149">
        <v>0</v>
      </c>
      <c r="AD3149">
        <v>0</v>
      </c>
      <c r="AE3149">
        <v>0</v>
      </c>
    </row>
    <row r="3150" spans="1:31">
      <c r="A3150" s="6">
        <v>45976</v>
      </c>
      <c r="B3150" t="s">
        <v>36</v>
      </c>
      <c r="C3150" t="s">
        <v>37</v>
      </c>
      <c r="D3150" t="s">
        <v>38</v>
      </c>
      <c r="E3150" t="s">
        <v>39</v>
      </c>
      <c r="F3150">
        <v>125</v>
      </c>
      <c r="G3150">
        <v>320</v>
      </c>
      <c r="H3150">
        <v>235</v>
      </c>
      <c r="I3150">
        <v>100</v>
      </c>
      <c r="J3150" s="8">
        <v>0.8</v>
      </c>
      <c r="K3150">
        <v>49</v>
      </c>
      <c r="L3150">
        <v>25</v>
      </c>
      <c r="M3150">
        <v>217</v>
      </c>
      <c r="N3150" s="10">
        <v>658.48</v>
      </c>
      <c r="O3150" s="7">
        <v>0.4</v>
      </c>
      <c r="P3150" s="7">
        <v>29.6</v>
      </c>
      <c r="Q3150">
        <v>5</v>
      </c>
      <c r="R3150" t="s">
        <v>67</v>
      </c>
      <c r="S3150">
        <v>11</v>
      </c>
      <c r="T3150">
        <v>319</v>
      </c>
      <c r="U3150" s="11">
        <v>-0.97492791218182362</v>
      </c>
      <c r="V3150" s="11">
        <v>-0.22252093395631459</v>
      </c>
      <c r="W3150" s="11">
        <v>-0.72622491460415428</v>
      </c>
      <c r="X3150" s="11">
        <v>0.68745717932696637</v>
      </c>
      <c r="Y3150">
        <v>1</v>
      </c>
      <c r="Z3150">
        <v>1</v>
      </c>
      <c r="AA3150" t="s">
        <v>75</v>
      </c>
      <c r="AB3150">
        <v>0</v>
      </c>
      <c r="AC3150">
        <v>0</v>
      </c>
      <c r="AD3150">
        <v>0</v>
      </c>
      <c r="AE3150">
        <v>0</v>
      </c>
    </row>
    <row r="3151" spans="1:31">
      <c r="A3151" s="6">
        <v>45976</v>
      </c>
      <c r="B3151" t="s">
        <v>41</v>
      </c>
      <c r="C3151" t="s">
        <v>42</v>
      </c>
      <c r="D3151" t="s">
        <v>43</v>
      </c>
      <c r="E3151" t="s">
        <v>44</v>
      </c>
      <c r="F3151">
        <v>85</v>
      </c>
      <c r="G3151">
        <v>210</v>
      </c>
      <c r="H3151">
        <v>155</v>
      </c>
      <c r="I3151">
        <v>69</v>
      </c>
      <c r="J3151" s="8">
        <v>0.81176470588235294</v>
      </c>
      <c r="K3151">
        <v>29</v>
      </c>
      <c r="L3151">
        <v>18</v>
      </c>
      <c r="M3151">
        <v>136</v>
      </c>
      <c r="N3151" s="10">
        <v>620.26</v>
      </c>
      <c r="O3151" s="7">
        <v>0.4</v>
      </c>
      <c r="P3151" s="7">
        <v>29.6</v>
      </c>
      <c r="Q3151">
        <v>5</v>
      </c>
      <c r="R3151" t="s">
        <v>67</v>
      </c>
      <c r="S3151">
        <v>11</v>
      </c>
      <c r="T3151">
        <v>319</v>
      </c>
      <c r="U3151" s="11">
        <v>-0.97492791218182362</v>
      </c>
      <c r="V3151" s="11">
        <v>-0.22252093395631459</v>
      </c>
      <c r="W3151" s="11">
        <v>-0.72622491460415428</v>
      </c>
      <c r="X3151" s="11">
        <v>0.68745717932696637</v>
      </c>
      <c r="Y3151">
        <v>1</v>
      </c>
      <c r="Z3151">
        <v>1</v>
      </c>
      <c r="AA3151" t="s">
        <v>75</v>
      </c>
      <c r="AB3151">
        <v>0</v>
      </c>
      <c r="AC3151">
        <v>0</v>
      </c>
      <c r="AD3151">
        <v>0</v>
      </c>
      <c r="AE3151">
        <v>0</v>
      </c>
    </row>
    <row r="3152" spans="1:31">
      <c r="A3152" s="6">
        <v>45977</v>
      </c>
      <c r="B3152" t="s">
        <v>31</v>
      </c>
      <c r="C3152" t="s">
        <v>32</v>
      </c>
      <c r="D3152" t="s">
        <v>33</v>
      </c>
      <c r="E3152" t="s">
        <v>34</v>
      </c>
      <c r="F3152">
        <v>140</v>
      </c>
      <c r="G3152">
        <v>360</v>
      </c>
      <c r="H3152">
        <v>216</v>
      </c>
      <c r="I3152">
        <v>92</v>
      </c>
      <c r="J3152" s="8">
        <v>0.65714285714285714</v>
      </c>
      <c r="K3152">
        <v>25</v>
      </c>
      <c r="L3152">
        <v>37</v>
      </c>
      <c r="M3152">
        <v>175</v>
      </c>
      <c r="N3152" s="10">
        <v>516.91999999999996</v>
      </c>
      <c r="O3152" s="7">
        <v>0</v>
      </c>
      <c r="P3152" s="7">
        <v>29.3</v>
      </c>
      <c r="Q3152">
        <v>6</v>
      </c>
      <c r="R3152" t="s">
        <v>60</v>
      </c>
      <c r="S3152">
        <v>11</v>
      </c>
      <c r="T3152">
        <v>320</v>
      </c>
      <c r="U3152" s="11">
        <v>-0.78183148246802991</v>
      </c>
      <c r="V3152" s="11">
        <v>0.62348980185873337</v>
      </c>
      <c r="W3152" s="11">
        <v>-0.71429211726910324</v>
      </c>
      <c r="X3152" s="11">
        <v>0.69984767714640705</v>
      </c>
      <c r="Y3152">
        <v>1</v>
      </c>
      <c r="Z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6">
        <v>45977</v>
      </c>
      <c r="B3153" t="s">
        <v>36</v>
      </c>
      <c r="C3153" t="s">
        <v>37</v>
      </c>
      <c r="D3153" t="s">
        <v>38</v>
      </c>
      <c r="E3153" t="s">
        <v>39</v>
      </c>
      <c r="F3153">
        <v>125</v>
      </c>
      <c r="G3153">
        <v>320</v>
      </c>
      <c r="H3153">
        <v>198</v>
      </c>
      <c r="I3153">
        <v>83</v>
      </c>
      <c r="J3153" s="8">
        <v>0.66400000000000003</v>
      </c>
      <c r="K3153">
        <v>46</v>
      </c>
      <c r="L3153">
        <v>50</v>
      </c>
      <c r="M3153">
        <v>182</v>
      </c>
      <c r="N3153" s="10">
        <v>692.33</v>
      </c>
      <c r="O3153" s="7">
        <v>0</v>
      </c>
      <c r="P3153" s="7">
        <v>29.3</v>
      </c>
      <c r="Q3153">
        <v>6</v>
      </c>
      <c r="R3153" t="s">
        <v>60</v>
      </c>
      <c r="S3153">
        <v>11</v>
      </c>
      <c r="T3153">
        <v>320</v>
      </c>
      <c r="U3153" s="11">
        <v>-0.78183148246802991</v>
      </c>
      <c r="V3153" s="11">
        <v>0.62348980185873337</v>
      </c>
      <c r="W3153" s="11">
        <v>-0.71429211726910324</v>
      </c>
      <c r="X3153" s="11">
        <v>0.69984767714640705</v>
      </c>
      <c r="Y3153">
        <v>1</v>
      </c>
      <c r="Z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6">
        <v>45977</v>
      </c>
      <c r="B3154" t="s">
        <v>41</v>
      </c>
      <c r="C3154" t="s">
        <v>42</v>
      </c>
      <c r="D3154" t="s">
        <v>43</v>
      </c>
      <c r="E3154" t="s">
        <v>44</v>
      </c>
      <c r="F3154">
        <v>85</v>
      </c>
      <c r="G3154">
        <v>210</v>
      </c>
      <c r="H3154">
        <v>150</v>
      </c>
      <c r="I3154">
        <v>63</v>
      </c>
      <c r="J3154" s="8">
        <v>0.74117647058823533</v>
      </c>
      <c r="K3154">
        <v>22</v>
      </c>
      <c r="L3154">
        <v>36</v>
      </c>
      <c r="M3154">
        <v>127</v>
      </c>
      <c r="N3154" s="10">
        <v>573.07000000000005</v>
      </c>
      <c r="O3154" s="7">
        <v>0</v>
      </c>
      <c r="P3154" s="7">
        <v>29.3</v>
      </c>
      <c r="Q3154">
        <v>6</v>
      </c>
      <c r="R3154" t="s">
        <v>60</v>
      </c>
      <c r="S3154">
        <v>11</v>
      </c>
      <c r="T3154">
        <v>320</v>
      </c>
      <c r="U3154" s="11">
        <v>-0.78183148246802991</v>
      </c>
      <c r="V3154" s="11">
        <v>0.62348980185873337</v>
      </c>
      <c r="W3154" s="11">
        <v>-0.71429211726910324</v>
      </c>
      <c r="X3154" s="11">
        <v>0.69984767714640705</v>
      </c>
      <c r="Y3154">
        <v>1</v>
      </c>
      <c r="Z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6">
        <v>45978</v>
      </c>
      <c r="B3155" t="s">
        <v>31</v>
      </c>
      <c r="C3155" t="s">
        <v>32</v>
      </c>
      <c r="D3155" t="s">
        <v>33</v>
      </c>
      <c r="E3155" t="s">
        <v>34</v>
      </c>
      <c r="F3155">
        <v>140</v>
      </c>
      <c r="G3155">
        <v>360</v>
      </c>
      <c r="H3155">
        <v>173</v>
      </c>
      <c r="I3155">
        <v>73</v>
      </c>
      <c r="J3155" s="8">
        <v>0.52142857142857146</v>
      </c>
      <c r="K3155">
        <v>34</v>
      </c>
      <c r="L3155">
        <v>37</v>
      </c>
      <c r="M3155">
        <v>143</v>
      </c>
      <c r="N3155" s="10">
        <v>442.62</v>
      </c>
      <c r="O3155" s="7">
        <v>2.2000000000000002</v>
      </c>
      <c r="P3155" s="7">
        <v>28.9</v>
      </c>
      <c r="Q3155">
        <v>0</v>
      </c>
      <c r="R3155" t="s">
        <v>62</v>
      </c>
      <c r="S3155">
        <v>11</v>
      </c>
      <c r="T3155">
        <v>321</v>
      </c>
      <c r="U3155" s="11">
        <v>0</v>
      </c>
      <c r="V3155" s="11">
        <v>1</v>
      </c>
      <c r="W3155" s="11">
        <v>-0.70214794940469782</v>
      </c>
      <c r="X3155" s="11">
        <v>0.71203107877871308</v>
      </c>
      <c r="Y3155">
        <v>0</v>
      </c>
      <c r="Z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6">
        <v>45978</v>
      </c>
      <c r="B3156" t="s">
        <v>36</v>
      </c>
      <c r="C3156" t="s">
        <v>37</v>
      </c>
      <c r="D3156" t="s">
        <v>38</v>
      </c>
      <c r="E3156" t="s">
        <v>39</v>
      </c>
      <c r="F3156">
        <v>125</v>
      </c>
      <c r="G3156">
        <v>320</v>
      </c>
      <c r="H3156">
        <v>145</v>
      </c>
      <c r="I3156">
        <v>62</v>
      </c>
      <c r="J3156" s="8">
        <v>0.496</v>
      </c>
      <c r="K3156">
        <v>30</v>
      </c>
      <c r="L3156">
        <v>26</v>
      </c>
      <c r="M3156">
        <v>131</v>
      </c>
      <c r="N3156" s="10">
        <v>590.38</v>
      </c>
      <c r="O3156" s="7">
        <v>2.2000000000000002</v>
      </c>
      <c r="P3156" s="7">
        <v>28.9</v>
      </c>
      <c r="Q3156">
        <v>0</v>
      </c>
      <c r="R3156" t="s">
        <v>62</v>
      </c>
      <c r="S3156">
        <v>11</v>
      </c>
      <c r="T3156">
        <v>321</v>
      </c>
      <c r="U3156" s="11">
        <v>0</v>
      </c>
      <c r="V3156" s="11">
        <v>1</v>
      </c>
      <c r="W3156" s="11">
        <v>-0.70214794940469782</v>
      </c>
      <c r="X3156" s="11">
        <v>0.71203107877871308</v>
      </c>
      <c r="Y3156">
        <v>0</v>
      </c>
      <c r="Z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6">
        <v>45978</v>
      </c>
      <c r="B3157" t="s">
        <v>41</v>
      </c>
      <c r="C3157" t="s">
        <v>42</v>
      </c>
      <c r="D3157" t="s">
        <v>43</v>
      </c>
      <c r="E3157" t="s">
        <v>44</v>
      </c>
      <c r="F3157">
        <v>85</v>
      </c>
      <c r="G3157">
        <v>210</v>
      </c>
      <c r="H3157">
        <v>112</v>
      </c>
      <c r="I3157">
        <v>53</v>
      </c>
      <c r="J3157" s="8">
        <v>0.62352941176470589</v>
      </c>
      <c r="K3157">
        <v>18</v>
      </c>
      <c r="L3157">
        <v>19</v>
      </c>
      <c r="M3157">
        <v>97</v>
      </c>
      <c r="N3157" s="10">
        <v>522.75</v>
      </c>
      <c r="O3157" s="7">
        <v>2.2000000000000002</v>
      </c>
      <c r="P3157" s="7">
        <v>28.9</v>
      </c>
      <c r="Q3157">
        <v>0</v>
      </c>
      <c r="R3157" t="s">
        <v>62</v>
      </c>
      <c r="S3157">
        <v>11</v>
      </c>
      <c r="T3157">
        <v>321</v>
      </c>
      <c r="U3157" s="11">
        <v>0</v>
      </c>
      <c r="V3157" s="11">
        <v>1</v>
      </c>
      <c r="W3157" s="11">
        <v>-0.70214794940469782</v>
      </c>
      <c r="X3157" s="11">
        <v>0.71203107877871308</v>
      </c>
      <c r="Y3157">
        <v>0</v>
      </c>
      <c r="Z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6">
        <v>45979</v>
      </c>
      <c r="B3158" t="s">
        <v>31</v>
      </c>
      <c r="C3158" t="s">
        <v>32</v>
      </c>
      <c r="D3158" t="s">
        <v>33</v>
      </c>
      <c r="E3158" t="s">
        <v>34</v>
      </c>
      <c r="F3158">
        <v>140</v>
      </c>
      <c r="G3158">
        <v>360</v>
      </c>
      <c r="H3158">
        <v>195</v>
      </c>
      <c r="I3158">
        <v>83</v>
      </c>
      <c r="J3158" s="8">
        <v>0.59285714285714286</v>
      </c>
      <c r="K3158">
        <v>45</v>
      </c>
      <c r="L3158">
        <v>50</v>
      </c>
      <c r="M3158">
        <v>161</v>
      </c>
      <c r="N3158" s="10">
        <v>400.52</v>
      </c>
      <c r="O3158" s="7">
        <v>0</v>
      </c>
      <c r="P3158" s="7">
        <v>30.8</v>
      </c>
      <c r="Q3158">
        <v>1</v>
      </c>
      <c r="R3158" t="s">
        <v>63</v>
      </c>
      <c r="S3158">
        <v>11</v>
      </c>
      <c r="T3158">
        <v>322</v>
      </c>
      <c r="U3158" s="11">
        <v>0.7818314824680298</v>
      </c>
      <c r="V3158" s="11">
        <v>0.62348980185873359</v>
      </c>
      <c r="W3158" s="11">
        <v>-0.68979600466558866</v>
      </c>
      <c r="X3158" s="11">
        <v>0.72400377895933055</v>
      </c>
      <c r="Y3158">
        <v>0</v>
      </c>
      <c r="Z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6">
        <v>45979</v>
      </c>
      <c r="B3159" t="s">
        <v>36</v>
      </c>
      <c r="C3159" t="s">
        <v>37</v>
      </c>
      <c r="D3159" t="s">
        <v>38</v>
      </c>
      <c r="E3159" t="s">
        <v>39</v>
      </c>
      <c r="F3159">
        <v>125</v>
      </c>
      <c r="G3159">
        <v>320</v>
      </c>
      <c r="H3159">
        <v>178</v>
      </c>
      <c r="I3159">
        <v>71</v>
      </c>
      <c r="J3159" s="8">
        <v>0.56799999999999995</v>
      </c>
      <c r="K3159">
        <v>40</v>
      </c>
      <c r="L3159">
        <v>37</v>
      </c>
      <c r="M3159">
        <v>151</v>
      </c>
      <c r="N3159" s="10">
        <v>642.95000000000005</v>
      </c>
      <c r="O3159" s="7">
        <v>0</v>
      </c>
      <c r="P3159" s="7">
        <v>30.8</v>
      </c>
      <c r="Q3159">
        <v>1</v>
      </c>
      <c r="R3159" t="s">
        <v>63</v>
      </c>
      <c r="S3159">
        <v>11</v>
      </c>
      <c r="T3159">
        <v>322</v>
      </c>
      <c r="U3159" s="11">
        <v>0.7818314824680298</v>
      </c>
      <c r="V3159" s="11">
        <v>0.62348980185873359</v>
      </c>
      <c r="W3159" s="11">
        <v>-0.68979600466558866</v>
      </c>
      <c r="X3159" s="11">
        <v>0.72400377895933055</v>
      </c>
      <c r="Y3159">
        <v>0</v>
      </c>
      <c r="Z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6">
        <v>45979</v>
      </c>
      <c r="B3160" t="s">
        <v>41</v>
      </c>
      <c r="C3160" t="s">
        <v>42</v>
      </c>
      <c r="D3160" t="s">
        <v>43</v>
      </c>
      <c r="E3160" t="s">
        <v>44</v>
      </c>
      <c r="F3160">
        <v>85</v>
      </c>
      <c r="G3160">
        <v>210</v>
      </c>
      <c r="H3160">
        <v>132</v>
      </c>
      <c r="I3160">
        <v>56</v>
      </c>
      <c r="J3160" s="8">
        <v>0.6588235294117647</v>
      </c>
      <c r="K3160">
        <v>35</v>
      </c>
      <c r="L3160">
        <v>25</v>
      </c>
      <c r="M3160">
        <v>121</v>
      </c>
      <c r="N3160" s="10">
        <v>513.29</v>
      </c>
      <c r="O3160" s="7">
        <v>0</v>
      </c>
      <c r="P3160" s="7">
        <v>30.8</v>
      </c>
      <c r="Q3160">
        <v>1</v>
      </c>
      <c r="R3160" t="s">
        <v>63</v>
      </c>
      <c r="S3160">
        <v>11</v>
      </c>
      <c r="T3160">
        <v>322</v>
      </c>
      <c r="U3160" s="11">
        <v>0.7818314824680298</v>
      </c>
      <c r="V3160" s="11">
        <v>0.62348980185873359</v>
      </c>
      <c r="W3160" s="11">
        <v>-0.68979600466558866</v>
      </c>
      <c r="X3160" s="11">
        <v>0.72400377895933055</v>
      </c>
      <c r="Y3160">
        <v>0</v>
      </c>
      <c r="Z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6">
        <v>45980</v>
      </c>
      <c r="B3161" t="s">
        <v>31</v>
      </c>
      <c r="C3161" t="s">
        <v>32</v>
      </c>
      <c r="D3161" t="s">
        <v>33</v>
      </c>
      <c r="E3161" t="s">
        <v>34</v>
      </c>
      <c r="F3161">
        <v>140</v>
      </c>
      <c r="G3161">
        <v>360</v>
      </c>
      <c r="H3161">
        <v>174</v>
      </c>
      <c r="I3161">
        <v>75</v>
      </c>
      <c r="J3161" s="8">
        <v>0.5357142857142857</v>
      </c>
      <c r="K3161">
        <v>42</v>
      </c>
      <c r="L3161">
        <v>24</v>
      </c>
      <c r="M3161">
        <v>151</v>
      </c>
      <c r="N3161" s="10">
        <v>423.24</v>
      </c>
      <c r="O3161" s="7">
        <v>1.5</v>
      </c>
      <c r="P3161" s="7">
        <v>28.6</v>
      </c>
      <c r="Q3161">
        <v>2</v>
      </c>
      <c r="R3161" t="s">
        <v>64</v>
      </c>
      <c r="S3161">
        <v>11</v>
      </c>
      <c r="T3161">
        <v>323</v>
      </c>
      <c r="U3161" s="11">
        <v>0.97492791218182362</v>
      </c>
      <c r="V3161" s="11">
        <v>-0.22252093395631434</v>
      </c>
      <c r="W3161" s="11">
        <v>-0.67723993819094908</v>
      </c>
      <c r="X3161" s="11">
        <v>0.73576223477365266</v>
      </c>
      <c r="Y3161">
        <v>0</v>
      </c>
      <c r="Z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6">
        <v>45980</v>
      </c>
      <c r="B3162" t="s">
        <v>36</v>
      </c>
      <c r="C3162" t="s">
        <v>37</v>
      </c>
      <c r="D3162" t="s">
        <v>38</v>
      </c>
      <c r="E3162" t="s">
        <v>39</v>
      </c>
      <c r="F3162">
        <v>125</v>
      </c>
      <c r="G3162">
        <v>320</v>
      </c>
      <c r="H3162">
        <v>164</v>
      </c>
      <c r="I3162">
        <v>69</v>
      </c>
      <c r="J3162" s="8">
        <v>0.55200000000000005</v>
      </c>
      <c r="K3162">
        <v>38</v>
      </c>
      <c r="L3162">
        <v>27</v>
      </c>
      <c r="M3162">
        <v>141</v>
      </c>
      <c r="N3162" s="10">
        <v>600.41</v>
      </c>
      <c r="O3162" s="7">
        <v>1.5</v>
      </c>
      <c r="P3162" s="7">
        <v>28.6</v>
      </c>
      <c r="Q3162">
        <v>2</v>
      </c>
      <c r="R3162" t="s">
        <v>64</v>
      </c>
      <c r="S3162">
        <v>11</v>
      </c>
      <c r="T3162">
        <v>323</v>
      </c>
      <c r="U3162" s="11">
        <v>0.97492791218182362</v>
      </c>
      <c r="V3162" s="11">
        <v>-0.22252093395631434</v>
      </c>
      <c r="W3162" s="11">
        <v>-0.67723993819094908</v>
      </c>
      <c r="X3162" s="11">
        <v>0.73576223477365266</v>
      </c>
      <c r="Y3162">
        <v>0</v>
      </c>
      <c r="Z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6">
        <v>45980</v>
      </c>
      <c r="B3163" t="s">
        <v>41</v>
      </c>
      <c r="C3163" t="s">
        <v>42</v>
      </c>
      <c r="D3163" t="s">
        <v>43</v>
      </c>
      <c r="E3163" t="s">
        <v>44</v>
      </c>
      <c r="F3163">
        <v>85</v>
      </c>
      <c r="G3163">
        <v>210</v>
      </c>
      <c r="H3163">
        <v>110</v>
      </c>
      <c r="I3163">
        <v>49</v>
      </c>
      <c r="J3163" s="8">
        <v>0.57647058823529407</v>
      </c>
      <c r="K3163">
        <v>22</v>
      </c>
      <c r="L3163">
        <v>26</v>
      </c>
      <c r="M3163">
        <v>91</v>
      </c>
      <c r="N3163" s="10">
        <v>508.86</v>
      </c>
      <c r="O3163" s="7">
        <v>1.5</v>
      </c>
      <c r="P3163" s="7">
        <v>28.6</v>
      </c>
      <c r="Q3163">
        <v>2</v>
      </c>
      <c r="R3163" t="s">
        <v>64</v>
      </c>
      <c r="S3163">
        <v>11</v>
      </c>
      <c r="T3163">
        <v>323</v>
      </c>
      <c r="U3163" s="11">
        <v>0.97492791218182362</v>
      </c>
      <c r="V3163" s="11">
        <v>-0.22252093395631434</v>
      </c>
      <c r="W3163" s="11">
        <v>-0.67723993819094908</v>
      </c>
      <c r="X3163" s="11">
        <v>0.73576223477365266</v>
      </c>
      <c r="Y3163">
        <v>0</v>
      </c>
      <c r="Z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6">
        <v>45981</v>
      </c>
      <c r="B3164" t="s">
        <v>31</v>
      </c>
      <c r="C3164" t="s">
        <v>32</v>
      </c>
      <c r="D3164" t="s">
        <v>33</v>
      </c>
      <c r="E3164" t="s">
        <v>34</v>
      </c>
      <c r="F3164">
        <v>140</v>
      </c>
      <c r="G3164">
        <v>360</v>
      </c>
      <c r="H3164">
        <v>194</v>
      </c>
      <c r="I3164">
        <v>82</v>
      </c>
      <c r="J3164" s="8">
        <v>0.58571428571428574</v>
      </c>
      <c r="K3164">
        <v>28</v>
      </c>
      <c r="L3164">
        <v>41</v>
      </c>
      <c r="M3164">
        <v>172</v>
      </c>
      <c r="N3164" s="10">
        <v>434.47</v>
      </c>
      <c r="O3164" s="7">
        <v>3.4</v>
      </c>
      <c r="P3164" s="7">
        <v>30.3</v>
      </c>
      <c r="Q3164">
        <v>3</v>
      </c>
      <c r="R3164" t="s">
        <v>65</v>
      </c>
      <c r="S3164">
        <v>11</v>
      </c>
      <c r="T3164">
        <v>324</v>
      </c>
      <c r="U3164" s="11">
        <v>0.43388373911755823</v>
      </c>
      <c r="V3164" s="11">
        <v>-0.90096886790241903</v>
      </c>
      <c r="W3164" s="11">
        <v>-0.6644834655228552</v>
      </c>
      <c r="X3164" s="11">
        <v>0.74730296670542973</v>
      </c>
      <c r="Y3164">
        <v>0</v>
      </c>
      <c r="Z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6">
        <v>45981</v>
      </c>
      <c r="B3165" t="s">
        <v>36</v>
      </c>
      <c r="C3165" t="s">
        <v>37</v>
      </c>
      <c r="D3165" t="s">
        <v>38</v>
      </c>
      <c r="E3165" t="s">
        <v>39</v>
      </c>
      <c r="F3165">
        <v>125</v>
      </c>
      <c r="G3165">
        <v>320</v>
      </c>
      <c r="H3165">
        <v>156</v>
      </c>
      <c r="I3165">
        <v>68</v>
      </c>
      <c r="J3165" s="8">
        <v>0.54400000000000004</v>
      </c>
      <c r="K3165">
        <v>30</v>
      </c>
      <c r="L3165">
        <v>32</v>
      </c>
      <c r="M3165">
        <v>133</v>
      </c>
      <c r="N3165" s="10">
        <v>589.96</v>
      </c>
      <c r="O3165" s="7">
        <v>3.4</v>
      </c>
      <c r="P3165" s="7">
        <v>30.3</v>
      </c>
      <c r="Q3165">
        <v>3</v>
      </c>
      <c r="R3165" t="s">
        <v>65</v>
      </c>
      <c r="S3165">
        <v>11</v>
      </c>
      <c r="T3165">
        <v>324</v>
      </c>
      <c r="U3165" s="11">
        <v>0.43388373911755823</v>
      </c>
      <c r="V3165" s="11">
        <v>-0.90096886790241903</v>
      </c>
      <c r="W3165" s="11">
        <v>-0.6644834655228552</v>
      </c>
      <c r="X3165" s="11">
        <v>0.74730296670542973</v>
      </c>
      <c r="Y3165">
        <v>0</v>
      </c>
      <c r="Z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6">
        <v>45981</v>
      </c>
      <c r="B3166" t="s">
        <v>41</v>
      </c>
      <c r="C3166" t="s">
        <v>42</v>
      </c>
      <c r="D3166" t="s">
        <v>43</v>
      </c>
      <c r="E3166" t="s">
        <v>44</v>
      </c>
      <c r="F3166">
        <v>85</v>
      </c>
      <c r="G3166">
        <v>210</v>
      </c>
      <c r="H3166">
        <v>129</v>
      </c>
      <c r="I3166">
        <v>57</v>
      </c>
      <c r="J3166" s="8">
        <v>0.6705882352941176</v>
      </c>
      <c r="K3166">
        <v>36</v>
      </c>
      <c r="L3166">
        <v>27</v>
      </c>
      <c r="M3166">
        <v>105</v>
      </c>
      <c r="N3166" s="10">
        <v>504.85</v>
      </c>
      <c r="O3166" s="7">
        <v>3.4</v>
      </c>
      <c r="P3166" s="7">
        <v>30.3</v>
      </c>
      <c r="Q3166">
        <v>3</v>
      </c>
      <c r="R3166" t="s">
        <v>65</v>
      </c>
      <c r="S3166">
        <v>11</v>
      </c>
      <c r="T3166">
        <v>324</v>
      </c>
      <c r="U3166" s="11">
        <v>0.43388373911755823</v>
      </c>
      <c r="V3166" s="11">
        <v>-0.90096886790241903</v>
      </c>
      <c r="W3166" s="11">
        <v>-0.6644834655228552</v>
      </c>
      <c r="X3166" s="11">
        <v>0.74730296670542973</v>
      </c>
      <c r="Y3166">
        <v>0</v>
      </c>
      <c r="Z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6">
        <v>45982</v>
      </c>
      <c r="B3167" t="s">
        <v>31</v>
      </c>
      <c r="C3167" t="s">
        <v>32</v>
      </c>
      <c r="D3167" t="s">
        <v>33</v>
      </c>
      <c r="E3167" t="s">
        <v>34</v>
      </c>
      <c r="F3167">
        <v>140</v>
      </c>
      <c r="G3167">
        <v>360</v>
      </c>
      <c r="H3167">
        <v>184</v>
      </c>
      <c r="I3167">
        <v>78</v>
      </c>
      <c r="J3167" s="8">
        <v>0.55714285714285716</v>
      </c>
      <c r="K3167">
        <v>49</v>
      </c>
      <c r="L3167">
        <v>48</v>
      </c>
      <c r="M3167">
        <v>149</v>
      </c>
      <c r="N3167" s="10">
        <v>401.07</v>
      </c>
      <c r="O3167" s="7">
        <v>0</v>
      </c>
      <c r="P3167" s="7">
        <v>29.3</v>
      </c>
      <c r="Q3167">
        <v>4</v>
      </c>
      <c r="R3167" t="s">
        <v>66</v>
      </c>
      <c r="S3167">
        <v>11</v>
      </c>
      <c r="T3167">
        <v>325</v>
      </c>
      <c r="U3167" s="11">
        <v>-0.43388373911755801</v>
      </c>
      <c r="V3167" s="11">
        <v>-0.90096886790241915</v>
      </c>
      <c r="W3167" s="11">
        <v>-0.6515303615068021</v>
      </c>
      <c r="X3167" s="11">
        <v>0.75862255966641001</v>
      </c>
      <c r="Y3167">
        <v>0</v>
      </c>
      <c r="Z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6">
        <v>45982</v>
      </c>
      <c r="B3168" t="s">
        <v>36</v>
      </c>
      <c r="C3168" t="s">
        <v>37</v>
      </c>
      <c r="D3168" t="s">
        <v>38</v>
      </c>
      <c r="E3168" t="s">
        <v>39</v>
      </c>
      <c r="F3168">
        <v>125</v>
      </c>
      <c r="G3168">
        <v>320</v>
      </c>
      <c r="H3168">
        <v>153</v>
      </c>
      <c r="I3168">
        <v>65</v>
      </c>
      <c r="J3168" s="8">
        <v>0.52</v>
      </c>
      <c r="K3168">
        <v>29</v>
      </c>
      <c r="L3168">
        <v>31</v>
      </c>
      <c r="M3168">
        <v>126</v>
      </c>
      <c r="N3168" s="10">
        <v>669.77</v>
      </c>
      <c r="O3168" s="7">
        <v>0</v>
      </c>
      <c r="P3168" s="7">
        <v>29.3</v>
      </c>
      <c r="Q3168">
        <v>4</v>
      </c>
      <c r="R3168" t="s">
        <v>66</v>
      </c>
      <c r="S3168">
        <v>11</v>
      </c>
      <c r="T3168">
        <v>325</v>
      </c>
      <c r="U3168" s="11">
        <v>-0.43388373911755801</v>
      </c>
      <c r="V3168" s="11">
        <v>-0.90096886790241915</v>
      </c>
      <c r="W3168" s="11">
        <v>-0.6515303615068021</v>
      </c>
      <c r="X3168" s="11">
        <v>0.75862255966641001</v>
      </c>
      <c r="Y3168">
        <v>0</v>
      </c>
      <c r="Z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6">
        <v>45982</v>
      </c>
      <c r="B3169" t="s">
        <v>41</v>
      </c>
      <c r="C3169" t="s">
        <v>42</v>
      </c>
      <c r="D3169" t="s">
        <v>43</v>
      </c>
      <c r="E3169" t="s">
        <v>44</v>
      </c>
      <c r="F3169">
        <v>85</v>
      </c>
      <c r="G3169">
        <v>210</v>
      </c>
      <c r="H3169">
        <v>110</v>
      </c>
      <c r="I3169">
        <v>50</v>
      </c>
      <c r="J3169" s="8">
        <v>0.58823529411764708</v>
      </c>
      <c r="K3169">
        <v>33</v>
      </c>
      <c r="L3169">
        <v>13</v>
      </c>
      <c r="M3169">
        <v>96</v>
      </c>
      <c r="N3169" s="10">
        <v>564.32000000000005</v>
      </c>
      <c r="O3169" s="7">
        <v>0</v>
      </c>
      <c r="P3169" s="7">
        <v>29.3</v>
      </c>
      <c r="Q3169">
        <v>4</v>
      </c>
      <c r="R3169" t="s">
        <v>66</v>
      </c>
      <c r="S3169">
        <v>11</v>
      </c>
      <c r="T3169">
        <v>325</v>
      </c>
      <c r="U3169" s="11">
        <v>-0.43388373911755801</v>
      </c>
      <c r="V3169" s="11">
        <v>-0.90096886790241915</v>
      </c>
      <c r="W3169" s="11">
        <v>-0.6515303615068021</v>
      </c>
      <c r="X3169" s="11">
        <v>0.75862255966641001</v>
      </c>
      <c r="Y3169">
        <v>0</v>
      </c>
      <c r="Z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6">
        <v>45983</v>
      </c>
      <c r="B3170" t="s">
        <v>31</v>
      </c>
      <c r="C3170" t="s">
        <v>32</v>
      </c>
      <c r="D3170" t="s">
        <v>33</v>
      </c>
      <c r="E3170" t="s">
        <v>34</v>
      </c>
      <c r="F3170">
        <v>140</v>
      </c>
      <c r="G3170">
        <v>360</v>
      </c>
      <c r="H3170">
        <v>208</v>
      </c>
      <c r="I3170">
        <v>89</v>
      </c>
      <c r="J3170" s="8">
        <v>0.63571428571428568</v>
      </c>
      <c r="K3170">
        <v>31</v>
      </c>
      <c r="L3170">
        <v>41</v>
      </c>
      <c r="M3170">
        <v>187</v>
      </c>
      <c r="N3170" s="10">
        <v>487.9</v>
      </c>
      <c r="O3170" s="7">
        <v>2.2999999999999998</v>
      </c>
      <c r="P3170" s="7">
        <v>29.6</v>
      </c>
      <c r="Q3170">
        <v>5</v>
      </c>
      <c r="R3170" t="s">
        <v>67</v>
      </c>
      <c r="S3170">
        <v>11</v>
      </c>
      <c r="T3170">
        <v>326</v>
      </c>
      <c r="U3170" s="11">
        <v>-0.97492791218182362</v>
      </c>
      <c r="V3170" s="11">
        <v>-0.22252093395631459</v>
      </c>
      <c r="W3170" s="11">
        <v>-0.63838445917466424</v>
      </c>
      <c r="X3170" s="11">
        <v>0.76971766400692099</v>
      </c>
      <c r="Y3170">
        <v>1</v>
      </c>
      <c r="Z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6">
        <v>45983</v>
      </c>
      <c r="B3171" t="s">
        <v>36</v>
      </c>
      <c r="C3171" t="s">
        <v>37</v>
      </c>
      <c r="D3171" t="s">
        <v>38</v>
      </c>
      <c r="E3171" t="s">
        <v>39</v>
      </c>
      <c r="F3171">
        <v>125</v>
      </c>
      <c r="G3171">
        <v>320</v>
      </c>
      <c r="H3171">
        <v>211</v>
      </c>
      <c r="I3171">
        <v>87</v>
      </c>
      <c r="J3171" s="8">
        <v>0.69599999999999995</v>
      </c>
      <c r="K3171">
        <v>48</v>
      </c>
      <c r="L3171">
        <v>35</v>
      </c>
      <c r="M3171">
        <v>196</v>
      </c>
      <c r="N3171" s="10">
        <v>738.1</v>
      </c>
      <c r="O3171" s="7">
        <v>2.2999999999999998</v>
      </c>
      <c r="P3171" s="7">
        <v>29.6</v>
      </c>
      <c r="Q3171">
        <v>5</v>
      </c>
      <c r="R3171" t="s">
        <v>67</v>
      </c>
      <c r="S3171">
        <v>11</v>
      </c>
      <c r="T3171">
        <v>326</v>
      </c>
      <c r="U3171" s="11">
        <v>-0.97492791218182362</v>
      </c>
      <c r="V3171" s="11">
        <v>-0.22252093395631459</v>
      </c>
      <c r="W3171" s="11">
        <v>-0.63838445917466424</v>
      </c>
      <c r="X3171" s="11">
        <v>0.76971766400692099</v>
      </c>
      <c r="Y3171">
        <v>1</v>
      </c>
      <c r="Z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6">
        <v>45983</v>
      </c>
      <c r="B3172" t="s">
        <v>41</v>
      </c>
      <c r="C3172" t="s">
        <v>42</v>
      </c>
      <c r="D3172" t="s">
        <v>43</v>
      </c>
      <c r="E3172" t="s">
        <v>44</v>
      </c>
      <c r="F3172">
        <v>85</v>
      </c>
      <c r="G3172">
        <v>210</v>
      </c>
      <c r="H3172">
        <v>149</v>
      </c>
      <c r="I3172">
        <v>67</v>
      </c>
      <c r="J3172" s="8">
        <v>0.78823529411764703</v>
      </c>
      <c r="K3172">
        <v>23</v>
      </c>
      <c r="L3172">
        <v>27</v>
      </c>
      <c r="M3172">
        <v>133</v>
      </c>
      <c r="N3172" s="10">
        <v>649.85</v>
      </c>
      <c r="O3172" s="7">
        <v>2.2999999999999998</v>
      </c>
      <c r="P3172" s="7">
        <v>29.6</v>
      </c>
      <c r="Q3172">
        <v>5</v>
      </c>
      <c r="R3172" t="s">
        <v>67</v>
      </c>
      <c r="S3172">
        <v>11</v>
      </c>
      <c r="T3172">
        <v>326</v>
      </c>
      <c r="U3172" s="11">
        <v>-0.97492791218182362</v>
      </c>
      <c r="V3172" s="11">
        <v>-0.22252093395631459</v>
      </c>
      <c r="W3172" s="11">
        <v>-0.63838445917466424</v>
      </c>
      <c r="X3172" s="11">
        <v>0.76971766400692099</v>
      </c>
      <c r="Y3172">
        <v>1</v>
      </c>
      <c r="Z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6">
        <v>45984</v>
      </c>
      <c r="B3173" t="s">
        <v>31</v>
      </c>
      <c r="C3173" t="s">
        <v>32</v>
      </c>
      <c r="D3173" t="s">
        <v>33</v>
      </c>
      <c r="E3173" t="s">
        <v>34</v>
      </c>
      <c r="F3173">
        <v>140</v>
      </c>
      <c r="G3173">
        <v>360</v>
      </c>
      <c r="H3173">
        <v>207</v>
      </c>
      <c r="I3173">
        <v>88</v>
      </c>
      <c r="J3173" s="8">
        <v>0.62857142857142856</v>
      </c>
      <c r="K3173">
        <v>37</v>
      </c>
      <c r="L3173">
        <v>42</v>
      </c>
      <c r="M3173">
        <v>183</v>
      </c>
      <c r="N3173" s="10">
        <v>459.61</v>
      </c>
      <c r="O3173" s="7">
        <v>1.2</v>
      </c>
      <c r="P3173" s="7">
        <v>29.2</v>
      </c>
      <c r="Q3173">
        <v>6</v>
      </c>
      <c r="R3173" t="s">
        <v>60</v>
      </c>
      <c r="S3173">
        <v>11</v>
      </c>
      <c r="T3173">
        <v>327</v>
      </c>
      <c r="U3173" s="11">
        <v>-0.78183148246802991</v>
      </c>
      <c r="V3173" s="11">
        <v>0.62348980185873337</v>
      </c>
      <c r="W3173" s="11">
        <v>-0.62504964861043766</v>
      </c>
      <c r="X3173" s="11">
        <v>0.78058499650708657</v>
      </c>
      <c r="Y3173">
        <v>1</v>
      </c>
      <c r="Z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6">
        <v>45984</v>
      </c>
      <c r="B3174" t="s">
        <v>36</v>
      </c>
      <c r="C3174" t="s">
        <v>37</v>
      </c>
      <c r="D3174" t="s">
        <v>38</v>
      </c>
      <c r="E3174" t="s">
        <v>39</v>
      </c>
      <c r="F3174">
        <v>125</v>
      </c>
      <c r="G3174">
        <v>320</v>
      </c>
      <c r="H3174">
        <v>200</v>
      </c>
      <c r="I3174">
        <v>84</v>
      </c>
      <c r="J3174" s="8">
        <v>0.67200000000000004</v>
      </c>
      <c r="K3174">
        <v>39</v>
      </c>
      <c r="L3174">
        <v>48</v>
      </c>
      <c r="M3174">
        <v>178</v>
      </c>
      <c r="N3174" s="10">
        <v>733.19</v>
      </c>
      <c r="O3174" s="7">
        <v>1.2</v>
      </c>
      <c r="P3174" s="7">
        <v>29.2</v>
      </c>
      <c r="Q3174">
        <v>6</v>
      </c>
      <c r="R3174" t="s">
        <v>60</v>
      </c>
      <c r="S3174">
        <v>11</v>
      </c>
      <c r="T3174">
        <v>327</v>
      </c>
      <c r="U3174" s="11">
        <v>-0.78183148246802991</v>
      </c>
      <c r="V3174" s="11">
        <v>0.62348980185873337</v>
      </c>
      <c r="W3174" s="11">
        <v>-0.62504964861043766</v>
      </c>
      <c r="X3174" s="11">
        <v>0.78058499650708657</v>
      </c>
      <c r="Y3174">
        <v>1</v>
      </c>
      <c r="Z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6">
        <v>45984</v>
      </c>
      <c r="B3175" t="s">
        <v>41</v>
      </c>
      <c r="C3175" t="s">
        <v>42</v>
      </c>
      <c r="D3175" t="s">
        <v>43</v>
      </c>
      <c r="E3175" t="s">
        <v>44</v>
      </c>
      <c r="F3175">
        <v>85</v>
      </c>
      <c r="G3175">
        <v>210</v>
      </c>
      <c r="H3175">
        <v>142</v>
      </c>
      <c r="I3175">
        <v>62</v>
      </c>
      <c r="J3175" s="8">
        <v>0.72941176470588232</v>
      </c>
      <c r="K3175">
        <v>22</v>
      </c>
      <c r="L3175">
        <v>26</v>
      </c>
      <c r="M3175">
        <v>118</v>
      </c>
      <c r="N3175" s="10">
        <v>601.85</v>
      </c>
      <c r="O3175" s="7">
        <v>1.2</v>
      </c>
      <c r="P3175" s="7">
        <v>29.2</v>
      </c>
      <c r="Q3175">
        <v>6</v>
      </c>
      <c r="R3175" t="s">
        <v>60</v>
      </c>
      <c r="S3175">
        <v>11</v>
      </c>
      <c r="T3175">
        <v>327</v>
      </c>
      <c r="U3175" s="11">
        <v>-0.78183148246802991</v>
      </c>
      <c r="V3175" s="11">
        <v>0.62348980185873337</v>
      </c>
      <c r="W3175" s="11">
        <v>-0.62504964861043766</v>
      </c>
      <c r="X3175" s="11">
        <v>0.78058499650708657</v>
      </c>
      <c r="Y3175">
        <v>1</v>
      </c>
      <c r="Z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6">
        <v>45985</v>
      </c>
      <c r="B3176" t="s">
        <v>31</v>
      </c>
      <c r="C3176" t="s">
        <v>32</v>
      </c>
      <c r="D3176" t="s">
        <v>33</v>
      </c>
      <c r="E3176" t="s">
        <v>34</v>
      </c>
      <c r="F3176">
        <v>140</v>
      </c>
      <c r="G3176">
        <v>360</v>
      </c>
      <c r="H3176">
        <v>200</v>
      </c>
      <c r="I3176">
        <v>86</v>
      </c>
      <c r="J3176" s="8">
        <v>0.61428571428571432</v>
      </c>
      <c r="K3176">
        <v>52</v>
      </c>
      <c r="L3176">
        <v>27</v>
      </c>
      <c r="M3176">
        <v>183</v>
      </c>
      <c r="N3176" s="10">
        <v>401.11</v>
      </c>
      <c r="O3176" s="7">
        <v>0</v>
      </c>
      <c r="P3176" s="7">
        <v>28.7</v>
      </c>
      <c r="Q3176">
        <v>0</v>
      </c>
      <c r="R3176" t="s">
        <v>62</v>
      </c>
      <c r="S3176">
        <v>11</v>
      </c>
      <c r="T3176">
        <v>328</v>
      </c>
      <c r="U3176" s="11">
        <v>0</v>
      </c>
      <c r="V3176" s="11">
        <v>1</v>
      </c>
      <c r="W3176" s="11">
        <v>-0.61152987579910534</v>
      </c>
      <c r="X3176" s="11">
        <v>0.79122134134838074</v>
      </c>
      <c r="Y3176">
        <v>0</v>
      </c>
      <c r="Z3176">
        <v>0</v>
      </c>
      <c r="AB3176">
        <v>0</v>
      </c>
      <c r="AC3176">
        <v>0</v>
      </c>
      <c r="AD3176">
        <v>0</v>
      </c>
      <c r="AE3176">
        <v>0</v>
      </c>
    </row>
    <row r="3177" spans="1:31">
      <c r="A3177" s="6">
        <v>45985</v>
      </c>
      <c r="B3177" t="s">
        <v>36</v>
      </c>
      <c r="C3177" t="s">
        <v>37</v>
      </c>
      <c r="D3177" t="s">
        <v>38</v>
      </c>
      <c r="E3177" t="s">
        <v>39</v>
      </c>
      <c r="F3177">
        <v>125</v>
      </c>
      <c r="G3177">
        <v>320</v>
      </c>
      <c r="H3177">
        <v>183</v>
      </c>
      <c r="I3177">
        <v>76</v>
      </c>
      <c r="J3177" s="8">
        <v>0.60799999999999998</v>
      </c>
      <c r="K3177">
        <v>46</v>
      </c>
      <c r="L3177">
        <v>45</v>
      </c>
      <c r="M3177">
        <v>169</v>
      </c>
      <c r="N3177" s="10">
        <v>682.16</v>
      </c>
      <c r="O3177" s="7">
        <v>0</v>
      </c>
      <c r="P3177" s="7">
        <v>28.7</v>
      </c>
      <c r="Q3177">
        <v>0</v>
      </c>
      <c r="R3177" t="s">
        <v>62</v>
      </c>
      <c r="S3177">
        <v>11</v>
      </c>
      <c r="T3177">
        <v>328</v>
      </c>
      <c r="U3177" s="11">
        <v>0</v>
      </c>
      <c r="V3177" s="11">
        <v>1</v>
      </c>
      <c r="W3177" s="11">
        <v>-0.61152987579910534</v>
      </c>
      <c r="X3177" s="11">
        <v>0.79122134134838074</v>
      </c>
      <c r="Y3177">
        <v>0</v>
      </c>
      <c r="Z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6">
        <v>45985</v>
      </c>
      <c r="B3178" t="s">
        <v>41</v>
      </c>
      <c r="C3178" t="s">
        <v>42</v>
      </c>
      <c r="D3178" t="s">
        <v>43</v>
      </c>
      <c r="E3178" t="s">
        <v>44</v>
      </c>
      <c r="F3178">
        <v>85</v>
      </c>
      <c r="G3178">
        <v>210</v>
      </c>
      <c r="H3178">
        <v>120</v>
      </c>
      <c r="I3178">
        <v>54</v>
      </c>
      <c r="J3178" s="8">
        <v>0.63529411764705879</v>
      </c>
      <c r="K3178">
        <v>30</v>
      </c>
      <c r="L3178">
        <v>24</v>
      </c>
      <c r="M3178">
        <v>104</v>
      </c>
      <c r="N3178" s="10">
        <v>500.57</v>
      </c>
      <c r="O3178" s="7">
        <v>0</v>
      </c>
      <c r="P3178" s="7">
        <v>28.7</v>
      </c>
      <c r="Q3178">
        <v>0</v>
      </c>
      <c r="R3178" t="s">
        <v>62</v>
      </c>
      <c r="S3178">
        <v>11</v>
      </c>
      <c r="T3178">
        <v>328</v>
      </c>
      <c r="U3178" s="11">
        <v>0</v>
      </c>
      <c r="V3178" s="11">
        <v>1</v>
      </c>
      <c r="W3178" s="11">
        <v>-0.61152987579910534</v>
      </c>
      <c r="X3178" s="11">
        <v>0.79122134134838074</v>
      </c>
      <c r="Y3178">
        <v>0</v>
      </c>
      <c r="Z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6">
        <v>45986</v>
      </c>
      <c r="B3179" t="s">
        <v>31</v>
      </c>
      <c r="C3179" t="s">
        <v>32</v>
      </c>
      <c r="D3179" t="s">
        <v>33</v>
      </c>
      <c r="E3179" t="s">
        <v>34</v>
      </c>
      <c r="F3179">
        <v>140</v>
      </c>
      <c r="G3179">
        <v>360</v>
      </c>
      <c r="H3179">
        <v>165</v>
      </c>
      <c r="I3179">
        <v>71</v>
      </c>
      <c r="J3179" s="8">
        <v>0.50714285714285712</v>
      </c>
      <c r="K3179">
        <v>37</v>
      </c>
      <c r="L3179">
        <v>41</v>
      </c>
      <c r="M3179">
        <v>135</v>
      </c>
      <c r="N3179" s="10">
        <v>387.31</v>
      </c>
      <c r="O3179" s="7">
        <v>0</v>
      </c>
      <c r="P3179" s="7">
        <v>30.4</v>
      </c>
      <c r="Q3179">
        <v>1</v>
      </c>
      <c r="R3179" t="s">
        <v>63</v>
      </c>
      <c r="S3179">
        <v>11</v>
      </c>
      <c r="T3179">
        <v>329</v>
      </c>
      <c r="U3179" s="11">
        <v>0.7818314824680298</v>
      </c>
      <c r="V3179" s="11">
        <v>0.62348980185873359</v>
      </c>
      <c r="W3179" s="11">
        <v>-0.59782914145895516</v>
      </c>
      <c r="X3179" s="11">
        <v>0.80162355106524197</v>
      </c>
      <c r="Y3179">
        <v>0</v>
      </c>
      <c r="Z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6">
        <v>45986</v>
      </c>
      <c r="B3180" t="s">
        <v>36</v>
      </c>
      <c r="C3180" t="s">
        <v>37</v>
      </c>
      <c r="D3180" t="s">
        <v>38</v>
      </c>
      <c r="E3180" t="s">
        <v>39</v>
      </c>
      <c r="F3180">
        <v>125</v>
      </c>
      <c r="G3180">
        <v>320</v>
      </c>
      <c r="H3180">
        <v>186</v>
      </c>
      <c r="I3180">
        <v>80</v>
      </c>
      <c r="J3180" s="8">
        <v>0.64</v>
      </c>
      <c r="K3180">
        <v>41</v>
      </c>
      <c r="L3180">
        <v>40</v>
      </c>
      <c r="M3180">
        <v>151</v>
      </c>
      <c r="N3180" s="10">
        <v>625.89</v>
      </c>
      <c r="O3180" s="7">
        <v>0</v>
      </c>
      <c r="P3180" s="7">
        <v>30.4</v>
      </c>
      <c r="Q3180">
        <v>1</v>
      </c>
      <c r="R3180" t="s">
        <v>63</v>
      </c>
      <c r="S3180">
        <v>11</v>
      </c>
      <c r="T3180">
        <v>329</v>
      </c>
      <c r="U3180" s="11">
        <v>0.7818314824680298</v>
      </c>
      <c r="V3180" s="11">
        <v>0.62348980185873359</v>
      </c>
      <c r="W3180" s="11">
        <v>-0.59782914145895516</v>
      </c>
      <c r="X3180" s="11">
        <v>0.80162355106524197</v>
      </c>
      <c r="Y3180">
        <v>0</v>
      </c>
      <c r="Z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6">
        <v>45986</v>
      </c>
      <c r="B3181" t="s">
        <v>41</v>
      </c>
      <c r="C3181" t="s">
        <v>42</v>
      </c>
      <c r="D3181" t="s">
        <v>43</v>
      </c>
      <c r="E3181" t="s">
        <v>44</v>
      </c>
      <c r="F3181">
        <v>85</v>
      </c>
      <c r="G3181">
        <v>210</v>
      </c>
      <c r="H3181">
        <v>118</v>
      </c>
      <c r="I3181">
        <v>53</v>
      </c>
      <c r="J3181" s="8">
        <v>0.62352941176470589</v>
      </c>
      <c r="K3181">
        <v>28</v>
      </c>
      <c r="L3181">
        <v>11</v>
      </c>
      <c r="M3181">
        <v>103</v>
      </c>
      <c r="N3181" s="10">
        <v>515.57000000000005</v>
      </c>
      <c r="O3181" s="7">
        <v>0</v>
      </c>
      <c r="P3181" s="7">
        <v>30.4</v>
      </c>
      <c r="Q3181">
        <v>1</v>
      </c>
      <c r="R3181" t="s">
        <v>63</v>
      </c>
      <c r="S3181">
        <v>11</v>
      </c>
      <c r="T3181">
        <v>329</v>
      </c>
      <c r="U3181" s="11">
        <v>0.7818314824680298</v>
      </c>
      <c r="V3181" s="11">
        <v>0.62348980185873359</v>
      </c>
      <c r="W3181" s="11">
        <v>-0.59782914145895516</v>
      </c>
      <c r="X3181" s="11">
        <v>0.80162355106524197</v>
      </c>
      <c r="Y3181">
        <v>0</v>
      </c>
      <c r="Z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6">
        <v>45987</v>
      </c>
      <c r="B3182" t="s">
        <v>31</v>
      </c>
      <c r="C3182" t="s">
        <v>32</v>
      </c>
      <c r="D3182" t="s">
        <v>33</v>
      </c>
      <c r="E3182" t="s">
        <v>34</v>
      </c>
      <c r="F3182">
        <v>140</v>
      </c>
      <c r="G3182">
        <v>360</v>
      </c>
      <c r="H3182">
        <v>191</v>
      </c>
      <c r="I3182">
        <v>81</v>
      </c>
      <c r="J3182" s="8">
        <v>0.57857142857142863</v>
      </c>
      <c r="K3182">
        <v>42</v>
      </c>
      <c r="L3182">
        <v>38</v>
      </c>
      <c r="M3182">
        <v>179</v>
      </c>
      <c r="N3182" s="10">
        <v>468.66</v>
      </c>
      <c r="O3182" s="7">
        <v>0</v>
      </c>
      <c r="P3182" s="7">
        <v>29.7</v>
      </c>
      <c r="Q3182">
        <v>2</v>
      </c>
      <c r="R3182" t="s">
        <v>64</v>
      </c>
      <c r="S3182">
        <v>11</v>
      </c>
      <c r="T3182">
        <v>330</v>
      </c>
      <c r="U3182" s="11">
        <v>0.97492791218182362</v>
      </c>
      <c r="V3182" s="11">
        <v>-0.22252093395631434</v>
      </c>
      <c r="W3182" s="11">
        <v>-0.58395149985769979</v>
      </c>
      <c r="X3182" s="11">
        <v>0.81178854747646134</v>
      </c>
      <c r="Y3182">
        <v>0</v>
      </c>
      <c r="Z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6">
        <v>45987</v>
      </c>
      <c r="B3183" t="s">
        <v>36</v>
      </c>
      <c r="C3183" t="s">
        <v>37</v>
      </c>
      <c r="D3183" t="s">
        <v>38</v>
      </c>
      <c r="E3183" t="s">
        <v>39</v>
      </c>
      <c r="F3183">
        <v>125</v>
      </c>
      <c r="G3183">
        <v>320</v>
      </c>
      <c r="H3183">
        <v>171</v>
      </c>
      <c r="I3183">
        <v>73</v>
      </c>
      <c r="J3183" s="8">
        <v>0.58399999999999996</v>
      </c>
      <c r="K3183">
        <v>22</v>
      </c>
      <c r="L3183">
        <v>24</v>
      </c>
      <c r="M3183">
        <v>149</v>
      </c>
      <c r="N3183" s="10">
        <v>626.94000000000005</v>
      </c>
      <c r="O3183" s="7">
        <v>0</v>
      </c>
      <c r="P3183" s="7">
        <v>29.7</v>
      </c>
      <c r="Q3183">
        <v>2</v>
      </c>
      <c r="R3183" t="s">
        <v>64</v>
      </c>
      <c r="S3183">
        <v>11</v>
      </c>
      <c r="T3183">
        <v>330</v>
      </c>
      <c r="U3183" s="11">
        <v>0.97492791218182362</v>
      </c>
      <c r="V3183" s="11">
        <v>-0.22252093395631434</v>
      </c>
      <c r="W3183" s="11">
        <v>-0.58395149985769979</v>
      </c>
      <c r="X3183" s="11">
        <v>0.81178854747646134</v>
      </c>
      <c r="Y3183">
        <v>0</v>
      </c>
      <c r="Z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6">
        <v>45987</v>
      </c>
      <c r="B3184" t="s">
        <v>41</v>
      </c>
      <c r="C3184" t="s">
        <v>42</v>
      </c>
      <c r="D3184" t="s">
        <v>43</v>
      </c>
      <c r="E3184" t="s">
        <v>44</v>
      </c>
      <c r="F3184">
        <v>85</v>
      </c>
      <c r="G3184">
        <v>210</v>
      </c>
      <c r="H3184">
        <v>120</v>
      </c>
      <c r="I3184">
        <v>55</v>
      </c>
      <c r="J3184" s="8">
        <v>0.6470588235294118</v>
      </c>
      <c r="K3184">
        <v>18</v>
      </c>
      <c r="L3184">
        <v>30</v>
      </c>
      <c r="M3184">
        <v>111</v>
      </c>
      <c r="N3184" s="10">
        <v>559.07000000000005</v>
      </c>
      <c r="O3184" s="7">
        <v>0</v>
      </c>
      <c r="P3184" s="7">
        <v>29.7</v>
      </c>
      <c r="Q3184">
        <v>2</v>
      </c>
      <c r="R3184" t="s">
        <v>64</v>
      </c>
      <c r="S3184">
        <v>11</v>
      </c>
      <c r="T3184">
        <v>330</v>
      </c>
      <c r="U3184" s="11">
        <v>0.97492791218182362</v>
      </c>
      <c r="V3184" s="11">
        <v>-0.22252093395631434</v>
      </c>
      <c r="W3184" s="11">
        <v>-0.58395149985769979</v>
      </c>
      <c r="X3184" s="11">
        <v>0.81178854747646134</v>
      </c>
      <c r="Y3184">
        <v>0</v>
      </c>
      <c r="Z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6">
        <v>45988</v>
      </c>
      <c r="B3185" t="s">
        <v>31</v>
      </c>
      <c r="C3185" t="s">
        <v>32</v>
      </c>
      <c r="D3185" t="s">
        <v>33</v>
      </c>
      <c r="E3185" t="s">
        <v>34</v>
      </c>
      <c r="F3185">
        <v>140</v>
      </c>
      <c r="G3185">
        <v>360</v>
      </c>
      <c r="H3185">
        <v>189</v>
      </c>
      <c r="I3185">
        <v>78</v>
      </c>
      <c r="J3185" s="8">
        <v>0.55714285714285716</v>
      </c>
      <c r="K3185">
        <v>33</v>
      </c>
      <c r="L3185">
        <v>34</v>
      </c>
      <c r="M3185">
        <v>155</v>
      </c>
      <c r="N3185" s="10">
        <v>452.39</v>
      </c>
      <c r="O3185" s="7">
        <v>0</v>
      </c>
      <c r="P3185" s="7">
        <v>28.4</v>
      </c>
      <c r="Q3185">
        <v>3</v>
      </c>
      <c r="R3185" t="s">
        <v>65</v>
      </c>
      <c r="S3185">
        <v>11</v>
      </c>
      <c r="T3185">
        <v>331</v>
      </c>
      <c r="U3185" s="11">
        <v>0.43388373911755823</v>
      </c>
      <c r="V3185" s="11">
        <v>-0.90096886790241903</v>
      </c>
      <c r="W3185" s="11">
        <v>-0.56990105761276244</v>
      </c>
      <c r="X3185" s="11">
        <v>0.821713322596059</v>
      </c>
      <c r="Y3185">
        <v>0</v>
      </c>
      <c r="Z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6">
        <v>45988</v>
      </c>
      <c r="B3186" t="s">
        <v>36</v>
      </c>
      <c r="C3186" t="s">
        <v>37</v>
      </c>
      <c r="D3186" t="s">
        <v>38</v>
      </c>
      <c r="E3186" t="s">
        <v>39</v>
      </c>
      <c r="F3186">
        <v>125</v>
      </c>
      <c r="G3186">
        <v>320</v>
      </c>
      <c r="H3186">
        <v>182</v>
      </c>
      <c r="I3186">
        <v>77</v>
      </c>
      <c r="J3186" s="8">
        <v>0.61599999999999999</v>
      </c>
      <c r="K3186">
        <v>29</v>
      </c>
      <c r="L3186">
        <v>32</v>
      </c>
      <c r="M3186">
        <v>161</v>
      </c>
      <c r="N3186" s="10">
        <v>662.04</v>
      </c>
      <c r="O3186" s="7">
        <v>0</v>
      </c>
      <c r="P3186" s="7">
        <v>28.4</v>
      </c>
      <c r="Q3186">
        <v>3</v>
      </c>
      <c r="R3186" t="s">
        <v>65</v>
      </c>
      <c r="S3186">
        <v>11</v>
      </c>
      <c r="T3186">
        <v>331</v>
      </c>
      <c r="U3186" s="11">
        <v>0.43388373911755823</v>
      </c>
      <c r="V3186" s="11">
        <v>-0.90096886790241903</v>
      </c>
      <c r="W3186" s="11">
        <v>-0.56990105761276244</v>
      </c>
      <c r="X3186" s="11">
        <v>0.821713322596059</v>
      </c>
      <c r="Y3186">
        <v>0</v>
      </c>
      <c r="Z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6">
        <v>45988</v>
      </c>
      <c r="B3187" t="s">
        <v>41</v>
      </c>
      <c r="C3187" t="s">
        <v>42</v>
      </c>
      <c r="D3187" t="s">
        <v>43</v>
      </c>
      <c r="E3187" t="s">
        <v>44</v>
      </c>
      <c r="F3187">
        <v>85</v>
      </c>
      <c r="G3187">
        <v>210</v>
      </c>
      <c r="H3187">
        <v>130</v>
      </c>
      <c r="I3187">
        <v>59</v>
      </c>
      <c r="J3187" s="8">
        <v>0.69411764705882351</v>
      </c>
      <c r="K3187">
        <v>35</v>
      </c>
      <c r="L3187">
        <v>14</v>
      </c>
      <c r="M3187">
        <v>119</v>
      </c>
      <c r="N3187" s="10">
        <v>575.30999999999995</v>
      </c>
      <c r="O3187" s="7">
        <v>0</v>
      </c>
      <c r="P3187" s="7">
        <v>28.4</v>
      </c>
      <c r="Q3187">
        <v>3</v>
      </c>
      <c r="R3187" t="s">
        <v>65</v>
      </c>
      <c r="S3187">
        <v>11</v>
      </c>
      <c r="T3187">
        <v>331</v>
      </c>
      <c r="U3187" s="11">
        <v>0.43388373911755823</v>
      </c>
      <c r="V3187" s="11">
        <v>-0.90096886790241903</v>
      </c>
      <c r="W3187" s="11">
        <v>-0.56990105761276244</v>
      </c>
      <c r="X3187" s="11">
        <v>0.821713322596059</v>
      </c>
      <c r="Y3187">
        <v>0</v>
      </c>
      <c r="Z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6">
        <v>45989</v>
      </c>
      <c r="B3188" t="s">
        <v>31</v>
      </c>
      <c r="C3188" t="s">
        <v>32</v>
      </c>
      <c r="D3188" t="s">
        <v>33</v>
      </c>
      <c r="E3188" t="s">
        <v>34</v>
      </c>
      <c r="F3188">
        <v>140</v>
      </c>
      <c r="G3188">
        <v>360</v>
      </c>
      <c r="H3188">
        <v>174</v>
      </c>
      <c r="I3188">
        <v>76</v>
      </c>
      <c r="J3188" s="8">
        <v>0.54285714285714282</v>
      </c>
      <c r="K3188">
        <v>28</v>
      </c>
      <c r="L3188">
        <v>22</v>
      </c>
      <c r="M3188">
        <v>139</v>
      </c>
      <c r="N3188" s="10">
        <v>458.94</v>
      </c>
      <c r="O3188" s="7">
        <v>0.4</v>
      </c>
      <c r="P3188" s="7">
        <v>30.2</v>
      </c>
      <c r="Q3188">
        <v>4</v>
      </c>
      <c r="R3188" t="s">
        <v>66</v>
      </c>
      <c r="S3188">
        <v>11</v>
      </c>
      <c r="T3188">
        <v>332</v>
      </c>
      <c r="U3188" s="11">
        <v>-0.43388373911755801</v>
      </c>
      <c r="V3188" s="11">
        <v>-0.90096886790241915</v>
      </c>
      <c r="W3188" s="11">
        <v>-0.55568197247604889</v>
      </c>
      <c r="X3188" s="11">
        <v>0.83139493952340582</v>
      </c>
      <c r="Y3188">
        <v>0</v>
      </c>
      <c r="Z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6">
        <v>45989</v>
      </c>
      <c r="B3189" t="s">
        <v>36</v>
      </c>
      <c r="C3189" t="s">
        <v>37</v>
      </c>
      <c r="D3189" t="s">
        <v>38</v>
      </c>
      <c r="E3189" t="s">
        <v>39</v>
      </c>
      <c r="F3189">
        <v>125</v>
      </c>
      <c r="G3189">
        <v>320</v>
      </c>
      <c r="H3189">
        <v>184</v>
      </c>
      <c r="I3189">
        <v>73</v>
      </c>
      <c r="J3189" s="8">
        <v>0.58399999999999996</v>
      </c>
      <c r="K3189">
        <v>45</v>
      </c>
      <c r="L3189">
        <v>48</v>
      </c>
      <c r="M3189">
        <v>156</v>
      </c>
      <c r="N3189" s="10">
        <v>567.38</v>
      </c>
      <c r="O3189" s="7">
        <v>0.4</v>
      </c>
      <c r="P3189" s="7">
        <v>30.2</v>
      </c>
      <c r="Q3189">
        <v>4</v>
      </c>
      <c r="R3189" t="s">
        <v>66</v>
      </c>
      <c r="S3189">
        <v>11</v>
      </c>
      <c r="T3189">
        <v>332</v>
      </c>
      <c r="U3189" s="11">
        <v>-0.43388373911755801</v>
      </c>
      <c r="V3189" s="11">
        <v>-0.90096886790241915</v>
      </c>
      <c r="W3189" s="11">
        <v>-0.55568197247604889</v>
      </c>
      <c r="X3189" s="11">
        <v>0.83139493952340582</v>
      </c>
      <c r="Y3189">
        <v>0</v>
      </c>
      <c r="Z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6">
        <v>45989</v>
      </c>
      <c r="B3190" t="s">
        <v>41</v>
      </c>
      <c r="C3190" t="s">
        <v>42</v>
      </c>
      <c r="D3190" t="s">
        <v>43</v>
      </c>
      <c r="E3190" t="s">
        <v>44</v>
      </c>
      <c r="F3190">
        <v>85</v>
      </c>
      <c r="G3190">
        <v>210</v>
      </c>
      <c r="H3190">
        <v>119</v>
      </c>
      <c r="I3190">
        <v>51</v>
      </c>
      <c r="J3190" s="8">
        <v>0.6</v>
      </c>
      <c r="K3190">
        <v>16</v>
      </c>
      <c r="L3190">
        <v>13</v>
      </c>
      <c r="M3190">
        <v>108</v>
      </c>
      <c r="N3190" s="10">
        <v>481.19</v>
      </c>
      <c r="O3190" s="7">
        <v>0.4</v>
      </c>
      <c r="P3190" s="7">
        <v>30.2</v>
      </c>
      <c r="Q3190">
        <v>4</v>
      </c>
      <c r="R3190" t="s">
        <v>66</v>
      </c>
      <c r="S3190">
        <v>11</v>
      </c>
      <c r="T3190">
        <v>332</v>
      </c>
      <c r="U3190" s="11">
        <v>-0.43388373911755801</v>
      </c>
      <c r="V3190" s="11">
        <v>-0.90096886790241915</v>
      </c>
      <c r="W3190" s="11">
        <v>-0.55568197247604889</v>
      </c>
      <c r="X3190" s="11">
        <v>0.83139493952340582</v>
      </c>
      <c r="Y3190">
        <v>0</v>
      </c>
      <c r="Z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6">
        <v>45990</v>
      </c>
      <c r="B3191" t="s">
        <v>31</v>
      </c>
      <c r="C3191" t="s">
        <v>32</v>
      </c>
      <c r="D3191" t="s">
        <v>33</v>
      </c>
      <c r="E3191" t="s">
        <v>34</v>
      </c>
      <c r="F3191">
        <v>140</v>
      </c>
      <c r="G3191">
        <v>360</v>
      </c>
      <c r="H3191">
        <v>226</v>
      </c>
      <c r="I3191">
        <v>97</v>
      </c>
      <c r="J3191" s="8">
        <v>0.69285714285714284</v>
      </c>
      <c r="K3191">
        <v>27</v>
      </c>
      <c r="L3191">
        <v>47</v>
      </c>
      <c r="M3191">
        <v>196</v>
      </c>
      <c r="N3191" s="10">
        <v>519.97</v>
      </c>
      <c r="O3191" s="7">
        <v>0</v>
      </c>
      <c r="P3191" s="7">
        <v>29.2</v>
      </c>
      <c r="Q3191">
        <v>5</v>
      </c>
      <c r="R3191" t="s">
        <v>67</v>
      </c>
      <c r="S3191">
        <v>11</v>
      </c>
      <c r="T3191">
        <v>333</v>
      </c>
      <c r="U3191" s="11">
        <v>-0.97492791218182362</v>
      </c>
      <c r="V3191" s="11">
        <v>-0.22252093395631459</v>
      </c>
      <c r="W3191" s="11">
        <v>-0.54129845210361727</v>
      </c>
      <c r="X3191" s="11">
        <v>0.84083053331228874</v>
      </c>
      <c r="Y3191">
        <v>1</v>
      </c>
      <c r="Z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6">
        <v>45990</v>
      </c>
      <c r="B3192" t="s">
        <v>36</v>
      </c>
      <c r="C3192" t="s">
        <v>37</v>
      </c>
      <c r="D3192" t="s">
        <v>38</v>
      </c>
      <c r="E3192" t="s">
        <v>39</v>
      </c>
      <c r="F3192">
        <v>125</v>
      </c>
      <c r="G3192">
        <v>320</v>
      </c>
      <c r="H3192">
        <v>207</v>
      </c>
      <c r="I3192">
        <v>88</v>
      </c>
      <c r="J3192" s="8">
        <v>0.70399999999999996</v>
      </c>
      <c r="K3192">
        <v>29</v>
      </c>
      <c r="L3192">
        <v>44</v>
      </c>
      <c r="M3192">
        <v>190</v>
      </c>
      <c r="N3192" s="10">
        <v>726.4</v>
      </c>
      <c r="O3192" s="7">
        <v>0</v>
      </c>
      <c r="P3192" s="7">
        <v>29.2</v>
      </c>
      <c r="Q3192">
        <v>5</v>
      </c>
      <c r="R3192" t="s">
        <v>67</v>
      </c>
      <c r="S3192">
        <v>11</v>
      </c>
      <c r="T3192">
        <v>333</v>
      </c>
      <c r="U3192" s="11">
        <v>-0.97492791218182362</v>
      </c>
      <c r="V3192" s="11">
        <v>-0.22252093395631459</v>
      </c>
      <c r="W3192" s="11">
        <v>-0.54129845210361727</v>
      </c>
      <c r="X3192" s="11">
        <v>0.84083053331228874</v>
      </c>
      <c r="Y3192">
        <v>1</v>
      </c>
      <c r="Z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6">
        <v>45990</v>
      </c>
      <c r="B3193" t="s">
        <v>41</v>
      </c>
      <c r="C3193" t="s">
        <v>42</v>
      </c>
      <c r="D3193" t="s">
        <v>43</v>
      </c>
      <c r="E3193" t="s">
        <v>44</v>
      </c>
      <c r="F3193">
        <v>85</v>
      </c>
      <c r="G3193">
        <v>210</v>
      </c>
      <c r="H3193">
        <v>139</v>
      </c>
      <c r="I3193">
        <v>62</v>
      </c>
      <c r="J3193" s="8">
        <v>0.72941176470588232</v>
      </c>
      <c r="K3193">
        <v>23</v>
      </c>
      <c r="L3193">
        <v>21</v>
      </c>
      <c r="M3193">
        <v>119</v>
      </c>
      <c r="N3193" s="10">
        <v>586.07000000000005</v>
      </c>
      <c r="O3193" s="7">
        <v>0</v>
      </c>
      <c r="P3193" s="7">
        <v>29.2</v>
      </c>
      <c r="Q3193">
        <v>5</v>
      </c>
      <c r="R3193" t="s">
        <v>67</v>
      </c>
      <c r="S3193">
        <v>11</v>
      </c>
      <c r="T3193">
        <v>333</v>
      </c>
      <c r="U3193" s="11">
        <v>-0.97492791218182362</v>
      </c>
      <c r="V3193" s="11">
        <v>-0.22252093395631459</v>
      </c>
      <c r="W3193" s="11">
        <v>-0.54129845210361727</v>
      </c>
      <c r="X3193" s="11">
        <v>0.84083053331228874</v>
      </c>
      <c r="Y3193">
        <v>1</v>
      </c>
      <c r="Z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6">
        <v>45991</v>
      </c>
      <c r="B3194" t="s">
        <v>31</v>
      </c>
      <c r="C3194" t="s">
        <v>32</v>
      </c>
      <c r="D3194" t="s">
        <v>33</v>
      </c>
      <c r="E3194" t="s">
        <v>34</v>
      </c>
      <c r="F3194">
        <v>140</v>
      </c>
      <c r="G3194">
        <v>360</v>
      </c>
      <c r="H3194">
        <v>241</v>
      </c>
      <c r="I3194">
        <v>103</v>
      </c>
      <c r="J3194" s="8">
        <v>0.73571428571428577</v>
      </c>
      <c r="K3194">
        <v>31</v>
      </c>
      <c r="L3194">
        <v>41</v>
      </c>
      <c r="M3194">
        <v>194</v>
      </c>
      <c r="N3194" s="10">
        <v>453.65</v>
      </c>
      <c r="O3194" s="7">
        <v>3.2</v>
      </c>
      <c r="P3194" s="7">
        <v>30</v>
      </c>
      <c r="Q3194">
        <v>6</v>
      </c>
      <c r="R3194" t="s">
        <v>60</v>
      </c>
      <c r="S3194">
        <v>11</v>
      </c>
      <c r="T3194">
        <v>334</v>
      </c>
      <c r="U3194" s="11">
        <v>-0.78183148246802991</v>
      </c>
      <c r="V3194" s="11">
        <v>0.62348980185873337</v>
      </c>
      <c r="W3194" s="11">
        <v>-0.52675475281055417</v>
      </c>
      <c r="X3194" s="11">
        <v>0.85001731181870177</v>
      </c>
      <c r="Y3194">
        <v>1</v>
      </c>
      <c r="Z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6">
        <v>45991</v>
      </c>
      <c r="B3195" t="s">
        <v>36</v>
      </c>
      <c r="C3195" t="s">
        <v>37</v>
      </c>
      <c r="D3195" t="s">
        <v>38</v>
      </c>
      <c r="E3195" t="s">
        <v>39</v>
      </c>
      <c r="F3195">
        <v>125</v>
      </c>
      <c r="G3195">
        <v>320</v>
      </c>
      <c r="H3195">
        <v>195</v>
      </c>
      <c r="I3195">
        <v>81</v>
      </c>
      <c r="J3195" s="8">
        <v>0.64800000000000002</v>
      </c>
      <c r="K3195">
        <v>26</v>
      </c>
      <c r="L3195">
        <v>32</v>
      </c>
      <c r="M3195">
        <v>183</v>
      </c>
      <c r="N3195" s="10">
        <v>655.09</v>
      </c>
      <c r="O3195" s="7">
        <v>3.2</v>
      </c>
      <c r="P3195" s="7">
        <v>30</v>
      </c>
      <c r="Q3195">
        <v>6</v>
      </c>
      <c r="R3195" t="s">
        <v>60</v>
      </c>
      <c r="S3195">
        <v>11</v>
      </c>
      <c r="T3195">
        <v>334</v>
      </c>
      <c r="U3195" s="11">
        <v>-0.78183148246802991</v>
      </c>
      <c r="V3195" s="11">
        <v>0.62348980185873337</v>
      </c>
      <c r="W3195" s="11">
        <v>-0.52675475281055417</v>
      </c>
      <c r="X3195" s="11">
        <v>0.85001731181870177</v>
      </c>
      <c r="Y3195">
        <v>1</v>
      </c>
      <c r="Z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6">
        <v>45991</v>
      </c>
      <c r="B3196" t="s">
        <v>41</v>
      </c>
      <c r="C3196" t="s">
        <v>42</v>
      </c>
      <c r="D3196" t="s">
        <v>43</v>
      </c>
      <c r="E3196" t="s">
        <v>44</v>
      </c>
      <c r="F3196">
        <v>85</v>
      </c>
      <c r="G3196">
        <v>210</v>
      </c>
      <c r="H3196">
        <v>143</v>
      </c>
      <c r="I3196">
        <v>66</v>
      </c>
      <c r="J3196" s="8">
        <v>0.77647058823529413</v>
      </c>
      <c r="K3196">
        <v>36</v>
      </c>
      <c r="L3196">
        <v>24</v>
      </c>
      <c r="M3196">
        <v>124</v>
      </c>
      <c r="N3196" s="10">
        <v>651.35</v>
      </c>
      <c r="O3196" s="7">
        <v>3.2</v>
      </c>
      <c r="P3196" s="7">
        <v>30</v>
      </c>
      <c r="Q3196">
        <v>6</v>
      </c>
      <c r="R3196" t="s">
        <v>60</v>
      </c>
      <c r="S3196">
        <v>11</v>
      </c>
      <c r="T3196">
        <v>334</v>
      </c>
      <c r="U3196" s="11">
        <v>-0.78183148246802991</v>
      </c>
      <c r="V3196" s="11">
        <v>0.62348980185873337</v>
      </c>
      <c r="W3196" s="11">
        <v>-0.52675475281055417</v>
      </c>
      <c r="X3196" s="11">
        <v>0.85001731181870177</v>
      </c>
      <c r="Y3196">
        <v>1</v>
      </c>
      <c r="Z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6">
        <v>45992</v>
      </c>
      <c r="B3197" t="s">
        <v>31</v>
      </c>
      <c r="C3197" t="s">
        <v>32</v>
      </c>
      <c r="D3197" t="s">
        <v>33</v>
      </c>
      <c r="E3197" t="s">
        <v>34</v>
      </c>
      <c r="F3197">
        <v>140</v>
      </c>
      <c r="G3197">
        <v>360</v>
      </c>
      <c r="H3197">
        <v>197</v>
      </c>
      <c r="I3197">
        <v>84</v>
      </c>
      <c r="J3197" s="8">
        <v>0.6</v>
      </c>
      <c r="K3197">
        <v>28</v>
      </c>
      <c r="L3197">
        <v>48</v>
      </c>
      <c r="M3197">
        <v>183</v>
      </c>
      <c r="N3197" s="10">
        <v>447.68</v>
      </c>
      <c r="O3197" s="7">
        <v>1</v>
      </c>
      <c r="P3197" s="7">
        <v>30</v>
      </c>
      <c r="Q3197">
        <v>0</v>
      </c>
      <c r="R3197" t="s">
        <v>62</v>
      </c>
      <c r="S3197">
        <v>12</v>
      </c>
      <c r="T3197">
        <v>335</v>
      </c>
      <c r="U3197" s="11">
        <v>0</v>
      </c>
      <c r="V3197" s="11">
        <v>1</v>
      </c>
      <c r="W3197" s="11">
        <v>-0.51205517831146463</v>
      </c>
      <c r="X3197" s="11">
        <v>0.85895255652708447</v>
      </c>
      <c r="Y3197">
        <v>0</v>
      </c>
      <c r="Z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6">
        <v>45992</v>
      </c>
      <c r="B3198" t="s">
        <v>36</v>
      </c>
      <c r="C3198" t="s">
        <v>37</v>
      </c>
      <c r="D3198" t="s">
        <v>38</v>
      </c>
      <c r="E3198" t="s">
        <v>39</v>
      </c>
      <c r="F3198">
        <v>125</v>
      </c>
      <c r="G3198">
        <v>320</v>
      </c>
      <c r="H3198">
        <v>195</v>
      </c>
      <c r="I3198">
        <v>81</v>
      </c>
      <c r="J3198" s="8">
        <v>0.64800000000000002</v>
      </c>
      <c r="K3198">
        <v>42</v>
      </c>
      <c r="L3198">
        <v>25</v>
      </c>
      <c r="M3198">
        <v>179</v>
      </c>
      <c r="N3198" s="10">
        <v>571.83000000000004</v>
      </c>
      <c r="O3198" s="7">
        <v>1</v>
      </c>
      <c r="P3198" s="7">
        <v>30</v>
      </c>
      <c r="Q3198">
        <v>0</v>
      </c>
      <c r="R3198" t="s">
        <v>62</v>
      </c>
      <c r="S3198">
        <v>12</v>
      </c>
      <c r="T3198">
        <v>335</v>
      </c>
      <c r="U3198" s="11">
        <v>0</v>
      </c>
      <c r="V3198" s="11">
        <v>1</v>
      </c>
      <c r="W3198" s="11">
        <v>-0.51205517831146463</v>
      </c>
      <c r="X3198" s="11">
        <v>0.85895255652708447</v>
      </c>
      <c r="Y3198">
        <v>0</v>
      </c>
      <c r="Z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6">
        <v>45992</v>
      </c>
      <c r="B3199" t="s">
        <v>41</v>
      </c>
      <c r="C3199" t="s">
        <v>42</v>
      </c>
      <c r="D3199" t="s">
        <v>43</v>
      </c>
      <c r="E3199" t="s">
        <v>44</v>
      </c>
      <c r="F3199">
        <v>85</v>
      </c>
      <c r="G3199">
        <v>210</v>
      </c>
      <c r="H3199">
        <v>119</v>
      </c>
      <c r="I3199">
        <v>53</v>
      </c>
      <c r="J3199" s="8">
        <v>0.62352941176470589</v>
      </c>
      <c r="K3199">
        <v>26</v>
      </c>
      <c r="L3199">
        <v>25</v>
      </c>
      <c r="M3199">
        <v>96</v>
      </c>
      <c r="N3199" s="10">
        <v>573.11</v>
      </c>
      <c r="O3199" s="7">
        <v>1</v>
      </c>
      <c r="P3199" s="7">
        <v>30</v>
      </c>
      <c r="Q3199">
        <v>0</v>
      </c>
      <c r="R3199" t="s">
        <v>62</v>
      </c>
      <c r="S3199">
        <v>12</v>
      </c>
      <c r="T3199">
        <v>335</v>
      </c>
      <c r="U3199" s="11">
        <v>0</v>
      </c>
      <c r="V3199" s="11">
        <v>1</v>
      </c>
      <c r="W3199" s="11">
        <v>-0.51205517831146463</v>
      </c>
      <c r="X3199" s="11">
        <v>0.85895255652708447</v>
      </c>
      <c r="Y3199">
        <v>0</v>
      </c>
      <c r="Z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6">
        <v>45993</v>
      </c>
      <c r="B3200" t="s">
        <v>31</v>
      </c>
      <c r="C3200" t="s">
        <v>32</v>
      </c>
      <c r="D3200" t="s">
        <v>33</v>
      </c>
      <c r="E3200" t="s">
        <v>34</v>
      </c>
      <c r="F3200">
        <v>140</v>
      </c>
      <c r="G3200">
        <v>360</v>
      </c>
      <c r="H3200">
        <v>213</v>
      </c>
      <c r="I3200">
        <v>87</v>
      </c>
      <c r="J3200" s="8">
        <v>0.62142857142857144</v>
      </c>
      <c r="K3200">
        <v>39</v>
      </c>
      <c r="L3200">
        <v>42</v>
      </c>
      <c r="M3200">
        <v>193</v>
      </c>
      <c r="N3200" s="10">
        <v>396.22</v>
      </c>
      <c r="O3200" s="7">
        <v>2.7</v>
      </c>
      <c r="P3200" s="7">
        <v>29.6</v>
      </c>
      <c r="Q3200">
        <v>1</v>
      </c>
      <c r="R3200" t="s">
        <v>63</v>
      </c>
      <c r="S3200">
        <v>12</v>
      </c>
      <c r="T3200">
        <v>336</v>
      </c>
      <c r="U3200" s="11">
        <v>0.7818314824680298</v>
      </c>
      <c r="V3200" s="11">
        <v>0.62348980185873359</v>
      </c>
      <c r="W3200" s="11">
        <v>-0.49720407844693781</v>
      </c>
      <c r="X3200" s="11">
        <v>0.86763362335477257</v>
      </c>
      <c r="Y3200">
        <v>0</v>
      </c>
      <c r="Z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6">
        <v>45993</v>
      </c>
      <c r="B3201" t="s">
        <v>36</v>
      </c>
      <c r="C3201" t="s">
        <v>37</v>
      </c>
      <c r="D3201" t="s">
        <v>38</v>
      </c>
      <c r="E3201" t="s">
        <v>39</v>
      </c>
      <c r="F3201">
        <v>125</v>
      </c>
      <c r="G3201">
        <v>320</v>
      </c>
      <c r="H3201">
        <v>163</v>
      </c>
      <c r="I3201">
        <v>71</v>
      </c>
      <c r="J3201" s="8">
        <v>0.56799999999999995</v>
      </c>
      <c r="K3201">
        <v>40</v>
      </c>
      <c r="L3201">
        <v>35</v>
      </c>
      <c r="M3201">
        <v>150</v>
      </c>
      <c r="N3201" s="10">
        <v>643.71</v>
      </c>
      <c r="O3201" s="7">
        <v>2.7</v>
      </c>
      <c r="P3201" s="7">
        <v>29.6</v>
      </c>
      <c r="Q3201">
        <v>1</v>
      </c>
      <c r="R3201" t="s">
        <v>63</v>
      </c>
      <c r="S3201">
        <v>12</v>
      </c>
      <c r="T3201">
        <v>336</v>
      </c>
      <c r="U3201" s="11">
        <v>0.7818314824680298</v>
      </c>
      <c r="V3201" s="11">
        <v>0.62348980185873359</v>
      </c>
      <c r="W3201" s="11">
        <v>-0.49720407844693781</v>
      </c>
      <c r="X3201" s="11">
        <v>0.86763362335477257</v>
      </c>
      <c r="Y3201">
        <v>0</v>
      </c>
      <c r="Z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6">
        <v>45993</v>
      </c>
      <c r="B3202" t="s">
        <v>41</v>
      </c>
      <c r="C3202" t="s">
        <v>42</v>
      </c>
      <c r="D3202" t="s">
        <v>43</v>
      </c>
      <c r="E3202" t="s">
        <v>44</v>
      </c>
      <c r="F3202">
        <v>85</v>
      </c>
      <c r="G3202">
        <v>210</v>
      </c>
      <c r="H3202">
        <v>121</v>
      </c>
      <c r="I3202">
        <v>51</v>
      </c>
      <c r="J3202" s="8">
        <v>0.6</v>
      </c>
      <c r="K3202">
        <v>17</v>
      </c>
      <c r="L3202">
        <v>23</v>
      </c>
      <c r="M3202">
        <v>97</v>
      </c>
      <c r="N3202" s="10">
        <v>487</v>
      </c>
      <c r="O3202" s="7">
        <v>2.7</v>
      </c>
      <c r="P3202" s="7">
        <v>29.6</v>
      </c>
      <c r="Q3202">
        <v>1</v>
      </c>
      <c r="R3202" t="s">
        <v>63</v>
      </c>
      <c r="S3202">
        <v>12</v>
      </c>
      <c r="T3202">
        <v>336</v>
      </c>
      <c r="U3202" s="11">
        <v>0.7818314824680298</v>
      </c>
      <c r="V3202" s="11">
        <v>0.62348980185873359</v>
      </c>
      <c r="W3202" s="11">
        <v>-0.49720407844693781</v>
      </c>
      <c r="X3202" s="11">
        <v>0.86763362335477257</v>
      </c>
      <c r="Y3202">
        <v>0</v>
      </c>
      <c r="Z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6">
        <v>45994</v>
      </c>
      <c r="B3203" t="s">
        <v>31</v>
      </c>
      <c r="C3203" t="s">
        <v>32</v>
      </c>
      <c r="D3203" t="s">
        <v>33</v>
      </c>
      <c r="E3203" t="s">
        <v>34</v>
      </c>
      <c r="F3203">
        <v>140</v>
      </c>
      <c r="G3203">
        <v>360</v>
      </c>
      <c r="H3203">
        <v>192</v>
      </c>
      <c r="I3203">
        <v>79</v>
      </c>
      <c r="J3203" s="8">
        <v>0.56428571428571428</v>
      </c>
      <c r="K3203">
        <v>35</v>
      </c>
      <c r="L3203">
        <v>27</v>
      </c>
      <c r="M3203">
        <v>156</v>
      </c>
      <c r="N3203" s="10">
        <v>419.3</v>
      </c>
      <c r="O3203" s="7">
        <v>2.6</v>
      </c>
      <c r="P3203" s="7">
        <v>29.8</v>
      </c>
      <c r="Q3203">
        <v>2</v>
      </c>
      <c r="R3203" t="s">
        <v>64</v>
      </c>
      <c r="S3203">
        <v>12</v>
      </c>
      <c r="T3203">
        <v>337</v>
      </c>
      <c r="U3203" s="11">
        <v>0.97492791218182362</v>
      </c>
      <c r="V3203" s="11">
        <v>-0.22252093395631434</v>
      </c>
      <c r="W3203" s="11">
        <v>-0.48220584789635262</v>
      </c>
      <c r="X3203" s="11">
        <v>0.87605794343442811</v>
      </c>
      <c r="Y3203">
        <v>0</v>
      </c>
      <c r="Z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6">
        <v>45994</v>
      </c>
      <c r="B3204" t="s">
        <v>36</v>
      </c>
      <c r="C3204" t="s">
        <v>37</v>
      </c>
      <c r="D3204" t="s">
        <v>38</v>
      </c>
      <c r="E3204" t="s">
        <v>39</v>
      </c>
      <c r="F3204">
        <v>125</v>
      </c>
      <c r="G3204">
        <v>320</v>
      </c>
      <c r="H3204">
        <v>170</v>
      </c>
      <c r="I3204">
        <v>71</v>
      </c>
      <c r="J3204" s="8">
        <v>0.56799999999999995</v>
      </c>
      <c r="K3204">
        <v>30</v>
      </c>
      <c r="L3204">
        <v>40</v>
      </c>
      <c r="M3204">
        <v>156</v>
      </c>
      <c r="N3204" s="10">
        <v>643.85</v>
      </c>
      <c r="O3204" s="7">
        <v>2.6</v>
      </c>
      <c r="P3204" s="7">
        <v>29.8</v>
      </c>
      <c r="Q3204">
        <v>2</v>
      </c>
      <c r="R3204" t="s">
        <v>64</v>
      </c>
      <c r="S3204">
        <v>12</v>
      </c>
      <c r="T3204">
        <v>337</v>
      </c>
      <c r="U3204" s="11">
        <v>0.97492791218182362</v>
      </c>
      <c r="V3204" s="11">
        <v>-0.22252093395631434</v>
      </c>
      <c r="W3204" s="11">
        <v>-0.48220584789635262</v>
      </c>
      <c r="X3204" s="11">
        <v>0.87605794343442811</v>
      </c>
      <c r="Y3204">
        <v>0</v>
      </c>
      <c r="Z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6">
        <v>45994</v>
      </c>
      <c r="B3205" t="s">
        <v>41</v>
      </c>
      <c r="C3205" t="s">
        <v>42</v>
      </c>
      <c r="D3205" t="s">
        <v>43</v>
      </c>
      <c r="E3205" t="s">
        <v>44</v>
      </c>
      <c r="F3205">
        <v>85</v>
      </c>
      <c r="G3205">
        <v>210</v>
      </c>
      <c r="H3205">
        <v>128</v>
      </c>
      <c r="I3205">
        <v>57</v>
      </c>
      <c r="J3205" s="8">
        <v>0.6705882352941176</v>
      </c>
      <c r="K3205">
        <v>14</v>
      </c>
      <c r="L3205">
        <v>32</v>
      </c>
      <c r="M3205">
        <v>106</v>
      </c>
      <c r="N3205" s="10">
        <v>581.48</v>
      </c>
      <c r="O3205" s="7">
        <v>2.6</v>
      </c>
      <c r="P3205" s="7">
        <v>29.8</v>
      </c>
      <c r="Q3205">
        <v>2</v>
      </c>
      <c r="R3205" t="s">
        <v>64</v>
      </c>
      <c r="S3205">
        <v>12</v>
      </c>
      <c r="T3205">
        <v>337</v>
      </c>
      <c r="U3205" s="11">
        <v>0.97492791218182362</v>
      </c>
      <c r="V3205" s="11">
        <v>-0.22252093395631434</v>
      </c>
      <c r="W3205" s="11">
        <v>-0.48220584789635262</v>
      </c>
      <c r="X3205" s="11">
        <v>0.87605794343442811</v>
      </c>
      <c r="Y3205">
        <v>0</v>
      </c>
      <c r="Z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6">
        <v>45995</v>
      </c>
      <c r="B3206" t="s">
        <v>31</v>
      </c>
      <c r="C3206" t="s">
        <v>32</v>
      </c>
      <c r="D3206" t="s">
        <v>33</v>
      </c>
      <c r="E3206" t="s">
        <v>34</v>
      </c>
      <c r="F3206">
        <v>140</v>
      </c>
      <c r="G3206">
        <v>360</v>
      </c>
      <c r="H3206">
        <v>206</v>
      </c>
      <c r="I3206">
        <v>87</v>
      </c>
      <c r="J3206" s="8">
        <v>0.62142857142857144</v>
      </c>
      <c r="K3206">
        <v>21</v>
      </c>
      <c r="L3206">
        <v>28</v>
      </c>
      <c r="M3206">
        <v>191</v>
      </c>
      <c r="N3206" s="10">
        <v>450.94</v>
      </c>
      <c r="O3206" s="7">
        <v>6</v>
      </c>
      <c r="P3206" s="7">
        <v>28.9</v>
      </c>
      <c r="Q3206">
        <v>3</v>
      </c>
      <c r="R3206" t="s">
        <v>65</v>
      </c>
      <c r="S3206">
        <v>12</v>
      </c>
      <c r="T3206">
        <v>338</v>
      </c>
      <c r="U3206" s="11">
        <v>0.43388373911755823</v>
      </c>
      <c r="V3206" s="11">
        <v>-0.90096886790241903</v>
      </c>
      <c r="W3206" s="11">
        <v>-0.46706492487743034</v>
      </c>
      <c r="X3206" s="11">
        <v>0.8842230238742036</v>
      </c>
      <c r="Y3206">
        <v>0</v>
      </c>
      <c r="Z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6">
        <v>45995</v>
      </c>
      <c r="B3207" t="s">
        <v>36</v>
      </c>
      <c r="C3207" t="s">
        <v>37</v>
      </c>
      <c r="D3207" t="s">
        <v>38</v>
      </c>
      <c r="E3207" t="s">
        <v>39</v>
      </c>
      <c r="F3207">
        <v>125</v>
      </c>
      <c r="G3207">
        <v>320</v>
      </c>
      <c r="H3207">
        <v>170</v>
      </c>
      <c r="I3207">
        <v>72</v>
      </c>
      <c r="J3207" s="8">
        <v>0.57599999999999996</v>
      </c>
      <c r="K3207">
        <v>55</v>
      </c>
      <c r="L3207">
        <v>18</v>
      </c>
      <c r="M3207">
        <v>140</v>
      </c>
      <c r="N3207" s="10">
        <v>583.69000000000005</v>
      </c>
      <c r="O3207" s="7">
        <v>6</v>
      </c>
      <c r="P3207" s="7">
        <v>28.9</v>
      </c>
      <c r="Q3207">
        <v>3</v>
      </c>
      <c r="R3207" t="s">
        <v>65</v>
      </c>
      <c r="S3207">
        <v>12</v>
      </c>
      <c r="T3207">
        <v>338</v>
      </c>
      <c r="U3207" s="11">
        <v>0.43388373911755823</v>
      </c>
      <c r="V3207" s="11">
        <v>-0.90096886790241903</v>
      </c>
      <c r="W3207" s="11">
        <v>-0.46706492487743034</v>
      </c>
      <c r="X3207" s="11">
        <v>0.8842230238742036</v>
      </c>
      <c r="Y3207">
        <v>0</v>
      </c>
      <c r="Z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6">
        <v>45995</v>
      </c>
      <c r="B3208" t="s">
        <v>41</v>
      </c>
      <c r="C3208" t="s">
        <v>42</v>
      </c>
      <c r="D3208" t="s">
        <v>43</v>
      </c>
      <c r="E3208" t="s">
        <v>44</v>
      </c>
      <c r="F3208">
        <v>85</v>
      </c>
      <c r="G3208">
        <v>210</v>
      </c>
      <c r="H3208">
        <v>118</v>
      </c>
      <c r="I3208">
        <v>54</v>
      </c>
      <c r="J3208" s="8">
        <v>0.63529411764705879</v>
      </c>
      <c r="K3208">
        <v>16</v>
      </c>
      <c r="L3208">
        <v>27</v>
      </c>
      <c r="M3208">
        <v>96</v>
      </c>
      <c r="N3208" s="10">
        <v>485.71</v>
      </c>
      <c r="O3208" s="7">
        <v>6</v>
      </c>
      <c r="P3208" s="7">
        <v>28.9</v>
      </c>
      <c r="Q3208">
        <v>3</v>
      </c>
      <c r="R3208" t="s">
        <v>65</v>
      </c>
      <c r="S3208">
        <v>12</v>
      </c>
      <c r="T3208">
        <v>338</v>
      </c>
      <c r="U3208" s="11">
        <v>0.43388373911755823</v>
      </c>
      <c r="V3208" s="11">
        <v>-0.90096886790241903</v>
      </c>
      <c r="W3208" s="11">
        <v>-0.46706492487743034</v>
      </c>
      <c r="X3208" s="11">
        <v>0.8842230238742036</v>
      </c>
      <c r="Y3208">
        <v>0</v>
      </c>
      <c r="Z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6">
        <v>45996</v>
      </c>
      <c r="B3209" t="s">
        <v>31</v>
      </c>
      <c r="C3209" t="s">
        <v>32</v>
      </c>
      <c r="D3209" t="s">
        <v>33</v>
      </c>
      <c r="E3209" t="s">
        <v>34</v>
      </c>
      <c r="F3209">
        <v>140</v>
      </c>
      <c r="G3209">
        <v>360</v>
      </c>
      <c r="H3209">
        <v>195</v>
      </c>
      <c r="I3209">
        <v>84</v>
      </c>
      <c r="J3209" s="8">
        <v>0.6</v>
      </c>
      <c r="K3209">
        <v>55</v>
      </c>
      <c r="L3209">
        <v>29</v>
      </c>
      <c r="M3209">
        <v>158</v>
      </c>
      <c r="N3209" s="10">
        <v>386.74</v>
      </c>
      <c r="O3209" s="7">
        <v>3.2</v>
      </c>
      <c r="P3209" s="7">
        <v>28.7</v>
      </c>
      <c r="Q3209">
        <v>4</v>
      </c>
      <c r="R3209" t="s">
        <v>66</v>
      </c>
      <c r="S3209">
        <v>12</v>
      </c>
      <c r="T3209">
        <v>339</v>
      </c>
      <c r="U3209" s="11">
        <v>-0.43388373911755801</v>
      </c>
      <c r="V3209" s="11">
        <v>-0.90096886790241915</v>
      </c>
      <c r="W3209" s="11">
        <v>-0.45178578983288398</v>
      </c>
      <c r="X3209" s="11">
        <v>0.89212644849543454</v>
      </c>
      <c r="Y3209">
        <v>0</v>
      </c>
      <c r="Z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6">
        <v>45996</v>
      </c>
      <c r="B3210" t="s">
        <v>36</v>
      </c>
      <c r="C3210" t="s">
        <v>37</v>
      </c>
      <c r="D3210" t="s">
        <v>38</v>
      </c>
      <c r="E3210" t="s">
        <v>39</v>
      </c>
      <c r="F3210">
        <v>125</v>
      </c>
      <c r="G3210">
        <v>320</v>
      </c>
      <c r="H3210">
        <v>177</v>
      </c>
      <c r="I3210">
        <v>74</v>
      </c>
      <c r="J3210" s="8">
        <v>0.59199999999999997</v>
      </c>
      <c r="K3210">
        <v>19</v>
      </c>
      <c r="L3210">
        <v>15</v>
      </c>
      <c r="M3210">
        <v>165</v>
      </c>
      <c r="N3210" s="10">
        <v>576.6</v>
      </c>
      <c r="O3210" s="7">
        <v>3.2</v>
      </c>
      <c r="P3210" s="7">
        <v>28.7</v>
      </c>
      <c r="Q3210">
        <v>4</v>
      </c>
      <c r="R3210" t="s">
        <v>66</v>
      </c>
      <c r="S3210">
        <v>12</v>
      </c>
      <c r="T3210">
        <v>339</v>
      </c>
      <c r="U3210" s="11">
        <v>-0.43388373911755801</v>
      </c>
      <c r="V3210" s="11">
        <v>-0.90096886790241915</v>
      </c>
      <c r="W3210" s="11">
        <v>-0.45178578983288398</v>
      </c>
      <c r="X3210" s="11">
        <v>0.89212644849543454</v>
      </c>
      <c r="Y3210">
        <v>0</v>
      </c>
      <c r="Z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6">
        <v>45996</v>
      </c>
      <c r="B3211" t="s">
        <v>41</v>
      </c>
      <c r="C3211" t="s">
        <v>42</v>
      </c>
      <c r="D3211" t="s">
        <v>43</v>
      </c>
      <c r="E3211" t="s">
        <v>44</v>
      </c>
      <c r="F3211">
        <v>85</v>
      </c>
      <c r="G3211">
        <v>210</v>
      </c>
      <c r="H3211">
        <v>116</v>
      </c>
      <c r="I3211">
        <v>52</v>
      </c>
      <c r="J3211" s="8">
        <v>0.61176470588235299</v>
      </c>
      <c r="K3211">
        <v>17</v>
      </c>
      <c r="L3211">
        <v>20</v>
      </c>
      <c r="M3211">
        <v>101</v>
      </c>
      <c r="N3211" s="10">
        <v>551.48</v>
      </c>
      <c r="O3211" s="7">
        <v>3.2</v>
      </c>
      <c r="P3211" s="7">
        <v>28.7</v>
      </c>
      <c r="Q3211">
        <v>4</v>
      </c>
      <c r="R3211" t="s">
        <v>66</v>
      </c>
      <c r="S3211">
        <v>12</v>
      </c>
      <c r="T3211">
        <v>339</v>
      </c>
      <c r="U3211" s="11">
        <v>-0.43388373911755801</v>
      </c>
      <c r="V3211" s="11">
        <v>-0.90096886790241915</v>
      </c>
      <c r="W3211" s="11">
        <v>-0.45178578983288398</v>
      </c>
      <c r="X3211" s="11">
        <v>0.89212644849543454</v>
      </c>
      <c r="Y3211">
        <v>0</v>
      </c>
      <c r="Z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6">
        <v>45997</v>
      </c>
      <c r="B3212" t="s">
        <v>31</v>
      </c>
      <c r="C3212" t="s">
        <v>32</v>
      </c>
      <c r="D3212" t="s">
        <v>33</v>
      </c>
      <c r="E3212" t="s">
        <v>34</v>
      </c>
      <c r="F3212">
        <v>140</v>
      </c>
      <c r="G3212">
        <v>360</v>
      </c>
      <c r="H3212">
        <v>207</v>
      </c>
      <c r="I3212">
        <v>88</v>
      </c>
      <c r="J3212" s="8">
        <v>0.62857142857142856</v>
      </c>
      <c r="K3212">
        <v>32</v>
      </c>
      <c r="L3212">
        <v>42</v>
      </c>
      <c r="M3212">
        <v>183</v>
      </c>
      <c r="N3212" s="10">
        <v>440.65</v>
      </c>
      <c r="O3212" s="7">
        <v>1.8</v>
      </c>
      <c r="P3212" s="7">
        <v>29</v>
      </c>
      <c r="Q3212">
        <v>5</v>
      </c>
      <c r="R3212" t="s">
        <v>67</v>
      </c>
      <c r="S3212">
        <v>12</v>
      </c>
      <c r="T3212">
        <v>340</v>
      </c>
      <c r="U3212" s="11">
        <v>-0.97492791218182362</v>
      </c>
      <c r="V3212" s="11">
        <v>-0.22252093395631459</v>
      </c>
      <c r="W3212" s="11">
        <v>-0.43637296410459242</v>
      </c>
      <c r="X3212" s="11">
        <v>0.89976587854762091</v>
      </c>
      <c r="Y3212">
        <v>1</v>
      </c>
      <c r="Z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6">
        <v>45997</v>
      </c>
      <c r="B3213" t="s">
        <v>36</v>
      </c>
      <c r="C3213" t="s">
        <v>37</v>
      </c>
      <c r="D3213" t="s">
        <v>38</v>
      </c>
      <c r="E3213" t="s">
        <v>39</v>
      </c>
      <c r="F3213">
        <v>125</v>
      </c>
      <c r="G3213">
        <v>320</v>
      </c>
      <c r="H3213">
        <v>203</v>
      </c>
      <c r="I3213">
        <v>85</v>
      </c>
      <c r="J3213" s="8">
        <v>0.68</v>
      </c>
      <c r="K3213">
        <v>24</v>
      </c>
      <c r="L3213">
        <v>40</v>
      </c>
      <c r="M3213">
        <v>180</v>
      </c>
      <c r="N3213" s="10">
        <v>679.8</v>
      </c>
      <c r="O3213" s="7">
        <v>1.8</v>
      </c>
      <c r="P3213" s="7">
        <v>29</v>
      </c>
      <c r="Q3213">
        <v>5</v>
      </c>
      <c r="R3213" t="s">
        <v>67</v>
      </c>
      <c r="S3213">
        <v>12</v>
      </c>
      <c r="T3213">
        <v>340</v>
      </c>
      <c r="U3213" s="11">
        <v>-0.97492791218182362</v>
      </c>
      <c r="V3213" s="11">
        <v>-0.22252093395631459</v>
      </c>
      <c r="W3213" s="11">
        <v>-0.43637296410459242</v>
      </c>
      <c r="X3213" s="11">
        <v>0.89976587854762091</v>
      </c>
      <c r="Y3213">
        <v>1</v>
      </c>
      <c r="Z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6">
        <v>45997</v>
      </c>
      <c r="B3214" t="s">
        <v>41</v>
      </c>
      <c r="C3214" t="s">
        <v>42</v>
      </c>
      <c r="D3214" t="s">
        <v>43</v>
      </c>
      <c r="E3214" t="s">
        <v>44</v>
      </c>
      <c r="F3214">
        <v>85</v>
      </c>
      <c r="G3214">
        <v>210</v>
      </c>
      <c r="H3214">
        <v>148</v>
      </c>
      <c r="I3214">
        <v>67</v>
      </c>
      <c r="J3214" s="8">
        <v>0.78823529411764703</v>
      </c>
      <c r="K3214">
        <v>26</v>
      </c>
      <c r="L3214">
        <v>32</v>
      </c>
      <c r="M3214">
        <v>131</v>
      </c>
      <c r="N3214" s="10">
        <v>574.41</v>
      </c>
      <c r="O3214" s="7">
        <v>1.8</v>
      </c>
      <c r="P3214" s="7">
        <v>29</v>
      </c>
      <c r="Q3214">
        <v>5</v>
      </c>
      <c r="R3214" t="s">
        <v>67</v>
      </c>
      <c r="S3214">
        <v>12</v>
      </c>
      <c r="T3214">
        <v>340</v>
      </c>
      <c r="U3214" s="11">
        <v>-0.97492791218182362</v>
      </c>
      <c r="V3214" s="11">
        <v>-0.22252093395631459</v>
      </c>
      <c r="W3214" s="11">
        <v>-0.43637296410459242</v>
      </c>
      <c r="X3214" s="11">
        <v>0.89976587854762091</v>
      </c>
      <c r="Y3214">
        <v>1</v>
      </c>
      <c r="Z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6">
        <v>45998</v>
      </c>
      <c r="B3215" t="s">
        <v>31</v>
      </c>
      <c r="C3215" t="s">
        <v>32</v>
      </c>
      <c r="D3215" t="s">
        <v>33</v>
      </c>
      <c r="E3215" t="s">
        <v>34</v>
      </c>
      <c r="F3215">
        <v>140</v>
      </c>
      <c r="G3215">
        <v>360</v>
      </c>
      <c r="H3215">
        <v>210</v>
      </c>
      <c r="I3215">
        <v>91</v>
      </c>
      <c r="J3215" s="8">
        <v>0.65</v>
      </c>
      <c r="K3215">
        <v>34</v>
      </c>
      <c r="L3215">
        <v>47</v>
      </c>
      <c r="M3215">
        <v>177</v>
      </c>
      <c r="N3215" s="10">
        <v>511.32</v>
      </c>
      <c r="O3215" s="7">
        <v>0.8</v>
      </c>
      <c r="P3215" s="7">
        <v>28.8</v>
      </c>
      <c r="Q3215">
        <v>6</v>
      </c>
      <c r="R3215" t="s">
        <v>60</v>
      </c>
      <c r="S3215">
        <v>12</v>
      </c>
      <c r="T3215">
        <v>341</v>
      </c>
      <c r="U3215" s="11">
        <v>-0.78183148246802991</v>
      </c>
      <c r="V3215" s="11">
        <v>0.62348980185873337</v>
      </c>
      <c r="W3215" s="11">
        <v>-0.42083100859565564</v>
      </c>
      <c r="X3215" s="11">
        <v>0.90713905340050438</v>
      </c>
      <c r="Y3215">
        <v>1</v>
      </c>
      <c r="Z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6">
        <v>45998</v>
      </c>
      <c r="B3216" t="s">
        <v>36</v>
      </c>
      <c r="C3216" t="s">
        <v>37</v>
      </c>
      <c r="D3216" t="s">
        <v>38</v>
      </c>
      <c r="E3216" t="s">
        <v>39</v>
      </c>
      <c r="F3216">
        <v>125</v>
      </c>
      <c r="G3216">
        <v>320</v>
      </c>
      <c r="H3216">
        <v>202</v>
      </c>
      <c r="I3216">
        <v>85</v>
      </c>
      <c r="J3216" s="8">
        <v>0.68</v>
      </c>
      <c r="K3216">
        <v>36</v>
      </c>
      <c r="L3216">
        <v>37</v>
      </c>
      <c r="M3216">
        <v>177</v>
      </c>
      <c r="N3216" s="10">
        <v>756.97</v>
      </c>
      <c r="O3216" s="7">
        <v>0.8</v>
      </c>
      <c r="P3216" s="7">
        <v>28.8</v>
      </c>
      <c r="Q3216">
        <v>6</v>
      </c>
      <c r="R3216" t="s">
        <v>60</v>
      </c>
      <c r="S3216">
        <v>12</v>
      </c>
      <c r="T3216">
        <v>341</v>
      </c>
      <c r="U3216" s="11">
        <v>-0.78183148246802991</v>
      </c>
      <c r="V3216" s="11">
        <v>0.62348980185873337</v>
      </c>
      <c r="W3216" s="11">
        <v>-0.42083100859565564</v>
      </c>
      <c r="X3216" s="11">
        <v>0.90713905340050438</v>
      </c>
      <c r="Y3216">
        <v>1</v>
      </c>
      <c r="Z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6">
        <v>45998</v>
      </c>
      <c r="B3217" t="s">
        <v>41</v>
      </c>
      <c r="C3217" t="s">
        <v>42</v>
      </c>
      <c r="D3217" t="s">
        <v>43</v>
      </c>
      <c r="E3217" t="s">
        <v>44</v>
      </c>
      <c r="F3217">
        <v>85</v>
      </c>
      <c r="G3217">
        <v>210</v>
      </c>
      <c r="H3217">
        <v>131</v>
      </c>
      <c r="I3217">
        <v>61</v>
      </c>
      <c r="J3217" s="8">
        <v>0.71764705882352942</v>
      </c>
      <c r="K3217">
        <v>29</v>
      </c>
      <c r="L3217">
        <v>30</v>
      </c>
      <c r="M3217">
        <v>117</v>
      </c>
      <c r="N3217" s="10">
        <v>556.53</v>
      </c>
      <c r="O3217" s="7">
        <v>0.8</v>
      </c>
      <c r="P3217" s="7">
        <v>28.8</v>
      </c>
      <c r="Q3217">
        <v>6</v>
      </c>
      <c r="R3217" t="s">
        <v>60</v>
      </c>
      <c r="S3217">
        <v>12</v>
      </c>
      <c r="T3217">
        <v>341</v>
      </c>
      <c r="U3217" s="11">
        <v>-0.78183148246802991</v>
      </c>
      <c r="V3217" s="11">
        <v>0.62348980185873337</v>
      </c>
      <c r="W3217" s="11">
        <v>-0.42083100859565564</v>
      </c>
      <c r="X3217" s="11">
        <v>0.90713905340050438</v>
      </c>
      <c r="Y3217">
        <v>1</v>
      </c>
      <c r="Z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6">
        <v>45999</v>
      </c>
      <c r="B3218" t="s">
        <v>31</v>
      </c>
      <c r="C3218" t="s">
        <v>32</v>
      </c>
      <c r="D3218" t="s">
        <v>33</v>
      </c>
      <c r="E3218" t="s">
        <v>34</v>
      </c>
      <c r="F3218">
        <v>140</v>
      </c>
      <c r="G3218">
        <v>360</v>
      </c>
      <c r="H3218">
        <v>226</v>
      </c>
      <c r="I3218">
        <v>93</v>
      </c>
      <c r="J3218" s="8">
        <v>0.66428571428571426</v>
      </c>
      <c r="K3218">
        <v>39</v>
      </c>
      <c r="L3218">
        <v>34</v>
      </c>
      <c r="M3218">
        <v>207</v>
      </c>
      <c r="N3218" s="10">
        <v>400.23</v>
      </c>
      <c r="O3218" s="7">
        <v>2.6</v>
      </c>
      <c r="P3218" s="7">
        <v>29.7</v>
      </c>
      <c r="Q3218">
        <v>0</v>
      </c>
      <c r="R3218" t="s">
        <v>62</v>
      </c>
      <c r="S3218">
        <v>12</v>
      </c>
      <c r="T3218">
        <v>342</v>
      </c>
      <c r="U3218" s="11">
        <v>0</v>
      </c>
      <c r="V3218" s="11">
        <v>1</v>
      </c>
      <c r="W3218" s="11">
        <v>-0.40516452242075629</v>
      </c>
      <c r="X3218" s="11">
        <v>0.91424379121302235</v>
      </c>
      <c r="Y3218">
        <v>0</v>
      </c>
      <c r="Z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6">
        <v>45999</v>
      </c>
      <c r="B3219" t="s">
        <v>36</v>
      </c>
      <c r="C3219" t="s">
        <v>37</v>
      </c>
      <c r="D3219" t="s">
        <v>38</v>
      </c>
      <c r="E3219" t="s">
        <v>39</v>
      </c>
      <c r="F3219">
        <v>125</v>
      </c>
      <c r="G3219">
        <v>320</v>
      </c>
      <c r="H3219">
        <v>185</v>
      </c>
      <c r="I3219">
        <v>80</v>
      </c>
      <c r="J3219" s="8">
        <v>0.64</v>
      </c>
      <c r="K3219">
        <v>41</v>
      </c>
      <c r="L3219">
        <v>35</v>
      </c>
      <c r="M3219">
        <v>171</v>
      </c>
      <c r="N3219" s="10">
        <v>565.66999999999996</v>
      </c>
      <c r="O3219" s="7">
        <v>2.6</v>
      </c>
      <c r="P3219" s="7">
        <v>29.7</v>
      </c>
      <c r="Q3219">
        <v>0</v>
      </c>
      <c r="R3219" t="s">
        <v>62</v>
      </c>
      <c r="S3219">
        <v>12</v>
      </c>
      <c r="T3219">
        <v>342</v>
      </c>
      <c r="U3219" s="11">
        <v>0</v>
      </c>
      <c r="V3219" s="11">
        <v>1</v>
      </c>
      <c r="W3219" s="11">
        <v>-0.40516452242075629</v>
      </c>
      <c r="X3219" s="11">
        <v>0.91424379121302235</v>
      </c>
      <c r="Y3219">
        <v>0</v>
      </c>
      <c r="Z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6">
        <v>45999</v>
      </c>
      <c r="B3220" t="s">
        <v>41</v>
      </c>
      <c r="C3220" t="s">
        <v>42</v>
      </c>
      <c r="D3220" t="s">
        <v>43</v>
      </c>
      <c r="E3220" t="s">
        <v>44</v>
      </c>
      <c r="F3220">
        <v>85</v>
      </c>
      <c r="G3220">
        <v>210</v>
      </c>
      <c r="H3220">
        <v>131</v>
      </c>
      <c r="I3220">
        <v>57</v>
      </c>
      <c r="J3220" s="8">
        <v>0.6705882352941176</v>
      </c>
      <c r="K3220">
        <v>25</v>
      </c>
      <c r="L3220">
        <v>35</v>
      </c>
      <c r="M3220">
        <v>106</v>
      </c>
      <c r="N3220" s="10">
        <v>549.22</v>
      </c>
      <c r="O3220" s="7">
        <v>2.6</v>
      </c>
      <c r="P3220" s="7">
        <v>29.7</v>
      </c>
      <c r="Q3220">
        <v>0</v>
      </c>
      <c r="R3220" t="s">
        <v>62</v>
      </c>
      <c r="S3220">
        <v>12</v>
      </c>
      <c r="T3220">
        <v>342</v>
      </c>
      <c r="U3220" s="11">
        <v>0</v>
      </c>
      <c r="V3220" s="11">
        <v>1</v>
      </c>
      <c r="W3220" s="11">
        <v>-0.40516452242075629</v>
      </c>
      <c r="X3220" s="11">
        <v>0.91424379121302235</v>
      </c>
      <c r="Y3220">
        <v>0</v>
      </c>
      <c r="Z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6">
        <v>46000</v>
      </c>
      <c r="B3221" t="s">
        <v>31</v>
      </c>
      <c r="C3221" t="s">
        <v>32</v>
      </c>
      <c r="D3221" t="s">
        <v>33</v>
      </c>
      <c r="E3221" t="s">
        <v>34</v>
      </c>
      <c r="F3221">
        <v>140</v>
      </c>
      <c r="G3221">
        <v>360</v>
      </c>
      <c r="H3221">
        <v>210</v>
      </c>
      <c r="I3221">
        <v>88</v>
      </c>
      <c r="J3221" s="8">
        <v>0.62857142857142856</v>
      </c>
      <c r="K3221">
        <v>55</v>
      </c>
      <c r="L3221">
        <v>29</v>
      </c>
      <c r="M3221">
        <v>192</v>
      </c>
      <c r="N3221" s="10">
        <v>456.59</v>
      </c>
      <c r="O3221" s="7">
        <v>0.1</v>
      </c>
      <c r="P3221" s="7">
        <v>28.7</v>
      </c>
      <c r="Q3221">
        <v>1</v>
      </c>
      <c r="R3221" t="s">
        <v>63</v>
      </c>
      <c r="S3221">
        <v>12</v>
      </c>
      <c r="T3221">
        <v>343</v>
      </c>
      <c r="U3221" s="11">
        <v>0.7818314824680298</v>
      </c>
      <c r="V3221" s="11">
        <v>0.62348980185873359</v>
      </c>
      <c r="W3221" s="11">
        <v>-0.38937814154520151</v>
      </c>
      <c r="X3221" s="11">
        <v>0.92107798957895259</v>
      </c>
      <c r="Y3221">
        <v>0</v>
      </c>
      <c r="Z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6">
        <v>46000</v>
      </c>
      <c r="B3222" t="s">
        <v>36</v>
      </c>
      <c r="C3222" t="s">
        <v>37</v>
      </c>
      <c r="D3222" t="s">
        <v>38</v>
      </c>
      <c r="E3222" t="s">
        <v>39</v>
      </c>
      <c r="F3222">
        <v>125</v>
      </c>
      <c r="G3222">
        <v>320</v>
      </c>
      <c r="H3222">
        <v>187</v>
      </c>
      <c r="I3222">
        <v>80</v>
      </c>
      <c r="J3222" s="8">
        <v>0.64</v>
      </c>
      <c r="K3222">
        <v>15</v>
      </c>
      <c r="L3222">
        <v>23</v>
      </c>
      <c r="M3222">
        <v>169</v>
      </c>
      <c r="N3222" s="10">
        <v>588.70000000000005</v>
      </c>
      <c r="O3222" s="7">
        <v>0.1</v>
      </c>
      <c r="P3222" s="7">
        <v>28.7</v>
      </c>
      <c r="Q3222">
        <v>1</v>
      </c>
      <c r="R3222" t="s">
        <v>63</v>
      </c>
      <c r="S3222">
        <v>12</v>
      </c>
      <c r="T3222">
        <v>343</v>
      </c>
      <c r="U3222" s="11">
        <v>0.7818314824680298</v>
      </c>
      <c r="V3222" s="11">
        <v>0.62348980185873359</v>
      </c>
      <c r="W3222" s="11">
        <v>-0.38937814154520151</v>
      </c>
      <c r="X3222" s="11">
        <v>0.92107798957895259</v>
      </c>
      <c r="Y3222">
        <v>0</v>
      </c>
      <c r="Z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6">
        <v>46000</v>
      </c>
      <c r="B3223" t="s">
        <v>41</v>
      </c>
      <c r="C3223" t="s">
        <v>42</v>
      </c>
      <c r="D3223" t="s">
        <v>43</v>
      </c>
      <c r="E3223" t="s">
        <v>44</v>
      </c>
      <c r="F3223">
        <v>85</v>
      </c>
      <c r="G3223">
        <v>210</v>
      </c>
      <c r="H3223">
        <v>130</v>
      </c>
      <c r="I3223">
        <v>57</v>
      </c>
      <c r="J3223" s="8">
        <v>0.6705882352941176</v>
      </c>
      <c r="K3223">
        <v>25</v>
      </c>
      <c r="L3223">
        <v>21</v>
      </c>
      <c r="M3223">
        <v>109</v>
      </c>
      <c r="N3223" s="10">
        <v>493.68</v>
      </c>
      <c r="O3223" s="7">
        <v>0.1</v>
      </c>
      <c r="P3223" s="7">
        <v>28.7</v>
      </c>
      <c r="Q3223">
        <v>1</v>
      </c>
      <c r="R3223" t="s">
        <v>63</v>
      </c>
      <c r="S3223">
        <v>12</v>
      </c>
      <c r="T3223">
        <v>343</v>
      </c>
      <c r="U3223" s="11">
        <v>0.7818314824680298</v>
      </c>
      <c r="V3223" s="11">
        <v>0.62348980185873359</v>
      </c>
      <c r="W3223" s="11">
        <v>-0.38937814154520151</v>
      </c>
      <c r="X3223" s="11">
        <v>0.92107798957895259</v>
      </c>
      <c r="Y3223">
        <v>0</v>
      </c>
      <c r="Z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6">
        <v>46001</v>
      </c>
      <c r="B3224" t="s">
        <v>31</v>
      </c>
      <c r="C3224" t="s">
        <v>32</v>
      </c>
      <c r="D3224" t="s">
        <v>33</v>
      </c>
      <c r="E3224" t="s">
        <v>34</v>
      </c>
      <c r="F3224">
        <v>140</v>
      </c>
      <c r="G3224">
        <v>360</v>
      </c>
      <c r="H3224">
        <v>217</v>
      </c>
      <c r="I3224">
        <v>90</v>
      </c>
      <c r="J3224" s="8">
        <v>0.6428571428571429</v>
      </c>
      <c r="K3224">
        <v>58</v>
      </c>
      <c r="L3224">
        <v>27</v>
      </c>
      <c r="M3224">
        <v>177</v>
      </c>
      <c r="N3224" s="10">
        <v>431.34</v>
      </c>
      <c r="O3224" s="7">
        <v>0.8</v>
      </c>
      <c r="P3224" s="7">
        <v>28.3</v>
      </c>
      <c r="Q3224">
        <v>2</v>
      </c>
      <c r="R3224" t="s">
        <v>64</v>
      </c>
      <c r="S3224">
        <v>12</v>
      </c>
      <c r="T3224">
        <v>344</v>
      </c>
      <c r="U3224" s="11">
        <v>0.97492791218182362</v>
      </c>
      <c r="V3224" s="11">
        <v>-0.22252093395631434</v>
      </c>
      <c r="W3224" s="11">
        <v>-0.37347653741307074</v>
      </c>
      <c r="X3224" s="11">
        <v>0.92763962614904671</v>
      </c>
      <c r="Y3224">
        <v>0</v>
      </c>
      <c r="Z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6">
        <v>46001</v>
      </c>
      <c r="B3225" t="s">
        <v>36</v>
      </c>
      <c r="C3225" t="s">
        <v>37</v>
      </c>
      <c r="D3225" t="s">
        <v>38</v>
      </c>
      <c r="E3225" t="s">
        <v>39</v>
      </c>
      <c r="F3225">
        <v>125</v>
      </c>
      <c r="G3225">
        <v>320</v>
      </c>
      <c r="H3225">
        <v>173</v>
      </c>
      <c r="I3225">
        <v>74</v>
      </c>
      <c r="J3225" s="8">
        <v>0.59199999999999997</v>
      </c>
      <c r="K3225">
        <v>40</v>
      </c>
      <c r="L3225">
        <v>27</v>
      </c>
      <c r="M3225">
        <v>153</v>
      </c>
      <c r="N3225" s="10">
        <v>562.65</v>
      </c>
      <c r="O3225" s="7">
        <v>0.8</v>
      </c>
      <c r="P3225" s="7">
        <v>28.3</v>
      </c>
      <c r="Q3225">
        <v>2</v>
      </c>
      <c r="R3225" t="s">
        <v>64</v>
      </c>
      <c r="S3225">
        <v>12</v>
      </c>
      <c r="T3225">
        <v>344</v>
      </c>
      <c r="U3225" s="11">
        <v>0.97492791218182362</v>
      </c>
      <c r="V3225" s="11">
        <v>-0.22252093395631434</v>
      </c>
      <c r="W3225" s="11">
        <v>-0.37347653741307074</v>
      </c>
      <c r="X3225" s="11">
        <v>0.92763962614904671</v>
      </c>
      <c r="Y3225">
        <v>0</v>
      </c>
      <c r="Z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6">
        <v>46001</v>
      </c>
      <c r="B3226" t="s">
        <v>41</v>
      </c>
      <c r="C3226" t="s">
        <v>42</v>
      </c>
      <c r="D3226" t="s">
        <v>43</v>
      </c>
      <c r="E3226" t="s">
        <v>44</v>
      </c>
      <c r="F3226">
        <v>85</v>
      </c>
      <c r="G3226">
        <v>210</v>
      </c>
      <c r="H3226">
        <v>135</v>
      </c>
      <c r="I3226">
        <v>61</v>
      </c>
      <c r="J3226" s="8">
        <v>0.71764705882352942</v>
      </c>
      <c r="K3226">
        <v>27</v>
      </c>
      <c r="L3226">
        <v>30</v>
      </c>
      <c r="M3226">
        <v>119</v>
      </c>
      <c r="N3226" s="10">
        <v>504.23</v>
      </c>
      <c r="O3226" s="7">
        <v>0.8</v>
      </c>
      <c r="P3226" s="7">
        <v>28.3</v>
      </c>
      <c r="Q3226">
        <v>2</v>
      </c>
      <c r="R3226" t="s">
        <v>64</v>
      </c>
      <c r="S3226">
        <v>12</v>
      </c>
      <c r="T3226">
        <v>344</v>
      </c>
      <c r="U3226" s="11">
        <v>0.97492791218182362</v>
      </c>
      <c r="V3226" s="11">
        <v>-0.22252093395631434</v>
      </c>
      <c r="W3226" s="11">
        <v>-0.37347653741307074</v>
      </c>
      <c r="X3226" s="11">
        <v>0.92763962614904671</v>
      </c>
      <c r="Y3226">
        <v>0</v>
      </c>
      <c r="Z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6">
        <v>46002</v>
      </c>
      <c r="B3227" t="s">
        <v>31</v>
      </c>
      <c r="C3227" t="s">
        <v>32</v>
      </c>
      <c r="D3227" t="s">
        <v>33</v>
      </c>
      <c r="E3227" t="s">
        <v>34</v>
      </c>
      <c r="F3227">
        <v>140</v>
      </c>
      <c r="G3227">
        <v>360</v>
      </c>
      <c r="H3227">
        <v>210</v>
      </c>
      <c r="I3227">
        <v>90</v>
      </c>
      <c r="J3227" s="8">
        <v>0.6428571428571429</v>
      </c>
      <c r="K3227">
        <v>36</v>
      </c>
      <c r="L3227">
        <v>38</v>
      </c>
      <c r="M3227">
        <v>193</v>
      </c>
      <c r="N3227" s="10">
        <v>437.43</v>
      </c>
      <c r="O3227" s="7">
        <v>1.1000000000000001</v>
      </c>
      <c r="P3227" s="7">
        <v>29.3</v>
      </c>
      <c r="Q3227">
        <v>3</v>
      </c>
      <c r="R3227" t="s">
        <v>65</v>
      </c>
      <c r="S3227">
        <v>12</v>
      </c>
      <c r="T3227">
        <v>345</v>
      </c>
      <c r="U3227" s="11">
        <v>0.43388373911755823</v>
      </c>
      <c r="V3227" s="11">
        <v>-0.90096886790241903</v>
      </c>
      <c r="W3227" s="11">
        <v>-0.35746441556486142</v>
      </c>
      <c r="X3227" s="11">
        <v>0.93392675922947621</v>
      </c>
      <c r="Y3227">
        <v>0</v>
      </c>
      <c r="Z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6">
        <v>46002</v>
      </c>
      <c r="B3228" t="s">
        <v>36</v>
      </c>
      <c r="C3228" t="s">
        <v>37</v>
      </c>
      <c r="D3228" t="s">
        <v>38</v>
      </c>
      <c r="E3228" t="s">
        <v>39</v>
      </c>
      <c r="F3228">
        <v>125</v>
      </c>
      <c r="G3228">
        <v>320</v>
      </c>
      <c r="H3228">
        <v>196</v>
      </c>
      <c r="I3228">
        <v>79</v>
      </c>
      <c r="J3228" s="8">
        <v>0.63200000000000001</v>
      </c>
      <c r="K3228">
        <v>49</v>
      </c>
      <c r="L3228">
        <v>35</v>
      </c>
      <c r="M3228">
        <v>157</v>
      </c>
      <c r="N3228" s="10">
        <v>678.72</v>
      </c>
      <c r="O3228" s="7">
        <v>1.1000000000000001</v>
      </c>
      <c r="P3228" s="7">
        <v>29.3</v>
      </c>
      <c r="Q3228">
        <v>3</v>
      </c>
      <c r="R3228" t="s">
        <v>65</v>
      </c>
      <c r="S3228">
        <v>12</v>
      </c>
      <c r="T3228">
        <v>345</v>
      </c>
      <c r="U3228" s="11">
        <v>0.43388373911755823</v>
      </c>
      <c r="V3228" s="11">
        <v>-0.90096886790241903</v>
      </c>
      <c r="W3228" s="11">
        <v>-0.35746441556486142</v>
      </c>
      <c r="X3228" s="11">
        <v>0.93392675922947621</v>
      </c>
      <c r="Y3228">
        <v>0</v>
      </c>
      <c r="Z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6">
        <v>46002</v>
      </c>
      <c r="B3229" t="s">
        <v>41</v>
      </c>
      <c r="C3229" t="s">
        <v>42</v>
      </c>
      <c r="D3229" t="s">
        <v>43</v>
      </c>
      <c r="E3229" t="s">
        <v>44</v>
      </c>
      <c r="F3229">
        <v>85</v>
      </c>
      <c r="G3229">
        <v>210</v>
      </c>
      <c r="H3229">
        <v>147</v>
      </c>
      <c r="I3229">
        <v>65</v>
      </c>
      <c r="J3229" s="8">
        <v>0.76470588235294112</v>
      </c>
      <c r="K3229">
        <v>28</v>
      </c>
      <c r="L3229">
        <v>14</v>
      </c>
      <c r="M3229">
        <v>127</v>
      </c>
      <c r="N3229" s="10">
        <v>515.08000000000004</v>
      </c>
      <c r="O3229" s="7">
        <v>1.1000000000000001</v>
      </c>
      <c r="P3229" s="7">
        <v>29.3</v>
      </c>
      <c r="Q3229">
        <v>3</v>
      </c>
      <c r="R3229" t="s">
        <v>65</v>
      </c>
      <c r="S3229">
        <v>12</v>
      </c>
      <c r="T3229">
        <v>345</v>
      </c>
      <c r="U3229" s="11">
        <v>0.43388373911755823</v>
      </c>
      <c r="V3229" s="11">
        <v>-0.90096886790241903</v>
      </c>
      <c r="W3229" s="11">
        <v>-0.35746441556486142</v>
      </c>
      <c r="X3229" s="11">
        <v>0.93392675922947621</v>
      </c>
      <c r="Y3229">
        <v>0</v>
      </c>
      <c r="Z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6">
        <v>46003</v>
      </c>
      <c r="B3230" t="s">
        <v>31</v>
      </c>
      <c r="C3230" t="s">
        <v>32</v>
      </c>
      <c r="D3230" t="s">
        <v>33</v>
      </c>
      <c r="E3230" t="s">
        <v>34</v>
      </c>
      <c r="F3230">
        <v>140</v>
      </c>
      <c r="G3230">
        <v>360</v>
      </c>
      <c r="H3230">
        <v>221</v>
      </c>
      <c r="I3230">
        <v>93</v>
      </c>
      <c r="J3230" s="8">
        <v>0.66428571428571426</v>
      </c>
      <c r="K3230">
        <v>50</v>
      </c>
      <c r="L3230">
        <v>38</v>
      </c>
      <c r="M3230">
        <v>199</v>
      </c>
      <c r="N3230" s="10">
        <v>445.63</v>
      </c>
      <c r="O3230" s="7">
        <v>0</v>
      </c>
      <c r="P3230" s="7">
        <v>27.7</v>
      </c>
      <c r="Q3230">
        <v>4</v>
      </c>
      <c r="R3230" t="s">
        <v>66</v>
      </c>
      <c r="S3230">
        <v>12</v>
      </c>
      <c r="T3230">
        <v>346</v>
      </c>
      <c r="U3230" s="11">
        <v>-0.43388373911755801</v>
      </c>
      <c r="V3230" s="11">
        <v>-0.90096886790241915</v>
      </c>
      <c r="W3230" s="11">
        <v>-0.34134651424503615</v>
      </c>
      <c r="X3230" s="11">
        <v>0.93993752835641331</v>
      </c>
      <c r="Y3230">
        <v>0</v>
      </c>
      <c r="Z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6">
        <v>46003</v>
      </c>
      <c r="B3231" t="s">
        <v>36</v>
      </c>
      <c r="C3231" t="s">
        <v>37</v>
      </c>
      <c r="D3231" t="s">
        <v>38</v>
      </c>
      <c r="E3231" t="s">
        <v>39</v>
      </c>
      <c r="F3231">
        <v>125</v>
      </c>
      <c r="G3231">
        <v>320</v>
      </c>
      <c r="H3231">
        <v>185</v>
      </c>
      <c r="I3231">
        <v>75</v>
      </c>
      <c r="J3231" s="8">
        <v>0.6</v>
      </c>
      <c r="K3231">
        <v>52</v>
      </c>
      <c r="L3231">
        <v>33</v>
      </c>
      <c r="M3231">
        <v>165</v>
      </c>
      <c r="N3231" s="10">
        <v>594.83000000000004</v>
      </c>
      <c r="O3231" s="7">
        <v>0</v>
      </c>
      <c r="P3231" s="7">
        <v>27.7</v>
      </c>
      <c r="Q3231">
        <v>4</v>
      </c>
      <c r="R3231" t="s">
        <v>66</v>
      </c>
      <c r="S3231">
        <v>12</v>
      </c>
      <c r="T3231">
        <v>346</v>
      </c>
      <c r="U3231" s="11">
        <v>-0.43388373911755801</v>
      </c>
      <c r="V3231" s="11">
        <v>-0.90096886790241915</v>
      </c>
      <c r="W3231" s="11">
        <v>-0.34134651424503615</v>
      </c>
      <c r="X3231" s="11">
        <v>0.93993752835641331</v>
      </c>
      <c r="Y3231">
        <v>0</v>
      </c>
      <c r="Z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6">
        <v>46003</v>
      </c>
      <c r="B3232" t="s">
        <v>41</v>
      </c>
      <c r="C3232" t="s">
        <v>42</v>
      </c>
      <c r="D3232" t="s">
        <v>43</v>
      </c>
      <c r="E3232" t="s">
        <v>44</v>
      </c>
      <c r="F3232">
        <v>85</v>
      </c>
      <c r="G3232">
        <v>210</v>
      </c>
      <c r="H3232">
        <v>141</v>
      </c>
      <c r="I3232">
        <v>61</v>
      </c>
      <c r="J3232" s="8">
        <v>0.71764705882352942</v>
      </c>
      <c r="K3232">
        <v>19</v>
      </c>
      <c r="L3232">
        <v>11</v>
      </c>
      <c r="M3232">
        <v>129</v>
      </c>
      <c r="N3232" s="10">
        <v>514.15</v>
      </c>
      <c r="O3232" s="7">
        <v>0</v>
      </c>
      <c r="P3232" s="7">
        <v>27.7</v>
      </c>
      <c r="Q3232">
        <v>4</v>
      </c>
      <c r="R3232" t="s">
        <v>66</v>
      </c>
      <c r="S3232">
        <v>12</v>
      </c>
      <c r="T3232">
        <v>346</v>
      </c>
      <c r="U3232" s="11">
        <v>-0.43388373911755801</v>
      </c>
      <c r="V3232" s="11">
        <v>-0.90096886790241915</v>
      </c>
      <c r="W3232" s="11">
        <v>-0.34134651424503615</v>
      </c>
      <c r="X3232" s="11">
        <v>0.93993752835641331</v>
      </c>
      <c r="Y3232">
        <v>0</v>
      </c>
      <c r="Z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6">
        <v>46004</v>
      </c>
      <c r="B3233" t="s">
        <v>31</v>
      </c>
      <c r="C3233" t="s">
        <v>32</v>
      </c>
      <c r="D3233" t="s">
        <v>33</v>
      </c>
      <c r="E3233" t="s">
        <v>34</v>
      </c>
      <c r="F3233">
        <v>140</v>
      </c>
      <c r="G3233">
        <v>360</v>
      </c>
      <c r="H3233">
        <v>238</v>
      </c>
      <c r="I3233">
        <v>99</v>
      </c>
      <c r="J3233" s="8">
        <v>0.70714285714285718</v>
      </c>
      <c r="K3233">
        <v>55</v>
      </c>
      <c r="L3233">
        <v>28</v>
      </c>
      <c r="M3233">
        <v>220</v>
      </c>
      <c r="N3233" s="10">
        <v>487.06</v>
      </c>
      <c r="O3233" s="7">
        <v>1.4</v>
      </c>
      <c r="P3233" s="7">
        <v>28.5</v>
      </c>
      <c r="Q3233">
        <v>5</v>
      </c>
      <c r="R3233" t="s">
        <v>67</v>
      </c>
      <c r="S3233">
        <v>12</v>
      </c>
      <c r="T3233">
        <v>347</v>
      </c>
      <c r="U3233" s="11">
        <v>-0.97492791218182362</v>
      </c>
      <c r="V3233" s="11">
        <v>-0.22252093395631459</v>
      </c>
      <c r="W3233" s="11">
        <v>-0.32512760299990928</v>
      </c>
      <c r="X3233" s="11">
        <v>0.9456701548465688</v>
      </c>
      <c r="Y3233">
        <v>1</v>
      </c>
      <c r="Z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6">
        <v>46004</v>
      </c>
      <c r="B3234" t="s">
        <v>36</v>
      </c>
      <c r="C3234" t="s">
        <v>37</v>
      </c>
      <c r="D3234" t="s">
        <v>38</v>
      </c>
      <c r="E3234" t="s">
        <v>39</v>
      </c>
      <c r="F3234">
        <v>125</v>
      </c>
      <c r="G3234">
        <v>320</v>
      </c>
      <c r="H3234">
        <v>218</v>
      </c>
      <c r="I3234">
        <v>87</v>
      </c>
      <c r="J3234" s="8">
        <v>0.69599999999999995</v>
      </c>
      <c r="K3234">
        <v>52</v>
      </c>
      <c r="L3234">
        <v>37</v>
      </c>
      <c r="M3234">
        <v>180</v>
      </c>
      <c r="N3234" s="10">
        <v>631.26</v>
      </c>
      <c r="O3234" s="7">
        <v>1.4</v>
      </c>
      <c r="P3234" s="7">
        <v>28.5</v>
      </c>
      <c r="Q3234">
        <v>5</v>
      </c>
      <c r="R3234" t="s">
        <v>67</v>
      </c>
      <c r="S3234">
        <v>12</v>
      </c>
      <c r="T3234">
        <v>347</v>
      </c>
      <c r="U3234" s="11">
        <v>-0.97492791218182362</v>
      </c>
      <c r="V3234" s="11">
        <v>-0.22252093395631459</v>
      </c>
      <c r="W3234" s="11">
        <v>-0.32512760299990928</v>
      </c>
      <c r="X3234" s="11">
        <v>0.9456701548465688</v>
      </c>
      <c r="Y3234">
        <v>1</v>
      </c>
      <c r="Z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6">
        <v>46004</v>
      </c>
      <c r="B3235" t="s">
        <v>41</v>
      </c>
      <c r="C3235" t="s">
        <v>42</v>
      </c>
      <c r="D3235" t="s">
        <v>43</v>
      </c>
      <c r="E3235" t="s">
        <v>44</v>
      </c>
      <c r="F3235">
        <v>85</v>
      </c>
      <c r="G3235">
        <v>210</v>
      </c>
      <c r="H3235">
        <v>171</v>
      </c>
      <c r="I3235">
        <v>75</v>
      </c>
      <c r="J3235" s="8">
        <v>0.88235294117647056</v>
      </c>
      <c r="K3235">
        <v>22</v>
      </c>
      <c r="L3235">
        <v>26</v>
      </c>
      <c r="M3235">
        <v>137</v>
      </c>
      <c r="N3235" s="10">
        <v>595.37</v>
      </c>
      <c r="O3235" s="7">
        <v>1.4</v>
      </c>
      <c r="P3235" s="7">
        <v>28.5</v>
      </c>
      <c r="Q3235">
        <v>5</v>
      </c>
      <c r="R3235" t="s">
        <v>67</v>
      </c>
      <c r="S3235">
        <v>12</v>
      </c>
      <c r="T3235">
        <v>347</v>
      </c>
      <c r="U3235" s="11">
        <v>-0.97492791218182362</v>
      </c>
      <c r="V3235" s="11">
        <v>-0.22252093395631459</v>
      </c>
      <c r="W3235" s="11">
        <v>-0.32512760299990928</v>
      </c>
      <c r="X3235" s="11">
        <v>0.9456701548465688</v>
      </c>
      <c r="Y3235">
        <v>1</v>
      </c>
      <c r="Z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6">
        <v>46005</v>
      </c>
      <c r="B3236" t="s">
        <v>31</v>
      </c>
      <c r="C3236" t="s">
        <v>32</v>
      </c>
      <c r="D3236" t="s">
        <v>33</v>
      </c>
      <c r="E3236" t="s">
        <v>34</v>
      </c>
      <c r="F3236">
        <v>140</v>
      </c>
      <c r="G3236">
        <v>360</v>
      </c>
      <c r="H3236">
        <v>232</v>
      </c>
      <c r="I3236">
        <v>101</v>
      </c>
      <c r="J3236" s="8">
        <v>0.72142857142857142</v>
      </c>
      <c r="K3236">
        <v>55</v>
      </c>
      <c r="L3236">
        <v>40</v>
      </c>
      <c r="M3236">
        <v>210</v>
      </c>
      <c r="N3236" s="10">
        <v>493.91</v>
      </c>
      <c r="O3236" s="7">
        <v>0</v>
      </c>
      <c r="P3236" s="7">
        <v>29.5</v>
      </c>
      <c r="Q3236">
        <v>6</v>
      </c>
      <c r="R3236" t="s">
        <v>60</v>
      </c>
      <c r="S3236">
        <v>12</v>
      </c>
      <c r="T3236">
        <v>348</v>
      </c>
      <c r="U3236" s="11">
        <v>-0.78183148246802991</v>
      </c>
      <c r="V3236" s="11">
        <v>0.62348980185873337</v>
      </c>
      <c r="W3236" s="11">
        <v>-0.30881248126625377</v>
      </c>
      <c r="X3236" s="11">
        <v>0.95112294232353567</v>
      </c>
      <c r="Y3236">
        <v>1</v>
      </c>
      <c r="Z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6">
        <v>46005</v>
      </c>
      <c r="B3237" t="s">
        <v>36</v>
      </c>
      <c r="C3237" t="s">
        <v>37</v>
      </c>
      <c r="D3237" t="s">
        <v>38</v>
      </c>
      <c r="E3237" t="s">
        <v>39</v>
      </c>
      <c r="F3237">
        <v>125</v>
      </c>
      <c r="G3237">
        <v>320</v>
      </c>
      <c r="H3237">
        <v>212</v>
      </c>
      <c r="I3237">
        <v>91</v>
      </c>
      <c r="J3237" s="8">
        <v>0.72799999999999998</v>
      </c>
      <c r="K3237">
        <v>58</v>
      </c>
      <c r="L3237">
        <v>57</v>
      </c>
      <c r="M3237">
        <v>175</v>
      </c>
      <c r="N3237" s="10">
        <v>630.13</v>
      </c>
      <c r="O3237" s="7">
        <v>0</v>
      </c>
      <c r="P3237" s="7">
        <v>29.5</v>
      </c>
      <c r="Q3237">
        <v>6</v>
      </c>
      <c r="R3237" t="s">
        <v>60</v>
      </c>
      <c r="S3237">
        <v>12</v>
      </c>
      <c r="T3237">
        <v>348</v>
      </c>
      <c r="U3237" s="11">
        <v>-0.78183148246802991</v>
      </c>
      <c r="V3237" s="11">
        <v>0.62348980185873337</v>
      </c>
      <c r="W3237" s="11">
        <v>-0.30881248126625377</v>
      </c>
      <c r="X3237" s="11">
        <v>0.95112294232353567</v>
      </c>
      <c r="Y3237">
        <v>1</v>
      </c>
      <c r="Z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6">
        <v>46005</v>
      </c>
      <c r="B3238" t="s">
        <v>41</v>
      </c>
      <c r="C3238" t="s">
        <v>42</v>
      </c>
      <c r="D3238" t="s">
        <v>43</v>
      </c>
      <c r="E3238" t="s">
        <v>44</v>
      </c>
      <c r="F3238">
        <v>85</v>
      </c>
      <c r="G3238">
        <v>210</v>
      </c>
      <c r="H3238">
        <v>151</v>
      </c>
      <c r="I3238">
        <v>67</v>
      </c>
      <c r="J3238" s="8">
        <v>0.78823529411764703</v>
      </c>
      <c r="K3238">
        <v>30</v>
      </c>
      <c r="L3238">
        <v>26</v>
      </c>
      <c r="M3238">
        <v>124</v>
      </c>
      <c r="N3238" s="10">
        <v>559.70000000000005</v>
      </c>
      <c r="O3238" s="7">
        <v>0</v>
      </c>
      <c r="P3238" s="7">
        <v>29.5</v>
      </c>
      <c r="Q3238">
        <v>6</v>
      </c>
      <c r="R3238" t="s">
        <v>60</v>
      </c>
      <c r="S3238">
        <v>12</v>
      </c>
      <c r="T3238">
        <v>348</v>
      </c>
      <c r="U3238" s="11">
        <v>-0.78183148246802991</v>
      </c>
      <c r="V3238" s="11">
        <v>0.62348980185873337</v>
      </c>
      <c r="W3238" s="11">
        <v>-0.30881248126625377</v>
      </c>
      <c r="X3238" s="11">
        <v>0.95112294232353567</v>
      </c>
      <c r="Y3238">
        <v>1</v>
      </c>
      <c r="Z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6">
        <v>46006</v>
      </c>
      <c r="B3239" t="s">
        <v>31</v>
      </c>
      <c r="C3239" t="s">
        <v>32</v>
      </c>
      <c r="D3239" t="s">
        <v>33</v>
      </c>
      <c r="E3239" t="s">
        <v>34</v>
      </c>
      <c r="F3239">
        <v>140</v>
      </c>
      <c r="G3239">
        <v>360</v>
      </c>
      <c r="H3239">
        <v>202</v>
      </c>
      <c r="I3239">
        <v>89</v>
      </c>
      <c r="J3239" s="8">
        <v>0.63571428571428568</v>
      </c>
      <c r="K3239">
        <v>50</v>
      </c>
      <c r="L3239">
        <v>48</v>
      </c>
      <c r="M3239">
        <v>169</v>
      </c>
      <c r="N3239" s="10">
        <v>436.97</v>
      </c>
      <c r="O3239" s="7">
        <v>1</v>
      </c>
      <c r="P3239" s="7">
        <v>28.6</v>
      </c>
      <c r="Q3239">
        <v>0</v>
      </c>
      <c r="R3239" t="s">
        <v>62</v>
      </c>
      <c r="S3239">
        <v>12</v>
      </c>
      <c r="T3239">
        <v>349</v>
      </c>
      <c r="U3239" s="11">
        <v>0</v>
      </c>
      <c r="V3239" s="11">
        <v>1</v>
      </c>
      <c r="W3239" s="11">
        <v>-0.29240597695107734</v>
      </c>
      <c r="X3239" s="11">
        <v>0.95629427721977189</v>
      </c>
      <c r="Y3239">
        <v>0</v>
      </c>
      <c r="Z3239">
        <v>0</v>
      </c>
      <c r="AB3239">
        <v>1</v>
      </c>
      <c r="AC3239">
        <v>0</v>
      </c>
      <c r="AD3239">
        <v>0</v>
      </c>
      <c r="AE3239">
        <v>0</v>
      </c>
    </row>
    <row r="3240" spans="1:31">
      <c r="A3240" s="6">
        <v>46006</v>
      </c>
      <c r="B3240" t="s">
        <v>36</v>
      </c>
      <c r="C3240" t="s">
        <v>37</v>
      </c>
      <c r="D3240" t="s">
        <v>38</v>
      </c>
      <c r="E3240" t="s">
        <v>39</v>
      </c>
      <c r="F3240">
        <v>125</v>
      </c>
      <c r="G3240">
        <v>320</v>
      </c>
      <c r="H3240">
        <v>218</v>
      </c>
      <c r="I3240">
        <v>91</v>
      </c>
      <c r="J3240" s="8">
        <v>0.72799999999999998</v>
      </c>
      <c r="K3240">
        <v>35</v>
      </c>
      <c r="L3240">
        <v>25</v>
      </c>
      <c r="M3240">
        <v>193</v>
      </c>
      <c r="N3240" s="10">
        <v>702.23</v>
      </c>
      <c r="O3240" s="7">
        <v>1</v>
      </c>
      <c r="P3240" s="7">
        <v>28.6</v>
      </c>
      <c r="Q3240">
        <v>0</v>
      </c>
      <c r="R3240" t="s">
        <v>62</v>
      </c>
      <c r="S3240">
        <v>12</v>
      </c>
      <c r="T3240">
        <v>349</v>
      </c>
      <c r="U3240" s="11">
        <v>0</v>
      </c>
      <c r="V3240" s="11">
        <v>1</v>
      </c>
      <c r="W3240" s="11">
        <v>-0.29240597695107734</v>
      </c>
      <c r="X3240" s="11">
        <v>0.95629427721977189</v>
      </c>
      <c r="Y3240">
        <v>0</v>
      </c>
      <c r="Z3240">
        <v>0</v>
      </c>
      <c r="AB3240">
        <v>1</v>
      </c>
      <c r="AC3240">
        <v>0</v>
      </c>
      <c r="AD3240">
        <v>0</v>
      </c>
      <c r="AE3240">
        <v>0</v>
      </c>
    </row>
    <row r="3241" spans="1:31">
      <c r="A3241" s="6">
        <v>46006</v>
      </c>
      <c r="B3241" t="s">
        <v>41</v>
      </c>
      <c r="C3241" t="s">
        <v>42</v>
      </c>
      <c r="D3241" t="s">
        <v>43</v>
      </c>
      <c r="E3241" t="s">
        <v>44</v>
      </c>
      <c r="F3241">
        <v>85</v>
      </c>
      <c r="G3241">
        <v>210</v>
      </c>
      <c r="H3241">
        <v>144</v>
      </c>
      <c r="I3241">
        <v>65</v>
      </c>
      <c r="J3241" s="8">
        <v>0.76470588235294112</v>
      </c>
      <c r="K3241">
        <v>28</v>
      </c>
      <c r="L3241">
        <v>32</v>
      </c>
      <c r="M3241">
        <v>120</v>
      </c>
      <c r="N3241" s="10">
        <v>600.92999999999995</v>
      </c>
      <c r="O3241" s="7">
        <v>1</v>
      </c>
      <c r="P3241" s="7">
        <v>28.6</v>
      </c>
      <c r="Q3241">
        <v>0</v>
      </c>
      <c r="R3241" t="s">
        <v>62</v>
      </c>
      <c r="S3241">
        <v>12</v>
      </c>
      <c r="T3241">
        <v>349</v>
      </c>
      <c r="U3241" s="11">
        <v>0</v>
      </c>
      <c r="V3241" s="11">
        <v>1</v>
      </c>
      <c r="W3241" s="11">
        <v>-0.29240597695107734</v>
      </c>
      <c r="X3241" s="11">
        <v>0.95629427721977189</v>
      </c>
      <c r="Y3241">
        <v>0</v>
      </c>
      <c r="Z3241">
        <v>0</v>
      </c>
      <c r="AB3241">
        <v>1</v>
      </c>
      <c r="AC3241">
        <v>0</v>
      </c>
      <c r="AD3241">
        <v>0</v>
      </c>
      <c r="AE3241">
        <v>0</v>
      </c>
    </row>
    <row r="3242" spans="1:31">
      <c r="A3242" s="6">
        <v>46007</v>
      </c>
      <c r="B3242" t="s">
        <v>31</v>
      </c>
      <c r="C3242" t="s">
        <v>32</v>
      </c>
      <c r="D3242" t="s">
        <v>33</v>
      </c>
      <c r="E3242" t="s">
        <v>34</v>
      </c>
      <c r="F3242">
        <v>140</v>
      </c>
      <c r="G3242">
        <v>360</v>
      </c>
      <c r="H3242">
        <v>228</v>
      </c>
      <c r="I3242">
        <v>97</v>
      </c>
      <c r="J3242" s="8">
        <v>0.69285714285714284</v>
      </c>
      <c r="K3242">
        <v>56</v>
      </c>
      <c r="L3242">
        <v>58</v>
      </c>
      <c r="M3242">
        <v>185</v>
      </c>
      <c r="N3242" s="10">
        <v>481.26</v>
      </c>
      <c r="O3242" s="7">
        <v>0</v>
      </c>
      <c r="P3242" s="7">
        <v>29.1</v>
      </c>
      <c r="Q3242">
        <v>1</v>
      </c>
      <c r="R3242" t="s">
        <v>63</v>
      </c>
      <c r="S3242">
        <v>12</v>
      </c>
      <c r="T3242">
        <v>350</v>
      </c>
      <c r="U3242" s="11">
        <v>0.7818314824680298</v>
      </c>
      <c r="V3242" s="11">
        <v>0.62348980185873359</v>
      </c>
      <c r="W3242" s="11">
        <v>-0.27591294500296043</v>
      </c>
      <c r="X3242" s="11">
        <v>0.96118262925408371</v>
      </c>
      <c r="Y3242">
        <v>0</v>
      </c>
      <c r="Z3242">
        <v>0</v>
      </c>
      <c r="AB3242">
        <v>1</v>
      </c>
      <c r="AC3242">
        <v>0</v>
      </c>
      <c r="AD3242">
        <v>0</v>
      </c>
      <c r="AE3242">
        <v>0</v>
      </c>
    </row>
    <row r="3243" spans="1:31">
      <c r="A3243" s="6">
        <v>46007</v>
      </c>
      <c r="B3243" t="s">
        <v>36</v>
      </c>
      <c r="C3243" t="s">
        <v>37</v>
      </c>
      <c r="D3243" t="s">
        <v>38</v>
      </c>
      <c r="E3243" t="s">
        <v>39</v>
      </c>
      <c r="F3243">
        <v>125</v>
      </c>
      <c r="G3243">
        <v>320</v>
      </c>
      <c r="H3243">
        <v>227</v>
      </c>
      <c r="I3243">
        <v>95</v>
      </c>
      <c r="J3243" s="8">
        <v>0.76</v>
      </c>
      <c r="K3243">
        <v>62</v>
      </c>
      <c r="L3243">
        <v>24</v>
      </c>
      <c r="M3243">
        <v>200</v>
      </c>
      <c r="N3243" s="10">
        <v>667.92</v>
      </c>
      <c r="O3243" s="7">
        <v>0</v>
      </c>
      <c r="P3243" s="7">
        <v>29.1</v>
      </c>
      <c r="Q3243">
        <v>1</v>
      </c>
      <c r="R3243" t="s">
        <v>63</v>
      </c>
      <c r="S3243">
        <v>12</v>
      </c>
      <c r="T3243">
        <v>350</v>
      </c>
      <c r="U3243" s="11">
        <v>0.7818314824680298</v>
      </c>
      <c r="V3243" s="11">
        <v>0.62348980185873359</v>
      </c>
      <c r="W3243" s="11">
        <v>-0.27591294500296043</v>
      </c>
      <c r="X3243" s="11">
        <v>0.96118262925408371</v>
      </c>
      <c r="Y3243">
        <v>0</v>
      </c>
      <c r="Z3243">
        <v>0</v>
      </c>
      <c r="AB3243">
        <v>1</v>
      </c>
      <c r="AC3243">
        <v>0</v>
      </c>
      <c r="AD3243">
        <v>0</v>
      </c>
      <c r="AE3243">
        <v>0</v>
      </c>
    </row>
    <row r="3244" spans="1:31">
      <c r="A3244" s="6">
        <v>46007</v>
      </c>
      <c r="B3244" t="s">
        <v>41</v>
      </c>
      <c r="C3244" t="s">
        <v>42</v>
      </c>
      <c r="D3244" t="s">
        <v>43</v>
      </c>
      <c r="E3244" t="s">
        <v>44</v>
      </c>
      <c r="F3244">
        <v>85</v>
      </c>
      <c r="G3244">
        <v>210</v>
      </c>
      <c r="H3244">
        <v>164</v>
      </c>
      <c r="I3244">
        <v>71</v>
      </c>
      <c r="J3244" s="8">
        <v>0.83529411764705885</v>
      </c>
      <c r="K3244">
        <v>27</v>
      </c>
      <c r="L3244">
        <v>36</v>
      </c>
      <c r="M3244">
        <v>153</v>
      </c>
      <c r="N3244" s="10">
        <v>569.05999999999995</v>
      </c>
      <c r="O3244" s="7">
        <v>0</v>
      </c>
      <c r="P3244" s="7">
        <v>29.1</v>
      </c>
      <c r="Q3244">
        <v>1</v>
      </c>
      <c r="R3244" t="s">
        <v>63</v>
      </c>
      <c r="S3244">
        <v>12</v>
      </c>
      <c r="T3244">
        <v>350</v>
      </c>
      <c r="U3244" s="11">
        <v>0.7818314824680298</v>
      </c>
      <c r="V3244" s="11">
        <v>0.62348980185873359</v>
      </c>
      <c r="W3244" s="11">
        <v>-0.27591294500296043</v>
      </c>
      <c r="X3244" s="11">
        <v>0.96118262925408371</v>
      </c>
      <c r="Y3244">
        <v>0</v>
      </c>
      <c r="Z3244">
        <v>0</v>
      </c>
      <c r="AB3244">
        <v>1</v>
      </c>
      <c r="AC3244">
        <v>0</v>
      </c>
      <c r="AD3244">
        <v>0</v>
      </c>
      <c r="AE3244">
        <v>0</v>
      </c>
    </row>
    <row r="3245" spans="1:31">
      <c r="A3245" s="6">
        <v>46008</v>
      </c>
      <c r="B3245" t="s">
        <v>31</v>
      </c>
      <c r="C3245" t="s">
        <v>32</v>
      </c>
      <c r="D3245" t="s">
        <v>33</v>
      </c>
      <c r="E3245" t="s">
        <v>34</v>
      </c>
      <c r="F3245">
        <v>140</v>
      </c>
      <c r="G3245">
        <v>360</v>
      </c>
      <c r="H3245">
        <v>238</v>
      </c>
      <c r="I3245">
        <v>99</v>
      </c>
      <c r="J3245" s="8">
        <v>0.70714285714285718</v>
      </c>
      <c r="K3245">
        <v>64</v>
      </c>
      <c r="L3245">
        <v>59</v>
      </c>
      <c r="M3245">
        <v>216</v>
      </c>
      <c r="N3245" s="10">
        <v>456.44</v>
      </c>
      <c r="O3245" s="7">
        <v>2.2000000000000002</v>
      </c>
      <c r="P3245" s="7">
        <v>28.9</v>
      </c>
      <c r="Q3245">
        <v>2</v>
      </c>
      <c r="R3245" t="s">
        <v>64</v>
      </c>
      <c r="S3245">
        <v>12</v>
      </c>
      <c r="T3245">
        <v>351</v>
      </c>
      <c r="U3245" s="11">
        <v>0.97492791218182362</v>
      </c>
      <c r="V3245" s="11">
        <v>-0.22252093395631434</v>
      </c>
      <c r="W3245" s="11">
        <v>-0.2593382659754056</v>
      </c>
      <c r="X3245" s="11">
        <v>0.96578655188445739</v>
      </c>
      <c r="Y3245">
        <v>0</v>
      </c>
      <c r="Z3245">
        <v>0</v>
      </c>
      <c r="AB3245">
        <v>1</v>
      </c>
      <c r="AC3245">
        <v>0</v>
      </c>
      <c r="AD3245">
        <v>0</v>
      </c>
      <c r="AE3245">
        <v>0</v>
      </c>
    </row>
    <row r="3246" spans="1:31">
      <c r="A3246" s="6">
        <v>46008</v>
      </c>
      <c r="B3246" t="s">
        <v>36</v>
      </c>
      <c r="C3246" t="s">
        <v>37</v>
      </c>
      <c r="D3246" t="s">
        <v>38</v>
      </c>
      <c r="E3246" t="s">
        <v>39</v>
      </c>
      <c r="F3246">
        <v>125</v>
      </c>
      <c r="G3246">
        <v>320</v>
      </c>
      <c r="H3246">
        <v>236</v>
      </c>
      <c r="I3246">
        <v>98</v>
      </c>
      <c r="J3246" s="8">
        <v>0.78400000000000003</v>
      </c>
      <c r="K3246">
        <v>61</v>
      </c>
      <c r="L3246">
        <v>60</v>
      </c>
      <c r="M3246">
        <v>217</v>
      </c>
      <c r="N3246" s="10">
        <v>648.63</v>
      </c>
      <c r="O3246" s="7">
        <v>2.2000000000000002</v>
      </c>
      <c r="P3246" s="7">
        <v>28.9</v>
      </c>
      <c r="Q3246">
        <v>2</v>
      </c>
      <c r="R3246" t="s">
        <v>64</v>
      </c>
      <c r="S3246">
        <v>12</v>
      </c>
      <c r="T3246">
        <v>351</v>
      </c>
      <c r="U3246" s="11">
        <v>0.97492791218182362</v>
      </c>
      <c r="V3246" s="11">
        <v>-0.22252093395631434</v>
      </c>
      <c r="W3246" s="11">
        <v>-0.2593382659754056</v>
      </c>
      <c r="X3246" s="11">
        <v>0.96578655188445739</v>
      </c>
      <c r="Y3246">
        <v>0</v>
      </c>
      <c r="Z3246">
        <v>0</v>
      </c>
      <c r="AB3246">
        <v>1</v>
      </c>
      <c r="AC3246">
        <v>0</v>
      </c>
      <c r="AD3246">
        <v>0</v>
      </c>
      <c r="AE3246">
        <v>0</v>
      </c>
    </row>
    <row r="3247" spans="1:31">
      <c r="A3247" s="6">
        <v>46008</v>
      </c>
      <c r="B3247" t="s">
        <v>41</v>
      </c>
      <c r="C3247" t="s">
        <v>42</v>
      </c>
      <c r="D3247" t="s">
        <v>43</v>
      </c>
      <c r="E3247" t="s">
        <v>44</v>
      </c>
      <c r="F3247">
        <v>85</v>
      </c>
      <c r="G3247">
        <v>210</v>
      </c>
      <c r="H3247">
        <v>154</v>
      </c>
      <c r="I3247">
        <v>68</v>
      </c>
      <c r="J3247" s="8">
        <v>0.8</v>
      </c>
      <c r="K3247">
        <v>37</v>
      </c>
      <c r="L3247">
        <v>42</v>
      </c>
      <c r="M3247">
        <v>144</v>
      </c>
      <c r="N3247" s="10">
        <v>602.36</v>
      </c>
      <c r="O3247" s="7">
        <v>2.2000000000000002</v>
      </c>
      <c r="P3247" s="7">
        <v>28.9</v>
      </c>
      <c r="Q3247">
        <v>2</v>
      </c>
      <c r="R3247" t="s">
        <v>64</v>
      </c>
      <c r="S3247">
        <v>12</v>
      </c>
      <c r="T3247">
        <v>351</v>
      </c>
      <c r="U3247" s="11">
        <v>0.97492791218182362</v>
      </c>
      <c r="V3247" s="11">
        <v>-0.22252093395631434</v>
      </c>
      <c r="W3247" s="11">
        <v>-0.2593382659754056</v>
      </c>
      <c r="X3247" s="11">
        <v>0.96578655188445739</v>
      </c>
      <c r="Y3247">
        <v>0</v>
      </c>
      <c r="Z3247">
        <v>0</v>
      </c>
      <c r="AB3247">
        <v>1</v>
      </c>
      <c r="AC3247">
        <v>0</v>
      </c>
      <c r="AD3247">
        <v>0</v>
      </c>
      <c r="AE3247">
        <v>0</v>
      </c>
    </row>
    <row r="3248" spans="1:31">
      <c r="A3248" s="6">
        <v>46009</v>
      </c>
      <c r="B3248" t="s">
        <v>31</v>
      </c>
      <c r="C3248" t="s">
        <v>32</v>
      </c>
      <c r="D3248" t="s">
        <v>33</v>
      </c>
      <c r="E3248" t="s">
        <v>34</v>
      </c>
      <c r="F3248">
        <v>140</v>
      </c>
      <c r="G3248">
        <v>360</v>
      </c>
      <c r="H3248">
        <v>211</v>
      </c>
      <c r="I3248">
        <v>88</v>
      </c>
      <c r="J3248" s="8">
        <v>0.62857142857142856</v>
      </c>
      <c r="K3248">
        <v>40</v>
      </c>
      <c r="L3248">
        <v>26</v>
      </c>
      <c r="M3248">
        <v>188</v>
      </c>
      <c r="N3248" s="10">
        <v>483.8</v>
      </c>
      <c r="O3248" s="7">
        <v>1.6</v>
      </c>
      <c r="P3248" s="7">
        <v>27.2</v>
      </c>
      <c r="Q3248">
        <v>3</v>
      </c>
      <c r="R3248" t="s">
        <v>65</v>
      </c>
      <c r="S3248">
        <v>12</v>
      </c>
      <c r="T3248">
        <v>352</v>
      </c>
      <c r="U3248" s="11">
        <v>0.43388373911755823</v>
      </c>
      <c r="V3248" s="11">
        <v>-0.90096886790241903</v>
      </c>
      <c r="W3248" s="11">
        <v>-0.2426868445825954</v>
      </c>
      <c r="X3248" s="11">
        <v>0.9701046827361175</v>
      </c>
      <c r="Y3248">
        <v>0</v>
      </c>
      <c r="Z3248">
        <v>0</v>
      </c>
      <c r="AB3248">
        <v>1</v>
      </c>
      <c r="AC3248">
        <v>0</v>
      </c>
      <c r="AD3248">
        <v>0</v>
      </c>
      <c r="AE3248">
        <v>0</v>
      </c>
    </row>
    <row r="3249" spans="1:31">
      <c r="A3249" s="6">
        <v>46009</v>
      </c>
      <c r="B3249" t="s">
        <v>36</v>
      </c>
      <c r="C3249" t="s">
        <v>37</v>
      </c>
      <c r="D3249" t="s">
        <v>38</v>
      </c>
      <c r="E3249" t="s">
        <v>39</v>
      </c>
      <c r="F3249">
        <v>125</v>
      </c>
      <c r="G3249">
        <v>320</v>
      </c>
      <c r="H3249">
        <v>222</v>
      </c>
      <c r="I3249">
        <v>91</v>
      </c>
      <c r="J3249" s="8">
        <v>0.72799999999999998</v>
      </c>
      <c r="K3249">
        <v>36</v>
      </c>
      <c r="L3249">
        <v>46</v>
      </c>
      <c r="M3249">
        <v>207</v>
      </c>
      <c r="N3249" s="10">
        <v>737.28</v>
      </c>
      <c r="O3249" s="7">
        <v>1.6</v>
      </c>
      <c r="P3249" s="7">
        <v>27.2</v>
      </c>
      <c r="Q3249">
        <v>3</v>
      </c>
      <c r="R3249" t="s">
        <v>65</v>
      </c>
      <c r="S3249">
        <v>12</v>
      </c>
      <c r="T3249">
        <v>352</v>
      </c>
      <c r="U3249" s="11">
        <v>0.43388373911755823</v>
      </c>
      <c r="V3249" s="11">
        <v>-0.90096886790241903</v>
      </c>
      <c r="W3249" s="11">
        <v>-0.2426868445825954</v>
      </c>
      <c r="X3249" s="11">
        <v>0.9701046827361175</v>
      </c>
      <c r="Y3249">
        <v>0</v>
      </c>
      <c r="Z3249">
        <v>0</v>
      </c>
      <c r="AB3249">
        <v>1</v>
      </c>
      <c r="AC3249">
        <v>0</v>
      </c>
      <c r="AD3249">
        <v>0</v>
      </c>
      <c r="AE3249">
        <v>0</v>
      </c>
    </row>
    <row r="3250" spans="1:31">
      <c r="A3250" s="6">
        <v>46009</v>
      </c>
      <c r="B3250" t="s">
        <v>41</v>
      </c>
      <c r="C3250" t="s">
        <v>42</v>
      </c>
      <c r="D3250" t="s">
        <v>43</v>
      </c>
      <c r="E3250" t="s">
        <v>44</v>
      </c>
      <c r="F3250">
        <v>85</v>
      </c>
      <c r="G3250">
        <v>210</v>
      </c>
      <c r="H3250">
        <v>156</v>
      </c>
      <c r="I3250">
        <v>69</v>
      </c>
      <c r="J3250" s="8">
        <v>0.81176470588235294</v>
      </c>
      <c r="K3250">
        <v>31</v>
      </c>
      <c r="L3250">
        <v>17</v>
      </c>
      <c r="M3250">
        <v>145</v>
      </c>
      <c r="N3250" s="10">
        <v>525.57000000000005</v>
      </c>
      <c r="O3250" s="7">
        <v>1.6</v>
      </c>
      <c r="P3250" s="7">
        <v>27.2</v>
      </c>
      <c r="Q3250">
        <v>3</v>
      </c>
      <c r="R3250" t="s">
        <v>65</v>
      </c>
      <c r="S3250">
        <v>12</v>
      </c>
      <c r="T3250">
        <v>352</v>
      </c>
      <c r="U3250" s="11">
        <v>0.43388373911755823</v>
      </c>
      <c r="V3250" s="11">
        <v>-0.90096886790241903</v>
      </c>
      <c r="W3250" s="11">
        <v>-0.2426868445825954</v>
      </c>
      <c r="X3250" s="11">
        <v>0.9701046827361175</v>
      </c>
      <c r="Y3250">
        <v>0</v>
      </c>
      <c r="Z3250">
        <v>0</v>
      </c>
      <c r="AB3250">
        <v>1</v>
      </c>
      <c r="AC3250">
        <v>0</v>
      </c>
      <c r="AD3250">
        <v>0</v>
      </c>
      <c r="AE3250">
        <v>0</v>
      </c>
    </row>
    <row r="3251" spans="1:31">
      <c r="A3251" s="6">
        <v>46010</v>
      </c>
      <c r="B3251" t="s">
        <v>31</v>
      </c>
      <c r="C3251" t="s">
        <v>32</v>
      </c>
      <c r="D3251" t="s">
        <v>33</v>
      </c>
      <c r="E3251" t="s">
        <v>34</v>
      </c>
      <c r="F3251">
        <v>140</v>
      </c>
      <c r="G3251">
        <v>360</v>
      </c>
      <c r="H3251">
        <v>241</v>
      </c>
      <c r="I3251">
        <v>100</v>
      </c>
      <c r="J3251" s="8">
        <v>0.7142857142857143</v>
      </c>
      <c r="K3251">
        <v>73</v>
      </c>
      <c r="L3251">
        <v>56</v>
      </c>
      <c r="M3251">
        <v>220</v>
      </c>
      <c r="N3251" s="10">
        <v>451.06</v>
      </c>
      <c r="O3251" s="7">
        <v>0</v>
      </c>
      <c r="P3251" s="7">
        <v>29.3</v>
      </c>
      <c r="Q3251">
        <v>4</v>
      </c>
      <c r="R3251" t="s">
        <v>66</v>
      </c>
      <c r="S3251">
        <v>12</v>
      </c>
      <c r="T3251">
        <v>353</v>
      </c>
      <c r="U3251" s="11">
        <v>-0.43388373911755801</v>
      </c>
      <c r="V3251" s="11">
        <v>-0.90096886790241915</v>
      </c>
      <c r="W3251" s="11">
        <v>-0.22596360824801906</v>
      </c>
      <c r="X3251" s="11">
        <v>0.97413574400467196</v>
      </c>
      <c r="Y3251">
        <v>0</v>
      </c>
      <c r="Z3251">
        <v>0</v>
      </c>
      <c r="AB3251">
        <v>1</v>
      </c>
      <c r="AC3251">
        <v>0</v>
      </c>
      <c r="AD3251">
        <v>0</v>
      </c>
      <c r="AE3251">
        <v>0</v>
      </c>
    </row>
    <row r="3252" spans="1:31">
      <c r="A3252" s="6">
        <v>46010</v>
      </c>
      <c r="B3252" t="s">
        <v>36</v>
      </c>
      <c r="C3252" t="s">
        <v>37</v>
      </c>
      <c r="D3252" t="s">
        <v>38</v>
      </c>
      <c r="E3252" t="s">
        <v>39</v>
      </c>
      <c r="F3252">
        <v>125</v>
      </c>
      <c r="G3252">
        <v>320</v>
      </c>
      <c r="H3252">
        <v>229</v>
      </c>
      <c r="I3252">
        <v>96</v>
      </c>
      <c r="J3252" s="8">
        <v>0.76800000000000002</v>
      </c>
      <c r="K3252">
        <v>35</v>
      </c>
      <c r="L3252">
        <v>55</v>
      </c>
      <c r="M3252">
        <v>214</v>
      </c>
      <c r="N3252" s="10">
        <v>734.19</v>
      </c>
      <c r="O3252" s="7">
        <v>0</v>
      </c>
      <c r="P3252" s="7">
        <v>29.3</v>
      </c>
      <c r="Q3252">
        <v>4</v>
      </c>
      <c r="R3252" t="s">
        <v>66</v>
      </c>
      <c r="S3252">
        <v>12</v>
      </c>
      <c r="T3252">
        <v>353</v>
      </c>
      <c r="U3252" s="11">
        <v>-0.43388373911755801</v>
      </c>
      <c r="V3252" s="11">
        <v>-0.90096886790241915</v>
      </c>
      <c r="W3252" s="11">
        <v>-0.22596360824801906</v>
      </c>
      <c r="X3252" s="11">
        <v>0.97413574400467196</v>
      </c>
      <c r="Y3252">
        <v>0</v>
      </c>
      <c r="Z3252">
        <v>0</v>
      </c>
      <c r="AB3252">
        <v>1</v>
      </c>
      <c r="AC3252">
        <v>0</v>
      </c>
      <c r="AD3252">
        <v>0</v>
      </c>
      <c r="AE3252">
        <v>0</v>
      </c>
    </row>
    <row r="3253" spans="1:31">
      <c r="A3253" s="6">
        <v>46010</v>
      </c>
      <c r="B3253" t="s">
        <v>41</v>
      </c>
      <c r="C3253" t="s">
        <v>42</v>
      </c>
      <c r="D3253" t="s">
        <v>43</v>
      </c>
      <c r="E3253" t="s">
        <v>44</v>
      </c>
      <c r="F3253">
        <v>85</v>
      </c>
      <c r="G3253">
        <v>210</v>
      </c>
      <c r="H3253">
        <v>138</v>
      </c>
      <c r="I3253">
        <v>64</v>
      </c>
      <c r="J3253" s="8">
        <v>0.75294117647058822</v>
      </c>
      <c r="K3253">
        <v>29</v>
      </c>
      <c r="L3253">
        <v>28</v>
      </c>
      <c r="M3253">
        <v>123</v>
      </c>
      <c r="N3253" s="10">
        <v>565.61</v>
      </c>
      <c r="O3253" s="7">
        <v>0</v>
      </c>
      <c r="P3253" s="7">
        <v>29.3</v>
      </c>
      <c r="Q3253">
        <v>4</v>
      </c>
      <c r="R3253" t="s">
        <v>66</v>
      </c>
      <c r="S3253">
        <v>12</v>
      </c>
      <c r="T3253">
        <v>353</v>
      </c>
      <c r="U3253" s="11">
        <v>-0.43388373911755801</v>
      </c>
      <c r="V3253" s="11">
        <v>-0.90096886790241915</v>
      </c>
      <c r="W3253" s="11">
        <v>-0.22596360824801906</v>
      </c>
      <c r="X3253" s="11">
        <v>0.97413574400467196</v>
      </c>
      <c r="Y3253">
        <v>0</v>
      </c>
      <c r="Z3253">
        <v>0</v>
      </c>
      <c r="AB3253">
        <v>1</v>
      </c>
      <c r="AC3253">
        <v>0</v>
      </c>
      <c r="AD3253">
        <v>0</v>
      </c>
      <c r="AE3253">
        <v>0</v>
      </c>
    </row>
    <row r="3254" spans="1:31">
      <c r="A3254" s="6">
        <v>46011</v>
      </c>
      <c r="B3254" t="s">
        <v>31</v>
      </c>
      <c r="C3254" t="s">
        <v>32</v>
      </c>
      <c r="D3254" t="s">
        <v>33</v>
      </c>
      <c r="E3254" t="s">
        <v>34</v>
      </c>
      <c r="F3254">
        <v>140</v>
      </c>
      <c r="G3254">
        <v>360</v>
      </c>
      <c r="H3254">
        <v>223</v>
      </c>
      <c r="I3254">
        <v>97</v>
      </c>
      <c r="J3254" s="8">
        <v>0.69285714285714284</v>
      </c>
      <c r="K3254">
        <v>47</v>
      </c>
      <c r="L3254">
        <v>42</v>
      </c>
      <c r="M3254">
        <v>182</v>
      </c>
      <c r="N3254" s="10">
        <v>557.63</v>
      </c>
      <c r="O3254" s="7">
        <v>2.1</v>
      </c>
      <c r="P3254" s="7">
        <v>28.5</v>
      </c>
      <c r="Q3254">
        <v>5</v>
      </c>
      <c r="R3254" t="s">
        <v>67</v>
      </c>
      <c r="S3254">
        <v>12</v>
      </c>
      <c r="T3254">
        <v>354</v>
      </c>
      <c r="U3254" s="11">
        <v>-0.97492791218182362</v>
      </c>
      <c r="V3254" s="11">
        <v>-0.22252093395631459</v>
      </c>
      <c r="W3254" s="11">
        <v>-0.20917350564635637</v>
      </c>
      <c r="X3254" s="11">
        <v>0.97787854283423858</v>
      </c>
      <c r="Y3254">
        <v>1</v>
      </c>
      <c r="Z3254">
        <v>0</v>
      </c>
      <c r="AB3254">
        <v>1</v>
      </c>
      <c r="AC3254">
        <v>0</v>
      </c>
      <c r="AD3254">
        <v>0</v>
      </c>
      <c r="AE3254">
        <v>0</v>
      </c>
    </row>
    <row r="3255" spans="1:31">
      <c r="A3255" s="6">
        <v>46011</v>
      </c>
      <c r="B3255" t="s">
        <v>36</v>
      </c>
      <c r="C3255" t="s">
        <v>37</v>
      </c>
      <c r="D3255" t="s">
        <v>38</v>
      </c>
      <c r="E3255" t="s">
        <v>39</v>
      </c>
      <c r="F3255">
        <v>125</v>
      </c>
      <c r="G3255">
        <v>320</v>
      </c>
      <c r="H3255">
        <v>271</v>
      </c>
      <c r="I3255">
        <v>113</v>
      </c>
      <c r="J3255" s="8">
        <v>0.90400000000000003</v>
      </c>
      <c r="K3255">
        <v>57</v>
      </c>
      <c r="L3255">
        <v>47</v>
      </c>
      <c r="M3255">
        <v>220</v>
      </c>
      <c r="N3255" s="10">
        <v>806.02</v>
      </c>
      <c r="O3255" s="7">
        <v>2.1</v>
      </c>
      <c r="P3255" s="7">
        <v>28.5</v>
      </c>
      <c r="Q3255">
        <v>5</v>
      </c>
      <c r="R3255" t="s">
        <v>67</v>
      </c>
      <c r="S3255">
        <v>12</v>
      </c>
      <c r="T3255">
        <v>354</v>
      </c>
      <c r="U3255" s="11">
        <v>-0.97492791218182362</v>
      </c>
      <c r="V3255" s="11">
        <v>-0.22252093395631459</v>
      </c>
      <c r="W3255" s="11">
        <v>-0.20917350564635637</v>
      </c>
      <c r="X3255" s="11">
        <v>0.97787854283423858</v>
      </c>
      <c r="Y3255">
        <v>1</v>
      </c>
      <c r="Z3255">
        <v>0</v>
      </c>
      <c r="AB3255">
        <v>1</v>
      </c>
      <c r="AC3255">
        <v>0</v>
      </c>
      <c r="AD3255">
        <v>0</v>
      </c>
      <c r="AE3255">
        <v>0</v>
      </c>
    </row>
    <row r="3256" spans="1:31">
      <c r="A3256" s="6">
        <v>46011</v>
      </c>
      <c r="B3256" t="s">
        <v>41</v>
      </c>
      <c r="C3256" t="s">
        <v>42</v>
      </c>
      <c r="D3256" t="s">
        <v>43</v>
      </c>
      <c r="E3256" t="s">
        <v>44</v>
      </c>
      <c r="F3256">
        <v>85</v>
      </c>
      <c r="G3256">
        <v>210</v>
      </c>
      <c r="H3256">
        <v>177</v>
      </c>
      <c r="I3256">
        <v>80</v>
      </c>
      <c r="J3256" s="8">
        <v>0.94117647058823528</v>
      </c>
      <c r="K3256">
        <v>23</v>
      </c>
      <c r="L3256">
        <v>44</v>
      </c>
      <c r="M3256">
        <v>162</v>
      </c>
      <c r="N3256" s="10">
        <v>656.39</v>
      </c>
      <c r="O3256" s="7">
        <v>2.1</v>
      </c>
      <c r="P3256" s="7">
        <v>28.5</v>
      </c>
      <c r="Q3256">
        <v>5</v>
      </c>
      <c r="R3256" t="s">
        <v>67</v>
      </c>
      <c r="S3256">
        <v>12</v>
      </c>
      <c r="T3256">
        <v>354</v>
      </c>
      <c r="U3256" s="11">
        <v>-0.97492791218182362</v>
      </c>
      <c r="V3256" s="11">
        <v>-0.22252093395631459</v>
      </c>
      <c r="W3256" s="11">
        <v>-0.20917350564635637</v>
      </c>
      <c r="X3256" s="11">
        <v>0.97787854283423858</v>
      </c>
      <c r="Y3256">
        <v>1</v>
      </c>
      <c r="Z3256">
        <v>0</v>
      </c>
      <c r="AB3256">
        <v>1</v>
      </c>
      <c r="AC3256">
        <v>0</v>
      </c>
      <c r="AD3256">
        <v>0</v>
      </c>
      <c r="AE3256">
        <v>0</v>
      </c>
    </row>
    <row r="3257" spans="1:31">
      <c r="A3257" s="6">
        <v>46012</v>
      </c>
      <c r="B3257" t="s">
        <v>31</v>
      </c>
      <c r="C3257" t="s">
        <v>32</v>
      </c>
      <c r="D3257" t="s">
        <v>33</v>
      </c>
      <c r="E3257" t="s">
        <v>34</v>
      </c>
      <c r="F3257">
        <v>140</v>
      </c>
      <c r="G3257">
        <v>360</v>
      </c>
      <c r="H3257">
        <v>256</v>
      </c>
      <c r="I3257">
        <v>109</v>
      </c>
      <c r="J3257" s="8">
        <v>0.77857142857142858</v>
      </c>
      <c r="K3257">
        <v>38</v>
      </c>
      <c r="L3257">
        <v>48</v>
      </c>
      <c r="M3257">
        <v>213</v>
      </c>
      <c r="N3257" s="10">
        <v>489.02</v>
      </c>
      <c r="O3257" s="7">
        <v>2.4</v>
      </c>
      <c r="P3257" s="7">
        <v>28.9</v>
      </c>
      <c r="Q3257">
        <v>6</v>
      </c>
      <c r="R3257" t="s">
        <v>60</v>
      </c>
      <c r="S3257">
        <v>12</v>
      </c>
      <c r="T3257">
        <v>355</v>
      </c>
      <c r="U3257" s="11">
        <v>-0.78183148246802991</v>
      </c>
      <c r="V3257" s="11">
        <v>0.62348980185873337</v>
      </c>
      <c r="W3257" s="11">
        <v>-0.19232150523909483</v>
      </c>
      <c r="X3257" s="11">
        <v>0.98133197167042752</v>
      </c>
      <c r="Y3257">
        <v>1</v>
      </c>
      <c r="Z3257">
        <v>0</v>
      </c>
      <c r="AB3257">
        <v>1</v>
      </c>
      <c r="AC3257">
        <v>0</v>
      </c>
      <c r="AD3257">
        <v>0</v>
      </c>
      <c r="AE3257">
        <v>0</v>
      </c>
    </row>
    <row r="3258" spans="1:31">
      <c r="A3258" s="6">
        <v>46012</v>
      </c>
      <c r="B3258" t="s">
        <v>36</v>
      </c>
      <c r="C3258" t="s">
        <v>37</v>
      </c>
      <c r="D3258" t="s">
        <v>38</v>
      </c>
      <c r="E3258" t="s">
        <v>39</v>
      </c>
      <c r="F3258">
        <v>125</v>
      </c>
      <c r="G3258">
        <v>320</v>
      </c>
      <c r="H3258">
        <v>258</v>
      </c>
      <c r="I3258">
        <v>110</v>
      </c>
      <c r="J3258" s="8">
        <v>0.88</v>
      </c>
      <c r="K3258">
        <v>64</v>
      </c>
      <c r="L3258">
        <v>46</v>
      </c>
      <c r="M3258">
        <v>227</v>
      </c>
      <c r="N3258" s="10">
        <v>774.23</v>
      </c>
      <c r="O3258" s="7">
        <v>2.4</v>
      </c>
      <c r="P3258" s="7">
        <v>28.9</v>
      </c>
      <c r="Q3258">
        <v>6</v>
      </c>
      <c r="R3258" t="s">
        <v>60</v>
      </c>
      <c r="S3258">
        <v>12</v>
      </c>
      <c r="T3258">
        <v>355</v>
      </c>
      <c r="U3258" s="11">
        <v>-0.78183148246802991</v>
      </c>
      <c r="V3258" s="11">
        <v>0.62348980185873337</v>
      </c>
      <c r="W3258" s="11">
        <v>-0.19232150523909483</v>
      </c>
      <c r="X3258" s="11">
        <v>0.98133197167042752</v>
      </c>
      <c r="Y3258">
        <v>1</v>
      </c>
      <c r="Z3258">
        <v>0</v>
      </c>
      <c r="AB3258">
        <v>1</v>
      </c>
      <c r="AC3258">
        <v>0</v>
      </c>
      <c r="AD3258">
        <v>0</v>
      </c>
      <c r="AE3258">
        <v>0</v>
      </c>
    </row>
    <row r="3259" spans="1:31">
      <c r="A3259" s="6">
        <v>46012</v>
      </c>
      <c r="B3259" t="s">
        <v>41</v>
      </c>
      <c r="C3259" t="s">
        <v>42</v>
      </c>
      <c r="D3259" t="s">
        <v>43</v>
      </c>
      <c r="E3259" t="s">
        <v>44</v>
      </c>
      <c r="F3259">
        <v>85</v>
      </c>
      <c r="G3259">
        <v>210</v>
      </c>
      <c r="H3259">
        <v>189</v>
      </c>
      <c r="I3259">
        <v>82</v>
      </c>
      <c r="J3259" s="8">
        <v>0.96470588235294119</v>
      </c>
      <c r="K3259">
        <v>37</v>
      </c>
      <c r="L3259">
        <v>50</v>
      </c>
      <c r="M3259">
        <v>171</v>
      </c>
      <c r="N3259" s="10">
        <v>663.66</v>
      </c>
      <c r="O3259" s="7">
        <v>2.4</v>
      </c>
      <c r="P3259" s="7">
        <v>28.9</v>
      </c>
      <c r="Q3259">
        <v>6</v>
      </c>
      <c r="R3259" t="s">
        <v>60</v>
      </c>
      <c r="S3259">
        <v>12</v>
      </c>
      <c r="T3259">
        <v>355</v>
      </c>
      <c r="U3259" s="11">
        <v>-0.78183148246802991</v>
      </c>
      <c r="V3259" s="11">
        <v>0.62348980185873337</v>
      </c>
      <c r="W3259" s="11">
        <v>-0.19232150523909483</v>
      </c>
      <c r="X3259" s="11">
        <v>0.98133197167042752</v>
      </c>
      <c r="Y3259">
        <v>1</v>
      </c>
      <c r="Z3259">
        <v>0</v>
      </c>
      <c r="AB3259">
        <v>1</v>
      </c>
      <c r="AC3259">
        <v>0</v>
      </c>
      <c r="AD3259">
        <v>0</v>
      </c>
      <c r="AE3259">
        <v>0</v>
      </c>
    </row>
    <row r="3260" spans="1:31">
      <c r="A3260" s="6">
        <v>46013</v>
      </c>
      <c r="B3260" t="s">
        <v>31</v>
      </c>
      <c r="C3260" t="s">
        <v>32</v>
      </c>
      <c r="D3260" t="s">
        <v>33</v>
      </c>
      <c r="E3260" t="s">
        <v>34</v>
      </c>
      <c r="F3260">
        <v>140</v>
      </c>
      <c r="G3260">
        <v>360</v>
      </c>
      <c r="H3260">
        <v>228</v>
      </c>
      <c r="I3260">
        <v>96</v>
      </c>
      <c r="J3260" s="8">
        <v>0.68571428571428572</v>
      </c>
      <c r="K3260">
        <v>49</v>
      </c>
      <c r="L3260">
        <v>42</v>
      </c>
      <c r="M3260">
        <v>183</v>
      </c>
      <c r="N3260" s="10">
        <v>504.56</v>
      </c>
      <c r="O3260" s="7">
        <v>1.4</v>
      </c>
      <c r="P3260" s="7">
        <v>27.8</v>
      </c>
      <c r="Q3260">
        <v>0</v>
      </c>
      <c r="R3260" t="s">
        <v>62</v>
      </c>
      <c r="S3260">
        <v>12</v>
      </c>
      <c r="T3260">
        <v>356</v>
      </c>
      <c r="U3260" s="11">
        <v>0</v>
      </c>
      <c r="V3260" s="11">
        <v>1</v>
      </c>
      <c r="W3260" s="11">
        <v>-0.17541259380427843</v>
      </c>
      <c r="X3260" s="11">
        <v>0.98449500858808581</v>
      </c>
      <c r="Y3260">
        <v>0</v>
      </c>
      <c r="Z3260">
        <v>0</v>
      </c>
      <c r="AB3260">
        <v>1</v>
      </c>
      <c r="AC3260">
        <v>0</v>
      </c>
      <c r="AD3260">
        <v>0</v>
      </c>
      <c r="AE3260">
        <v>0</v>
      </c>
    </row>
    <row r="3261" spans="1:31">
      <c r="A3261" s="6">
        <v>46013</v>
      </c>
      <c r="B3261" t="s">
        <v>36</v>
      </c>
      <c r="C3261" t="s">
        <v>37</v>
      </c>
      <c r="D3261" t="s">
        <v>38</v>
      </c>
      <c r="E3261" t="s">
        <v>39</v>
      </c>
      <c r="F3261">
        <v>125</v>
      </c>
      <c r="G3261">
        <v>320</v>
      </c>
      <c r="H3261">
        <v>235</v>
      </c>
      <c r="I3261">
        <v>95</v>
      </c>
      <c r="J3261" s="8">
        <v>0.76</v>
      </c>
      <c r="K3261">
        <v>51</v>
      </c>
      <c r="L3261">
        <v>63</v>
      </c>
      <c r="M3261">
        <v>189</v>
      </c>
      <c r="N3261" s="10">
        <v>654.35</v>
      </c>
      <c r="O3261" s="7">
        <v>1.4</v>
      </c>
      <c r="P3261" s="7">
        <v>27.8</v>
      </c>
      <c r="Q3261">
        <v>0</v>
      </c>
      <c r="R3261" t="s">
        <v>62</v>
      </c>
      <c r="S3261">
        <v>12</v>
      </c>
      <c r="T3261">
        <v>356</v>
      </c>
      <c r="U3261" s="11">
        <v>0</v>
      </c>
      <c r="V3261" s="11">
        <v>1</v>
      </c>
      <c r="W3261" s="11">
        <v>-0.17541259380427843</v>
      </c>
      <c r="X3261" s="11">
        <v>0.98449500858808581</v>
      </c>
      <c r="Y3261">
        <v>0</v>
      </c>
      <c r="Z3261">
        <v>0</v>
      </c>
      <c r="AB3261">
        <v>1</v>
      </c>
      <c r="AC3261">
        <v>0</v>
      </c>
      <c r="AD3261">
        <v>0</v>
      </c>
      <c r="AE3261">
        <v>0</v>
      </c>
    </row>
    <row r="3262" spans="1:31">
      <c r="A3262" s="6">
        <v>46013</v>
      </c>
      <c r="B3262" t="s">
        <v>41</v>
      </c>
      <c r="C3262" t="s">
        <v>42</v>
      </c>
      <c r="D3262" t="s">
        <v>43</v>
      </c>
      <c r="E3262" t="s">
        <v>44</v>
      </c>
      <c r="F3262">
        <v>85</v>
      </c>
      <c r="G3262">
        <v>210</v>
      </c>
      <c r="H3262">
        <v>173</v>
      </c>
      <c r="I3262">
        <v>75</v>
      </c>
      <c r="J3262" s="8">
        <v>0.88235294117647056</v>
      </c>
      <c r="K3262">
        <v>40</v>
      </c>
      <c r="L3262">
        <v>18</v>
      </c>
      <c r="M3262">
        <v>161</v>
      </c>
      <c r="N3262" s="10">
        <v>559.27</v>
      </c>
      <c r="O3262" s="7">
        <v>1.4</v>
      </c>
      <c r="P3262" s="7">
        <v>27.8</v>
      </c>
      <c r="Q3262">
        <v>0</v>
      </c>
      <c r="R3262" t="s">
        <v>62</v>
      </c>
      <c r="S3262">
        <v>12</v>
      </c>
      <c r="T3262">
        <v>356</v>
      </c>
      <c r="U3262" s="11">
        <v>0</v>
      </c>
      <c r="V3262" s="11">
        <v>1</v>
      </c>
      <c r="W3262" s="11">
        <v>-0.17541259380427843</v>
      </c>
      <c r="X3262" s="11">
        <v>0.98449500858808581</v>
      </c>
      <c r="Y3262">
        <v>0</v>
      </c>
      <c r="Z3262">
        <v>0</v>
      </c>
      <c r="AB3262">
        <v>1</v>
      </c>
      <c r="AC3262">
        <v>0</v>
      </c>
      <c r="AD3262">
        <v>0</v>
      </c>
      <c r="AE3262">
        <v>0</v>
      </c>
    </row>
    <row r="3263" spans="1:31">
      <c r="A3263" s="6">
        <v>46014</v>
      </c>
      <c r="B3263" t="s">
        <v>31</v>
      </c>
      <c r="C3263" t="s">
        <v>32</v>
      </c>
      <c r="D3263" t="s">
        <v>33</v>
      </c>
      <c r="E3263" t="s">
        <v>34</v>
      </c>
      <c r="F3263">
        <v>140</v>
      </c>
      <c r="G3263">
        <v>360</v>
      </c>
      <c r="H3263">
        <v>212</v>
      </c>
      <c r="I3263">
        <v>93</v>
      </c>
      <c r="J3263" s="8">
        <v>0.66428571428571426</v>
      </c>
      <c r="K3263">
        <v>36</v>
      </c>
      <c r="L3263">
        <v>22</v>
      </c>
      <c r="M3263">
        <v>184</v>
      </c>
      <c r="N3263" s="10">
        <v>460.36</v>
      </c>
      <c r="O3263" s="7">
        <v>2.5</v>
      </c>
      <c r="P3263" s="7">
        <v>28.6</v>
      </c>
      <c r="Q3263">
        <v>1</v>
      </c>
      <c r="R3263" t="s">
        <v>63</v>
      </c>
      <c r="S3263">
        <v>12</v>
      </c>
      <c r="T3263">
        <v>357</v>
      </c>
      <c r="U3263" s="11">
        <v>0.7818314824680298</v>
      </c>
      <c r="V3263" s="11">
        <v>0.62348980185873359</v>
      </c>
      <c r="W3263" s="11">
        <v>-0.15845177496083632</v>
      </c>
      <c r="X3263" s="11">
        <v>0.98736671759370165</v>
      </c>
      <c r="Y3263">
        <v>0</v>
      </c>
      <c r="Z3263">
        <v>0</v>
      </c>
      <c r="AB3263">
        <v>1</v>
      </c>
      <c r="AC3263">
        <v>0</v>
      </c>
      <c r="AD3263">
        <v>0</v>
      </c>
      <c r="AE3263">
        <v>0</v>
      </c>
    </row>
    <row r="3264" spans="1:31">
      <c r="A3264" s="6">
        <v>46014</v>
      </c>
      <c r="B3264" t="s">
        <v>36</v>
      </c>
      <c r="C3264" t="s">
        <v>37</v>
      </c>
      <c r="D3264" t="s">
        <v>38</v>
      </c>
      <c r="E3264" t="s">
        <v>39</v>
      </c>
      <c r="F3264">
        <v>125</v>
      </c>
      <c r="G3264">
        <v>320</v>
      </c>
      <c r="H3264">
        <v>230</v>
      </c>
      <c r="I3264">
        <v>93</v>
      </c>
      <c r="J3264" s="8">
        <v>0.74399999999999999</v>
      </c>
      <c r="K3264">
        <v>43</v>
      </c>
      <c r="L3264">
        <v>62</v>
      </c>
      <c r="M3264">
        <v>207</v>
      </c>
      <c r="N3264" s="10">
        <v>706.33</v>
      </c>
      <c r="O3264" s="7">
        <v>2.5</v>
      </c>
      <c r="P3264" s="7">
        <v>28.6</v>
      </c>
      <c r="Q3264">
        <v>1</v>
      </c>
      <c r="R3264" t="s">
        <v>63</v>
      </c>
      <c r="S3264">
        <v>12</v>
      </c>
      <c r="T3264">
        <v>357</v>
      </c>
      <c r="U3264" s="11">
        <v>0.7818314824680298</v>
      </c>
      <c r="V3264" s="11">
        <v>0.62348980185873359</v>
      </c>
      <c r="W3264" s="11">
        <v>-0.15845177496083632</v>
      </c>
      <c r="X3264" s="11">
        <v>0.98736671759370165</v>
      </c>
      <c r="Y3264">
        <v>0</v>
      </c>
      <c r="Z3264">
        <v>0</v>
      </c>
      <c r="AB3264">
        <v>1</v>
      </c>
      <c r="AC3264">
        <v>0</v>
      </c>
      <c r="AD3264">
        <v>0</v>
      </c>
      <c r="AE3264">
        <v>0</v>
      </c>
    </row>
    <row r="3265" spans="1:31">
      <c r="A3265" s="6">
        <v>46014</v>
      </c>
      <c r="B3265" t="s">
        <v>41</v>
      </c>
      <c r="C3265" t="s">
        <v>42</v>
      </c>
      <c r="D3265" t="s">
        <v>43</v>
      </c>
      <c r="E3265" t="s">
        <v>44</v>
      </c>
      <c r="F3265">
        <v>85</v>
      </c>
      <c r="G3265">
        <v>210</v>
      </c>
      <c r="H3265">
        <v>153</v>
      </c>
      <c r="I3265">
        <v>69</v>
      </c>
      <c r="J3265" s="8">
        <v>0.81176470588235294</v>
      </c>
      <c r="K3265">
        <v>34</v>
      </c>
      <c r="L3265">
        <v>20</v>
      </c>
      <c r="M3265">
        <v>131</v>
      </c>
      <c r="N3265" s="10">
        <v>624.89</v>
      </c>
      <c r="O3265" s="7">
        <v>2.5</v>
      </c>
      <c r="P3265" s="7">
        <v>28.6</v>
      </c>
      <c r="Q3265">
        <v>1</v>
      </c>
      <c r="R3265" t="s">
        <v>63</v>
      </c>
      <c r="S3265">
        <v>12</v>
      </c>
      <c r="T3265">
        <v>357</v>
      </c>
      <c r="U3265" s="11">
        <v>0.7818314824680298</v>
      </c>
      <c r="V3265" s="11">
        <v>0.62348980185873359</v>
      </c>
      <c r="W3265" s="11">
        <v>-0.15845177496083632</v>
      </c>
      <c r="X3265" s="11">
        <v>0.98736671759370165</v>
      </c>
      <c r="Y3265">
        <v>0</v>
      </c>
      <c r="Z3265">
        <v>0</v>
      </c>
      <c r="AB3265">
        <v>1</v>
      </c>
      <c r="AC3265">
        <v>0</v>
      </c>
      <c r="AD3265">
        <v>0</v>
      </c>
      <c r="AE3265">
        <v>0</v>
      </c>
    </row>
    <row r="3266" spans="1:31">
      <c r="A3266" s="6">
        <v>46015</v>
      </c>
      <c r="B3266" t="s">
        <v>31</v>
      </c>
      <c r="C3266" t="s">
        <v>32</v>
      </c>
      <c r="D3266" t="s">
        <v>33</v>
      </c>
      <c r="E3266" t="s">
        <v>34</v>
      </c>
      <c r="F3266">
        <v>140</v>
      </c>
      <c r="G3266">
        <v>360</v>
      </c>
      <c r="H3266">
        <v>215</v>
      </c>
      <c r="I3266">
        <v>94</v>
      </c>
      <c r="J3266" s="8">
        <v>0.67142857142857137</v>
      </c>
      <c r="K3266">
        <v>56</v>
      </c>
      <c r="L3266">
        <v>39</v>
      </c>
      <c r="M3266">
        <v>190</v>
      </c>
      <c r="N3266" s="10">
        <v>455.72</v>
      </c>
      <c r="O3266" s="7">
        <v>2.8</v>
      </c>
      <c r="P3266" s="7">
        <v>28.5</v>
      </c>
      <c r="Q3266">
        <v>2</v>
      </c>
      <c r="R3266" t="s">
        <v>64</v>
      </c>
      <c r="S3266">
        <v>12</v>
      </c>
      <c r="T3266">
        <v>358</v>
      </c>
      <c r="U3266" s="11">
        <v>0.97492791218182362</v>
      </c>
      <c r="V3266" s="11">
        <v>-0.22252093395631434</v>
      </c>
      <c r="W3266" s="11">
        <v>-0.14144406768794202</v>
      </c>
      <c r="X3266" s="11">
        <v>0.98994624890237792</v>
      </c>
      <c r="Y3266">
        <v>0</v>
      </c>
      <c r="Z3266">
        <v>0</v>
      </c>
      <c r="AB3266">
        <v>1</v>
      </c>
      <c r="AC3266">
        <v>0</v>
      </c>
      <c r="AD3266">
        <v>0</v>
      </c>
      <c r="AE3266">
        <v>0</v>
      </c>
    </row>
    <row r="3267" spans="1:31">
      <c r="A3267" s="6">
        <v>46015</v>
      </c>
      <c r="B3267" t="s">
        <v>36</v>
      </c>
      <c r="C3267" t="s">
        <v>37</v>
      </c>
      <c r="D3267" t="s">
        <v>38</v>
      </c>
      <c r="E3267" t="s">
        <v>39</v>
      </c>
      <c r="F3267">
        <v>125</v>
      </c>
      <c r="G3267">
        <v>320</v>
      </c>
      <c r="H3267">
        <v>231</v>
      </c>
      <c r="I3267">
        <v>97</v>
      </c>
      <c r="J3267" s="8">
        <v>0.77600000000000002</v>
      </c>
      <c r="K3267">
        <v>51</v>
      </c>
      <c r="L3267">
        <v>36</v>
      </c>
      <c r="M3267">
        <v>200</v>
      </c>
      <c r="N3267" s="10">
        <v>685.66</v>
      </c>
      <c r="O3267" s="7">
        <v>2.8</v>
      </c>
      <c r="P3267" s="7">
        <v>28.5</v>
      </c>
      <c r="Q3267">
        <v>2</v>
      </c>
      <c r="R3267" t="s">
        <v>64</v>
      </c>
      <c r="S3267">
        <v>12</v>
      </c>
      <c r="T3267">
        <v>358</v>
      </c>
      <c r="U3267" s="11">
        <v>0.97492791218182362</v>
      </c>
      <c r="V3267" s="11">
        <v>-0.22252093395631434</v>
      </c>
      <c r="W3267" s="11">
        <v>-0.14144406768794202</v>
      </c>
      <c r="X3267" s="11">
        <v>0.98994624890237792</v>
      </c>
      <c r="Y3267">
        <v>0</v>
      </c>
      <c r="Z3267">
        <v>0</v>
      </c>
      <c r="AB3267">
        <v>1</v>
      </c>
      <c r="AC3267">
        <v>0</v>
      </c>
      <c r="AD3267">
        <v>0</v>
      </c>
      <c r="AE3267">
        <v>0</v>
      </c>
    </row>
    <row r="3268" spans="1:31">
      <c r="A3268" s="6">
        <v>46015</v>
      </c>
      <c r="B3268" t="s">
        <v>41</v>
      </c>
      <c r="C3268" t="s">
        <v>42</v>
      </c>
      <c r="D3268" t="s">
        <v>43</v>
      </c>
      <c r="E3268" t="s">
        <v>44</v>
      </c>
      <c r="F3268">
        <v>85</v>
      </c>
      <c r="G3268">
        <v>210</v>
      </c>
      <c r="H3268">
        <v>151</v>
      </c>
      <c r="I3268">
        <v>68</v>
      </c>
      <c r="J3268" s="8">
        <v>0.8</v>
      </c>
      <c r="K3268">
        <v>24</v>
      </c>
      <c r="L3268">
        <v>41</v>
      </c>
      <c r="M3268">
        <v>127</v>
      </c>
      <c r="N3268" s="10">
        <v>605.54</v>
      </c>
      <c r="O3268" s="7">
        <v>2.8</v>
      </c>
      <c r="P3268" s="7">
        <v>28.5</v>
      </c>
      <c r="Q3268">
        <v>2</v>
      </c>
      <c r="R3268" t="s">
        <v>64</v>
      </c>
      <c r="S3268">
        <v>12</v>
      </c>
      <c r="T3268">
        <v>358</v>
      </c>
      <c r="U3268" s="11">
        <v>0.97492791218182362</v>
      </c>
      <c r="V3268" s="11">
        <v>-0.22252093395631434</v>
      </c>
      <c r="W3268" s="11">
        <v>-0.14144406768794202</v>
      </c>
      <c r="X3268" s="11">
        <v>0.98994624890237792</v>
      </c>
      <c r="Y3268">
        <v>0</v>
      </c>
      <c r="Z3268">
        <v>0</v>
      </c>
      <c r="AB3268">
        <v>1</v>
      </c>
      <c r="AC3268">
        <v>0</v>
      </c>
      <c r="AD3268">
        <v>0</v>
      </c>
      <c r="AE3268">
        <v>0</v>
      </c>
    </row>
    <row r="3269" spans="1:31">
      <c r="A3269" s="6">
        <v>46016</v>
      </c>
      <c r="B3269" t="s">
        <v>31</v>
      </c>
      <c r="C3269" t="s">
        <v>32</v>
      </c>
      <c r="D3269" t="s">
        <v>33</v>
      </c>
      <c r="E3269" t="s">
        <v>34</v>
      </c>
      <c r="F3269">
        <v>140</v>
      </c>
      <c r="G3269">
        <v>360</v>
      </c>
      <c r="H3269">
        <v>255</v>
      </c>
      <c r="I3269">
        <v>109</v>
      </c>
      <c r="J3269" s="8">
        <v>0.77857142857142858</v>
      </c>
      <c r="K3269">
        <v>67</v>
      </c>
      <c r="L3269">
        <v>66</v>
      </c>
      <c r="M3269">
        <v>209</v>
      </c>
      <c r="N3269" s="10">
        <v>490.12</v>
      </c>
      <c r="O3269" s="7">
        <v>1.9</v>
      </c>
      <c r="P3269" s="7">
        <v>29.3</v>
      </c>
      <c r="Q3269">
        <v>3</v>
      </c>
      <c r="R3269" t="s">
        <v>65</v>
      </c>
      <c r="S3269">
        <v>12</v>
      </c>
      <c r="T3269">
        <v>359</v>
      </c>
      <c r="U3269" s="11">
        <v>0.43388373911755823</v>
      </c>
      <c r="V3269" s="11">
        <v>-0.90096886790241903</v>
      </c>
      <c r="W3269" s="11">
        <v>-0.12439450483979998</v>
      </c>
      <c r="X3269" s="11">
        <v>0.99223283918930083</v>
      </c>
      <c r="Y3269">
        <v>0</v>
      </c>
      <c r="Z3269">
        <v>1</v>
      </c>
      <c r="AA3269" t="s">
        <v>76</v>
      </c>
      <c r="AB3269">
        <v>1</v>
      </c>
      <c r="AC3269">
        <v>0</v>
      </c>
      <c r="AD3269">
        <v>0</v>
      </c>
      <c r="AE3269">
        <v>0</v>
      </c>
    </row>
    <row r="3270" spans="1:31">
      <c r="A3270" s="6">
        <v>46016</v>
      </c>
      <c r="B3270" t="s">
        <v>36</v>
      </c>
      <c r="C3270" t="s">
        <v>37</v>
      </c>
      <c r="D3270" t="s">
        <v>38</v>
      </c>
      <c r="E3270" t="s">
        <v>39</v>
      </c>
      <c r="F3270">
        <v>125</v>
      </c>
      <c r="G3270">
        <v>320</v>
      </c>
      <c r="H3270">
        <v>263</v>
      </c>
      <c r="I3270">
        <v>109</v>
      </c>
      <c r="J3270" s="8">
        <v>0.872</v>
      </c>
      <c r="K3270">
        <v>54</v>
      </c>
      <c r="L3270">
        <v>43</v>
      </c>
      <c r="M3270">
        <v>246</v>
      </c>
      <c r="N3270" s="10">
        <v>731.4</v>
      </c>
      <c r="O3270" s="7">
        <v>1.9</v>
      </c>
      <c r="P3270" s="7">
        <v>29.3</v>
      </c>
      <c r="Q3270">
        <v>3</v>
      </c>
      <c r="R3270" t="s">
        <v>65</v>
      </c>
      <c r="S3270">
        <v>12</v>
      </c>
      <c r="T3270">
        <v>359</v>
      </c>
      <c r="U3270" s="11">
        <v>0.43388373911755823</v>
      </c>
      <c r="V3270" s="11">
        <v>-0.90096886790241903</v>
      </c>
      <c r="W3270" s="11">
        <v>-0.12439450483979998</v>
      </c>
      <c r="X3270" s="11">
        <v>0.99223283918930083</v>
      </c>
      <c r="Y3270">
        <v>0</v>
      </c>
      <c r="Z3270">
        <v>1</v>
      </c>
      <c r="AA3270" t="s">
        <v>76</v>
      </c>
      <c r="AB3270">
        <v>1</v>
      </c>
      <c r="AC3270">
        <v>0</v>
      </c>
      <c r="AD3270">
        <v>0</v>
      </c>
      <c r="AE3270">
        <v>0</v>
      </c>
    </row>
    <row r="3271" spans="1:31">
      <c r="A3271" s="6">
        <v>46016</v>
      </c>
      <c r="B3271" t="s">
        <v>41</v>
      </c>
      <c r="C3271" t="s">
        <v>42</v>
      </c>
      <c r="D3271" t="s">
        <v>43</v>
      </c>
      <c r="E3271" t="s">
        <v>44</v>
      </c>
      <c r="F3271">
        <v>85</v>
      </c>
      <c r="G3271">
        <v>210</v>
      </c>
      <c r="H3271">
        <v>166</v>
      </c>
      <c r="I3271">
        <v>77</v>
      </c>
      <c r="J3271" s="8">
        <v>0.90588235294117647</v>
      </c>
      <c r="K3271">
        <v>26</v>
      </c>
      <c r="L3271">
        <v>31</v>
      </c>
      <c r="M3271">
        <v>141</v>
      </c>
      <c r="N3271" s="10">
        <v>535.16999999999996</v>
      </c>
      <c r="O3271" s="7">
        <v>1.9</v>
      </c>
      <c r="P3271" s="7">
        <v>29.3</v>
      </c>
      <c r="Q3271">
        <v>3</v>
      </c>
      <c r="R3271" t="s">
        <v>65</v>
      </c>
      <c r="S3271">
        <v>12</v>
      </c>
      <c r="T3271">
        <v>359</v>
      </c>
      <c r="U3271" s="11">
        <v>0.43388373911755823</v>
      </c>
      <c r="V3271" s="11">
        <v>-0.90096886790241903</v>
      </c>
      <c r="W3271" s="11">
        <v>-0.12439450483979998</v>
      </c>
      <c r="X3271" s="11">
        <v>0.99223283918930083</v>
      </c>
      <c r="Y3271">
        <v>0</v>
      </c>
      <c r="Z3271">
        <v>1</v>
      </c>
      <c r="AA3271" t="s">
        <v>76</v>
      </c>
      <c r="AB3271">
        <v>1</v>
      </c>
      <c r="AC3271">
        <v>0</v>
      </c>
      <c r="AD3271">
        <v>0</v>
      </c>
      <c r="AE3271">
        <v>0</v>
      </c>
    </row>
    <row r="3272" spans="1:31">
      <c r="A3272" s="6">
        <v>46017</v>
      </c>
      <c r="B3272" t="s">
        <v>31</v>
      </c>
      <c r="C3272" t="s">
        <v>32</v>
      </c>
      <c r="D3272" t="s">
        <v>33</v>
      </c>
      <c r="E3272" t="s">
        <v>34</v>
      </c>
      <c r="F3272">
        <v>140</v>
      </c>
      <c r="G3272">
        <v>360</v>
      </c>
      <c r="H3272">
        <v>209</v>
      </c>
      <c r="I3272">
        <v>89</v>
      </c>
      <c r="J3272" s="8">
        <v>0.63571428571428568</v>
      </c>
      <c r="K3272">
        <v>47</v>
      </c>
      <c r="L3272">
        <v>26</v>
      </c>
      <c r="M3272">
        <v>192</v>
      </c>
      <c r="N3272" s="10">
        <v>485.04</v>
      </c>
      <c r="O3272" s="7">
        <v>1.2</v>
      </c>
      <c r="P3272" s="7">
        <v>29.3</v>
      </c>
      <c r="Q3272">
        <v>4</v>
      </c>
      <c r="R3272" t="s">
        <v>66</v>
      </c>
      <c r="S3272">
        <v>12</v>
      </c>
      <c r="T3272">
        <v>360</v>
      </c>
      <c r="U3272" s="11">
        <v>-0.43388373911755801</v>
      </c>
      <c r="V3272" s="11">
        <v>-0.90096886790241915</v>
      </c>
      <c r="W3272" s="11">
        <v>-0.10730813165636247</v>
      </c>
      <c r="X3272" s="11">
        <v>0.99422581181561609</v>
      </c>
      <c r="Y3272">
        <v>0</v>
      </c>
      <c r="Z3272">
        <v>0</v>
      </c>
      <c r="AB3272">
        <v>1</v>
      </c>
      <c r="AC3272">
        <v>0</v>
      </c>
      <c r="AD3272">
        <v>0</v>
      </c>
      <c r="AE3272">
        <v>0</v>
      </c>
    </row>
    <row r="3273" spans="1:31">
      <c r="A3273" s="6">
        <v>46017</v>
      </c>
      <c r="B3273" t="s">
        <v>36</v>
      </c>
      <c r="C3273" t="s">
        <v>37</v>
      </c>
      <c r="D3273" t="s">
        <v>38</v>
      </c>
      <c r="E3273" t="s">
        <v>39</v>
      </c>
      <c r="F3273">
        <v>125</v>
      </c>
      <c r="G3273">
        <v>320</v>
      </c>
      <c r="H3273">
        <v>235</v>
      </c>
      <c r="I3273">
        <v>99</v>
      </c>
      <c r="J3273" s="8">
        <v>0.79200000000000004</v>
      </c>
      <c r="K3273">
        <v>51</v>
      </c>
      <c r="L3273">
        <v>53</v>
      </c>
      <c r="M3273">
        <v>212</v>
      </c>
      <c r="N3273" s="10">
        <v>606.80999999999995</v>
      </c>
      <c r="O3273" s="7">
        <v>1.2</v>
      </c>
      <c r="P3273" s="7">
        <v>29.3</v>
      </c>
      <c r="Q3273">
        <v>4</v>
      </c>
      <c r="R3273" t="s">
        <v>66</v>
      </c>
      <c r="S3273">
        <v>12</v>
      </c>
      <c r="T3273">
        <v>360</v>
      </c>
      <c r="U3273" s="11">
        <v>-0.43388373911755801</v>
      </c>
      <c r="V3273" s="11">
        <v>-0.90096886790241915</v>
      </c>
      <c r="W3273" s="11">
        <v>-0.10730813165636247</v>
      </c>
      <c r="X3273" s="11">
        <v>0.99422581181561609</v>
      </c>
      <c r="Y3273">
        <v>0</v>
      </c>
      <c r="Z3273">
        <v>0</v>
      </c>
      <c r="AB3273">
        <v>1</v>
      </c>
      <c r="AC3273">
        <v>0</v>
      </c>
      <c r="AD3273">
        <v>0</v>
      </c>
      <c r="AE3273">
        <v>0</v>
      </c>
    </row>
    <row r="3274" spans="1:31">
      <c r="A3274" s="6">
        <v>46017</v>
      </c>
      <c r="B3274" t="s">
        <v>41</v>
      </c>
      <c r="C3274" t="s">
        <v>42</v>
      </c>
      <c r="D3274" t="s">
        <v>43</v>
      </c>
      <c r="E3274" t="s">
        <v>44</v>
      </c>
      <c r="F3274">
        <v>85</v>
      </c>
      <c r="G3274">
        <v>210</v>
      </c>
      <c r="H3274">
        <v>157</v>
      </c>
      <c r="I3274">
        <v>69</v>
      </c>
      <c r="J3274" s="8">
        <v>0.81176470588235294</v>
      </c>
      <c r="K3274">
        <v>30</v>
      </c>
      <c r="L3274">
        <v>17</v>
      </c>
      <c r="M3274">
        <v>127</v>
      </c>
      <c r="N3274" s="10">
        <v>528.84</v>
      </c>
      <c r="O3274" s="7">
        <v>1.2</v>
      </c>
      <c r="P3274" s="7">
        <v>29.3</v>
      </c>
      <c r="Q3274">
        <v>4</v>
      </c>
      <c r="R3274" t="s">
        <v>66</v>
      </c>
      <c r="S3274">
        <v>12</v>
      </c>
      <c r="T3274">
        <v>360</v>
      </c>
      <c r="U3274" s="11">
        <v>-0.43388373911755801</v>
      </c>
      <c r="V3274" s="11">
        <v>-0.90096886790241915</v>
      </c>
      <c r="W3274" s="11">
        <v>-0.10730813165636247</v>
      </c>
      <c r="X3274" s="11">
        <v>0.99422581181561609</v>
      </c>
      <c r="Y3274">
        <v>0</v>
      </c>
      <c r="Z3274">
        <v>0</v>
      </c>
      <c r="AB3274">
        <v>1</v>
      </c>
      <c r="AC3274">
        <v>0</v>
      </c>
      <c r="AD3274">
        <v>0</v>
      </c>
      <c r="AE3274">
        <v>0</v>
      </c>
    </row>
    <row r="3275" spans="1:31">
      <c r="A3275" s="6">
        <v>46018</v>
      </c>
      <c r="B3275" t="s">
        <v>31</v>
      </c>
      <c r="C3275" t="s">
        <v>32</v>
      </c>
      <c r="D3275" t="s">
        <v>33</v>
      </c>
      <c r="E3275" t="s">
        <v>34</v>
      </c>
      <c r="F3275">
        <v>140</v>
      </c>
      <c r="G3275">
        <v>360</v>
      </c>
      <c r="H3275">
        <v>243</v>
      </c>
      <c r="I3275">
        <v>105</v>
      </c>
      <c r="J3275" s="8">
        <v>0.75</v>
      </c>
      <c r="K3275">
        <v>27</v>
      </c>
      <c r="L3275">
        <v>37</v>
      </c>
      <c r="M3275">
        <v>218</v>
      </c>
      <c r="N3275" s="10">
        <v>507.22</v>
      </c>
      <c r="O3275" s="7">
        <v>2.1</v>
      </c>
      <c r="P3275" s="7">
        <v>28.6</v>
      </c>
      <c r="Q3275">
        <v>5</v>
      </c>
      <c r="R3275" t="s">
        <v>67</v>
      </c>
      <c r="S3275">
        <v>12</v>
      </c>
      <c r="T3275">
        <v>361</v>
      </c>
      <c r="U3275" s="11">
        <v>-0.97492791218182362</v>
      </c>
      <c r="V3275" s="11">
        <v>-0.22252093395631459</v>
      </c>
      <c r="W3275" s="11">
        <v>-9.0190004270345125E-2</v>
      </c>
      <c r="X3275" s="11">
        <v>0.99592457702865989</v>
      </c>
      <c r="Y3275">
        <v>1</v>
      </c>
      <c r="Z3275">
        <v>0</v>
      </c>
      <c r="AB3275">
        <v>1</v>
      </c>
      <c r="AC3275">
        <v>0</v>
      </c>
      <c r="AD3275">
        <v>0</v>
      </c>
      <c r="AE3275">
        <v>0</v>
      </c>
    </row>
    <row r="3276" spans="1:31">
      <c r="A3276" s="6">
        <v>46018</v>
      </c>
      <c r="B3276" t="s">
        <v>36</v>
      </c>
      <c r="C3276" t="s">
        <v>37</v>
      </c>
      <c r="D3276" t="s">
        <v>38</v>
      </c>
      <c r="E3276" t="s">
        <v>39</v>
      </c>
      <c r="F3276">
        <v>125</v>
      </c>
      <c r="G3276">
        <v>320</v>
      </c>
      <c r="H3276">
        <v>243</v>
      </c>
      <c r="I3276">
        <v>101</v>
      </c>
      <c r="J3276" s="8">
        <v>0.80800000000000005</v>
      </c>
      <c r="K3276">
        <v>29</v>
      </c>
      <c r="L3276">
        <v>32</v>
      </c>
      <c r="M3276">
        <v>207</v>
      </c>
      <c r="N3276" s="10">
        <v>782.83</v>
      </c>
      <c r="O3276" s="7">
        <v>2.1</v>
      </c>
      <c r="P3276" s="7">
        <v>28.6</v>
      </c>
      <c r="Q3276">
        <v>5</v>
      </c>
      <c r="R3276" t="s">
        <v>67</v>
      </c>
      <c r="S3276">
        <v>12</v>
      </c>
      <c r="T3276">
        <v>361</v>
      </c>
      <c r="U3276" s="11">
        <v>-0.97492791218182362</v>
      </c>
      <c r="V3276" s="11">
        <v>-0.22252093395631459</v>
      </c>
      <c r="W3276" s="11">
        <v>-9.0190004270345125E-2</v>
      </c>
      <c r="X3276" s="11">
        <v>0.99592457702865989</v>
      </c>
      <c r="Y3276">
        <v>1</v>
      </c>
      <c r="Z3276">
        <v>0</v>
      </c>
      <c r="AB3276">
        <v>1</v>
      </c>
      <c r="AC3276">
        <v>0</v>
      </c>
      <c r="AD3276">
        <v>0</v>
      </c>
      <c r="AE3276">
        <v>0</v>
      </c>
    </row>
    <row r="3277" spans="1:31">
      <c r="A3277" s="6">
        <v>46018</v>
      </c>
      <c r="B3277" t="s">
        <v>41</v>
      </c>
      <c r="C3277" t="s">
        <v>42</v>
      </c>
      <c r="D3277" t="s">
        <v>43</v>
      </c>
      <c r="E3277" t="s">
        <v>44</v>
      </c>
      <c r="F3277">
        <v>85</v>
      </c>
      <c r="G3277">
        <v>210</v>
      </c>
      <c r="H3277">
        <v>163</v>
      </c>
      <c r="I3277">
        <v>74</v>
      </c>
      <c r="J3277" s="8">
        <v>0.87058823529411766</v>
      </c>
      <c r="K3277">
        <v>43</v>
      </c>
      <c r="L3277">
        <v>32</v>
      </c>
      <c r="M3277">
        <v>152</v>
      </c>
      <c r="N3277" s="10">
        <v>675.13</v>
      </c>
      <c r="O3277" s="7">
        <v>2.1</v>
      </c>
      <c r="P3277" s="7">
        <v>28.6</v>
      </c>
      <c r="Q3277">
        <v>5</v>
      </c>
      <c r="R3277" t="s">
        <v>67</v>
      </c>
      <c r="S3277">
        <v>12</v>
      </c>
      <c r="T3277">
        <v>361</v>
      </c>
      <c r="U3277" s="11">
        <v>-0.97492791218182362</v>
      </c>
      <c r="V3277" s="11">
        <v>-0.22252093395631459</v>
      </c>
      <c r="W3277" s="11">
        <v>-9.0190004270345125E-2</v>
      </c>
      <c r="X3277" s="11">
        <v>0.99592457702865989</v>
      </c>
      <c r="Y3277">
        <v>1</v>
      </c>
      <c r="Z3277">
        <v>0</v>
      </c>
      <c r="AB3277">
        <v>1</v>
      </c>
      <c r="AC3277">
        <v>0</v>
      </c>
      <c r="AD3277">
        <v>0</v>
      </c>
      <c r="AE3277">
        <v>0</v>
      </c>
    </row>
    <row r="3278" spans="1:31">
      <c r="A3278" s="6">
        <v>46019</v>
      </c>
      <c r="B3278" t="s">
        <v>31</v>
      </c>
      <c r="C3278" t="s">
        <v>32</v>
      </c>
      <c r="D3278" t="s">
        <v>33</v>
      </c>
      <c r="E3278" t="s">
        <v>34</v>
      </c>
      <c r="F3278">
        <v>140</v>
      </c>
      <c r="G3278">
        <v>360</v>
      </c>
      <c r="H3278">
        <v>303</v>
      </c>
      <c r="I3278">
        <v>130</v>
      </c>
      <c r="J3278" s="8">
        <v>0.9285714285714286</v>
      </c>
      <c r="K3278">
        <v>57</v>
      </c>
      <c r="L3278">
        <v>55</v>
      </c>
      <c r="M3278">
        <v>274</v>
      </c>
      <c r="N3278" s="10">
        <v>524.15</v>
      </c>
      <c r="O3278" s="7">
        <v>0</v>
      </c>
      <c r="P3278" s="7">
        <v>29.6</v>
      </c>
      <c r="Q3278">
        <v>6</v>
      </c>
      <c r="R3278" t="s">
        <v>60</v>
      </c>
      <c r="S3278">
        <v>12</v>
      </c>
      <c r="T3278">
        <v>362</v>
      </c>
      <c r="U3278" s="11">
        <v>-0.78183148246802991</v>
      </c>
      <c r="V3278" s="11">
        <v>0.62348980185873337</v>
      </c>
      <c r="W3278" s="11">
        <v>-7.3045188211047427E-2</v>
      </c>
      <c r="X3278" s="11">
        <v>0.99732863213647516</v>
      </c>
      <c r="Y3278">
        <v>1</v>
      </c>
      <c r="Z3278">
        <v>0</v>
      </c>
      <c r="AB3278">
        <v>1</v>
      </c>
      <c r="AC3278">
        <v>0</v>
      </c>
      <c r="AD3278">
        <v>1</v>
      </c>
      <c r="AE3278">
        <v>0</v>
      </c>
    </row>
    <row r="3279" spans="1:31">
      <c r="A3279" s="6">
        <v>46019</v>
      </c>
      <c r="B3279" t="s">
        <v>36</v>
      </c>
      <c r="C3279" t="s">
        <v>37</v>
      </c>
      <c r="D3279" t="s">
        <v>38</v>
      </c>
      <c r="E3279" t="s">
        <v>39</v>
      </c>
      <c r="F3279">
        <v>125</v>
      </c>
      <c r="G3279">
        <v>320</v>
      </c>
      <c r="H3279">
        <v>284</v>
      </c>
      <c r="I3279">
        <v>121</v>
      </c>
      <c r="J3279" s="8">
        <v>0.96799999999999997</v>
      </c>
      <c r="K3279">
        <v>56</v>
      </c>
      <c r="L3279">
        <v>54</v>
      </c>
      <c r="M3279">
        <v>256</v>
      </c>
      <c r="N3279" s="10">
        <v>817.52</v>
      </c>
      <c r="O3279" s="7">
        <v>0</v>
      </c>
      <c r="P3279" s="7">
        <v>29.6</v>
      </c>
      <c r="Q3279">
        <v>6</v>
      </c>
      <c r="R3279" t="s">
        <v>60</v>
      </c>
      <c r="S3279">
        <v>12</v>
      </c>
      <c r="T3279">
        <v>362</v>
      </c>
      <c r="U3279" s="11">
        <v>-0.78183148246802991</v>
      </c>
      <c r="V3279" s="11">
        <v>0.62348980185873337</v>
      </c>
      <c r="W3279" s="11">
        <v>-7.3045188211047427E-2</v>
      </c>
      <c r="X3279" s="11">
        <v>0.99732863213647516</v>
      </c>
      <c r="Y3279">
        <v>1</v>
      </c>
      <c r="Z3279">
        <v>0</v>
      </c>
      <c r="AB3279">
        <v>1</v>
      </c>
      <c r="AC3279">
        <v>0</v>
      </c>
      <c r="AD3279">
        <v>1</v>
      </c>
      <c r="AE3279">
        <v>0</v>
      </c>
    </row>
    <row r="3280" spans="1:31">
      <c r="A3280" s="6">
        <v>46019</v>
      </c>
      <c r="B3280" t="s">
        <v>41</v>
      </c>
      <c r="C3280" t="s">
        <v>42</v>
      </c>
      <c r="D3280" t="s">
        <v>43</v>
      </c>
      <c r="E3280" t="s">
        <v>44</v>
      </c>
      <c r="F3280">
        <v>85</v>
      </c>
      <c r="G3280">
        <v>210</v>
      </c>
      <c r="H3280">
        <v>180</v>
      </c>
      <c r="I3280">
        <v>82</v>
      </c>
      <c r="J3280" s="8">
        <v>0.96470588235294119</v>
      </c>
      <c r="K3280">
        <v>38</v>
      </c>
      <c r="L3280">
        <v>33</v>
      </c>
      <c r="M3280">
        <v>157</v>
      </c>
      <c r="N3280" s="10">
        <v>616.22</v>
      </c>
      <c r="O3280" s="7">
        <v>0</v>
      </c>
      <c r="P3280" s="7">
        <v>29.6</v>
      </c>
      <c r="Q3280">
        <v>6</v>
      </c>
      <c r="R3280" t="s">
        <v>60</v>
      </c>
      <c r="S3280">
        <v>12</v>
      </c>
      <c r="T3280">
        <v>362</v>
      </c>
      <c r="U3280" s="11">
        <v>-0.78183148246802991</v>
      </c>
      <c r="V3280" s="11">
        <v>0.62348980185873337</v>
      </c>
      <c r="W3280" s="11">
        <v>-7.3045188211047427E-2</v>
      </c>
      <c r="X3280" s="11">
        <v>0.99732863213647516</v>
      </c>
      <c r="Y3280">
        <v>1</v>
      </c>
      <c r="Z3280">
        <v>0</v>
      </c>
      <c r="AB3280">
        <v>1</v>
      </c>
      <c r="AC3280">
        <v>0</v>
      </c>
      <c r="AD3280">
        <v>1</v>
      </c>
      <c r="AE3280">
        <v>0</v>
      </c>
    </row>
    <row r="3281" spans="1:31">
      <c r="A3281" s="6">
        <v>46020</v>
      </c>
      <c r="B3281" t="s">
        <v>31</v>
      </c>
      <c r="C3281" t="s">
        <v>32</v>
      </c>
      <c r="D3281" t="s">
        <v>33</v>
      </c>
      <c r="E3281" t="s">
        <v>34</v>
      </c>
      <c r="F3281">
        <v>140</v>
      </c>
      <c r="G3281">
        <v>360</v>
      </c>
      <c r="H3281">
        <v>278</v>
      </c>
      <c r="I3281">
        <v>115</v>
      </c>
      <c r="J3281" s="8">
        <v>0.8214285714285714</v>
      </c>
      <c r="K3281">
        <v>50</v>
      </c>
      <c r="L3281">
        <v>46</v>
      </c>
      <c r="M3281">
        <v>227</v>
      </c>
      <c r="N3281" s="10">
        <v>454.66</v>
      </c>
      <c r="O3281" s="7">
        <v>2.5</v>
      </c>
      <c r="P3281" s="7">
        <v>28.6</v>
      </c>
      <c r="Q3281">
        <v>0</v>
      </c>
      <c r="R3281" t="s">
        <v>62</v>
      </c>
      <c r="S3281">
        <v>12</v>
      </c>
      <c r="T3281">
        <v>363</v>
      </c>
      <c r="U3281" s="11">
        <v>0</v>
      </c>
      <c r="V3281" s="11">
        <v>1</v>
      </c>
      <c r="W3281" s="11">
        <v>-5.5878756905373132E-2</v>
      </c>
      <c r="X3281" s="11">
        <v>0.99843756165656661</v>
      </c>
      <c r="Y3281">
        <v>0</v>
      </c>
      <c r="Z3281">
        <v>0</v>
      </c>
      <c r="AB3281">
        <v>1</v>
      </c>
      <c r="AC3281">
        <v>0</v>
      </c>
      <c r="AD3281">
        <v>1</v>
      </c>
      <c r="AE3281">
        <v>0</v>
      </c>
    </row>
    <row r="3282" spans="1:31">
      <c r="A3282" s="6">
        <v>46020</v>
      </c>
      <c r="B3282" t="s">
        <v>36</v>
      </c>
      <c r="C3282" t="s">
        <v>37</v>
      </c>
      <c r="D3282" t="s">
        <v>38</v>
      </c>
      <c r="E3282" t="s">
        <v>39</v>
      </c>
      <c r="F3282">
        <v>125</v>
      </c>
      <c r="G3282">
        <v>320</v>
      </c>
      <c r="H3282">
        <v>286</v>
      </c>
      <c r="I3282">
        <v>121</v>
      </c>
      <c r="J3282" s="8">
        <v>0.96799999999999997</v>
      </c>
      <c r="K3282">
        <v>50</v>
      </c>
      <c r="L3282">
        <v>46</v>
      </c>
      <c r="M3282">
        <v>237</v>
      </c>
      <c r="N3282" s="10">
        <v>671.53</v>
      </c>
      <c r="O3282" s="7">
        <v>2.5</v>
      </c>
      <c r="P3282" s="7">
        <v>28.6</v>
      </c>
      <c r="Q3282">
        <v>0</v>
      </c>
      <c r="R3282" t="s">
        <v>62</v>
      </c>
      <c r="S3282">
        <v>12</v>
      </c>
      <c r="T3282">
        <v>363</v>
      </c>
      <c r="U3282" s="11">
        <v>0</v>
      </c>
      <c r="V3282" s="11">
        <v>1</v>
      </c>
      <c r="W3282" s="11">
        <v>-5.5878756905373132E-2</v>
      </c>
      <c r="X3282" s="11">
        <v>0.99843756165656661</v>
      </c>
      <c r="Y3282">
        <v>0</v>
      </c>
      <c r="Z3282">
        <v>0</v>
      </c>
      <c r="AB3282">
        <v>1</v>
      </c>
      <c r="AC3282">
        <v>0</v>
      </c>
      <c r="AD3282">
        <v>1</v>
      </c>
      <c r="AE3282">
        <v>0</v>
      </c>
    </row>
    <row r="3283" spans="1:31">
      <c r="A3283" s="6">
        <v>46020</v>
      </c>
      <c r="B3283" t="s">
        <v>41</v>
      </c>
      <c r="C3283" t="s">
        <v>42</v>
      </c>
      <c r="D3283" t="s">
        <v>43</v>
      </c>
      <c r="E3283" t="s">
        <v>44</v>
      </c>
      <c r="F3283">
        <v>85</v>
      </c>
      <c r="G3283">
        <v>210</v>
      </c>
      <c r="H3283">
        <v>192</v>
      </c>
      <c r="I3283">
        <v>82</v>
      </c>
      <c r="J3283" s="8">
        <v>0.96470588235294119</v>
      </c>
      <c r="K3283">
        <v>29</v>
      </c>
      <c r="L3283">
        <v>34</v>
      </c>
      <c r="M3283">
        <v>158</v>
      </c>
      <c r="N3283" s="10">
        <v>598.42999999999995</v>
      </c>
      <c r="O3283" s="7">
        <v>2.5</v>
      </c>
      <c r="P3283" s="7">
        <v>28.6</v>
      </c>
      <c r="Q3283">
        <v>0</v>
      </c>
      <c r="R3283" t="s">
        <v>62</v>
      </c>
      <c r="S3283">
        <v>12</v>
      </c>
      <c r="T3283">
        <v>363</v>
      </c>
      <c r="U3283" s="11">
        <v>0</v>
      </c>
      <c r="V3283" s="11">
        <v>1</v>
      </c>
      <c r="W3283" s="11">
        <v>-5.5878756905373132E-2</v>
      </c>
      <c r="X3283" s="11">
        <v>0.99843756165656661</v>
      </c>
      <c r="Y3283">
        <v>0</v>
      </c>
      <c r="Z3283">
        <v>0</v>
      </c>
      <c r="AB3283">
        <v>1</v>
      </c>
      <c r="AC3283">
        <v>0</v>
      </c>
      <c r="AD3283">
        <v>1</v>
      </c>
      <c r="AE3283">
        <v>0</v>
      </c>
    </row>
    <row r="3284" spans="1:31">
      <c r="A3284" s="6">
        <v>46021</v>
      </c>
      <c r="B3284" t="s">
        <v>31</v>
      </c>
      <c r="C3284" t="s">
        <v>32</v>
      </c>
      <c r="D3284" t="s">
        <v>33</v>
      </c>
      <c r="E3284" t="s">
        <v>34</v>
      </c>
      <c r="F3284">
        <v>140</v>
      </c>
      <c r="G3284">
        <v>360</v>
      </c>
      <c r="H3284">
        <v>234</v>
      </c>
      <c r="I3284">
        <v>104</v>
      </c>
      <c r="J3284" s="8">
        <v>0.74285714285714288</v>
      </c>
      <c r="K3284">
        <v>49</v>
      </c>
      <c r="L3284">
        <v>51</v>
      </c>
      <c r="M3284">
        <v>214</v>
      </c>
      <c r="N3284" s="10">
        <v>445.49</v>
      </c>
      <c r="O3284" s="7">
        <v>0.1</v>
      </c>
      <c r="P3284" s="7">
        <v>29</v>
      </c>
      <c r="Q3284">
        <v>1</v>
      </c>
      <c r="R3284" t="s">
        <v>63</v>
      </c>
      <c r="S3284">
        <v>12</v>
      </c>
      <c r="T3284">
        <v>364</v>
      </c>
      <c r="U3284" s="11">
        <v>0.7818314824680298</v>
      </c>
      <c r="V3284" s="11">
        <v>0.62348980185873359</v>
      </c>
      <c r="W3284" s="11">
        <v>-3.8695790176526891E-2</v>
      </c>
      <c r="X3284" s="11">
        <v>0.99925103743884813</v>
      </c>
      <c r="Y3284">
        <v>0</v>
      </c>
      <c r="Z3284">
        <v>0</v>
      </c>
      <c r="AB3284">
        <v>1</v>
      </c>
      <c r="AC3284">
        <v>0</v>
      </c>
      <c r="AD3284">
        <v>1</v>
      </c>
      <c r="AE3284">
        <v>0</v>
      </c>
    </row>
    <row r="3285" spans="1:31">
      <c r="A3285" s="6">
        <v>46021</v>
      </c>
      <c r="B3285" t="s">
        <v>36</v>
      </c>
      <c r="C3285" t="s">
        <v>37</v>
      </c>
      <c r="D3285" t="s">
        <v>38</v>
      </c>
      <c r="E3285" t="s">
        <v>39</v>
      </c>
      <c r="F3285">
        <v>125</v>
      </c>
      <c r="G3285">
        <v>320</v>
      </c>
      <c r="H3285">
        <v>250</v>
      </c>
      <c r="I3285">
        <v>104</v>
      </c>
      <c r="J3285" s="8">
        <v>0.83199999999999996</v>
      </c>
      <c r="K3285">
        <v>39</v>
      </c>
      <c r="L3285">
        <v>63</v>
      </c>
      <c r="M3285">
        <v>215</v>
      </c>
      <c r="N3285" s="10">
        <v>667.63</v>
      </c>
      <c r="O3285" s="7">
        <v>0.1</v>
      </c>
      <c r="P3285" s="7">
        <v>29</v>
      </c>
      <c r="Q3285">
        <v>1</v>
      </c>
      <c r="R3285" t="s">
        <v>63</v>
      </c>
      <c r="S3285">
        <v>12</v>
      </c>
      <c r="T3285">
        <v>364</v>
      </c>
      <c r="U3285" s="11">
        <v>0.7818314824680298</v>
      </c>
      <c r="V3285" s="11">
        <v>0.62348980185873359</v>
      </c>
      <c r="W3285" s="11">
        <v>-3.8695790176526891E-2</v>
      </c>
      <c r="X3285" s="11">
        <v>0.99925103743884813</v>
      </c>
      <c r="Y3285">
        <v>0</v>
      </c>
      <c r="Z3285">
        <v>0</v>
      </c>
      <c r="AB3285">
        <v>1</v>
      </c>
      <c r="AC3285">
        <v>0</v>
      </c>
      <c r="AD3285">
        <v>1</v>
      </c>
      <c r="AE3285">
        <v>0</v>
      </c>
    </row>
    <row r="3286" spans="1:31">
      <c r="A3286" s="6">
        <v>46021</v>
      </c>
      <c r="B3286" t="s">
        <v>41</v>
      </c>
      <c r="C3286" t="s">
        <v>42</v>
      </c>
      <c r="D3286" t="s">
        <v>43</v>
      </c>
      <c r="E3286" t="s">
        <v>44</v>
      </c>
      <c r="F3286">
        <v>85</v>
      </c>
      <c r="G3286">
        <v>210</v>
      </c>
      <c r="H3286">
        <v>190</v>
      </c>
      <c r="I3286">
        <v>82</v>
      </c>
      <c r="J3286" s="8">
        <v>0.96470588235294119</v>
      </c>
      <c r="K3286">
        <v>43</v>
      </c>
      <c r="L3286">
        <v>29</v>
      </c>
      <c r="M3286">
        <v>167</v>
      </c>
      <c r="N3286" s="10">
        <v>551.69000000000005</v>
      </c>
      <c r="O3286" s="7">
        <v>0.1</v>
      </c>
      <c r="P3286" s="7">
        <v>29</v>
      </c>
      <c r="Q3286">
        <v>1</v>
      </c>
      <c r="R3286" t="s">
        <v>63</v>
      </c>
      <c r="S3286">
        <v>12</v>
      </c>
      <c r="T3286">
        <v>364</v>
      </c>
      <c r="U3286" s="11">
        <v>0.7818314824680298</v>
      </c>
      <c r="V3286" s="11">
        <v>0.62348980185873359</v>
      </c>
      <c r="W3286" s="11">
        <v>-3.8695790176526891E-2</v>
      </c>
      <c r="X3286" s="11">
        <v>0.99925103743884813</v>
      </c>
      <c r="Y3286">
        <v>0</v>
      </c>
      <c r="Z3286">
        <v>0</v>
      </c>
      <c r="AB3286">
        <v>1</v>
      </c>
      <c r="AC3286">
        <v>0</v>
      </c>
      <c r="AD3286">
        <v>1</v>
      </c>
      <c r="AE3286">
        <v>0</v>
      </c>
    </row>
    <row r="3287" spans="1:31">
      <c r="A3287" s="6">
        <v>46022</v>
      </c>
      <c r="B3287" t="s">
        <v>31</v>
      </c>
      <c r="C3287" t="s">
        <v>32</v>
      </c>
      <c r="D3287" t="s">
        <v>33</v>
      </c>
      <c r="E3287" t="s">
        <v>34</v>
      </c>
      <c r="F3287">
        <v>140</v>
      </c>
      <c r="G3287">
        <v>360</v>
      </c>
      <c r="H3287">
        <v>269</v>
      </c>
      <c r="I3287">
        <v>112</v>
      </c>
      <c r="J3287" s="8">
        <v>0.8</v>
      </c>
      <c r="K3287">
        <v>37</v>
      </c>
      <c r="L3287">
        <v>53</v>
      </c>
      <c r="M3287">
        <v>216</v>
      </c>
      <c r="N3287" s="10">
        <v>475.22</v>
      </c>
      <c r="O3287" s="7">
        <v>0</v>
      </c>
      <c r="P3287" s="7">
        <v>28.2</v>
      </c>
      <c r="Q3287">
        <v>2</v>
      </c>
      <c r="R3287" t="s">
        <v>64</v>
      </c>
      <c r="S3287">
        <v>12</v>
      </c>
      <c r="T3287">
        <v>365</v>
      </c>
      <c r="U3287" s="11">
        <v>0.97492791218182362</v>
      </c>
      <c r="V3287" s="11">
        <v>-0.22252093395631434</v>
      </c>
      <c r="W3287" s="11">
        <v>-2.1501372740813793E-2</v>
      </c>
      <c r="X3287" s="11">
        <v>0.99976881876274803</v>
      </c>
      <c r="Y3287">
        <v>0</v>
      </c>
      <c r="Z3287">
        <v>0</v>
      </c>
      <c r="AB3287">
        <v>1</v>
      </c>
      <c r="AC3287">
        <v>0</v>
      </c>
      <c r="AD3287">
        <v>1</v>
      </c>
      <c r="AE3287">
        <v>0</v>
      </c>
    </row>
    <row r="3288" spans="1:31">
      <c r="A3288" s="6">
        <v>46022</v>
      </c>
      <c r="B3288" t="s">
        <v>36</v>
      </c>
      <c r="C3288" t="s">
        <v>37</v>
      </c>
      <c r="D3288" t="s">
        <v>38</v>
      </c>
      <c r="E3288" t="s">
        <v>39</v>
      </c>
      <c r="F3288">
        <v>125</v>
      </c>
      <c r="G3288">
        <v>320</v>
      </c>
      <c r="H3288">
        <v>260</v>
      </c>
      <c r="I3288">
        <v>108</v>
      </c>
      <c r="J3288" s="8">
        <v>0.86399999999999999</v>
      </c>
      <c r="K3288">
        <v>42</v>
      </c>
      <c r="L3288">
        <v>26</v>
      </c>
      <c r="M3288">
        <v>215</v>
      </c>
      <c r="N3288" s="10">
        <v>680.65</v>
      </c>
      <c r="O3288" s="7">
        <v>0</v>
      </c>
      <c r="P3288" s="7">
        <v>28.2</v>
      </c>
      <c r="Q3288">
        <v>2</v>
      </c>
      <c r="R3288" t="s">
        <v>64</v>
      </c>
      <c r="S3288">
        <v>12</v>
      </c>
      <c r="T3288">
        <v>365</v>
      </c>
      <c r="U3288" s="11">
        <v>0.97492791218182362</v>
      </c>
      <c r="V3288" s="11">
        <v>-0.22252093395631434</v>
      </c>
      <c r="W3288" s="11">
        <v>-2.1501372740813793E-2</v>
      </c>
      <c r="X3288" s="11">
        <v>0.99976881876274803</v>
      </c>
      <c r="Y3288">
        <v>0</v>
      </c>
      <c r="Z3288">
        <v>0</v>
      </c>
      <c r="AB3288">
        <v>1</v>
      </c>
      <c r="AC3288">
        <v>0</v>
      </c>
      <c r="AD3288">
        <v>1</v>
      </c>
      <c r="AE3288">
        <v>0</v>
      </c>
    </row>
    <row r="3289" spans="1:31">
      <c r="A3289" s="6">
        <v>46022</v>
      </c>
      <c r="B3289" t="s">
        <v>41</v>
      </c>
      <c r="C3289" t="s">
        <v>42</v>
      </c>
      <c r="D3289" t="s">
        <v>43</v>
      </c>
      <c r="E3289" t="s">
        <v>44</v>
      </c>
      <c r="F3289">
        <v>85</v>
      </c>
      <c r="G3289">
        <v>210</v>
      </c>
      <c r="H3289">
        <v>177</v>
      </c>
      <c r="I3289">
        <v>78</v>
      </c>
      <c r="J3289" s="8">
        <v>0.91764705882352937</v>
      </c>
      <c r="K3289">
        <v>35</v>
      </c>
      <c r="L3289">
        <v>34</v>
      </c>
      <c r="M3289">
        <v>164</v>
      </c>
      <c r="N3289" s="10">
        <v>602.57000000000005</v>
      </c>
      <c r="O3289" s="7">
        <v>0</v>
      </c>
      <c r="P3289" s="7">
        <v>28.2</v>
      </c>
      <c r="Q3289">
        <v>2</v>
      </c>
      <c r="R3289" t="s">
        <v>64</v>
      </c>
      <c r="S3289">
        <v>12</v>
      </c>
      <c r="T3289">
        <v>365</v>
      </c>
      <c r="U3289" s="11">
        <v>0.97492791218182362</v>
      </c>
      <c r="V3289" s="11">
        <v>-0.22252093395631434</v>
      </c>
      <c r="W3289" s="11">
        <v>-2.1501372740813793E-2</v>
      </c>
      <c r="X3289" s="11">
        <v>0.99976881876274803</v>
      </c>
      <c r="Y3289">
        <v>0</v>
      </c>
      <c r="Z3289">
        <v>0</v>
      </c>
      <c r="AB3289">
        <v>1</v>
      </c>
      <c r="AC3289">
        <v>0</v>
      </c>
      <c r="AD3289">
        <v>1</v>
      </c>
      <c r="AE328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pane ySplit="1" topLeftCell="A2" activePane="bottomLeft" state="frozen"/>
      <selection pane="bottomLeft" activeCell="B11" sqref="B11"/>
    </sheetView>
  </sheetViews>
  <sheetFormatPr defaultRowHeight="13.8"/>
  <cols>
    <col min="1" max="1" width="30" customWidth="1"/>
    <col min="2" max="2" width="57" customWidth="1"/>
    <col min="3" max="3" width="75" customWidth="1"/>
  </cols>
  <sheetData>
    <row r="1" spans="1:3" ht="31.95" customHeight="1">
      <c r="A1" s="4" t="s">
        <v>98</v>
      </c>
      <c r="B1" s="4" t="s">
        <v>99</v>
      </c>
      <c r="C1" s="4" t="s">
        <v>100</v>
      </c>
    </row>
    <row r="2" spans="1:3" ht="31.95" customHeight="1">
      <c r="A2" s="2" t="s">
        <v>46</v>
      </c>
      <c r="B2" s="2" t="s">
        <v>101</v>
      </c>
      <c r="C2" s="2" t="s">
        <v>102</v>
      </c>
    </row>
    <row r="3" spans="1:3" ht="31.95" customHeight="1">
      <c r="A3" s="2" t="s">
        <v>103</v>
      </c>
      <c r="B3" s="2" t="s">
        <v>104</v>
      </c>
      <c r="C3" s="2" t="s">
        <v>105</v>
      </c>
    </row>
    <row r="4" spans="1:3" ht="31.95" customHeight="1">
      <c r="A4" s="2" t="s">
        <v>87</v>
      </c>
      <c r="B4" s="2" t="s">
        <v>106</v>
      </c>
      <c r="C4" s="2" t="s">
        <v>107</v>
      </c>
    </row>
    <row r="5" spans="1:3" ht="31.95" customHeight="1">
      <c r="A5" s="2" t="s">
        <v>92</v>
      </c>
      <c r="B5" s="2" t="s">
        <v>108</v>
      </c>
      <c r="C5" s="2" t="s">
        <v>109</v>
      </c>
    </row>
    <row r="6" spans="1:3" ht="31.95" customHeight="1">
      <c r="A6" s="2" t="s">
        <v>90</v>
      </c>
      <c r="B6" s="2" t="s">
        <v>110</v>
      </c>
      <c r="C6" s="2" t="s">
        <v>111</v>
      </c>
    </row>
    <row r="7" spans="1:3" ht="31.95" customHeight="1">
      <c r="A7" s="2" t="s">
        <v>91</v>
      </c>
      <c r="B7" s="2" t="s">
        <v>112</v>
      </c>
      <c r="C7" s="2" t="s">
        <v>113</v>
      </c>
    </row>
    <row r="8" spans="1:3" ht="31.95" customHeight="1">
      <c r="A8" s="2" t="s">
        <v>88</v>
      </c>
      <c r="B8" s="2" t="s">
        <v>114</v>
      </c>
      <c r="C8" s="2" t="s">
        <v>115</v>
      </c>
    </row>
    <row r="9" spans="1:3" ht="31.95" customHeight="1">
      <c r="A9" s="2" t="s">
        <v>89</v>
      </c>
      <c r="B9" s="2" t="s">
        <v>116</v>
      </c>
      <c r="C9" s="2" t="s">
        <v>117</v>
      </c>
    </row>
    <row r="10" spans="1:3" ht="31.95" customHeight="1">
      <c r="A10" s="2" t="s">
        <v>93</v>
      </c>
      <c r="B10" s="2" t="s">
        <v>118</v>
      </c>
      <c r="C10" s="2" t="s">
        <v>119</v>
      </c>
    </row>
    <row r="11" spans="1:3" ht="31.95" customHeight="1">
      <c r="A11" s="2" t="s">
        <v>120</v>
      </c>
      <c r="B11" s="2" t="s">
        <v>121</v>
      </c>
      <c r="C11" s="2" t="s">
        <v>122</v>
      </c>
    </row>
    <row r="12" spans="1:3" ht="31.95" customHeight="1">
      <c r="A12" s="2" t="s">
        <v>123</v>
      </c>
      <c r="B12" s="2" t="s">
        <v>124</v>
      </c>
      <c r="C12" s="2" t="s">
        <v>125</v>
      </c>
    </row>
    <row r="13" spans="1:3" ht="31.95" customHeight="1">
      <c r="A13" s="2" t="s">
        <v>126</v>
      </c>
      <c r="B13" s="2" t="s">
        <v>127</v>
      </c>
      <c r="C13" s="2" t="s">
        <v>128</v>
      </c>
    </row>
    <row r="14" spans="1:3" ht="31.95" customHeight="1">
      <c r="A14" s="2" t="s">
        <v>129</v>
      </c>
      <c r="B14" s="2" t="s">
        <v>130</v>
      </c>
      <c r="C14" s="2" t="s">
        <v>131</v>
      </c>
    </row>
    <row r="15" spans="1:3" ht="31.95" customHeight="1">
      <c r="A15" s="2" t="s">
        <v>51</v>
      </c>
      <c r="B15" s="2" t="s">
        <v>132</v>
      </c>
      <c r="C15" s="2" t="s">
        <v>133</v>
      </c>
    </row>
    <row r="16" spans="1:3" ht="31.95" customHeight="1">
      <c r="A16" s="2" t="s">
        <v>134</v>
      </c>
      <c r="B16" s="2" t="s">
        <v>135</v>
      </c>
      <c r="C16" s="2" t="s">
        <v>136</v>
      </c>
    </row>
    <row r="17" spans="1:3" ht="31.95" customHeight="1">
      <c r="A17" s="2" t="s">
        <v>54</v>
      </c>
      <c r="B17" s="2" t="s">
        <v>137</v>
      </c>
      <c r="C17" s="2" t="s">
        <v>138</v>
      </c>
    </row>
    <row r="18" spans="1:3" ht="31.95" customHeight="1">
      <c r="A18" s="2" t="s">
        <v>139</v>
      </c>
      <c r="B18" s="2" t="s">
        <v>140</v>
      </c>
      <c r="C18" s="2" t="s">
        <v>141</v>
      </c>
    </row>
    <row r="19" spans="1:3" ht="31.95" customHeight="1">
      <c r="A19" s="2" t="s">
        <v>57</v>
      </c>
      <c r="B19" s="2" t="s">
        <v>142</v>
      </c>
      <c r="C19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topLeftCell="A10" workbookViewId="0">
      <selection activeCell="D10" sqref="D10"/>
    </sheetView>
  </sheetViews>
  <sheetFormatPr defaultRowHeight="13.8"/>
  <cols>
    <col min="1" max="1" width="12" customWidth="1"/>
    <col min="2" max="2" width="31" customWidth="1"/>
    <col min="3" max="6" width="20" customWidth="1"/>
    <col min="8" max="8" width="14" customWidth="1"/>
    <col min="9" max="11" width="16" customWidth="1"/>
  </cols>
  <sheetData>
    <row r="1" spans="1:11" ht="24" customHeight="1">
      <c r="A1" s="18" t="s">
        <v>144</v>
      </c>
      <c r="B1" s="18"/>
      <c r="C1" s="18"/>
      <c r="D1" s="18"/>
      <c r="E1" s="18"/>
      <c r="F1" s="18"/>
      <c r="H1" s="13" t="s">
        <v>145</v>
      </c>
      <c r="I1" s="13" t="s">
        <v>146</v>
      </c>
      <c r="J1" s="13" t="s">
        <v>147</v>
      </c>
      <c r="K1" s="13" t="s">
        <v>148</v>
      </c>
    </row>
    <row r="2" spans="1:11">
      <c r="H2" s="16" t="s">
        <v>149</v>
      </c>
      <c r="I2" s="7">
        <v>231.8</v>
      </c>
      <c r="J2" s="7">
        <v>231</v>
      </c>
      <c r="K2" s="7">
        <v>163.6</v>
      </c>
    </row>
    <row r="3" spans="1:11" ht="21.6" customHeight="1">
      <c r="A3" s="4" t="s">
        <v>23</v>
      </c>
      <c r="B3" s="4" t="s">
        <v>24</v>
      </c>
      <c r="C3" s="4" t="s">
        <v>150</v>
      </c>
      <c r="D3" s="4" t="s">
        <v>151</v>
      </c>
      <c r="E3" s="4" t="s">
        <v>152</v>
      </c>
      <c r="F3" s="4" t="s">
        <v>153</v>
      </c>
      <c r="H3" s="16" t="s">
        <v>154</v>
      </c>
      <c r="I3" s="7">
        <v>204.7</v>
      </c>
      <c r="J3" s="7">
        <v>182.8</v>
      </c>
      <c r="K3" s="7">
        <v>130.6</v>
      </c>
    </row>
    <row r="4" spans="1:11" ht="21.6" customHeight="1">
      <c r="A4" t="s">
        <v>31</v>
      </c>
      <c r="B4" t="s">
        <v>32</v>
      </c>
      <c r="C4" s="7">
        <f>AVERAGEIF(Dados_Longos!$B$2:$B$3289,A4,Dados_Longos!$H$2:$H$3289)</f>
        <v>202.58302919708029</v>
      </c>
      <c r="D4">
        <f>_xlfn.MINIFS(Dados_Longos!$H$2:$H$3289,Dados_Longos!$B$2:$B$3289,A4)</f>
        <v>145</v>
      </c>
      <c r="E4">
        <f>_xlfn.MAXIFS(Dados_Longos!$H$2:$H$3289,Dados_Longos!$B$2:$B$3289,A4)</f>
        <v>303</v>
      </c>
      <c r="F4" s="14">
        <f>SUMIF(Dados_Longos!$B$2:$B$3289,A4,Dados_Longos!$H$2:$H$3289)</f>
        <v>222031</v>
      </c>
      <c r="H4" s="16" t="s">
        <v>155</v>
      </c>
      <c r="I4" s="7">
        <v>184.7</v>
      </c>
      <c r="J4" s="7">
        <v>160.6</v>
      </c>
      <c r="K4" s="7">
        <v>117.8</v>
      </c>
    </row>
    <row r="5" spans="1:11" ht="21.6" customHeight="1">
      <c r="A5" t="s">
        <v>36</v>
      </c>
      <c r="B5" t="s">
        <v>37</v>
      </c>
      <c r="C5" s="7">
        <f>AVERAGEIF(Dados_Longos!$B$2:$B$3289,A5,Dados_Longos!$H$2:$H$3289)</f>
        <v>186.51642335766422</v>
      </c>
      <c r="D5">
        <f>_xlfn.MINIFS(Dados_Longos!$H$2:$H$3289,Dados_Longos!$B$2:$B$3289,A5)</f>
        <v>119</v>
      </c>
      <c r="E5">
        <f>_xlfn.MAXIFS(Dados_Longos!$H$2:$H$3289,Dados_Longos!$B$2:$B$3289,A5)</f>
        <v>294</v>
      </c>
      <c r="F5" s="14">
        <f>SUMIF(Dados_Longos!$B$2:$B$3289,A5,Dados_Longos!$H$2:$H$3289)</f>
        <v>204422</v>
      </c>
      <c r="H5" s="16" t="s">
        <v>156</v>
      </c>
      <c r="I5" s="7">
        <v>182.9</v>
      </c>
      <c r="J5" s="7">
        <v>162.30000000000001</v>
      </c>
      <c r="K5" s="7">
        <v>117.5</v>
      </c>
    </row>
    <row r="6" spans="1:11" ht="21.6" customHeight="1">
      <c r="A6" t="s">
        <v>41</v>
      </c>
      <c r="B6" t="s">
        <v>42</v>
      </c>
      <c r="C6" s="7">
        <f>AVERAGEIF(Dados_Longos!$B$2:$B$3289,A6,Dados_Longos!$H$2:$H$3289)</f>
        <v>133.62773722627736</v>
      </c>
      <c r="D6">
        <f>_xlfn.MINIFS(Dados_Longos!$H$2:$H$3289,Dados_Longos!$B$2:$B$3289,A6)</f>
        <v>83</v>
      </c>
      <c r="E6">
        <f>_xlfn.MAXIFS(Dados_Longos!$H$2:$H$3289,Dados_Longos!$B$2:$B$3289,A6)</f>
        <v>193</v>
      </c>
      <c r="F6" s="14">
        <f>SUMIF(Dados_Longos!$B$2:$B$3289,A6,Dados_Longos!$H$2:$H$3289)</f>
        <v>146456</v>
      </c>
      <c r="H6" s="16" t="s">
        <v>157</v>
      </c>
      <c r="I6" s="7">
        <v>182.6</v>
      </c>
      <c r="J6" s="7">
        <v>159.9</v>
      </c>
      <c r="K6" s="7">
        <v>117.1</v>
      </c>
    </row>
    <row r="7" spans="1:11">
      <c r="H7" s="16" t="s">
        <v>158</v>
      </c>
      <c r="I7" s="7">
        <v>195</v>
      </c>
      <c r="J7" s="7">
        <v>170.9</v>
      </c>
      <c r="K7" s="7">
        <v>122.9</v>
      </c>
    </row>
    <row r="8" spans="1:11">
      <c r="H8" s="16" t="s">
        <v>159</v>
      </c>
      <c r="I8" s="7">
        <v>234.2</v>
      </c>
      <c r="J8" s="7">
        <v>232.5</v>
      </c>
      <c r="K8" s="7">
        <v>159.5</v>
      </c>
    </row>
    <row r="9" spans="1:11" ht="14.4">
      <c r="A9" s="12" t="s">
        <v>160</v>
      </c>
      <c r="B9" s="19" t="s">
        <v>161</v>
      </c>
      <c r="C9" s="19"/>
      <c r="D9" s="19"/>
      <c r="E9" s="19"/>
      <c r="F9" s="19"/>
      <c r="H9" s="16" t="s">
        <v>162</v>
      </c>
      <c r="I9" s="7">
        <v>205.7</v>
      </c>
      <c r="J9" s="7">
        <v>176.6</v>
      </c>
      <c r="K9" s="7">
        <v>127.3</v>
      </c>
    </row>
    <row r="10" spans="1:11">
      <c r="H10" s="16" t="s">
        <v>163</v>
      </c>
      <c r="I10" s="7">
        <v>184.9</v>
      </c>
      <c r="J10" s="7">
        <v>163.69999999999999</v>
      </c>
      <c r="K10" s="7">
        <v>119.4</v>
      </c>
    </row>
    <row r="11" spans="1:11">
      <c r="H11" s="16" t="s">
        <v>164</v>
      </c>
      <c r="I11" s="7">
        <v>178.3</v>
      </c>
      <c r="J11" s="7">
        <v>159.1</v>
      </c>
      <c r="K11" s="7">
        <v>116.9</v>
      </c>
    </row>
    <row r="12" spans="1:11">
      <c r="H12" s="16" t="s">
        <v>165</v>
      </c>
      <c r="I12" s="7">
        <v>187.7</v>
      </c>
      <c r="J12" s="7">
        <v>166.1</v>
      </c>
      <c r="K12" s="7">
        <v>121.6</v>
      </c>
    </row>
    <row r="13" spans="1:11">
      <c r="H13" s="16" t="s">
        <v>166</v>
      </c>
      <c r="I13" s="7">
        <v>219.5</v>
      </c>
      <c r="J13" s="7">
        <v>212.4</v>
      </c>
      <c r="K13" s="7">
        <v>148.80000000000001</v>
      </c>
    </row>
    <row r="14" spans="1:11">
      <c r="H14" s="16" t="s">
        <v>167</v>
      </c>
      <c r="I14" s="7">
        <v>233.9</v>
      </c>
      <c r="J14" s="7">
        <v>235.2</v>
      </c>
      <c r="K14" s="7">
        <v>165.8</v>
      </c>
    </row>
    <row r="15" spans="1:11">
      <c r="H15" s="16" t="s">
        <v>168</v>
      </c>
      <c r="I15" s="7">
        <v>207</v>
      </c>
      <c r="J15" s="7">
        <v>183.8</v>
      </c>
      <c r="K15" s="7">
        <v>133</v>
      </c>
    </row>
    <row r="16" spans="1:11">
      <c r="H16" s="16" t="s">
        <v>169</v>
      </c>
      <c r="I16" s="7">
        <v>192.8</v>
      </c>
      <c r="J16" s="7">
        <v>172.4</v>
      </c>
      <c r="K16" s="7">
        <v>121.6</v>
      </c>
    </row>
    <row r="17" spans="8:11">
      <c r="H17" s="16" t="s">
        <v>170</v>
      </c>
      <c r="I17" s="7">
        <v>184.4</v>
      </c>
      <c r="J17" s="7">
        <v>163.4</v>
      </c>
      <c r="K17" s="7">
        <v>118</v>
      </c>
    </row>
    <row r="18" spans="8:11">
      <c r="H18" s="16" t="s">
        <v>171</v>
      </c>
      <c r="I18" s="7">
        <v>182.2</v>
      </c>
      <c r="J18" s="7">
        <v>164.1</v>
      </c>
      <c r="K18" s="7">
        <v>118.3</v>
      </c>
    </row>
    <row r="19" spans="8:11">
      <c r="H19" s="16" t="s">
        <v>172</v>
      </c>
      <c r="I19" s="7">
        <v>202.5</v>
      </c>
      <c r="J19" s="7">
        <v>176.8</v>
      </c>
      <c r="K19" s="7">
        <v>129.69999999999999</v>
      </c>
    </row>
    <row r="20" spans="8:11">
      <c r="H20" s="16" t="s">
        <v>173</v>
      </c>
      <c r="I20" s="7">
        <v>233</v>
      </c>
      <c r="J20" s="7">
        <v>234.6</v>
      </c>
      <c r="K20" s="7">
        <v>166.5</v>
      </c>
    </row>
    <row r="21" spans="8:11">
      <c r="H21" s="16" t="s">
        <v>174</v>
      </c>
      <c r="I21" s="7">
        <v>204.4</v>
      </c>
      <c r="J21" s="7">
        <v>181.1</v>
      </c>
      <c r="K21" s="7">
        <v>134</v>
      </c>
    </row>
    <row r="22" spans="8:11">
      <c r="H22" s="16" t="s">
        <v>175</v>
      </c>
      <c r="I22" s="7">
        <v>185.3</v>
      </c>
      <c r="J22" s="7">
        <v>167.1</v>
      </c>
      <c r="K22" s="7">
        <v>121.4</v>
      </c>
    </row>
    <row r="23" spans="8:11">
      <c r="H23" s="16" t="s">
        <v>176</v>
      </c>
      <c r="I23" s="7">
        <v>185.5</v>
      </c>
      <c r="J23" s="7">
        <v>163.9</v>
      </c>
      <c r="K23" s="7">
        <v>119.6</v>
      </c>
    </row>
    <row r="24" spans="8:11">
      <c r="H24" s="16" t="s">
        <v>177</v>
      </c>
      <c r="I24" s="7">
        <v>193</v>
      </c>
      <c r="J24" s="7">
        <v>172.7</v>
      </c>
      <c r="K24" s="7">
        <v>127</v>
      </c>
    </row>
    <row r="25" spans="8:11">
      <c r="H25" s="16" t="s">
        <v>178</v>
      </c>
      <c r="I25" s="7">
        <v>228.7</v>
      </c>
      <c r="J25" s="7">
        <v>216.9</v>
      </c>
      <c r="K25" s="7">
        <v>153.5</v>
      </c>
    </row>
    <row r="26" spans="8:11">
      <c r="H26" s="16" t="s">
        <v>179</v>
      </c>
      <c r="I26" s="7">
        <v>232</v>
      </c>
      <c r="J26" s="7">
        <v>239.1</v>
      </c>
      <c r="K26" s="7">
        <v>165.3</v>
      </c>
    </row>
    <row r="27" spans="8:11">
      <c r="H27" s="16" t="s">
        <v>180</v>
      </c>
      <c r="I27" s="7">
        <v>211.7</v>
      </c>
      <c r="J27" s="7">
        <v>189.7</v>
      </c>
      <c r="K27" s="7">
        <v>134.69999999999999</v>
      </c>
    </row>
    <row r="28" spans="8:11">
      <c r="H28" s="16" t="s">
        <v>181</v>
      </c>
      <c r="I28" s="7">
        <v>195.8</v>
      </c>
      <c r="J28" s="7">
        <v>175.4</v>
      </c>
      <c r="K28" s="7">
        <v>127.9</v>
      </c>
    </row>
    <row r="29" spans="8:11">
      <c r="H29" s="16" t="s">
        <v>182</v>
      </c>
      <c r="I29" s="7">
        <v>185.3</v>
      </c>
      <c r="J29" s="7">
        <v>169.9</v>
      </c>
      <c r="K29" s="7">
        <v>122.2</v>
      </c>
    </row>
    <row r="30" spans="8:11">
      <c r="H30" s="16" t="s">
        <v>183</v>
      </c>
      <c r="I30" s="7">
        <v>190</v>
      </c>
      <c r="J30" s="7">
        <v>171.7</v>
      </c>
      <c r="K30" s="7">
        <v>122.3</v>
      </c>
    </row>
    <row r="31" spans="8:11">
      <c r="H31" s="16" t="s">
        <v>184</v>
      </c>
      <c r="I31" s="7">
        <v>200.3</v>
      </c>
      <c r="J31" s="7">
        <v>182.4</v>
      </c>
      <c r="K31" s="7">
        <v>129.69999999999999</v>
      </c>
    </row>
    <row r="32" spans="8:11">
      <c r="H32" s="16" t="s">
        <v>185</v>
      </c>
      <c r="I32" s="7">
        <v>234.5</v>
      </c>
      <c r="J32" s="7">
        <v>241.4</v>
      </c>
      <c r="K32" s="7">
        <v>168.6</v>
      </c>
    </row>
    <row r="33" spans="8:11">
      <c r="H33" s="16" t="s">
        <v>186</v>
      </c>
      <c r="I33" s="7">
        <v>206.8</v>
      </c>
      <c r="J33" s="7">
        <v>188.5</v>
      </c>
      <c r="K33" s="7">
        <v>135.69999999999999</v>
      </c>
    </row>
    <row r="34" spans="8:11">
      <c r="H34" s="16" t="s">
        <v>187</v>
      </c>
      <c r="I34" s="7">
        <v>194.8</v>
      </c>
      <c r="J34" s="7">
        <v>175.7</v>
      </c>
      <c r="K34" s="7">
        <v>123.8</v>
      </c>
    </row>
    <row r="35" spans="8:11">
      <c r="H35" s="16" t="s">
        <v>188</v>
      </c>
      <c r="I35" s="7">
        <v>190.7</v>
      </c>
      <c r="J35" s="7">
        <v>167.9</v>
      </c>
      <c r="K35" s="7">
        <v>124.7</v>
      </c>
    </row>
    <row r="36" spans="8:11">
      <c r="H36" s="16" t="s">
        <v>189</v>
      </c>
      <c r="I36" s="7">
        <v>197.1</v>
      </c>
      <c r="J36" s="7">
        <v>176.9</v>
      </c>
      <c r="K36" s="7">
        <v>128.1</v>
      </c>
    </row>
    <row r="37" spans="8:11">
      <c r="H37" s="16" t="s">
        <v>190</v>
      </c>
      <c r="I37" s="7">
        <v>226.4</v>
      </c>
      <c r="J37" s="7">
        <v>219.8</v>
      </c>
      <c r="K37" s="7">
        <v>152</v>
      </c>
    </row>
  </sheetData>
  <mergeCells count="2">
    <mergeCell ref="A1:F1"/>
    <mergeCell ref="B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Leia_Me</vt:lpstr>
      <vt:lpstr>Cadastro_Hoteis</vt:lpstr>
      <vt:lpstr>Calendario</vt:lpstr>
      <vt:lpstr>Serie_Diaria</vt:lpstr>
      <vt:lpstr>Dados_Longos</vt:lpstr>
      <vt:lpstr>Dicionario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Abreu</cp:lastModifiedBy>
  <dcterms:modified xsi:type="dcterms:W3CDTF">2026-10-30T12:17:32Z</dcterms:modified>
</cp:coreProperties>
</file>